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676d63255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43308398d2749ee"/>
    <x:sheet xmlns:r="http://schemas.openxmlformats.org/officeDocument/2006/relationships" name="对比面板" sheetId="2" r:id="R86163a39d3e94f04"/>
    <x:sheet xmlns:r="http://schemas.openxmlformats.org/officeDocument/2006/relationships" name="测试索引" sheetId="3" r:id="R31b55df6622d4375"/>
    <x:sheet xmlns:r="http://schemas.openxmlformats.org/officeDocument/2006/relationships" name="包络曲线数据" sheetId="4" r:id="R13d213b78d9e4abb"/>
    <x:sheet xmlns:r="http://schemas.openxmlformats.org/officeDocument/2006/relationships" name="代表咚声数据" sheetId="5" r:id="Rd898360d583e4f18"/>
    <x:sheet xmlns:r="http://schemas.openxmlformats.org/officeDocument/2006/relationships" name="图表计算" sheetId="6" r:id="Ra88fff7ddc13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2"/>
      <x:color rgb="FF007C91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C2410C"/>
      <x:name val="Carlito"/>
    </x:font>
    <x:font>
      <x:b/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6F3F5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</x:fills>
  <x:borders count="11">
    <x:border/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2a5d382b54295" /><Relationship Type="http://schemas.openxmlformats.org/officeDocument/2006/relationships/theme" Target="/xl/theme/theme1.xml" Id="R31ff98ce2f1f4c10" /><Relationship Type="http://schemas.openxmlformats.org/officeDocument/2006/relationships/sharedStrings" Target="/xl/sharedStrings.xml" Id="R27534b1322704b4d" /><Relationship Type="http://schemas.openxmlformats.org/officeDocument/2006/relationships/worksheet" Target="/xl/worksheets/sheet1.xml" Id="R743308398d2749ee" /><Relationship Type="http://schemas.openxmlformats.org/officeDocument/2006/relationships/worksheet" Target="/xl/worksheets/sheet2.xml" Id="R86163a39d3e94f04" /><Relationship Type="http://schemas.openxmlformats.org/officeDocument/2006/relationships/worksheet" Target="/xl/worksheets/sheet3.xml" Id="R31b55df6622d4375" /><Relationship Type="http://schemas.openxmlformats.org/officeDocument/2006/relationships/worksheet" Target="/xl/worksheets/sheet4.xml" Id="R13d213b78d9e4abb" /><Relationship Type="http://schemas.openxmlformats.org/officeDocument/2006/relationships/worksheet" Target="/xl/worksheets/sheet5.xml" Id="Rd898360d583e4f18" /><Relationship Type="http://schemas.openxmlformats.org/officeDocument/2006/relationships/worksheet" Target="/xl/worksheets/sheet6.xml" Id="Ra88fff7ddc134f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5c03e6f3034015" /><Relationship Type="http://schemas.openxmlformats.org/officeDocument/2006/relationships/chart" Target="/xl/drawings/charts/chart2.xml" Id="R525afc1fe1cd443e" /><Relationship Type="http://schemas.openxmlformats.org/officeDocument/2006/relationships/chart" Target="/xl/drawings/charts/chart3.xml" Id="R4bc32aa6c34f41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整体咚声包络对比 - 背景归一化声级(dB)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'图表计算'!$B$1:$B$742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'图表计算'!$C$1:$C$742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'图表计算'!$D$1:$D$742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'图表计算'!$E$1:$E$742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'图表计算'!$F$1:$F$742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'图表计算'!$G$1:$G$742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视频时间 (s)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5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背景归一化声级(dB)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常见咚声 - 单次曲线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'图表计算'!$J$1:$J$39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'图表计算'!$K$1:$K$39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'图表计算'!$L$1:$L$39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'图表计算'!$M$1:$M$39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'图表计算'!$N$1:$N$39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'图表计算'!$O$1:$O$39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相对峰值时间 (ms)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95"/>
          <c:min val="5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背景归一化声级(dB)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较响咚声 - 单次曲线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'图表计算'!$R$1:$R$39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'图表计算'!$S$1:$S$39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'图表计算'!$T$1:$T$39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'图表计算'!$U$1:$U$39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'图表计算'!$V$1:$V$39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'图表计算'!$W$1:$W$39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相对峰值时间 (ms)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95"/>
          <c:min val="5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背景归一化声级(dB)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5c03e6f3034015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5afc1fe1cd443e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c32aa6c34f41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92b41731c3d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4" customHeight="1">
      <x:c r="A1" s="4" t="str">
        <x:v>HPDI 泵声音对比工具</x:v>
      </x:c>
    </x:row>
    <x:row r="3">
      <x:c r="A3" s="6" t="str">
        <x:v>用途：选择任意测试组，自动生成整体包络、常见咚声和较响咚声对比曲线。</x:v>
      </x:c>
    </x:row>
    <x:row r="5" ht="34" customHeight="1">
      <x:c r="A5" s="15" t="str">
        <x:v>操作</x:v>
      </x:c>
      <x:c r="B5" s="15" t="str">
        <x:v>说明</x:v>
      </x:c>
    </x:row>
    <x:row r="6" ht="34" customHeight="1">
      <x:c r="A6" s="16" t="str">
        <x:v>1. 选择测试</x:v>
      </x:c>
      <x:c r="B6" s="16" t="str">
        <x:v>在“对比面板”顶部的下拉框中选择最多 6 组测试，空槽位不会显示。</x:v>
      </x:c>
    </x:row>
    <x:row r="7" ht="34" customHeight="1">
      <x:c r="A7" s="16" t="str">
        <x:v>2. 看整体包络</x:v>
      </x:c>
      <x:c r="B7" s="16" t="str">
        <x:v>判断一段测试中连续多个周期何时偏响、何时偏小。纵轴为背景归一化声级(dB)，横轴为视频时间。</x:v>
      </x:c>
    </x:row>
    <x:row r="8" ht="34" customHeight="1">
      <x:c r="A8" s="16" t="str">
        <x:v>3. 看常见咚声</x:v>
      </x:c>
      <x:c r="B8" s="16" t="str">
        <x:v>表示大多数正常周期的典型冲击，不要求客户理解统计术语。</x:v>
      </x:c>
    </x:row>
    <x:row r="9" ht="34" customHeight="1">
      <x:c r="A9" s="16" t="str">
        <x:v>4. 看较响咚声</x:v>
      </x:c>
      <x:c r="B9" s="16" t="str">
        <x:v>表示一段测试中偏响的那部分周期，是调泵时优先压低的对象。</x:v>
      </x:c>
    </x:row>
    <x:row r="10" ht="34" customHeight="1">
      <x:c r="A10" s="16" t="str">
        <x:v>5. 追加新测试</x:v>
      </x:c>
      <x:c r="B10" s="16" t="str">
        <x:v>由分析脚本把新测试追加到“测试索引”和两个曲线数据页，原有东德基准保持不变。</x:v>
      </x:c>
    </x:row>
    <x:row r="12">
      <x:c r="A12" s="20" t="str">
        <x:v>重要：为降低跨日期手机自动增益影响，每段录音的局部背景统一到65 dB参考线。图中数值为背景归一化声级，不是认证绝对dB(A)。正式结论优先比较同转速，并保持同一手机、录制模式、角度和距离。</x:v>
      </x:c>
    </x:row>
  </x:sheetData>
  <x:mergeCells>
    <x:mergeCell ref="A1:H1"/>
    <x:mergeCell ref="A3:H3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HPDI 泵声音可选测试对比</x:v>
      </x:c>
    </x:row>
    <x:row r="3">
      <x:c r="A3" s="8" t="str">
        <x:v>选择测试</x:v>
      </x:c>
      <x:c r="B3" s="37" t="str">
        <x:v>DD_BASE_260707_700</x:v>
      </x:c>
      <x:c r="C3" s="37" t="str">
        <x:v>FR_INIT_260709_700</x:v>
      </x:c>
      <x:c r="D3" s="37" t="str">
        <x:v>FR_DELIVERY_0723_700</x:v>
      </x:c>
      <x:c r="E3" s="37" t="str"/>
      <x:c r="F3" s="37" t="str"/>
      <x:c r="G3" s="37" t="str"/>
    </x:row>
    <x:row r="5">
      <x:c r="A5" s="11" t="str">
        <x:v>测试编号</x:v>
      </x:c>
      <x:c r="B5" s="22" t="str">
        <x:v>转速 rpm</x:v>
      </x:c>
      <x:c r="C5" s="22" t="str">
        <x:v>常见咚声</x:v>
      </x:c>
      <x:c r="D5" s="22" t="str">
        <x:v>较响咚声</x:v>
      </x:c>
      <x:c r="E5" s="22" t="str">
        <x:v>常见声/东德</x:v>
      </x:c>
      <x:c r="F5" s="22" t="str">
        <x:v>较响声/东德</x:v>
      </x:c>
      <x:c r="G5" s="22" t="str">
        <x:v>常见声/初始</x:v>
      </x:c>
      <x:c r="H5" s="22" t="str">
        <x:v>较响声/初始</x:v>
      </x:c>
      <x:c r="I5" s="22" t="str">
        <x:v>超门槛占比</x:v>
      </x:c>
      <x:c r="J5" s="12" t="str">
        <x:v>结论</x:v>
      </x:c>
    </x:row>
    <x:row r="6">
      <x:c r="A6" s="45" t="str">
        <x:f>IF(B$3="","",B$3)</x:f>
        <x:v>DD_BASE_260707_700</x:v>
      </x:c>
      <x:c r="B6" s="52" t="n">
        <x:f>IFERROR(INDEX('测试索引'!$F$2:$F$21,MATCH($A6,'测试索引'!$A$2:$A$21,0)),"")</x:f>
        <x:v>700</x:v>
      </x:c>
      <x:c r="C6" s="54" t="n">
        <x:f>IFERROR(INDEX('测试索引'!$J$2:$J$21,MATCH($A6,'测试索引'!$A$2:$A$21,0)),"")</x:f>
        <x:v>71.47446782803137</x:v>
      </x:c>
      <x:c r="D6" s="54" t="n">
        <x:f>IFERROR(INDEX('测试索引'!$K$2:$K$21,MATCH($A6,'测试索引'!$A$2:$A$21,0)),"")</x:f>
        <x:v>79.9788968956339</x:v>
      </x:c>
      <x:c r="E6" s="54" t="str">
        <x:f>IFERROR(INDEX('测试索引'!$L$2:$L$21,MATCH($A6,'测试索引'!$A$2:$A$21,0)),"")</x:f>
        <x:v>基准</x:v>
      </x:c>
      <x:c r="F6" s="54" t="str">
        <x:f>IFERROR(INDEX('测试索引'!$M$2:$M$21,MATCH($A6,'测试索引'!$A$2:$A$21,0)),"")</x:f>
        <x:v>基准</x:v>
      </x:c>
      <x:c r="G6" s="54" t="str">
        <x:f>IFERROR(INDEX('测试索引'!$P$2:$P$21,MATCH($A6,'测试索引'!$A$2:$A$21,0)),"")</x:f>
        <x:v>不适用</x:v>
      </x:c>
      <x:c r="H6" s="54" t="str">
        <x:f>IFERROR(INDEX('测试索引'!$Q$2:$Q$21,MATCH($A6,'测试索引'!$A$2:$A$21,0)),"")</x:f>
        <x:v>不适用</x:v>
      </x:c>
      <x:c r="I6" s="54" t="n">
        <x:f>IFERROR(INDEX('测试索引'!$T$2:$T$21,MATCH($A6,'测试索引'!$A$2:$A$21,0)),"")</x:f>
        <x:v>10</x:v>
      </x:c>
      <x:c r="J6" s="47" t="str">
        <x:f>IFERROR(INDEX('测试索引'!$U$2:$U$21,MATCH($A6,'测试索引'!$A$2:$A$21,0)),"")</x:f>
        <x:v>东德基准</x:v>
      </x:c>
    </x:row>
    <x:row r="7">
      <x:c r="A7" s="48" t="str">
        <x:f>IF(C$3="","",C$3)</x:f>
        <x:v>FR_INIT_260709_700</x:v>
      </x:c>
      <x:c r="B7" s="30" t="n">
        <x:f>IFERROR(INDEX('测试索引'!$F$2:$F$21,MATCH($A7,'测试索引'!$A$2:$A$21,0)),"")</x:f>
        <x:v>700</x:v>
      </x:c>
      <x:c r="C7" s="31" t="n">
        <x:f>IFERROR(INDEX('测试索引'!$J$2:$J$21,MATCH($A7,'测试索引'!$A$2:$A$21,0)),"")</x:f>
        <x:v>71.05825179342511</x:v>
      </x:c>
      <x:c r="D7" s="31" t="n">
        <x:f>IFERROR(INDEX('测试索引'!$K$2:$K$21,MATCH($A7,'测试索引'!$A$2:$A$21,0)),"")</x:f>
        <x:v>82.60789504601293</x:v>
      </x:c>
      <x:c r="E7" s="31" t="str">
        <x:f>IFERROR(INDEX('测试索引'!$L$2:$L$21,MATCH($A7,'测试索引'!$A$2:$A$21,0)),"")</x:f>
        <x:v>低于 0.4 dB</x:v>
      </x:c>
      <x:c r="F7" s="31" t="str">
        <x:f>IFERROR(INDEX('测试索引'!$M$2:$M$21,MATCH($A7,'测试索引'!$A$2:$A$21,0)),"")</x:f>
        <x:v>高于 2.6 dB</x:v>
      </x:c>
      <x:c r="G7" s="31" t="str">
        <x:f>IFERROR(INDEX('测试索引'!$P$2:$P$21,MATCH($A7,'测试索引'!$A$2:$A$21,0)),"")</x:f>
        <x:v>初始状态</x:v>
      </x:c>
      <x:c r="H7" s="31" t="str">
        <x:f>IFERROR(INDEX('测试索引'!$Q$2:$Q$21,MATCH($A7,'测试索引'!$A$2:$A$21,0)),"")</x:f>
        <x:v>初始状态</x:v>
      </x:c>
      <x:c r="I7" s="31" t="n">
        <x:f>IFERROR(INDEX('测试索引'!$T$2:$T$21,MATCH($A7,'测试索引'!$A$2:$A$21,0)),"")</x:f>
        <x:v>11.538461538461538</x:v>
      </x:c>
      <x:c r="J7" s="32" t="str">
        <x:f>IFERROR(INDEX('测试索引'!$U$2:$U$21,MATCH($A7,'测试索引'!$A$2:$A$21,0)),"")</x:f>
        <x:v>明显高于东德</x:v>
      </x:c>
    </x:row>
    <x:row r="8">
      <x:c r="A8" s="48" t="str">
        <x:f>IF(D$3="","",D$3)</x:f>
        <x:v>FR_DELIVERY_0723_700</x:v>
      </x:c>
      <x:c r="B8" s="30" t="n">
        <x:f>IFERROR(INDEX('测试索引'!$F$2:$F$21,MATCH($A8,'测试索引'!$A$2:$A$21,0)),"")</x:f>
        <x:v>700</x:v>
      </x:c>
      <x:c r="C8" s="31" t="n">
        <x:f>IFERROR(INDEX('测试索引'!$J$2:$J$21,MATCH($A8,'测试索引'!$A$2:$A$21,0)),"")</x:f>
        <x:v>74.8393950935193</x:v>
      </x:c>
      <x:c r="D8" s="31" t="n">
        <x:f>IFERROR(INDEX('测试索引'!$K$2:$K$21,MATCH($A8,'测试索引'!$A$2:$A$21,0)),"")</x:f>
        <x:v>77.9177393836219</x:v>
      </x:c>
      <x:c r="E8" s="31" t="str">
        <x:f>IFERROR(INDEX('测试索引'!$L$2:$L$21,MATCH($A8,'测试索引'!$A$2:$A$21,0)),"")</x:f>
        <x:v>高于 3.4 dB</x:v>
      </x:c>
      <x:c r="F8" s="31" t="str">
        <x:f>IFERROR(INDEX('测试索引'!$M$2:$M$21,MATCH($A8,'测试索引'!$A$2:$A$21,0)),"")</x:f>
        <x:v>低于 2.1 dB</x:v>
      </x:c>
      <x:c r="G8" s="31" t="str">
        <x:f>IFERROR(INDEX('测试索引'!$P$2:$P$21,MATCH($A8,'测试索引'!$A$2:$A$21,0)),"")</x:f>
        <x:v>高于 3.8 dB</x:v>
      </x:c>
      <x:c r="H8" s="31" t="str">
        <x:f>IFERROR(INDEX('测试索引'!$Q$2:$Q$21,MATCH($A8,'测试索引'!$A$2:$A$21,0)),"")</x:f>
        <x:v>低于 4.7 dB</x:v>
      </x:c>
      <x:c r="I8" s="31" t="n">
        <x:f>IFERROR(INDEX('测试索引'!$T$2:$T$21,MATCH($A8,'测试索引'!$A$2:$A$21,0)),"")</x:f>
        <x:v>0</x:v>
      </x:c>
      <x:c r="J8" s="32" t="str">
        <x:f>IFERROR(INDEX('测试索引'!$U$2:$U$21,MATCH($A8,'测试索引'!$A$2:$A$21,0)),"")</x:f>
        <x:v>明显低于东德</x:v>
      </x:c>
    </x:row>
    <x:row r="9">
      <x:c r="A9" s="48" t="str">
        <x:f>IF(E$3="","",E$3)</x:f>
      </x:c>
      <x:c r="B9" s="30" t="str">
        <x:f>IFERROR(INDEX('测试索引'!$F$2:$F$21,MATCH($A9,'测试索引'!$A$2:$A$21,0)),"")</x:f>
      </x:c>
      <x:c r="C9" s="31" t="str">
        <x:f>IFERROR(INDEX('测试索引'!$J$2:$J$21,MATCH($A9,'测试索引'!$A$2:$A$21,0)),"")</x:f>
      </x:c>
      <x:c r="D9" s="31" t="str">
        <x:f>IFERROR(INDEX('测试索引'!$K$2:$K$21,MATCH($A9,'测试索引'!$A$2:$A$21,0)),"")</x:f>
      </x:c>
      <x:c r="E9" s="31" t="str">
        <x:f>IFERROR(INDEX('测试索引'!$L$2:$L$21,MATCH($A9,'测试索引'!$A$2:$A$21,0)),"")</x:f>
      </x:c>
      <x:c r="F9" s="31" t="str">
        <x:f>IFERROR(INDEX('测试索引'!$M$2:$M$21,MATCH($A9,'测试索引'!$A$2:$A$21,0)),"")</x:f>
      </x:c>
      <x:c r="G9" s="31" t="str">
        <x:f>IFERROR(INDEX('测试索引'!$P$2:$P$21,MATCH($A9,'测试索引'!$A$2:$A$21,0)),"")</x:f>
      </x:c>
      <x:c r="H9" s="31" t="str">
        <x:f>IFERROR(INDEX('测试索引'!$Q$2:$Q$21,MATCH($A9,'测试索引'!$A$2:$A$21,0)),"")</x:f>
      </x:c>
      <x:c r="I9" s="31" t="str">
        <x:f>IFERROR(INDEX('测试索引'!$T$2:$T$21,MATCH($A9,'测试索引'!$A$2:$A$21,0)),"")</x:f>
      </x:c>
      <x:c r="J9" s="32" t="str">
        <x:f>IFERROR(INDEX('测试索引'!$U$2:$U$21,MATCH($A9,'测试索引'!$A$2:$A$21,0)),"")</x:f>
      </x:c>
    </x:row>
    <x:row r="10">
      <x:c r="A10" s="48" t="str">
        <x:f>IF(F$3="","",F$3)</x:f>
      </x:c>
      <x:c r="B10" s="30" t="str">
        <x:f>IFERROR(INDEX('测试索引'!$F$2:$F$21,MATCH($A10,'测试索引'!$A$2:$A$21,0)),"")</x:f>
      </x:c>
      <x:c r="C10" s="31" t="str">
        <x:f>IFERROR(INDEX('测试索引'!$J$2:$J$21,MATCH($A10,'测试索引'!$A$2:$A$21,0)),"")</x:f>
      </x:c>
      <x:c r="D10" s="31" t="str">
        <x:f>IFERROR(INDEX('测试索引'!$K$2:$K$21,MATCH($A10,'测试索引'!$A$2:$A$21,0)),"")</x:f>
      </x:c>
      <x:c r="E10" s="31" t="str">
        <x:f>IFERROR(INDEX('测试索引'!$L$2:$L$21,MATCH($A10,'测试索引'!$A$2:$A$21,0)),"")</x:f>
      </x:c>
      <x:c r="F10" s="31" t="str">
        <x:f>IFERROR(INDEX('测试索引'!$M$2:$M$21,MATCH($A10,'测试索引'!$A$2:$A$21,0)),"")</x:f>
      </x:c>
      <x:c r="G10" s="31" t="str">
        <x:f>IFERROR(INDEX('测试索引'!$P$2:$P$21,MATCH($A10,'测试索引'!$A$2:$A$21,0)),"")</x:f>
      </x:c>
      <x:c r="H10" s="31" t="str">
        <x:f>IFERROR(INDEX('测试索引'!$Q$2:$Q$21,MATCH($A10,'测试索引'!$A$2:$A$21,0)),"")</x:f>
      </x:c>
      <x:c r="I10" s="31" t="str">
        <x:f>IFERROR(INDEX('测试索引'!$T$2:$T$21,MATCH($A10,'测试索引'!$A$2:$A$21,0)),"")</x:f>
      </x:c>
      <x:c r="J10" s="32" t="str">
        <x:f>IFERROR(INDEX('测试索引'!$U$2:$U$21,MATCH($A10,'测试索引'!$A$2:$A$21,0)),"")</x:f>
      </x:c>
    </x:row>
    <x:row r="11">
      <x:c r="A11" s="49" t="str">
        <x:f>IF(G$3="","",G$3)</x:f>
      </x:c>
      <x:c r="B11" s="53" t="str">
        <x:f>IFERROR(INDEX('测试索引'!$F$2:$F$21,MATCH($A11,'测试索引'!$A$2:$A$21,0)),"")</x:f>
      </x:c>
      <x:c r="C11" s="55" t="str">
        <x:f>IFERROR(INDEX('测试索引'!$J$2:$J$21,MATCH($A11,'测试索引'!$A$2:$A$21,0)),"")</x:f>
      </x:c>
      <x:c r="D11" s="55" t="str">
        <x:f>IFERROR(INDEX('测试索引'!$K$2:$K$21,MATCH($A11,'测试索引'!$A$2:$A$21,0)),"")</x:f>
      </x:c>
      <x:c r="E11" s="55" t="str">
        <x:f>IFERROR(INDEX('测试索引'!$L$2:$L$21,MATCH($A11,'测试索引'!$A$2:$A$21,0)),"")</x:f>
      </x:c>
      <x:c r="F11" s="55" t="str">
        <x:f>IFERROR(INDEX('测试索引'!$M$2:$M$21,MATCH($A11,'测试索引'!$A$2:$A$21,0)),"")</x:f>
      </x:c>
      <x:c r="G11" s="55" t="str">
        <x:f>IFERROR(INDEX('测试索引'!$P$2:$P$21,MATCH($A11,'测试索引'!$A$2:$A$21,0)),"")</x:f>
      </x:c>
      <x:c r="H11" s="55" t="str">
        <x:f>IFERROR(INDEX('测试索引'!$Q$2:$Q$21,MATCH($A11,'测试索引'!$A$2:$A$21,0)),"")</x:f>
      </x:c>
      <x:c r="I11" s="55" t="str">
        <x:f>IFERROR(INDEX('测试索引'!$T$2:$T$21,MATCH($A11,'测试索引'!$A$2:$A$21,0)),"")</x:f>
      </x:c>
      <x:c r="J11" s="51" t="str">
        <x:f>IFERROR(INDEX('测试索引'!$U$2:$U$21,MATCH($A11,'测试索引'!$A$2:$A$21,0)),"")</x:f>
      </x:c>
    </x:row>
    <x:row r="12">
      <x:c r="A12" s="58" t="str">
        <x:f>IF(COUNT(B6:B11)&lt;=1,"请选择至少两组测试",IF(COUNTIF(B6:B11,B6)=COUNT(B6:B11),"转速一致：可直接比较产品声音","警告：所选测试转速不一致，只能观察趋势，不能直接判断产品优劣"))</x:f>
        <x:v>转速一致：可直接比较产品声音</x:v>
      </x:c>
    </x:row>
    <x:row r="57">
      <x:c r="A57" s="20" t="str">
        <x:v>判读方法：“低于东德/初始”表示该测试更安静。客户沟通重点看“较响咚声”和超过东德较响门槛的比例；不同转速只观察趋势，不直接判定优劣。</x:v>
      </x:c>
    </x:row>
  </x:sheetData>
  <x:mergeCells>
    <x:mergeCell ref="A1:N1"/>
    <x:mergeCell ref="A12:N12"/>
    <x:mergeCell ref="A57:N59"/>
  </x:mergeCells>
  <x:dataValidations count="1">
    <x:dataValidation type="list" sqref="B3:G3">
      <x:formula1>'测试索引'!$A$2:$A$21</x:formula1>
    </x:dataValidation>
  </x:dataValidations>
  <x:pageMargins left="0.7" right="0.7" top="0.75" bottom="0.75" header="0.3" footer="0.3"/>
  <x:drawing xmlns:r="http://schemas.openxmlformats.org/officeDocument/2006/relationships" r:id="R792b41731c3d405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8" hidden="0" customWidth="1"/>
    <x:col min="22" max="22" width="18" hidden="0" customWidth="1"/>
    <x:col min="23" max="23" width="18" hidden="0" customWidth="1"/>
    <x:col min="24" max="24" width="55" hidden="0" customWidth="1"/>
  </x:cols>
  <x:sheetData>
    <x:row r="1">
      <x:c r="A1" s="15" t="str">
        <x:v>测试编号</x:v>
      </x:c>
      <x:c r="B1" s="15" t="str">
        <x:v>测试日期</x:v>
      </x:c>
      <x:c r="C1" s="15" t="str">
        <x:v>产品</x:v>
      </x:c>
      <x:c r="D1" s="15" t="str">
        <x:v>状态/配置</x:v>
      </x:c>
      <x:c r="E1" s="15" t="str">
        <x:v>简称</x:v>
      </x:c>
      <x:c r="F1" s="15" t="str">
        <x:v>转速 rpm</x:v>
      </x:c>
      <x:c r="G1" s="15" t="str">
        <x:v>分组</x:v>
      </x:c>
      <x:c r="H1" s="15" t="str">
        <x:v>时长 s</x:v>
      </x:c>
      <x:c r="I1" s="15" t="str">
        <x:v>咚声数</x:v>
      </x:c>
      <x:c r="J1" s="15" t="str">
        <x:v>常见咚声 背景归一化dB</x:v>
      </x:c>
      <x:c r="K1" s="15" t="str">
        <x:v>较响咚声 背景归一化dB</x:v>
      </x:c>
      <x:c r="L1" s="15" t="str">
        <x:v>常见声相对东德</x:v>
      </x:c>
      <x:c r="M1" s="15" t="str">
        <x:v>较响声相对东德</x:v>
      </x:c>
      <x:c r="N1" s="15" t="str">
        <x:v>常见差值大小 dB</x:v>
      </x:c>
      <x:c r="O1" s="15" t="str">
        <x:v>较响差值大小 dB</x:v>
      </x:c>
      <x:c r="P1" s="15" t="str">
        <x:v>常见声相对富瑞初始</x:v>
      </x:c>
      <x:c r="Q1" s="15" t="str">
        <x:v>较响声相对富瑞初始</x:v>
      </x:c>
      <x:c r="R1" s="15" t="str">
        <x:v>常见差值/初始 dB</x:v>
      </x:c>
      <x:c r="S1" s="15" t="str">
        <x:v>较响差值/初始 dB</x:v>
      </x:c>
      <x:c r="T1" s="15" t="str">
        <x:v>超过东德较响门槛 %</x:v>
      </x:c>
      <x:c r="U1" s="15" t="str">
        <x:v>结论</x:v>
      </x:c>
      <x:c r="V1" s="15" t="str">
        <x:v>有分贝仪</x:v>
      </x:c>
      <x:c r="W1" s="15" t="str">
        <x:v>主观备注</x:v>
      </x:c>
      <x:c r="X1" s="11" t="str">
        <x:v>备注</x:v>
      </x:c>
    </x:row>
    <x:row r="2">
      <x:c r="A2" s="29" t="str">
        <x:v>FR_INIT_260709_600</x:v>
      </x:c>
      <x:c r="B2" s="29" t="str">
        <x:v>2026-07-09</x:v>
      </x:c>
      <x:c r="C2" s="29" t="str">
        <x:v>富瑞初始</x:v>
      </x:c>
      <x:c r="D2" s="29" t="str">
        <x:v>富瑞初始状态</x:v>
      </x:c>
      <x:c r="E2" s="29" t="str">
        <x:v>富瑞初始</x:v>
      </x:c>
      <x:c r="F2" s="30" t="n">
        <x:v>600</x:v>
      </x:c>
      <x:c r="G2" s="29" t="str">
        <x:v>600rpm</x:v>
      </x:c>
      <x:c r="H2" s="31" t="n">
        <x:v>43.53596371882086</x:v>
      </x:c>
      <x:c r="I2" s="30" t="n">
        <x:v>33</x:v>
      </x:c>
      <x:c r="J2" s="31" t="n">
        <x:v>73.3026526253787</x:v>
      </x:c>
      <x:c r="K2" s="31" t="n">
        <x:v>85.40134683273605</x:v>
      </x:c>
      <x:c r="L2" s="29" t="str">
        <x:v>无同转速基准</x:v>
      </x:c>
      <x:c r="M2" s="29" t="str">
        <x:v>无同转速基准</x:v>
      </x:c>
      <x:c r="N2" s="31"/>
      <x:c r="O2" s="31"/>
      <x:c r="P2" s="31" t="str">
        <x:v>初始状态</x:v>
      </x:c>
      <x:c r="Q2" s="31" t="str">
        <x:v>初始状态</x:v>
      </x:c>
      <x:c r="R2" s="31" t="n">
        <x:v>0</x:v>
      </x:c>
      <x:c r="S2" s="31" t="n">
        <x:v>0</x:v>
      </x:c>
      <x:c r="T2" s="31"/>
      <x:c r="U2" s="29" t="str">
        <x:v>无同转速基准</x:v>
      </x:c>
      <x:c r="V2" s="29" t="str">
        <x:v>是</x:v>
      </x:c>
      <x:c r="W2" s="16" t="str"/>
      <x:c r="X2" s="33" t="str">
        <x:v>指标为背景归一化声级；每段录音的局部背景统一到65 dB参考线。</x:v>
      </x:c>
    </x:row>
    <x:row r="3">
      <x:c r="A3" s="29" t="str">
        <x:v>DD_BASE_260707_700</x:v>
      </x:c>
      <x:c r="B3" s="29" t="str">
        <x:v>2026-07-07</x:v>
      </x:c>
      <x:c r="C3" s="29" t="str">
        <x:v>东德基准</x:v>
      </x:c>
      <x:c r="D3" s="29" t="str">
        <x:v>东德基准状态</x:v>
      </x:c>
      <x:c r="E3" s="29" t="str">
        <x:v>东德基准</x:v>
      </x:c>
      <x:c r="F3" s="30" t="n">
        <x:v>700</x:v>
      </x:c>
      <x:c r="G3" s="29" t="str">
        <x:v>700rpm</x:v>
      </x:c>
      <x:c r="H3" s="31" t="n">
        <x:v>71.14448979591836</x:v>
      </x:c>
      <x:c r="I3" s="30" t="n">
        <x:v>60</x:v>
      </x:c>
      <x:c r="J3" s="31" t="n">
        <x:v>71.47446782803137</x:v>
      </x:c>
      <x:c r="K3" s="31" t="n">
        <x:v>79.9788968956339</x:v>
      </x:c>
      <x:c r="L3" s="29" t="str">
        <x:v>基准</x:v>
      </x:c>
      <x:c r="M3" s="29" t="str">
        <x:v>基准</x:v>
      </x:c>
      <x:c r="N3" s="31" t="n">
        <x:v>0</x:v>
      </x:c>
      <x:c r="O3" s="31" t="n">
        <x:v>0</x:v>
      </x:c>
      <x:c r="P3" s="31" t="str">
        <x:v>不适用</x:v>
      </x:c>
      <x:c r="Q3" s="31" t="str">
        <x:v>不适用</x:v>
      </x:c>
      <x:c r="R3" s="31"/>
      <x:c r="S3" s="31"/>
      <x:c r="T3" s="31" t="n">
        <x:v>10</x:v>
      </x:c>
      <x:c r="U3" s="29" t="str">
        <x:v>东德基准</x:v>
      </x:c>
      <x:c r="V3" s="29" t="str">
        <x:v>是</x:v>
      </x:c>
      <x:c r="W3" s="16" t="str"/>
      <x:c r="X3" s="33" t="str">
        <x:v>指标为背景归一化声级；每段录音的局部背景统一到65 dB参考线。</x:v>
      </x:c>
    </x:row>
    <x:row r="4">
      <x:c r="A4" s="29" t="str">
        <x:v>FR_INIT_260709_700</x:v>
      </x:c>
      <x:c r="B4" s="29" t="str">
        <x:v>2026-07-09</x:v>
      </x:c>
      <x:c r="C4" s="29" t="str">
        <x:v>富瑞初始</x:v>
      </x:c>
      <x:c r="D4" s="29" t="str">
        <x:v>富瑞初始状态</x:v>
      </x:c>
      <x:c r="E4" s="29" t="str">
        <x:v>富瑞初始</x:v>
      </x:c>
      <x:c r="F4" s="30" t="n">
        <x:v>700</x:v>
      </x:c>
      <x:c r="G4" s="29" t="str">
        <x:v>700rpm</x:v>
      </x:c>
      <x:c r="H4" s="31" t="n">
        <x:v>57.70013605442177</x:v>
      </x:c>
      <x:c r="I4" s="30" t="n">
        <x:v>52</x:v>
      </x:c>
      <x:c r="J4" s="31" t="n">
        <x:v>71.05825179342511</x:v>
      </x:c>
      <x:c r="K4" s="31" t="n">
        <x:v>82.60789504601293</x:v>
      </x:c>
      <x:c r="L4" s="29" t="str">
        <x:v>低于 0.4 dB</x:v>
      </x:c>
      <x:c r="M4" s="29" t="str">
        <x:v>高于 2.6 dB</x:v>
      </x:c>
      <x:c r="N4" s="31" t="n">
        <x:v>0.4162160346062507</x:v>
      </x:c>
      <x:c r="O4" s="31" t="n">
        <x:v>2.628998150379033</x:v>
      </x:c>
      <x:c r="P4" s="31" t="str">
        <x:v>初始状态</x:v>
      </x:c>
      <x:c r="Q4" s="31" t="str">
        <x:v>初始状态</x:v>
      </x:c>
      <x:c r="R4" s="31" t="n">
        <x:v>0</x:v>
      </x:c>
      <x:c r="S4" s="31" t="n">
        <x:v>0</x:v>
      </x:c>
      <x:c r="T4" s="31" t="n">
        <x:v>11.538461538461538</x:v>
      </x:c>
      <x:c r="U4" s="29" t="str">
        <x:v>明显高于东德</x:v>
      </x:c>
      <x:c r="V4" s="29" t="str">
        <x:v>是</x:v>
      </x:c>
      <x:c r="W4" s="16" t="str"/>
      <x:c r="X4" s="33" t="str">
        <x:v>指标为背景归一化声级；每段录音的局部背景统一到65 dB参考线。</x:v>
      </x:c>
    </x:row>
    <x:row r="5">
      <x:c r="A5" s="29" t="str">
        <x:v>DD_BASE_260707_800</x:v>
      </x:c>
      <x:c r="B5" s="29" t="str">
        <x:v>2026-07-07</x:v>
      </x:c>
      <x:c r="C5" s="29" t="str">
        <x:v>东德基准</x:v>
      </x:c>
      <x:c r="D5" s="29" t="str">
        <x:v>东德基准状态</x:v>
      </x:c>
      <x:c r="E5" s="29" t="str">
        <x:v>东德基准</x:v>
      </x:c>
      <x:c r="F5" s="30" t="n">
        <x:v>800</x:v>
      </x:c>
      <x:c r="G5" s="29" t="str">
        <x:v>800rpm</x:v>
      </x:c>
      <x:c r="H5" s="31" t="n">
        <x:v>51.15210884353741</x:v>
      </x:c>
      <x:c r="I5" s="30" t="n">
        <x:v>55</x:v>
      </x:c>
      <x:c r="J5" s="31" t="n">
        <x:v>70.26774096745302</x:v>
      </x:c>
      <x:c r="K5" s="31" t="n">
        <x:v>80.88254652064711</x:v>
      </x:c>
      <x:c r="L5" s="29" t="str">
        <x:v>基准</x:v>
      </x:c>
      <x:c r="M5" s="29" t="str">
        <x:v>基准</x:v>
      </x:c>
      <x:c r="N5" s="31" t="n">
        <x:v>0</x:v>
      </x:c>
      <x:c r="O5" s="31" t="n">
        <x:v>0</x:v>
      </x:c>
      <x:c r="P5" s="31" t="str">
        <x:v>不适用</x:v>
      </x:c>
      <x:c r="Q5" s="31" t="str">
        <x:v>不适用</x:v>
      </x:c>
      <x:c r="R5" s="31"/>
      <x:c r="S5" s="31"/>
      <x:c r="T5" s="31" t="n">
        <x:v>10</x:v>
      </x:c>
      <x:c r="U5" s="29" t="str">
        <x:v>东德基准</x:v>
      </x:c>
      <x:c r="V5" s="29" t="str">
        <x:v>是</x:v>
      </x:c>
      <x:c r="W5" s="16" t="str"/>
      <x:c r="X5" s="33" t="str">
        <x:v>指标为背景归一化声级；每段录音的局部背景统一到65 dB参考线。</x:v>
      </x:c>
    </x:row>
    <x:row r="6">
      <x:c r="A6" s="29" t="str">
        <x:v>FR_INIT_260709_800</x:v>
      </x:c>
      <x:c r="B6" s="29" t="str">
        <x:v>2026-07-09</x:v>
      </x:c>
      <x:c r="C6" s="29" t="str">
        <x:v>富瑞初始</x:v>
      </x:c>
      <x:c r="D6" s="29" t="str">
        <x:v>富瑞初始状态</x:v>
      </x:c>
      <x:c r="E6" s="29" t="str">
        <x:v>富瑞初始</x:v>
      </x:c>
      <x:c r="F6" s="30" t="n">
        <x:v>800</x:v>
      </x:c>
      <x:c r="G6" s="29" t="str">
        <x:v>800rpm</x:v>
      </x:c>
      <x:c r="H6" s="31" t="n">
        <x:v>73.76834467120182</x:v>
      </x:c>
      <x:c r="I6" s="30" t="n">
        <x:v>76</x:v>
      </x:c>
      <x:c r="J6" s="31" t="n">
        <x:v>65.65555057298586</x:v>
      </x:c>
      <x:c r="K6" s="31" t="n">
        <x:v>81.88887088629431</x:v>
      </x:c>
      <x:c r="L6" s="29" t="str">
        <x:v>低于 4.6 dB</x:v>
      </x:c>
      <x:c r="M6" s="29" t="str">
        <x:v>高于 1.0 dB</x:v>
      </x:c>
      <x:c r="N6" s="31" t="n">
        <x:v>4.612190394467163</x:v>
      </x:c>
      <x:c r="O6" s="31" t="n">
        <x:v>1.0063243656472025</x:v>
      </x:c>
      <x:c r="P6" s="31" t="str">
        <x:v>初始状态</x:v>
      </x:c>
      <x:c r="Q6" s="31" t="str">
        <x:v>初始状态</x:v>
      </x:c>
      <x:c r="R6" s="31" t="n">
        <x:v>0</x:v>
      </x:c>
      <x:c r="S6" s="31" t="n">
        <x:v>0</x:v>
      </x:c>
      <x:c r="T6" s="31" t="n">
        <x:v>11.842105263157894</x:v>
      </x:c>
      <x:c r="U6" s="29" t="str">
        <x:v>略高于东德</x:v>
      </x:c>
      <x:c r="V6" s="29" t="str">
        <x:v>是</x:v>
      </x:c>
      <x:c r="W6" s="16" t="str"/>
      <x:c r="X6" s="33" t="str">
        <x:v>指标为背景归一化声级；每段录音的局部背景统一到65 dB参考线。</x:v>
      </x:c>
    </x:row>
    <x:row r="7">
      <x:c r="A7" s="29" t="str">
        <x:v>DD_BASE_260707_900</x:v>
      </x:c>
      <x:c r="B7" s="29" t="str">
        <x:v>2026-07-07</x:v>
      </x:c>
      <x:c r="C7" s="29" t="str">
        <x:v>东德基准</x:v>
      </x:c>
      <x:c r="D7" s="29" t="str">
        <x:v>东德基准状态</x:v>
      </x:c>
      <x:c r="E7" s="29" t="str">
        <x:v>东德基准</x:v>
      </x:c>
      <x:c r="F7" s="30" t="n">
        <x:v>900</x:v>
      </x:c>
      <x:c r="G7" s="29" t="str">
        <x:v>900rpm</x:v>
      </x:c>
      <x:c r="H7" s="31" t="n">
        <x:v>24.54204081632653</x:v>
      </x:c>
      <x:c r="I7" s="30" t="n">
        <x:v>27</x:v>
      </x:c>
      <x:c r="J7" s="31" t="n">
        <x:v>69.39251579622265</x:v>
      </x:c>
      <x:c r="K7" s="31" t="n">
        <x:v>79.55645847070446</x:v>
      </x:c>
      <x:c r="L7" s="29" t="str">
        <x:v>基准</x:v>
      </x:c>
      <x:c r="M7" s="29" t="str">
        <x:v>基准</x:v>
      </x:c>
      <x:c r="N7" s="31" t="n">
        <x:v>0</x:v>
      </x:c>
      <x:c r="O7" s="31" t="n">
        <x:v>0</x:v>
      </x:c>
      <x:c r="P7" s="31" t="str">
        <x:v>不适用</x:v>
      </x:c>
      <x:c r="Q7" s="31" t="str">
        <x:v>不适用</x:v>
      </x:c>
      <x:c r="R7" s="31"/>
      <x:c r="S7" s="31"/>
      <x:c r="T7" s="31" t="n">
        <x:v>10</x:v>
      </x:c>
      <x:c r="U7" s="29" t="str">
        <x:v>东德基准</x:v>
      </x:c>
      <x:c r="V7" s="29" t="str">
        <x:v>是</x:v>
      </x:c>
      <x:c r="W7" s="16" t="str"/>
      <x:c r="X7" s="33" t="str">
        <x:v>指标为背景归一化声级；每段录音的局部背景统一到65 dB参考线。</x:v>
      </x:c>
    </x:row>
    <x:row r="8">
      <x:c r="A8" s="29" t="str">
        <x:v>FR_INIT_260709_900</x:v>
      </x:c>
      <x:c r="B8" s="29" t="str">
        <x:v>2026-07-09</x:v>
      </x:c>
      <x:c r="C8" s="29" t="str">
        <x:v>富瑞初始</x:v>
      </x:c>
      <x:c r="D8" s="29" t="str">
        <x:v>富瑞初始状态</x:v>
      </x:c>
      <x:c r="E8" s="29" t="str">
        <x:v>富瑞初始</x:v>
      </x:c>
      <x:c r="F8" s="30" t="n">
        <x:v>900</x:v>
      </x:c>
      <x:c r="G8" s="29" t="str">
        <x:v>900rpm</x:v>
      </x:c>
      <x:c r="H8" s="31" t="n">
        <x:v>56.748117913832196</x:v>
      </x:c>
      <x:c r="I8" s="30" t="n">
        <x:v>48</x:v>
      </x:c>
      <x:c r="J8" s="31" t="n">
        <x:v>70.96410751809921</x:v>
      </x:c>
      <x:c r="K8" s="31" t="n">
        <x:v>78.68009047730811</x:v>
      </x:c>
      <x:c r="L8" s="29" t="str">
        <x:v>高于 1.6 dB</x:v>
      </x:c>
      <x:c r="M8" s="29" t="str">
        <x:v>低于 0.9 dB</x:v>
      </x:c>
      <x:c r="N8" s="31" t="n">
        <x:v>1.5715917218765583</x:v>
      </x:c>
      <x:c r="O8" s="31" t="n">
        <x:v>0.8763679933963431</x:v>
      </x:c>
      <x:c r="P8" s="31" t="str">
        <x:v>初始状态</x:v>
      </x:c>
      <x:c r="Q8" s="31" t="str">
        <x:v>初始状态</x:v>
      </x:c>
      <x:c r="R8" s="31" t="n">
        <x:v>0</x:v>
      </x:c>
      <x:c r="S8" s="31" t="n">
        <x:v>0</x:v>
      </x:c>
      <x:c r="T8" s="31" t="n">
        <x:v>10.416666666666668</x:v>
      </x:c>
      <x:c r="U8" s="29" t="str">
        <x:v>略低于/接近东德</x:v>
      </x:c>
      <x:c r="V8" s="29" t="str">
        <x:v>是</x:v>
      </x:c>
      <x:c r="W8" s="16" t="str"/>
      <x:c r="X8" s="33" t="str">
        <x:v>指标为背景归一化声级；每段录音的局部背景统一到65 dB参考线。</x:v>
      </x:c>
    </x:row>
    <x:row r="9">
      <x:c r="A9" s="29" t="str">
        <x:v>FR_INIT_260709_1000</x:v>
      </x:c>
      <x:c r="B9" s="29" t="str">
        <x:v>2026-07-09</x:v>
      </x:c>
      <x:c r="C9" s="29" t="str">
        <x:v>富瑞初始</x:v>
      </x:c>
      <x:c r="D9" s="29" t="str">
        <x:v>富瑞初始状态</x:v>
      </x:c>
      <x:c r="E9" s="29" t="str">
        <x:v>富瑞初始</x:v>
      </x:c>
      <x:c r="F9" s="30" t="n">
        <x:v>1000</x:v>
      </x:c>
      <x:c r="G9" s="29" t="str">
        <x:v>1000rpm</x:v>
      </x:c>
      <x:c r="H9" s="31" t="n">
        <x:v>72.51446712018141</x:v>
      </x:c>
      <x:c r="I9" s="30" t="n">
        <x:v>78</x:v>
      </x:c>
      <x:c r="J9" s="31" t="n">
        <x:v>67.8129276644637</x:v>
      </x:c>
      <x:c r="K9" s="31" t="n">
        <x:v>78.72841456332146</x:v>
      </x:c>
      <x:c r="L9" s="29" t="str">
        <x:v>无同转速基准</x:v>
      </x:c>
      <x:c r="M9" s="29" t="str">
        <x:v>无同转速基准</x:v>
      </x:c>
      <x:c r="N9" s="31"/>
      <x:c r="O9" s="31"/>
      <x:c r="P9" s="31" t="str">
        <x:v>初始状态</x:v>
      </x:c>
      <x:c r="Q9" s="31" t="str">
        <x:v>初始状态</x:v>
      </x:c>
      <x:c r="R9" s="31" t="n">
        <x:v>0</x:v>
      </x:c>
      <x:c r="S9" s="31" t="n">
        <x:v>0</x:v>
      </x:c>
      <x:c r="T9" s="31"/>
      <x:c r="U9" s="29" t="str">
        <x:v>无同转速基准</x:v>
      </x:c>
      <x:c r="V9" s="29" t="str">
        <x:v>是</x:v>
      </x:c>
      <x:c r="W9" s="16" t="str"/>
      <x:c r="X9" s="33" t="str">
        <x:v>指标为背景归一化声级；每段录音的局部背景统一到65 dB参考线。</x:v>
      </x:c>
    </x:row>
    <x:row r="10">
      <x:c r="A10" s="29" t="str">
        <x:v>DD_BASE_260707_1125</x:v>
      </x:c>
      <x:c r="B10" s="29" t="str">
        <x:v>2026-07-07</x:v>
      </x:c>
      <x:c r="C10" s="29" t="str">
        <x:v>东德基准</x:v>
      </x:c>
      <x:c r="D10" s="29" t="str">
        <x:v>东德基准状态</x:v>
      </x:c>
      <x:c r="E10" s="29" t="str">
        <x:v>东德基准</x:v>
      </x:c>
      <x:c r="F10" s="30" t="n">
        <x:v>1125</x:v>
      </x:c>
      <x:c r="G10" s="29" t="str">
        <x:v>1125rpm</x:v>
      </x:c>
      <x:c r="H10" s="31" t="n">
        <x:v>18.92281179138322</x:v>
      </x:c>
      <x:c r="I10" s="30" t="n">
        <x:v>26</x:v>
      </x:c>
      <x:c r="J10" s="31" t="n">
        <x:v>55.004925553209404</x:v>
      </x:c>
      <x:c r="K10" s="31" t="n">
        <x:v>77.55736932751635</x:v>
      </x:c>
      <x:c r="L10" s="29" t="str">
        <x:v>基准</x:v>
      </x:c>
      <x:c r="M10" s="29" t="str">
        <x:v>基准</x:v>
      </x:c>
      <x:c r="N10" s="31" t="n">
        <x:v>0</x:v>
      </x:c>
      <x:c r="O10" s="31" t="n">
        <x:v>0</x:v>
      </x:c>
      <x:c r="P10" s="31" t="str">
        <x:v>不适用</x:v>
      </x:c>
      <x:c r="Q10" s="31" t="str">
        <x:v>不适用</x:v>
      </x:c>
      <x:c r="R10" s="31"/>
      <x:c r="S10" s="31"/>
      <x:c r="T10" s="31" t="n">
        <x:v>10</x:v>
      </x:c>
      <x:c r="U10" s="29" t="str">
        <x:v>东德基准</x:v>
      </x:c>
      <x:c r="V10" s="29" t="str">
        <x:v>是</x:v>
      </x:c>
      <x:c r="W10" s="16" t="str"/>
      <x:c r="X10" s="33" t="str">
        <x:v>指标为背景归一化声级；每段录音的局部背景统一到65 dB参考线。</x:v>
      </x:c>
    </x:row>
    <x:row r="11">
      <x:c r="A11" s="29" t="str">
        <x:v>FR_INIT_260709_1125</x:v>
      </x:c>
      <x:c r="B11" s="29" t="str">
        <x:v>2026-07-09</x:v>
      </x:c>
      <x:c r="C11" s="29" t="str">
        <x:v>富瑞初始</x:v>
      </x:c>
      <x:c r="D11" s="29" t="str">
        <x:v>富瑞初始状态</x:v>
      </x:c>
      <x:c r="E11" s="29" t="str">
        <x:v>富瑞初始</x:v>
      </x:c>
      <x:c r="F11" s="30" t="n">
        <x:v>1125</x:v>
      </x:c>
      <x:c r="G11" s="29" t="str">
        <x:v>1125rpm</x:v>
      </x:c>
      <x:c r="H11" s="31" t="n">
        <x:v>25.935238095238095</x:v>
      </x:c>
      <x:c r="I11" s="30" t="n">
        <x:v>36</x:v>
      </x:c>
      <x:c r="J11" s="31" t="n">
        <x:v>57.488522319821676</x:v>
      </x:c>
      <x:c r="K11" s="31" t="n">
        <x:v>79.39027479454978</x:v>
      </x:c>
      <x:c r="L11" s="29" t="str">
        <x:v>高于 2.5 dB</x:v>
      </x:c>
      <x:c r="M11" s="29" t="str">
        <x:v>高于 1.8 dB</x:v>
      </x:c>
      <x:c r="N11" s="31" t="n">
        <x:v>2.4835967666122727</x:v>
      </x:c>
      <x:c r="O11" s="31" t="n">
        <x:v>1.8329054670334273</x:v>
      </x:c>
      <x:c r="P11" s="31" t="str">
        <x:v>初始状态</x:v>
      </x:c>
      <x:c r="Q11" s="31" t="str">
        <x:v>初始状态</x:v>
      </x:c>
      <x:c r="R11" s="31" t="n">
        <x:v>0</x:v>
      </x:c>
      <x:c r="S11" s="31" t="n">
        <x:v>0</x:v>
      </x:c>
      <x:c r="T11" s="31" t="n">
        <x:v>33.33333333333333</x:v>
      </x:c>
      <x:c r="U11" s="29" t="str">
        <x:v>略高于东德</x:v>
      </x:c>
      <x:c r="V11" s="29" t="str">
        <x:v>是</x:v>
      </x:c>
      <x:c r="W11" s="16" t="str"/>
      <x:c r="X11" s="33" t="str">
        <x:v>指标为背景归一化声级；每段录音的局部背景统一到65 dB参考线。</x:v>
      </x:c>
    </x:row>
    <x:row r="12">
      <x:c r="A12" s="29" t="str">
        <x:v>FR_0716_CYL_800</x:v>
      </x:c>
      <x:c r="B12" s="29" t="str">
        <x:v>2026-07-16</x:v>
      </x:c>
      <x:c r="C12" s="29" t="str">
        <x:v>富瑞后续</x:v>
      </x:c>
      <x:c r="D12" s="29" t="str">
        <x:v>换26号嵌套油缸 + 老控制器</x:v>
      </x:c>
      <x:c r="E12" s="29" t="str">
        <x:v>0716嵌套油缸</x:v>
      </x:c>
      <x:c r="F12" s="30" t="n">
        <x:v>800</x:v>
      </x:c>
      <x:c r="G12" s="29" t="str">
        <x:v>800rpm</x:v>
      </x:c>
      <x:c r="H12" s="31" t="n">
        <x:v>53.0097052154195</x:v>
      </x:c>
      <x:c r="I12" s="30" t="n">
        <x:v>58</x:v>
      </x:c>
      <x:c r="J12" s="31" t="n">
        <x:v>75.94414392825037</x:v>
      </x:c>
      <x:c r="K12" s="31" t="n">
        <x:v>77.77203036245439</x:v>
      </x:c>
      <x:c r="L12" s="29" t="str">
        <x:v>高于 5.7 dB</x:v>
      </x:c>
      <x:c r="M12" s="29" t="str">
        <x:v>低于 3.1 dB</x:v>
      </x:c>
      <x:c r="N12" s="31" t="n">
        <x:v>5.676402960797347</x:v>
      </x:c>
      <x:c r="O12" s="31" t="n">
        <x:v>3.1105161581927234</x:v>
      </x:c>
      <x:c r="P12" s="31" t="str">
        <x:v>高于 10.3 dB</x:v>
      </x:c>
      <x:c r="Q12" s="31" t="str">
        <x:v>低于 4.1 dB</x:v>
      </x:c>
      <x:c r="R12" s="31" t="n">
        <x:v>10.28859335526451</x:v>
      </x:c>
      <x:c r="S12" s="31" t="n">
        <x:v>4.116840523839926</x:v>
      </x:c>
      <x:c r="T12" s="31" t="n">
        <x:v>1.7241379310344827</x:v>
      </x:c>
      <x:c r="U12" s="29" t="str">
        <x:v>明显低于东德</x:v>
      </x:c>
      <x:c r="V12" s="29" t="str">
        <x:v>是</x:v>
      </x:c>
      <x:c r="W12" s="16" t="str"/>
      <x:c r="X12" s="33" t="str">
        <x:v>绝对dB(A)为工程估算；同转速相对差值优先。</x:v>
      </x:c>
    </x:row>
    <x:row r="13">
      <x:c r="A13" s="29" t="str">
        <x:v>FR_0716_CYL_900</x:v>
      </x:c>
      <x:c r="B13" s="29" t="str">
        <x:v>2026-07-16</x:v>
      </x:c>
      <x:c r="C13" s="29" t="str">
        <x:v>富瑞后续</x:v>
      </x:c>
      <x:c r="D13" s="29" t="str">
        <x:v>换26号嵌套油缸 + 老控制器</x:v>
      </x:c>
      <x:c r="E13" s="29" t="str">
        <x:v>0716嵌套油缸</x:v>
      </x:c>
      <x:c r="F13" s="30" t="n">
        <x:v>900</x:v>
      </x:c>
      <x:c r="G13" s="29" t="str">
        <x:v>900rpm</x:v>
      </x:c>
      <x:c r="H13" s="31" t="n">
        <x:v>50.014331065759634</x:v>
      </x:c>
      <x:c r="I13" s="30" t="n">
        <x:v>45</x:v>
      </x:c>
      <x:c r="J13" s="31" t="n">
        <x:v>74.85713591354342</x:v>
      </x:c>
      <x:c r="K13" s="31" t="n">
        <x:v>77.5019197196305</x:v>
      </x:c>
      <x:c r="L13" s="29" t="str">
        <x:v>高于 5.5 dB</x:v>
      </x:c>
      <x:c r="M13" s="29" t="str">
        <x:v>低于 2.1 dB</x:v>
      </x:c>
      <x:c r="N13" s="31" t="n">
        <x:v>5.464620117320763</x:v>
      </x:c>
      <x:c r="O13" s="31" t="n">
        <x:v>2.054538751073963</x:v>
      </x:c>
      <x:c r="P13" s="31" t="str">
        <x:v>高于 3.9 dB</x:v>
      </x:c>
      <x:c r="Q13" s="31" t="str">
        <x:v>低于 1.2 dB</x:v>
      </x:c>
      <x:c r="R13" s="31" t="n">
        <x:v>3.8930283954442046</x:v>
      </x:c>
      <x:c r="S13" s="31" t="n">
        <x:v>1.17817075767762</x:v>
      </x:c>
      <x:c r="T13" s="31" t="n">
        <x:v>2.2222222222222223</x:v>
      </x:c>
      <x:c r="U13" s="29" t="str">
        <x:v>明显低于东德</x:v>
      </x:c>
      <x:c r="V13" s="29" t="str">
        <x:v>是</x:v>
      </x:c>
      <x:c r="W13" s="16" t="str"/>
      <x:c r="X13" s="33" t="str">
        <x:v>绝对dB(A)为工程估算；同转速相对差值优先。</x:v>
      </x:c>
    </x:row>
    <x:row r="14">
      <x:c r="A14" s="29" t="str">
        <x:v>FR_0716_CYL_1000</x:v>
      </x:c>
      <x:c r="B14" s="29" t="str">
        <x:v>2026-07-16</x:v>
      </x:c>
      <x:c r="C14" s="29" t="str">
        <x:v>富瑞后续</x:v>
      </x:c>
      <x:c r="D14" s="29" t="str">
        <x:v>换26号嵌套油缸 + 老控制器</x:v>
      </x:c>
      <x:c r="E14" s="29" t="str">
        <x:v>0716嵌套油缸</x:v>
      </x:c>
      <x:c r="F14" s="30" t="n">
        <x:v>1000</x:v>
      </x:c>
      <x:c r="G14" s="29" t="str">
        <x:v>1000rpm</x:v>
      </x:c>
      <x:c r="H14" s="31" t="n">
        <x:v>51.47718820861678</x:v>
      </x:c>
      <x:c r="I14" s="30" t="n">
        <x:v>45</x:v>
      </x:c>
      <x:c r="J14" s="31" t="n">
        <x:v>73.90178338572703</x:v>
      </x:c>
      <x:c r="K14" s="31" t="n">
        <x:v>75.88421405464057</x:v>
      </x:c>
      <x:c r="L14" s="29" t="str">
        <x:v>无同转速基准</x:v>
      </x:c>
      <x:c r="M14" s="29" t="str">
        <x:v>无同转速基准</x:v>
      </x:c>
      <x:c r="N14" s="31"/>
      <x:c r="O14" s="31"/>
      <x:c r="P14" s="31" t="str">
        <x:v>高于 6.1 dB</x:v>
      </x:c>
      <x:c r="Q14" s="31" t="str">
        <x:v>低于 2.8 dB</x:v>
      </x:c>
      <x:c r="R14" s="31" t="n">
        <x:v>6.088855721263329</x:v>
      </x:c>
      <x:c r="S14" s="31" t="n">
        <x:v>2.844200508680899</x:v>
      </x:c>
      <x:c r="T14" s="31"/>
      <x:c r="U14" s="29" t="str">
        <x:v>无东德同转速基准</x:v>
      </x:c>
      <x:c r="V14" s="29" t="str">
        <x:v>是</x:v>
      </x:c>
      <x:c r="W14" s="16" t="str"/>
      <x:c r="X14" s="33" t="str">
        <x:v>绝对dB(A)为工程估算；同转速相对差值优先。</x:v>
      </x:c>
    </x:row>
    <x:row r="15">
      <x:c r="A15" s="29" t="str">
        <x:v>FR_0716_CYL_1125</x:v>
      </x:c>
      <x:c r="B15" s="29" t="str">
        <x:v>2026-07-16</x:v>
      </x:c>
      <x:c r="C15" s="29" t="str">
        <x:v>富瑞后续</x:v>
      </x:c>
      <x:c r="D15" s="29" t="str">
        <x:v>换26号嵌套油缸 + 老控制器</x:v>
      </x:c>
      <x:c r="E15" s="29" t="str">
        <x:v>0716嵌套油缸</x:v>
      </x:c>
      <x:c r="F15" s="30" t="n">
        <x:v>1125</x:v>
      </x:c>
      <x:c r="G15" s="29" t="str">
        <x:v>1125rpm</x:v>
      </x:c>
      <x:c r="H15" s="31" t="n">
        <x:v>47.20471655328798</x:v>
      </x:c>
      <x:c r="I15" s="30" t="n">
        <x:v>52</x:v>
      </x:c>
      <x:c r="J15" s="31" t="n">
        <x:v>74.06490624436755</x:v>
      </x:c>
      <x:c r="K15" s="31" t="n">
        <x:v>76.72029794313046</x:v>
      </x:c>
      <x:c r="L15" s="29" t="str">
        <x:v>高于 19.1 dB</x:v>
      </x:c>
      <x:c r="M15" s="29" t="str">
        <x:v>低于 0.8 dB</x:v>
      </x:c>
      <x:c r="N15" s="31" t="n">
        <x:v>19.059980691158145</x:v>
      </x:c>
      <x:c r="O15" s="31" t="n">
        <x:v>0.8370713843858937</x:v>
      </x:c>
      <x:c r="P15" s="31" t="str">
        <x:v>高于 16.6 dB</x:v>
      </x:c>
      <x:c r="Q15" s="31" t="str">
        <x:v>低于 2.7 dB</x:v>
      </x:c>
      <x:c r="R15" s="31" t="n">
        <x:v>16.576383924545873</x:v>
      </x:c>
      <x:c r="S15" s="31" t="n">
        <x:v>2.669976851419321</x:v>
      </x:c>
      <x:c r="T15" s="31" t="n">
        <x:v>11.538461538461538</x:v>
      </x:c>
      <x:c r="U15" s="29" t="str">
        <x:v>略低于/接近东德</x:v>
      </x:c>
      <x:c r="V15" s="29" t="str">
        <x:v>是</x:v>
      </x:c>
      <x:c r="W15" s="16" t="str"/>
      <x:c r="X15" s="33" t="str">
        <x:v>绝对dB(A)为工程估算；同转速相对差值优先。</x:v>
      </x:c>
    </x:row>
    <x:row r="16">
      <x:c r="A16" s="29" t="str">
        <x:v>FR_0716_SHUTTLE_900_R1</x:v>
      </x:c>
      <x:c r="B16" s="29" t="str">
        <x:v>2026-07-16</x:v>
      </x:c>
      <x:c r="C16" s="29" t="str">
        <x:v>富瑞后续</x:v>
      </x:c>
      <x:c r="D16" s="29" t="str">
        <x:v>换26号嵌套油缸 + 西港梭阀 + 老控制器</x:v>
      </x:c>
      <x:c r="E16" s="29" t="str">
        <x:v>0716西港梭阀R1</x:v>
      </x:c>
      <x:c r="F16" s="30" t="n">
        <x:v>900</x:v>
      </x:c>
      <x:c r="G16" s="29" t="str">
        <x:v>900rpm-1</x:v>
      </x:c>
      <x:c r="H16" s="31" t="n">
        <x:v>36.848616780045354</x:v>
      </x:c>
      <x:c r="I16" s="30" t="n">
        <x:v>32</x:v>
      </x:c>
      <x:c r="J16" s="31" t="n">
        <x:v>72.87179759076551</x:v>
      </x:c>
      <x:c r="K16" s="31" t="n">
        <x:v>76.63401343020587</x:v>
      </x:c>
      <x:c r="L16" s="29" t="str">
        <x:v>高于 3.5 dB</x:v>
      </x:c>
      <x:c r="M16" s="29" t="str">
        <x:v>低于 2.9 dB</x:v>
      </x:c>
      <x:c r="N16" s="31" t="n">
        <x:v>3.4792817945428567</x:v>
      </x:c>
      <x:c r="O16" s="31" t="n">
        <x:v>2.9224450404985873</x:v>
      </x:c>
      <x:c r="P16" s="31" t="str">
        <x:v>高于 1.9 dB</x:v>
      </x:c>
      <x:c r="Q16" s="31" t="str">
        <x:v>低于 2.0 dB</x:v>
      </x:c>
      <x:c r="R16" s="31" t="n">
        <x:v>1.9076900726662984</x:v>
      </x:c>
      <x:c r="S16" s="31" t="n">
        <x:v>2.0460770471022443</x:v>
      </x:c>
      <x:c r="T16" s="31" t="n">
        <x:v>0</x:v>
      </x:c>
      <x:c r="U16" s="29" t="str">
        <x:v>明显低于东德</x:v>
      </x:c>
      <x:c r="V16" s="29" t="str">
        <x:v>否</x:v>
      </x:c>
      <x:c r="W16" s="16" t="str"/>
      <x:c r="X16" s="33" t="str">
        <x:v>绝对dB(A)为工程估算；同转速相对差值优先。</x:v>
      </x:c>
    </x:row>
    <x:row r="17">
      <x:c r="A17" s="29" t="str">
        <x:v>FR_0716_SHUTTLE_900_R2</x:v>
      </x:c>
      <x:c r="B17" s="29" t="str">
        <x:v>2026-07-16</x:v>
      </x:c>
      <x:c r="C17" s="29" t="str">
        <x:v>富瑞后续</x:v>
      </x:c>
      <x:c r="D17" s="29" t="str">
        <x:v>换26号嵌套油缸 + 西港梭阀 + 老控制器</x:v>
      </x:c>
      <x:c r="E17" s="29" t="str">
        <x:v>0716西港梭阀R2</x:v>
      </x:c>
      <x:c r="F17" s="30" t="n">
        <x:v>900</x:v>
      </x:c>
      <x:c r="G17" s="29" t="str">
        <x:v>900rpm-2</x:v>
      </x:c>
      <x:c r="H17" s="31" t="n">
        <x:v>20.22312925170068</x:v>
      </x:c>
      <x:c r="I17" s="30" t="n">
        <x:v>14</x:v>
      </x:c>
      <x:c r="J17" s="31" t="n">
        <x:v>74.39105244690448</x:v>
      </x:c>
      <x:c r="K17" s="31" t="n">
        <x:v>81.83738778209432</x:v>
      </x:c>
      <x:c r="L17" s="29" t="str">
        <x:v>高于 5.0 dB</x:v>
      </x:c>
      <x:c r="M17" s="29" t="str">
        <x:v>高于 2.3 dB</x:v>
      </x:c>
      <x:c r="N17" s="31" t="n">
        <x:v>4.998536650681828</x:v>
      </x:c>
      <x:c r="O17" s="31" t="n">
        <x:v>2.280929311389869</x:v>
      </x:c>
      <x:c r="P17" s="31" t="str">
        <x:v>高于 3.4 dB</x:v>
      </x:c>
      <x:c r="Q17" s="31" t="str">
        <x:v>高于 3.2 dB</x:v>
      </x:c>
      <x:c r="R17" s="31" t="n">
        <x:v>3.42694492880527</x:v>
      </x:c>
      <x:c r="S17" s="31" t="n">
        <x:v>3.157297304786212</x:v>
      </x:c>
      <x:c r="T17" s="31" t="n">
        <x:v>7.142857142857142</x:v>
      </x:c>
      <x:c r="U17" s="29" t="str">
        <x:v>明显高于东德</x:v>
      </x:c>
      <x:c r="V17" s="29" t="str">
        <x:v>否</x:v>
      </x:c>
      <x:c r="W17" s="16" t="str"/>
      <x:c r="X17" s="33" t="str">
        <x:v>绝对dB(A)为工程估算；同转速相对差值优先。</x:v>
      </x:c>
    </x:row>
    <x:row r="18">
      <x:c r="A18" s="29" t="str">
        <x:v>FR_0716_SHUTTLE_1000</x:v>
      </x:c>
      <x:c r="B18" s="29" t="str">
        <x:v>2026-07-16</x:v>
      </x:c>
      <x:c r="C18" s="29" t="str">
        <x:v>富瑞后续</x:v>
      </x:c>
      <x:c r="D18" s="29" t="str">
        <x:v>换26号嵌套油缸 + 西港梭阀 + 老控制器</x:v>
      </x:c>
      <x:c r="E18" s="29" t="str">
        <x:v>0716西港梭阀</x:v>
      </x:c>
      <x:c r="F18" s="30" t="n">
        <x:v>1000</x:v>
      </x:c>
      <x:c r="G18" s="29" t="str">
        <x:v>1000rpm</x:v>
      </x:c>
      <x:c r="H18" s="31" t="n">
        <x:v>62.320907029478455</x:v>
      </x:c>
      <x:c r="I18" s="30" t="n">
        <x:v>57</x:v>
      </x:c>
      <x:c r="J18" s="31" t="n">
        <x:v>74.98990640412859</x:v>
      </x:c>
      <x:c r="K18" s="31" t="n">
        <x:v>79.74186619159597</x:v>
      </x:c>
      <x:c r="L18" s="29" t="str">
        <x:v>无同转速基准</x:v>
      </x:c>
      <x:c r="M18" s="29" t="str">
        <x:v>无同转速基准</x:v>
      </x:c>
      <x:c r="N18" s="31"/>
      <x:c r="O18" s="31"/>
      <x:c r="P18" s="31" t="str">
        <x:v>高于 7.2 dB</x:v>
      </x:c>
      <x:c r="Q18" s="31" t="str">
        <x:v>高于 1.0 dB</x:v>
      </x:c>
      <x:c r="R18" s="31" t="n">
        <x:v>7.176978739664889</x:v>
      </x:c>
      <x:c r="S18" s="31" t="n">
        <x:v>1.0134516282745096</x:v>
      </x:c>
      <x:c r="T18" s="31"/>
      <x:c r="U18" s="29" t="str">
        <x:v>无东德同转速基准</x:v>
      </x:c>
      <x:c r="V18" s="29" t="str">
        <x:v>否</x:v>
      </x:c>
      <x:c r="W18" s="16" t="str"/>
      <x:c r="X18" s="33" t="str">
        <x:v>绝对dB(A)为工程估算；同转速相对差值优先。</x:v>
      </x:c>
    </x:row>
    <x:row r="19">
      <x:c r="A19" s="29" t="str">
        <x:v>FR_0722_B_HEAT_900</x:v>
      </x:c>
      <x:c r="B19" s="29" t="str">
        <x:v>2026-07-22</x:v>
      </x:c>
      <x:c r="C19" s="29" t="str">
        <x:v>富瑞后续</x:v>
      </x:c>
      <x:c r="D19" s="29" t="str">
        <x:v>A样改B样 + 热处理活塞 + 嵌套油缸 + 老控制器</x:v>
      </x:c>
      <x:c r="E19" s="29" t="str">
        <x:v>0722热处理活塞+B样</x:v>
      </x:c>
      <x:c r="F19" s="30" t="n">
        <x:v>900</x:v>
      </x:c>
      <x:c r="G19" s="29" t="str">
        <x:v>900rpm</x:v>
      </x:c>
      <x:c r="H19" s="31" t="n">
        <x:v>24.472380952380952</x:v>
      </x:c>
      <x:c r="I19" s="30" t="n">
        <x:v>24</x:v>
      </x:c>
      <x:c r="J19" s="31" t="n">
        <x:v>77.48212257857968</x:v>
      </x:c>
      <x:c r="K19" s="31" t="n">
        <x:v>82.06701909597429</x:v>
      </x:c>
      <x:c r="L19" s="29" t="str">
        <x:v>高于 8.1 dB</x:v>
      </x:c>
      <x:c r="M19" s="29" t="str">
        <x:v>高于 2.5 dB</x:v>
      </x:c>
      <x:c r="N19" s="31" t="n">
        <x:v>8.089606782357023</x:v>
      </x:c>
      <x:c r="O19" s="31" t="n">
        <x:v>2.5105606252698323</x:v>
      </x:c>
      <x:c r="P19" s="31" t="str">
        <x:v>高于 6.5 dB</x:v>
      </x:c>
      <x:c r="Q19" s="31" t="str">
        <x:v>高于 3.4 dB</x:v>
      </x:c>
      <x:c r="R19" s="31" t="n">
        <x:v>6.518015060480465</x:v>
      </x:c>
      <x:c r="S19" s="31" t="n">
        <x:v>3.3869286186661753</x:v>
      </x:c>
      <x:c r="T19" s="31" t="n">
        <x:v>33.33333333333333</x:v>
      </x:c>
      <x:c r="U19" s="29" t="str">
        <x:v>明显高于东德</x:v>
      </x:c>
      <x:c r="V19" s="29" t="str">
        <x:v>否</x:v>
      </x:c>
      <x:c r="W19" s="16" t="str"/>
      <x:c r="X19" s="33" t="str">
        <x:v>绝对dB(A)为工程估算；同转速相对差值优先。</x:v>
      </x:c>
    </x:row>
    <x:row r="20">
      <x:c r="A20" s="29" t="str">
        <x:v>FR_0722_B_HEAT_1000</x:v>
      </x:c>
      <x:c r="B20" s="29" t="str">
        <x:v>2026-07-22</x:v>
      </x:c>
      <x:c r="C20" s="29" t="str">
        <x:v>富瑞后续</x:v>
      </x:c>
      <x:c r="D20" s="29" t="str">
        <x:v>A样改B样 + 热处理活塞 + 嵌套油缸 + 老控制器</x:v>
      </x:c>
      <x:c r="E20" s="29" t="str">
        <x:v>0722热处理活塞+B样</x:v>
      </x:c>
      <x:c r="F20" s="30" t="n">
        <x:v>1000</x:v>
      </x:c>
      <x:c r="G20" s="29" t="str">
        <x:v>1000rpm</x:v>
      </x:c>
      <x:c r="H20" s="31" t="n">
        <x:v>24.681360544217686</x:v>
      </x:c>
      <x:c r="I20" s="30" t="n">
        <x:v>27</x:v>
      </x:c>
      <x:c r="J20" s="31" t="n">
        <x:v>74.08197829350846</x:v>
      </x:c>
      <x:c r="K20" s="31" t="n">
        <x:v>79.36793904350421</x:v>
      </x:c>
      <x:c r="L20" s="29" t="str">
        <x:v>无同转速基准</x:v>
      </x:c>
      <x:c r="M20" s="29" t="str">
        <x:v>无同转速基准</x:v>
      </x:c>
      <x:c r="N20" s="31"/>
      <x:c r="O20" s="31"/>
      <x:c r="P20" s="31" t="str">
        <x:v>高于 6.3 dB</x:v>
      </x:c>
      <x:c r="Q20" s="31" t="str">
        <x:v>高于 0.6 dB</x:v>
      </x:c>
      <x:c r="R20" s="31" t="n">
        <x:v>6.269050629044756</x:v>
      </x:c>
      <x:c r="S20" s="31" t="n">
        <x:v>0.6395244801827431</x:v>
      </x:c>
      <x:c r="T20" s="31"/>
      <x:c r="U20" s="29" t="str">
        <x:v>无东德同转速基准</x:v>
      </x:c>
      <x:c r="V20" s="29" t="str">
        <x:v>否</x:v>
      </x:c>
      <x:c r="W20" s="16" t="str"/>
      <x:c r="X20" s="33" t="str">
        <x:v>绝对dB(A)为工程估算；同转速相对差值优先。</x:v>
      </x:c>
    </x:row>
    <x:row r="21">
      <x:c r="A21" s="29" t="str">
        <x:v>FR_DELIVERY_0723_700</x:v>
      </x:c>
      <x:c r="B21" s="29" t="str">
        <x:v>2026-07-23</x:v>
      </x:c>
      <x:c r="C21" s="29" t="str">
        <x:v>富瑞后续</x:v>
      </x:c>
      <x:c r="D21" s="29" t="str">
        <x:v>交付泵</x:v>
      </x:c>
      <x:c r="E21" s="29" t="str">
        <x:v>0723交付泵</x:v>
      </x:c>
      <x:c r="F21" s="30" t="n">
        <x:v>700</x:v>
      </x:c>
      <x:c r="G21" s="29" t="str">
        <x:v>700rpm</x:v>
      </x:c>
      <x:c r="H21" s="31" t="n">
        <x:v>38.9384126984127</x:v>
      </x:c>
      <x:c r="I21" s="30" t="n">
        <x:v>33</x:v>
      </x:c>
      <x:c r="J21" s="31" t="n">
        <x:v>74.8393950935193</x:v>
      </x:c>
      <x:c r="K21" s="31" t="n">
        <x:v>77.9177393836219</x:v>
      </x:c>
      <x:c r="L21" s="29" t="str">
        <x:v>高于 3.4 dB</x:v>
      </x:c>
      <x:c r="M21" s="29" t="str">
        <x:v>低于 2.1 dB</x:v>
      </x:c>
      <x:c r="N21" s="31" t="n">
        <x:v>3.3649272654879354</x:v>
      </x:c>
      <x:c r="O21" s="31" t="n">
        <x:v>2.061157512011988</x:v>
      </x:c>
      <x:c r="P21" s="31" t="str">
        <x:v>高于 3.8 dB</x:v>
      </x:c>
      <x:c r="Q21" s="31" t="str">
        <x:v>低于 4.7 dB</x:v>
      </x:c>
      <x:c r="R21" s="31" t="n">
        <x:v>3.781143300094186</x:v>
      </x:c>
      <x:c r="S21" s="31" t="n">
        <x:v>4.690155662391021</x:v>
      </x:c>
      <x:c r="T21" s="31" t="n">
        <x:v>0</x:v>
      </x:c>
      <x:c r="U21" s="29" t="str">
        <x:v>明显低于东德</x:v>
      </x:c>
      <x:c r="V21" s="29" t="str">
        <x:v>否</x:v>
      </x:c>
      <x:c r="W21" s="16" t="str">
        <x:v>用户主观感觉声音较好</x:v>
      </x:c>
      <x:c r="X21" s="33" t="str">
        <x:v>绝对dB(A)为工程估算；同转速相对差值优先。 用户主观感觉声音较好。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11" t="str">
        <x:v>时间 s</x:v>
      </x:c>
      <x:c r="B1" s="22" t="str">
        <x:v>FR_INIT_260709_600</x:v>
      </x:c>
      <x:c r="C1" s="22" t="str">
        <x:v>DD_BASE_260707_700</x:v>
      </x:c>
      <x:c r="D1" s="22" t="str">
        <x:v>FR_INIT_260709_700</x:v>
      </x:c>
      <x:c r="E1" s="22" t="str">
        <x:v>DD_BASE_260707_800</x:v>
      </x:c>
      <x:c r="F1" s="22" t="str">
        <x:v>FR_INIT_260709_800</x:v>
      </x:c>
      <x:c r="G1" s="22" t="str">
        <x:v>DD_BASE_260707_900</x:v>
      </x:c>
      <x:c r="H1" s="22" t="str">
        <x:v>FR_INIT_260709_900</x:v>
      </x:c>
      <x:c r="I1" s="22" t="str">
        <x:v>FR_INIT_260709_1000</x:v>
      </x:c>
      <x:c r="J1" s="22" t="str">
        <x:v>DD_BASE_260707_1125</x:v>
      </x:c>
      <x:c r="K1" s="22" t="str">
        <x:v>FR_INIT_260709_1125</x:v>
      </x:c>
      <x:c r="L1" s="22" t="str">
        <x:v>FR_0716_CYL_800</x:v>
      </x:c>
      <x:c r="M1" s="22" t="str">
        <x:v>FR_0716_CYL_900</x:v>
      </x:c>
      <x:c r="N1" s="22" t="str">
        <x:v>FR_0716_CYL_1000</x:v>
      </x:c>
      <x:c r="O1" s="22" t="str">
        <x:v>FR_0716_CYL_1125</x:v>
      </x:c>
      <x:c r="P1" s="22" t="str">
        <x:v>FR_0716_SHUTTLE_900_R1</x:v>
      </x:c>
      <x:c r="Q1" s="22" t="str">
        <x:v>FR_0716_SHUTTLE_900_R2</x:v>
      </x:c>
      <x:c r="R1" s="22" t="str">
        <x:v>FR_0716_SHUTTLE_1000</x:v>
      </x:c>
      <x:c r="S1" s="22" t="str">
        <x:v>FR_0722_B_HEAT_900</x:v>
      </x:c>
      <x:c r="T1" s="22" t="str">
        <x:v>FR_0722_B_HEAT_1000</x:v>
      </x:c>
      <x:c r="U1" s="12" t="str">
        <x:v>FR_DELIVERY_0723_700</x:v>
      </x:c>
    </x:row>
    <x:row r="2">
      <x:c r="A2" s="24" t="n">
        <x:v>0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</x:row>
    <x:row r="3">
      <x:c r="A3" s="24" t="n">
        <x:v>0.1</x:v>
      </x:c>
      <x:c r="B3" s="24" t="n">
        <x:v>71.53137723363503</x:v>
      </x:c>
      <x:c r="C3" s="24" t="n">
        <x:v>69.34182664157889</x:v>
      </x:c>
      <x:c r="D3" s="24" t="n">
        <x:v>72.65581492528518</x:v>
      </x:c>
      <x:c r="E3" s="24" t="n">
        <x:v>69.29107493148352</x:v>
      </x:c>
      <x:c r="F3" s="24" t="n">
        <x:v>73.49600637050027</x:v>
      </x:c>
      <x:c r="G3" s="24" t="n">
        <x:v>71.35959262468623</x:v>
      </x:c>
      <x:c r="H3" s="24" t="n">
        <x:v>74.14481580985742</x:v>
      </x:c>
      <x:c r="I3" s="24" t="n">
        <x:v>65.34517298003234</x:v>
      </x:c>
      <x:c r="J3" s="24" t="n">
        <x:v>70.15435145934373</x:v>
      </x:c>
      <x:c r="K3" s="24" t="n">
        <x:v>68.39020111647218</x:v>
      </x:c>
      <x:c r="L3" s="24"/>
      <x:c r="M3" s="24"/>
      <x:c r="N3" s="24" t="n">
        <x:v>66.39913895433295</x:v>
      </x:c>
      <x:c r="O3" s="24" t="n">
        <x:v>70.74040328779944</x:v>
      </x:c>
      <x:c r="P3" s="24" t="n">
        <x:v>72.1036396145657</x:v>
      </x:c>
      <x:c r="Q3" s="24" t="n">
        <x:v>77.30000952150692</x:v>
      </x:c>
      <x:c r="R3" s="24" t="n">
        <x:v>78.17019659589113</x:v>
      </x:c>
      <x:c r="S3" s="24" t="n">
        <x:v>76.19469866326025</x:v>
      </x:c>
      <x:c r="T3" s="24" t="n">
        <x:v>73.03937360895836</x:v>
      </x:c>
      <x:c r="U3" s="24" t="n">
        <x:v>72.28058905438334</x:v>
      </x:c>
    </x:row>
    <x:row r="4">
      <x:c r="A4" s="24" t="n">
        <x:v>0.2</x:v>
      </x:c>
      <x:c r="B4" s="24" t="n">
        <x:v>69.51075092779803</x:v>
      </x:c>
      <x:c r="C4" s="24" t="n">
        <x:v>68.46570085801291</x:v>
      </x:c>
      <x:c r="D4" s="24" t="n">
        <x:v>73.49519263212936</x:v>
      </x:c>
      <x:c r="E4" s="24" t="n">
        <x:v>69.52145266588613</x:v>
      </x:c>
      <x:c r="F4" s="24" t="n">
        <x:v>73.71990103643388</x:v>
      </x:c>
      <x:c r="G4" s="24" t="n">
        <x:v>79.75764307395517</x:v>
      </x:c>
      <x:c r="H4" s="24" t="n">
        <x:v>74.14481580985742</x:v>
      </x:c>
      <x:c r="I4" s="24" t="n">
        <x:v>64.7020809979681</x:v>
      </x:c>
      <x:c r="J4" s="24" t="n">
        <x:v>68.36929330124312</x:v>
      </x:c>
      <x:c r="K4" s="24" t="n">
        <x:v>74.77164627195513</x:v>
      </x:c>
      <x:c r="L4" s="24" t="n">
        <x:v>70.8304430555098</x:v>
      </x:c>
      <x:c r="M4" s="24"/>
      <x:c r="N4" s="24" t="n">
        <x:v>66.13446837762321</x:v>
      </x:c>
      <x:c r="O4" s="24" t="n">
        <x:v>70.23527190199707</x:v>
      </x:c>
      <x:c r="P4" s="24" t="n">
        <x:v>71.74670850054557</x:v>
      </x:c>
      <x:c r="Q4" s="24" t="n">
        <x:v>77.22587411630681</x:v>
      </x:c>
      <x:c r="R4" s="24" t="n">
        <x:v>72.23243091967838</x:v>
      </x:c>
      <x:c r="S4" s="24" t="n">
        <x:v>70.52403789985527</x:v>
      </x:c>
      <x:c r="T4" s="24" t="n">
        <x:v>72.29636964619384</x:v>
      </x:c>
      <x:c r="U4" s="24" t="n">
        <x:v>72.28058905438334</x:v>
      </x:c>
    </x:row>
    <x:row r="5">
      <x:c r="A5" s="24" t="n">
        <x:v>0.30000000000000004</x:v>
      </x:c>
      <x:c r="B5" s="24" t="n">
        <x:v>69.51075092779803</x:v>
      </x:c>
      <x:c r="C5" s="24" t="n">
        <x:v>68.07655656291658</x:v>
      </x:c>
      <x:c r="D5" s="24" t="n">
        <x:v>73.65787520918941</x:v>
      </x:c>
      <x:c r="E5" s="24" t="n">
        <x:v>69.52145266588613</x:v>
      </x:c>
      <x:c r="F5" s="24" t="n">
        <x:v>77.40143894089353</x:v>
      </x:c>
      <x:c r="G5" s="24" t="n">
        <x:v>79.75764307395517</x:v>
      </x:c>
      <x:c r="H5" s="24" t="n">
        <x:v>73.32936468681473</x:v>
      </x:c>
      <x:c r="I5" s="24" t="n">
        <x:v>71.05127949889358</x:v>
      </x:c>
      <x:c r="J5" s="24" t="n">
        <x:v>68.36929330124312</x:v>
      </x:c>
      <x:c r="K5" s="24" t="n">
        <x:v>82.90589123473804</x:v>
      </x:c>
      <x:c r="L5" s="24" t="n">
        <x:v>70.8304430555098</x:v>
      </x:c>
      <x:c r="M5" s="24" t="n">
        <x:v>76.70533021160232</x:v>
      </x:c>
      <x:c r="N5" s="24" t="n">
        <x:v>67.94019839896764</x:v>
      </x:c>
      <x:c r="O5" s="24" t="n">
        <x:v>70.70537382201061</x:v>
      </x:c>
      <x:c r="P5" s="24" t="n">
        <x:v>71.90847231288686</x:v>
      </x:c>
      <x:c r="Q5" s="24" t="n">
        <x:v>90.73258705355498</x:v>
      </x:c>
      <x:c r="R5" s="24" t="n">
        <x:v>71.82509473677382</x:v>
      </x:c>
      <x:c r="S5" s="24" t="n">
        <x:v>67.33988800026083</x:v>
      </x:c>
      <x:c r="T5" s="24" t="n">
        <x:v>71.9505477935248</x:v>
      </x:c>
      <x:c r="U5" s="24" t="n">
        <x:v>71.72513749302662</x:v>
      </x:c>
    </x:row>
    <x:row r="6">
      <x:c r="A6" s="24" t="n">
        <x:v>0.4</x:v>
      </x:c>
      <x:c r="B6" s="24" t="n">
        <x:v>68.15760730605308</x:v>
      </x:c>
      <x:c r="C6" s="24" t="n">
        <x:v>76.47168731768878</x:v>
      </x:c>
      <x:c r="D6" s="24" t="n">
        <x:v>73.34845193491181</x:v>
      </x:c>
      <x:c r="E6" s="24" t="n">
        <x:v>70.10478632842658</x:v>
      </x:c>
      <x:c r="F6" s="24" t="n">
        <x:v>77.52757890856324</x:v>
      </x:c>
      <x:c r="G6" s="24" t="n">
        <x:v>73.08411445714171</x:v>
      </x:c>
      <x:c r="H6" s="24" t="n">
        <x:v>74.02411457477565</x:v>
      </x:c>
      <x:c r="I6" s="24" t="n">
        <x:v>72.71896562188297</x:v>
      </x:c>
      <x:c r="J6" s="24" t="n">
        <x:v>69.4383567117644</x:v>
      </x:c>
      <x:c r="K6" s="24" t="n">
        <x:v>82.90589123473804</x:v>
      </x:c>
      <x:c r="L6" s="24" t="n">
        <x:v>67.06051152772797</x:v>
      </x:c>
      <x:c r="M6" s="24" t="n">
        <x:v>80.00545666964122</x:v>
      </x:c>
      <x:c r="N6" s="24" t="n">
        <x:v>78.06291465090096</x:v>
      </x:c>
      <x:c r="O6" s="24" t="n">
        <x:v>70.70537382201061</x:v>
      </x:c>
      <x:c r="P6" s="24" t="n">
        <x:v>71.90847231288686</x:v>
      </x:c>
      <x:c r="Q6" s="24" t="n">
        <x:v>90.73258705355498</x:v>
      </x:c>
      <x:c r="R6" s="24" t="n">
        <x:v>70.6392891754993</x:v>
      </x:c>
      <x:c r="S6" s="24" t="n">
        <x:v>64.51703542060686</x:v>
      </x:c>
      <x:c r="T6" s="24" t="n">
        <x:v>71.99048995535784</x:v>
      </x:c>
      <x:c r="U6" s="24" t="n">
        <x:v>71.72513749302662</x:v>
      </x:c>
    </x:row>
    <x:row r="7">
      <x:c r="A7" s="24" t="n">
        <x:v>0.5</x:v>
      </x:c>
      <x:c r="B7" s="24" t="n">
        <x:v>68.54945678083362</x:v>
      </x:c>
      <x:c r="C7" s="24" t="n">
        <x:v>76.47168731768878</x:v>
      </x:c>
      <x:c r="D7" s="24" t="n">
        <x:v>73.69803339596241</x:v>
      </x:c>
      <x:c r="E7" s="24" t="n">
        <x:v>70.10478632842658</x:v>
      </x:c>
      <x:c r="F7" s="24" t="n">
        <x:v>75.20426616365165</x:v>
      </x:c>
      <x:c r="G7" s="24" t="n">
        <x:v>69.10381590802609</x:v>
      </x:c>
      <x:c r="H7" s="24" t="n">
        <x:v>75.14244482070026</x:v>
      </x:c>
      <x:c r="I7" s="24" t="n">
        <x:v>72.37609385274078</x:v>
      </x:c>
      <x:c r="J7" s="24" t="n">
        <x:v>71.2201290626332</x:v>
      </x:c>
      <x:c r="K7" s="24" t="n">
        <x:v>76.00437391495274</x:v>
      </x:c>
      <x:c r="L7" s="24" t="n">
        <x:v>68.5072338149975</x:v>
      </x:c>
      <x:c r="M7" s="24" t="n">
        <x:v>80.00545666964122</x:v>
      </x:c>
      <x:c r="N7" s="24" t="n">
        <x:v>80.94868238203884</x:v>
      </x:c>
      <x:c r="O7" s="24" t="n">
        <x:v>70.23046137696022</x:v>
      </x:c>
      <x:c r="P7" s="24" t="n">
        <x:v>70.70419110584719</x:v>
      </x:c>
      <x:c r="Q7" s="24" t="n">
        <x:v>87.62921483390659</x:v>
      </x:c>
      <x:c r="R7" s="24" t="n">
        <x:v>69.9009767678157</x:v>
      </x:c>
      <x:c r="S7" s="24" t="n">
        <x:v>65.34142638706739</x:v>
      </x:c>
      <x:c r="T7" s="24" t="n">
        <x:v>84.49968002029605</x:v>
      </x:c>
      <x:c r="U7" s="24" t="n">
        <x:v>73.80205077839085</x:v>
      </x:c>
    </x:row>
    <x:row r="8">
      <x:c r="A8" s="24" t="n">
        <x:v>0.6000000000000001</x:v>
      </x:c>
      <x:c r="B8" s="24" t="n">
        <x:v>68.54945678083362</x:v>
      </x:c>
      <x:c r="C8" s="24" t="n">
        <x:v>74.99324879924718</x:v>
      </x:c>
      <x:c r="D8" s="24" t="n">
        <x:v>73.69803339596241</x:v>
      </x:c>
      <x:c r="E8" s="24" t="n">
        <x:v>69.51981442881402</x:v>
      </x:c>
      <x:c r="F8" s="24" t="n">
        <x:v>71.05983698884339</x:v>
      </x:c>
      <x:c r="G8" s="24" t="n">
        <x:v>66.43555113705042</x:v>
      </x:c>
      <x:c r="H8" s="24" t="n">
        <x:v>75.14244482070026</x:v>
      </x:c>
      <x:c r="I8" s="24" t="n">
        <x:v>68.98174904737552</x:v>
      </x:c>
      <x:c r="J8" s="24" t="n">
        <x:v>71.57648353280696</x:v>
      </x:c>
      <x:c r="K8" s="24" t="n">
        <x:v>67.63205929632933</x:v>
      </x:c>
      <x:c r="L8" s="24" t="n">
        <x:v>68.67963898056264</x:v>
      </x:c>
      <x:c r="M8" s="24" t="n">
        <x:v>76.4511115109342</x:v>
      </x:c>
      <x:c r="N8" s="24" t="n">
        <x:v>80.94868238203884</x:v>
      </x:c>
      <x:c r="O8" s="24" t="n">
        <x:v>69.9211544080612</x:v>
      </x:c>
      <x:c r="P8" s="24" t="n">
        <x:v>77.69022216421256</x:v>
      </x:c>
      <x:c r="Q8" s="24" t="n">
        <x:v>78.46614458628314</x:v>
      </x:c>
      <x:c r="R8" s="24" t="n">
        <x:v>70.21421656682858</x:v>
      </x:c>
      <x:c r="S8" s="24" t="n">
        <x:v>67.09012852982703</x:v>
      </x:c>
      <x:c r="T8" s="24" t="n">
        <x:v>84.49968002029605</x:v>
      </x:c>
      <x:c r="U8" s="24" t="n">
        <x:v>74.179277194153</x:v>
      </x:c>
    </x:row>
    <x:row r="9">
      <x:c r="A9" s="24" t="n">
        <x:v>0.7000000000000001</x:v>
      </x:c>
      <x:c r="B9" s="24" t="n">
        <x:v>67.23418892002375</x:v>
      </x:c>
      <x:c r="C9" s="24" t="n">
        <x:v>69.00288879589851</x:v>
      </x:c>
      <x:c r="D9" s="24" t="n">
        <x:v>73.40305553144935</x:v>
      </x:c>
      <x:c r="E9" s="24" t="n">
        <x:v>70.80456804969654</x:v>
      </x:c>
      <x:c r="F9" s="24" t="n">
        <x:v>70.63580677380716</x:v>
      </x:c>
      <x:c r="G9" s="24" t="n">
        <x:v>64.32244705894774</x:v>
      </x:c>
      <x:c r="H9" s="24" t="n">
        <x:v>75.1168840082486</x:v>
      </x:c>
      <x:c r="I9" s="24" t="n">
        <x:v>67.18344728707191</x:v>
      </x:c>
      <x:c r="J9" s="24" t="n">
        <x:v>68.66852069923507</x:v>
      </x:c>
      <x:c r="K9" s="24" t="n">
        <x:v>65.56037335290401</x:v>
      </x:c>
      <x:c r="L9" s="24" t="n">
        <x:v>68.39619063716931</x:v>
      </x:c>
      <x:c r="M9" s="24" t="n">
        <x:v>76.10460814344368</x:v>
      </x:c>
      <x:c r="N9" s="24" t="n">
        <x:v>75.74324201028482</x:v>
      </x:c>
      <x:c r="O9" s="24" t="n">
        <x:v>78.21045498485542</x:v>
      </x:c>
      <x:c r="P9" s="24" t="n">
        <x:v>78.02891364654346</x:v>
      </x:c>
      <x:c r="Q9" s="24" t="n">
        <x:v>71.36628478074658</x:v>
      </x:c>
      <x:c r="R9" s="24" t="n">
        <x:v>70.21421656682858</x:v>
      </x:c>
      <x:c r="S9" s="24" t="n">
        <x:v>69.65357251577922</x:v>
      </x:c>
      <x:c r="T9" s="24" t="n">
        <x:v>81.51957790239229</x:v>
      </x:c>
      <x:c r="U9" s="24" t="n">
        <x:v>78.05966347414382</x:v>
      </x:c>
    </x:row>
    <x:row r="10">
      <x:c r="A10" s="24" t="n">
        <x:v>0.8</x:v>
      </x:c>
      <x:c r="B10" s="24" t="n">
        <x:v>68.57678165715363</x:v>
      </x:c>
      <x:c r="C10" s="24" t="n">
        <x:v>69.54065817756774</x:v>
      </x:c>
      <x:c r="D10" s="24" t="n">
        <x:v>72.8762701142371</x:v>
      </x:c>
      <x:c r="E10" s="24" t="n">
        <x:v>70.80456804969654</x:v>
      </x:c>
      <x:c r="F10" s="24" t="n">
        <x:v>72.19953347010443</x:v>
      </x:c>
      <x:c r="G10" s="24" t="n">
        <x:v>67.5543711415477</x:v>
      </x:c>
      <x:c r="H10" s="24" t="n">
        <x:v>75.1168840082486</x:v>
      </x:c>
      <x:c r="I10" s="24" t="n">
        <x:v>68.28323933330056</x:v>
      </x:c>
      <x:c r="J10" s="24" t="n">
        <x:v>68.4703781561324</x:v>
      </x:c>
      <x:c r="K10" s="24" t="n">
        <x:v>65.73283132672401</x:v>
      </x:c>
      <x:c r="L10" s="24" t="n">
        <x:v>68.37914757739081</x:v>
      </x:c>
      <x:c r="M10" s="24" t="n">
        <x:v>75.01673149369007</x:v>
      </x:c>
      <x:c r="N10" s="24" t="n">
        <x:v>75.17056720248081</x:v>
      </x:c>
      <x:c r="O10" s="24" t="n">
        <x:v>78.21045498485542</x:v>
      </x:c>
      <x:c r="P10" s="24" t="n">
        <x:v>76.30123583181563</x:v>
      </x:c>
      <x:c r="Q10" s="24" t="n">
        <x:v>69.48310155746906</x:v>
      </x:c>
      <x:c r="R10" s="24" t="n">
        <x:v>70.4054779195541</x:v>
      </x:c>
      <x:c r="S10" s="24" t="n">
        <x:v>71.40659057883924</x:v>
      </x:c>
      <x:c r="T10" s="24" t="n">
        <x:v>76.21368451991684</x:v>
      </x:c>
      <x:c r="U10" s="24" t="n">
        <x:v>80.57894760867438</x:v>
      </x:c>
    </x:row>
    <x:row r="11">
      <x:c r="A11" s="24" t="n">
        <x:v>0.9</x:v>
      </x:c>
      <x:c r="B11" s="24" t="n">
        <x:v>68.57678165715363</x:v>
      </x:c>
      <x:c r="C11" s="24" t="n">
        <x:v>69.54065817756774</x:v>
      </x:c>
      <x:c r="D11" s="24" t="n">
        <x:v>73.32821491972562</x:v>
      </x:c>
      <x:c r="E11" s="24" t="n">
        <x:v>70.04847697855196</x:v>
      </x:c>
      <x:c r="F11" s="24" t="n">
        <x:v>72.61192513659265</x:v>
      </x:c>
      <x:c r="G11" s="24" t="n">
        <x:v>68.094487928711</x:v>
      </x:c>
      <x:c r="H11" s="24" t="n">
        <x:v>74.6550358679417</x:v>
      </x:c>
      <x:c r="I11" s="24" t="n">
        <x:v>68.28323933330056</x:v>
      </x:c>
      <x:c r="J11" s="24" t="n">
        <x:v>68.70919330635978</x:v>
      </x:c>
      <x:c r="K11" s="24" t="n">
        <x:v>67.4716117940106</x:v>
      </x:c>
      <x:c r="L11" s="24" t="n">
        <x:v>68.37914757739081</x:v>
      </x:c>
      <x:c r="M11" s="24" t="n">
        <x:v>75.01673149369007</x:v>
      </x:c>
      <x:c r="N11" s="24" t="n">
        <x:v>73.43733572793217</x:v>
      </x:c>
      <x:c r="O11" s="24" t="n">
        <x:v>74.53994508562312</x:v>
      </x:c>
      <x:c r="P11" s="24" t="n">
        <x:v>69.19020869964373</x:v>
      </x:c>
      <x:c r="Q11" s="24" t="n">
        <x:v>68.77811902293746</x:v>
      </x:c>
      <x:c r="R11" s="24" t="n">
        <x:v>71.49620666243538</x:v>
      </x:c>
      <x:c r="S11" s="24" t="n">
        <x:v>72.12439558681973</x:v>
      </x:c>
      <x:c r="T11" s="24" t="n">
        <x:v>75.4378972416951</x:v>
      </x:c>
      <x:c r="U11" s="24" t="n">
        <x:v>80.57894760867438</x:v>
      </x:c>
    </x:row>
    <x:row r="12">
      <x:c r="A12" s="24" t="n">
        <x:v>1</x:v>
      </x:c>
      <x:c r="B12" s="24" t="n">
        <x:v>67.48307091351403</x:v>
      </x:c>
      <x:c r="C12" s="24" t="n">
        <x:v>68.48332257363418</x:v>
      </x:c>
      <x:c r="D12" s="24" t="n">
        <x:v>73.32821491972562</x:v>
      </x:c>
      <x:c r="E12" s="24" t="n">
        <x:v>81.06493060926725</x:v>
      </x:c>
      <x:c r="F12" s="24" t="n">
        <x:v>72.55554601562244</x:v>
      </x:c>
      <x:c r="G12" s="24" t="n">
        <x:v>67.12778636842836</x:v>
      </x:c>
      <x:c r="H12" s="24" t="n">
        <x:v>73.72034236955619</x:v>
      </x:c>
      <x:c r="I12" s="24" t="n">
        <x:v>66.11854511495152</x:v>
      </x:c>
      <x:c r="J12" s="24" t="n">
        <x:v>68.61642295059195</x:v>
      </x:c>
      <x:c r="K12" s="24" t="n">
        <x:v>69.461713889836</x:v>
      </x:c>
      <x:c r="L12" s="24" t="n">
        <x:v>67.38260652581114</x:v>
      </x:c>
      <x:c r="M12" s="24" t="n">
        <x:v>73.47699600605559</x:v>
      </x:c>
      <x:c r="N12" s="24" t="n">
        <x:v>71.77449648000614</x:v>
      </x:c>
      <x:c r="O12" s="24" t="n">
        <x:v>66.55172779228059</x:v>
      </x:c>
      <x:c r="P12" s="24" t="n">
        <x:v>64.04992539299288</x:v>
      </x:c>
      <x:c r="Q12" s="24" t="n">
        <x:v>68.77811902293746</x:v>
      </x:c>
      <x:c r="R12" s="24" t="n">
        <x:v>71.49620666243538</x:v>
      </x:c>
      <x:c r="S12" s="24" t="n">
        <x:v>72.12439558681973</x:v>
      </x:c>
      <x:c r="T12" s="24" t="n">
        <x:v>72.088743468861</x:v>
      </x:c>
      <x:c r="U12" s="24" t="n">
        <x:v>79.25736926990133</x:v>
      </x:c>
    </x:row>
    <x:row r="13">
      <x:c r="A13" s="24" t="n">
        <x:v>1.1</x:v>
      </x:c>
      <x:c r="B13" s="24" t="n">
        <x:v>67.91068161709548</x:v>
      </x:c>
      <x:c r="C13" s="24" t="n">
        <x:v>68.22408747786668</x:v>
      </x:c>
      <x:c r="D13" s="24" t="n">
        <x:v>72.1258656441905</x:v>
      </x:c>
      <x:c r="E13" s="24" t="n">
        <x:v>81.06493060926725</x:v>
      </x:c>
      <x:c r="F13" s="24" t="n">
        <x:v>71.83203344953027</x:v>
      </x:c>
      <x:c r="G13" s="24" t="n">
        <x:v>71.1898011004009</x:v>
      </x:c>
      <x:c r="H13" s="24" t="n">
        <x:v>72.32380259711869</x:v>
      </x:c>
      <x:c r="I13" s="24" t="n">
        <x:v>65.97594285148526</x:v>
      </x:c>
      <x:c r="J13" s="24" t="n">
        <x:v>67.75795075682049</x:v>
      </x:c>
      <x:c r="K13" s="24" t="n">
        <x:v>70.25775472816616</x:v>
      </x:c>
      <x:c r="L13" s="24" t="n">
        <x:v>68.06789870452855</x:v>
      </x:c>
      <x:c r="M13" s="24" t="n">
        <x:v>73.88692725992672</x:v>
      </x:c>
      <x:c r="N13" s="24" t="n">
        <x:v>71.91348116244853</x:v>
      </x:c>
      <x:c r="O13" s="24" t="n">
        <x:v>56.96014181626667</x:v>
      </x:c>
      <x:c r="P13" s="24" t="n">
        <x:v>63.48327119533845</x:v>
      </x:c>
      <x:c r="Q13" s="24" t="n">
        <x:v>65.37235253001005</x:v>
      </x:c>
      <x:c r="R13" s="24" t="n">
        <x:v>68.15516313599312</x:v>
      </x:c>
      <x:c r="S13" s="24" t="n">
        <x:v>72.26091504321076</x:v>
      </x:c>
      <x:c r="T13" s="24" t="n">
        <x:v>69.83033541540172</x:v>
      </x:c>
      <x:c r="U13" s="24" t="n">
        <x:v>79.25736926990133</x:v>
      </x:c>
    </x:row>
    <x:row r="14">
      <x:c r="A14" s="24" t="n">
        <x:v>1.2000000000000002</x:v>
      </x:c>
      <x:c r="B14" s="24" t="n">
        <x:v>73.11957841540124</x:v>
      </x:c>
      <x:c r="C14" s="24" t="n">
        <x:v>68.22408747786668</x:v>
      </x:c>
      <x:c r="D14" s="24" t="n">
        <x:v>72.93021330029542</x:v>
      </x:c>
      <x:c r="E14" s="24" t="n">
        <x:v>72.35592953694754</x:v>
      </x:c>
      <x:c r="F14" s="24" t="n">
        <x:v>73.18610363607826</x:v>
      </x:c>
      <x:c r="G14" s="24" t="n">
        <x:v>71.1898011004009</x:v>
      </x:c>
      <x:c r="H14" s="24" t="n">
        <x:v>66.31621541313568</x:v>
      </x:c>
      <x:c r="I14" s="24" t="n">
        <x:v>65.33086637794528</x:v>
      </x:c>
      <x:c r="J14" s="24" t="n">
        <x:v>66.76151559824449</x:v>
      </x:c>
      <x:c r="K14" s="24" t="n">
        <x:v>68.73681500786279</x:v>
      </x:c>
      <x:c r="L14" s="24" t="n">
        <x:v>68.21707677850976</x:v>
      </x:c>
      <x:c r="M14" s="24" t="n">
        <x:v>73.88692725992672</x:v>
      </x:c>
      <x:c r="N14" s="24" t="n">
        <x:v>72.38468676246718</x:v>
      </x:c>
      <x:c r="O14" s="24" t="n">
        <x:v>55.690143097922906</x:v>
      </x:c>
      <x:c r="P14" s="24" t="n">
        <x:v>63.48327119533843</x:v>
      </x:c>
      <x:c r="Q14" s="24" t="n">
        <x:v>83.26755001659863</x:v>
      </x:c>
      <x:c r="R14" s="24" t="n">
        <x:v>67.46309339231007</x:v>
      </x:c>
      <x:c r="S14" s="24" t="n">
        <x:v>72.26091504321076</x:v>
      </x:c>
      <x:c r="T14" s="24" t="n">
        <x:v>68.28318173733068</x:v>
      </x:c>
      <x:c r="U14" s="24" t="n">
        <x:v>79.1351065849409</x:v>
      </x:c>
    </x:row>
    <x:row r="15">
      <x:c r="A15" s="24" t="n">
        <x:v>1.3</x:v>
      </x:c>
      <x:c r="B15" s="24" t="n">
        <x:v>78.32847521370698</x:v>
      </x:c>
      <x:c r="C15" s="24" t="n">
        <x:v>68.9331104045089</x:v>
      </x:c>
      <x:c r="D15" s="24" t="n">
        <x:v>78.16458095591636</x:v>
      </x:c>
      <x:c r="E15" s="24" t="n">
        <x:v>66.29757493725997</x:v>
      </x:c>
      <x:c r="F15" s="24" t="n">
        <x:v>73.18610363607826</x:v>
      </x:c>
      <x:c r="G15" s="24" t="n">
        <x:v>64.7423500639216</x:v>
      </x:c>
      <x:c r="H15" s="24" t="n">
        <x:v>80.10274080300269</x:v>
      </x:c>
      <x:c r="I15" s="24" t="n">
        <x:v>65.62276469762583</x:v>
      </x:c>
      <x:c r="J15" s="24" t="n">
        <x:v>67.50914710101353</x:v>
      </x:c>
      <x:c r="K15" s="24" t="n">
        <x:v>62.487545351219225</x:v>
      </x:c>
      <x:c r="L15" s="24" t="n">
        <x:v>68.75845884254211</x:v>
      </x:c>
      <x:c r="M15" s="24" t="n">
        <x:v>74.36687988625356</x:v>
      </x:c>
      <x:c r="N15" s="24" t="n">
        <x:v>72.38468676246718</x:v>
      </x:c>
      <x:c r="O15" s="24" t="n">
        <x:v>60.387308545309125</x:v>
      </x:c>
      <x:c r="P15" s="24" t="n">
        <x:v>50</x:v>
      </x:c>
      <x:c r="Q15" s="24" t="n">
        <x:v>85.6587822198567</x:v>
      </x:c>
      <x:c r="R15" s="24" t="n">
        <x:v>66.04045840771929</x:v>
      </x:c>
      <x:c r="S15" s="24" t="n">
        <x:v>73.04326887520834</x:v>
      </x:c>
      <x:c r="T15" s="24" t="n">
        <x:v>70.50618306727826</x:v>
      </x:c>
      <x:c r="U15" s="24" t="n">
        <x:v>76.66427948424565</x:v>
      </x:c>
    </x:row>
    <x:row r="16">
      <x:c r="A16" s="24" t="n">
        <x:v>1.4000000000000001</x:v>
      </x:c>
      <x:c r="B16" s="24" t="n">
        <x:v>80.41203393302928</x:v>
      </x:c>
      <x:c r="C16" s="24" t="n">
        <x:v>69.18883736493623</x:v>
      </x:c>
      <x:c r="D16" s="24" t="n">
        <x:v>92.75713763310314</x:v>
      </x:c>
      <x:c r="E16" s="24" t="n">
        <x:v>63.73863898646985</x:v>
      </x:c>
      <x:c r="F16" s="24" t="n">
        <x:v>71.63119228064255</x:v>
      </x:c>
      <x:c r="G16" s="24" t="n">
        <x:v>62.61357462080348</x:v>
      </x:c>
      <x:c r="H16" s="24" t="n">
        <x:v>80.10274080300269</x:v>
      </x:c>
      <x:c r="I16" s="24" t="n">
        <x:v>65.91472092555853</x:v>
      </x:c>
      <x:c r="J16" s="24" t="n">
        <x:v>82.34871880401377</x:v>
      </x:c>
      <x:c r="K16" s="24" t="n">
        <x:v>61.58504499288756</x:v>
      </x:c>
      <x:c r="L16" s="24" t="n">
        <x:v>68.75845884254211</x:v>
      </x:c>
      <x:c r="M16" s="24" t="n">
        <x:v>74.61329855884833</x:v>
      </x:c>
      <x:c r="N16" s="24" t="n">
        <x:v>71.87803898825094</x:v>
      </x:c>
      <x:c r="O16" s="24" t="n">
        <x:v>77.52326862980901</x:v>
      </x:c>
      <x:c r="P16" s="24" t="n">
        <x:v>67.48344549734806</x:v>
      </x:c>
      <x:c r="Q16" s="24" t="n">
        <x:v>85.6587822198567</x:v>
      </x:c>
      <x:c r="R16" s="24" t="n">
        <x:v>79.18907660312908</x:v>
      </x:c>
      <x:c r="S16" s="24" t="n">
        <x:v>87.27400849075744</x:v>
      </x:c>
      <x:c r="T16" s="24" t="n">
        <x:v>76.16936126349574</x:v>
      </x:c>
      <x:c r="U16" s="24" t="n">
        <x:v>73.11235088382813</x:v>
      </x:c>
    </x:row>
    <x:row r="17">
      <x:c r="A17" s="24" t="n">
        <x:v>1.5</x:v>
      </x:c>
      <x:c r="B17" s="24" t="n">
        <x:v>79.59440922016213</x:v>
      </x:c>
      <x:c r="C17" s="24" t="n">
        <x:v>68.797349970665</x:v>
      </x:c>
      <x:c r="D17" s="24" t="n">
        <x:v>92.75713763310314</x:v>
      </x:c>
      <x:c r="E17" s="24" t="n">
        <x:v>61.17970303567972</x:v>
      </x:c>
      <x:c r="F17" s="24" t="n">
        <x:v>71.3168400264674</x:v>
      </x:c>
      <x:c r="G17" s="24" t="n">
        <x:v>63.56379375672919</x:v>
      </x:c>
      <x:c r="H17" s="24" t="n">
        <x:v>75.44391152746897</x:v>
      </x:c>
      <x:c r="I17" s="24" t="n">
        <x:v>65.91472092555853</x:v>
      </x:c>
      <x:c r="J17" s="24" t="n">
        <x:v>82.34871880401377</x:v>
      </x:c>
      <x:c r="K17" s="24" t="n">
        <x:v>62.475148263858856</x:v>
      </x:c>
      <x:c r="L17" s="24" t="n">
        <x:v>68.03103598627511</x:v>
      </x:c>
      <x:c r="M17" s="24" t="n">
        <x:v>74.61329855884833</x:v>
      </x:c>
      <x:c r="N17" s="24" t="n">
        <x:v>71.87803898825094</x:v>
      </x:c>
      <x:c r="O17" s="24" t="n">
        <x:v>79.67268779316251</x:v>
      </x:c>
      <x:c r="P17" s="24" t="n">
        <x:v>78.7561351916709</x:v>
      </x:c>
      <x:c r="Q17" s="24" t="n">
        <x:v>80.37503021534533</x:v>
      </x:c>
      <x:c r="R17" s="24" t="n">
        <x:v>79.18907660312908</x:v>
      </x:c>
      <x:c r="S17" s="24" t="n">
        <x:v>87.27400849075744</x:v>
      </x:c>
      <x:c r="T17" s="24" t="n">
        <x:v>76.16936126349574</x:v>
      </x:c>
      <x:c r="U17" s="24" t="n">
        <x:v>69.89260183452126</x:v>
      </x:c>
    </x:row>
    <x:row r="18">
      <x:c r="A18" s="24" t="n">
        <x:v>1.6</x:v>
      </x:c>
      <x:c r="B18" s="24" t="n">
        <x:v>71.5633931347067</x:v>
      </x:c>
      <x:c r="C18" s="24" t="n">
        <x:v>68.87666206118752</x:v>
      </x:c>
      <x:c r="D18" s="24" t="n">
        <x:v>84.45264980729094</x:v>
      </x:c>
      <x:c r="E18" s="24" t="n">
        <x:v>60.15612865536367</x:v>
      </x:c>
      <x:c r="F18" s="24" t="n">
        <x:v>71.3168400264674</x:v>
      </x:c>
      <x:c r="G18" s="24" t="n">
        <x:v>65.22817728614865</x:v>
      </x:c>
      <x:c r="H18" s="24" t="n">
        <x:v>66.56850989499898</x:v>
      </x:c>
      <x:c r="I18" s="24" t="n">
        <x:v>61.72620699882731</x:v>
      </x:c>
      <x:c r="J18" s="24" t="n">
        <x:v>77.21479702088433</x:v>
      </x:c>
      <x:c r="K18" s="24" t="n">
        <x:v>62.475148263858856</x:v>
      </x:c>
      <x:c r="L18" s="24" t="n">
        <x:v>82.9499678249527</x:v>
      </x:c>
      <x:c r="M18" s="24" t="n">
        <x:v>73.38682487991737</x:v>
      </x:c>
      <x:c r="N18" s="24" t="n">
        <x:v>69.53300192897682</x:v>
      </x:c>
      <x:c r="O18" s="24" t="n">
        <x:v>79.67268779316251</x:v>
      </x:c>
      <x:c r="P18" s="24" t="n">
        <x:v>78.7561351916709</x:v>
      </x:c>
      <x:c r="Q18" s="24" t="n">
        <x:v>76.31065444295534</x:v>
      </x:c>
      <x:c r="R18" s="24" t="n">
        <x:v>75.50313878817849</x:v>
      </x:c>
      <x:c r="S18" s="24" t="n">
        <x:v>83.26634580932486</x:v>
      </x:c>
      <x:c r="T18" s="24" t="n">
        <x:v>69.53513901303594</x:v>
      </x:c>
      <x:c r="U18" s="24" t="n">
        <x:v>67.71560824575953</x:v>
      </x:c>
    </x:row>
    <x:row r="19">
      <x:c r="A19" s="24" t="n">
        <x:v>1.7000000000000002</x:v>
      </x:c>
      <x:c r="B19" s="24" t="n">
        <x:v>63.63760535246786</x:v>
      </x:c>
      <x:c r="C19" s="24" t="n">
        <x:v>69.32245861911998</x:v>
      </x:c>
      <x:c r="D19" s="24" t="n">
        <x:v>77.93863515367129</x:v>
      </x:c>
      <x:c r="E19" s="24" t="n">
        <x:v>66.431422062484</x:v>
      </x:c>
      <x:c r="F19" s="24" t="n">
        <x:v>70.65519177213723</x:v>
      </x:c>
      <x:c r="G19" s="24" t="n">
        <x:v>65.59353190544655</x:v>
      </x:c>
      <x:c r="H19" s="24" t="n">
        <x:v>47.50917001791066</x:v>
      </x:c>
      <x:c r="I19" s="24" t="n">
        <x:v>77.88438376485793</x:v>
      </x:c>
      <x:c r="J19" s="24" t="n">
        <x:v>68.15934283419496</x:v>
      </x:c>
      <x:c r="K19" s="24" t="n">
        <x:v>65.10935195790277</x:v>
      </x:c>
      <x:c r="L19" s="24" t="n">
        <x:v>83.8967146770124</x:v>
      </x:c>
      <x:c r="M19" s="24" t="n">
        <x:v>72.69797707730186</x:v>
      </x:c>
      <x:c r="N19" s="24" t="n">
        <x:v>77.49534411555321</x:v>
      </x:c>
      <x:c r="O19" s="24" t="n">
        <x:v>75.46089627671196</x:v>
      </x:c>
      <x:c r="P19" s="24" t="n">
        <x:v>73.94200489973436</x:v>
      </x:c>
      <x:c r="Q19" s="24" t="n">
        <x:v>73.7507059494108</x:v>
      </x:c>
      <x:c r="R19" s="24" t="n">
        <x:v>63.91477593518138</x:v>
      </x:c>
      <x:c r="S19" s="24" t="n">
        <x:v>77.22203904703449</x:v>
      </x:c>
      <x:c r="T19" s="24" t="n">
        <x:v>50</x:v>
      </x:c>
      <x:c r="U19" s="24" t="n">
        <x:v>67.67129029167087</x:v>
      </x:c>
    </x:row>
    <x:row r="20">
      <x:c r="A20" s="24" t="n">
        <x:v>1.8</x:v>
      </x:c>
      <x:c r="B20" s="24" t="n">
        <x:v>60.022755024201565</x:v>
      </x:c>
      <x:c r="C20" s="24" t="n">
        <x:v>69.32245861911998</x:v>
      </x:c>
      <x:c r="D20" s="24" t="n">
        <x:v>69.06210391983996</x:v>
      </x:c>
      <x:c r="E20" s="24" t="n">
        <x:v>66.431422062484</x:v>
      </x:c>
      <x:c r="F20" s="24" t="n">
        <x:v>69.11064434851721</x:v>
      </x:c>
      <x:c r="G20" s="24" t="n">
        <x:v>65.59353190544655</x:v>
      </x:c>
      <x:c r="H20" s="24" t="n">
        <x:v>47.50917001791066</x:v>
      </x:c>
      <x:c r="I20" s="24" t="n">
        <x:v>77.88438376485793</x:v>
      </x:c>
      <x:c r="J20" s="24" t="n">
        <x:v>63.817105664961886</x:v>
      </x:c>
      <x:c r="K20" s="24" t="n">
        <x:v>66.11829355538582</x:v>
      </x:c>
      <x:c r="L20" s="24" t="n">
        <x:v>83.35676384975189</x:v>
      </x:c>
      <x:c r="M20" s="24" t="n">
        <x:v>80.15886135787777</x:v>
      </x:c>
      <x:c r="N20" s="24" t="n">
        <x:v>80.4604161704344</x:v>
      </x:c>
      <x:c r="O20" s="24" t="n">
        <x:v>73.27235184950081</x:v>
      </x:c>
      <x:c r="P20" s="24" t="n">
        <x:v>71.57580620252364</x:v>
      </x:c>
      <x:c r="Q20" s="24" t="n">
        <x:v>76.08294554941119</x:v>
      </x:c>
      <x:c r="R20" s="24" t="n">
        <x:v>50</x:v>
      </x:c>
      <x:c r="S20" s="24" t="n">
        <x:v>75.30932636236176</x:v>
      </x:c>
      <x:c r="T20" s="24" t="n">
        <x:v>50</x:v>
      </x:c>
      <x:c r="U20" s="24" t="n">
        <x:v>63.83440575710215</x:v>
      </x:c>
    </x:row>
    <x:row r="21">
      <x:c r="A21" s="24" t="n">
        <x:v>1.9000000000000001</x:v>
      </x:c>
      <x:c r="B21" s="24" t="n">
        <x:v>56.40790469593527</x:v>
      </x:c>
      <x:c r="C21" s="24" t="n">
        <x:v>84.54038376461594</x:v>
      </x:c>
      <x:c r="D21" s="24" t="n">
        <x:v>63.10583536545796</x:v>
      </x:c>
      <x:c r="E21" s="24" t="n">
        <x:v>68.7502582969651</x:v>
      </x:c>
      <x:c r="F21" s="24" t="n">
        <x:v>65.92899082538287</x:v>
      </x:c>
      <x:c r="G21" s="24" t="n">
        <x:v>63.53615513592467</x:v>
      </x:c>
      <x:c r="H21" s="24" t="n">
        <x:v>58.14620837616507</x:v>
      </x:c>
      <x:c r="I21" s="24" t="n">
        <x:v>71.2015507366592</x:v>
      </x:c>
      <x:c r="J21" s="24" t="n">
        <x:v>63.817105664961886</x:v>
      </x:c>
      <x:c r="K21" s="24" t="n">
        <x:v>82.42939263877193</x:v>
      </x:c>
      <x:c r="L21" s="24" t="n">
        <x:v>74.2885483940689</x:v>
      </x:c>
      <x:c r="M21" s="24" t="n">
        <x:v>80.39777768406256</x:v>
      </x:c>
      <x:c r="N21" s="24" t="n">
        <x:v>79.8489267446514</x:v>
      </x:c>
      <x:c r="O21" s="24" t="n">
        <x:v>70.1271593921429</x:v>
      </x:c>
      <x:c r="P21" s="24" t="n">
        <x:v>71.57580620252364</x:v>
      </x:c>
      <x:c r="Q21" s="24" t="n">
        <x:v>76.08294554941119</x:v>
      </x:c>
      <x:c r="R21" s="24" t="n">
        <x:v>50</x:v>
      </x:c>
      <x:c r="S21" s="24" t="n">
        <x:v>71.65914387268641</x:v>
      </x:c>
      <x:c r="T21" s="24" t="n">
        <x:v>50</x:v>
      </x:c>
      <x:c r="U21" s="24" t="n">
        <x:v>69.23201237939969</x:v>
      </x:c>
    </x:row>
    <x:row r="22">
      <x:c r="A22" s="24" t="n">
        <x:v>2</x:v>
      </x:c>
      <x:c r="B22" s="24" t="n">
        <x:v>58.30781755725234</x:v>
      </x:c>
      <x:c r="C22" s="24" t="n">
        <x:v>85.13412955070646</x:v>
      </x:c>
      <x:c r="D22" s="24" t="n">
        <x:v>52.39175843351897</x:v>
      </x:c>
      <x:c r="E22" s="24" t="n">
        <x:v>75.35780827708254</x:v>
      </x:c>
      <x:c r="F22" s="24" t="n">
        <x:v>64.98343241782771</x:v>
      </x:c>
      <x:c r="G22" s="24" t="n">
        <x:v>65.55736963996813</x:v>
      </x:c>
      <x:c r="H22" s="24" t="n">
        <x:v>68.78324673441945</x:v>
      </x:c>
      <x:c r="I22" s="24" t="n">
        <x:v>69.36546463905174</x:v>
      </x:c>
      <x:c r="J22" s="24" t="n">
        <x:v>48.3182414192449</x:v>
      </x:c>
      <x:c r="K22" s="24" t="n">
        <x:v>82.42939263877193</x:v>
      </x:c>
      <x:c r="L22" s="24" t="n">
        <x:v>62.0623576288627</x:v>
      </x:c>
      <x:c r="M22" s="24" t="n">
        <x:v>79.20182548305533</x:v>
      </x:c>
      <x:c r="N22" s="24" t="n">
        <x:v>69.71504659200012</x:v>
      </x:c>
      <x:c r="O22" s="24" t="n">
        <x:v>68.324283573462</x:v>
      </x:c>
      <x:c r="P22" s="24" t="n">
        <x:v>70.74109258658731</x:v>
      </x:c>
      <x:c r="Q22" s="24" t="n">
        <x:v>73.9220278958393</x:v>
      </x:c>
      <x:c r="R22" s="24" t="n">
        <x:v>50</x:v>
      </x:c>
      <x:c r="S22" s="24" t="n">
        <x:v>69.27023403505723</x:v>
      </x:c>
      <x:c r="T22" s="24" t="n">
        <x:v>50</x:v>
      </x:c>
      <x:c r="U22" s="24" t="n">
        <x:v>83.14435804514295</x:v>
      </x:c>
    </x:row>
    <x:row r="23">
      <x:c r="A23" s="24" t="n">
        <x:v>2.1</x:v>
      </x:c>
      <x:c r="B23" s="24" t="n">
        <x:v>58.86182980062191</x:v>
      </x:c>
      <x:c r="C23" s="24" t="n">
        <x:v>84.34292252318886</x:v>
      </x:c>
      <x:c r="D23" s="24" t="n">
        <x:v>52.39175843351897</x:v>
      </x:c>
      <x:c r="E23" s="24" t="n">
        <x:v>75.35780827708254</x:v>
      </x:c>
      <x:c r="F23" s="24" t="n">
        <x:v>80.5239803887558</x:v>
      </x:c>
      <x:c r="G23" s="24" t="n">
        <x:v>65.55736963996813</x:v>
      </x:c>
      <x:c r="H23" s="24" t="n">
        <x:v>71.51603889782575</x:v>
      </x:c>
      <x:c r="I23" s="24" t="n">
        <x:v>67.52937854144426</x:v>
      </x:c>
      <x:c r="J23" s="24" t="n">
        <x:v>63.909794231464105</x:v>
      </x:c>
      <x:c r="K23" s="24" t="n">
        <x:v>77.87572586198509</x:v>
      </x:c>
      <x:c r="L23" s="24" t="n">
        <x:v>50</x:v>
      </x:c>
      <x:c r="M23" s="24" t="n">
        <x:v>67.91850132136743</x:v>
      </x:c>
      <x:c r="N23" s="24" t="n">
        <x:v>50</x:v>
      </x:c>
      <x:c r="O23" s="24" t="n">
        <x:v>67.78044962460767</x:v>
      </x:c>
      <x:c r="P23" s="24" t="n">
        <x:v>70.74109258658731</x:v>
      </x:c>
      <x:c r="Q23" s="24" t="n">
        <x:v>75.69106723223251</x:v>
      </x:c>
      <x:c r="R23" s="24" t="n">
        <x:v>50</x:v>
      </x:c>
      <x:c r="S23" s="24" t="n">
        <x:v>67.09966615043734</x:v>
      </x:c>
      <x:c r="T23" s="24" t="n">
        <x:v>62.16728242388285</x:v>
      </x:c>
      <x:c r="U23" s="24" t="n">
        <x:v>83.14435804514295</x:v>
      </x:c>
    </x:row>
    <x:row r="24">
      <x:c r="A24" s="24" t="n">
        <x:v>2.2</x:v>
      </x:c>
      <x:c r="B24" s="24" t="n">
        <x:v>62.01947332546028</x:v>
      </x:c>
      <x:c r="C24" s="24" t="n">
        <x:v>74.82882752817187</x:v>
      </x:c>
      <x:c r="D24" s="24" t="n">
        <x:v>63.42630528185921</x:v>
      </x:c>
      <x:c r="E24" s="24" t="n">
        <x:v>69.88305527044497</x:v>
      </x:c>
      <x:c r="F24" s="24" t="n">
        <x:v>80.5239803887558</x:v>
      </x:c>
      <x:c r="G24" s="24" t="n">
        <x:v>65.05770180773531</x:v>
      </x:c>
      <x:c r="H24" s="24" t="n">
        <x:v>73.73042553989937</x:v>
      </x:c>
      <x:c r="I24" s="24" t="n">
        <x:v>65.6932924438368</x:v>
      </x:c>
      <x:c r="J24" s="24" t="n">
        <x:v>70.14641535635178</x:v>
      </x:c>
      <x:c r="K24" s="24" t="n">
        <x:v>68.58331100822217</x:v>
      </x:c>
      <x:c r="L24" s="24" t="n">
        <x:v>53.06573209818981</x:v>
      </x:c>
      <x:c r="M24" s="24" t="n">
        <x:v>50</x:v>
      </x:c>
      <x:c r="N24" s="24" t="n">
        <x:v>50</x:v>
      </x:c>
      <x:c r="O24" s="24" t="n">
        <x:v>67.08310281877795</x:v>
      </x:c>
      <x:c r="P24" s="24" t="n">
        <x:v>69.76956813409285</x:v>
      </x:c>
      <x:c r="Q24" s="24" t="n">
        <x:v>75.69106723223251</x:v>
      </x:c>
      <x:c r="R24" s="24" t="n">
        <x:v>50</x:v>
      </x:c>
      <x:c r="S24" s="24" t="n">
        <x:v>65.43286127513454</x:v>
      </x:c>
      <x:c r="T24" s="24" t="n">
        <x:v>66.419410171018</x:v>
      </x:c>
      <x:c r="U24" s="24" t="n">
        <x:v>81.20890593208792</x:v>
      </x:c>
    </x:row>
    <x:row r="25">
      <x:c r="A25" s="24" t="n">
        <x:v>2.3000000000000003</x:v>
      </x:c>
      <x:c r="B25" s="24" t="n">
        <x:v>65.17711685029863</x:v>
      </x:c>
      <x:c r="C25" s="24" t="n">
        <x:v>67.87389212704456</x:v>
      </x:c>
      <x:c r="D25" s="24" t="n">
        <x:v>63.426305281858966</x:v>
      </x:c>
      <x:c r="E25" s="24" t="n">
        <x:v>55.0528341668561</x:v>
      </x:c>
      <x:c r="F25" s="24" t="n">
        <x:v>76.16498404695092</x:v>
      </x:c>
      <x:c r="G25" s="24" t="n">
        <x:v>64.60837032264146</x:v>
      </x:c>
      <x:c r="H25" s="24" t="n">
        <x:v>73.73042553989937</x:v>
      </x:c>
      <x:c r="I25" s="24" t="n">
        <x:v>63.85720634622933</x:v>
      </x:c>
      <x:c r="J25" s="24" t="n">
        <x:v>69.23116581256262</x:v>
      </x:c>
      <x:c r="K25" s="24" t="n">
        <x:v>63.90196660254942</x:v>
      </x:c>
      <x:c r="L25" s="24" t="n">
        <x:v>56.131464196379625</x:v>
      </x:c>
      <x:c r="M25" s="24" t="n">
        <x:v>50</x:v>
      </x:c>
      <x:c r="N25" s="24" t="n">
        <x:v>50</x:v>
      </x:c>
      <x:c r="O25" s="24" t="n">
        <x:v>67.9190547536042</x:v>
      </x:c>
      <x:c r="P25" s="24" t="n">
        <x:v>69.51669030644013</x:v>
      </x:c>
      <x:c r="Q25" s="24" t="n">
        <x:v>75.42220053558293</x:v>
      </x:c>
      <x:c r="R25" s="24" t="n">
        <x:v>69.1112123083774</x:v>
      </x:c>
      <x:c r="S25" s="24" t="n">
        <x:v>80.1217928899697</x:v>
      </x:c>
      <x:c r="T25" s="24" t="n">
        <x:v>67.72030860365976</x:v>
      </x:c>
      <x:c r="U25" s="24" t="n">
        <x:v>73.75668567038441</x:v>
      </x:c>
    </x:row>
    <x:row r="26">
      <x:c r="A26" s="24" t="n">
        <x:v>2.4000000000000004</x:v>
      </x:c>
      <x:c r="B26" s="24" t="n">
        <x:v>65.66125398020682</x:v>
      </x:c>
      <x:c r="C26" s="24" t="n">
        <x:v>67.34847370428079</x:v>
      </x:c>
      <x:c r="D26" s="24" t="n">
        <x:v>74.81831966011428</x:v>
      </x:c>
      <x:c r="E26" s="24" t="n">
        <x:v>63.84388937285388</x:v>
      </x:c>
      <x:c r="F26" s="24" t="n">
        <x:v>65.21005685837909</x:v>
      </x:c>
      <x:c r="G26" s="24" t="n">
        <x:v>75.558424013865</x:v>
      </x:c>
      <x:c r="H26" s="24" t="n">
        <x:v>64.74660555086992</x:v>
      </x:c>
      <x:c r="I26" s="24" t="n">
        <x:v>66.2214548388465</x:v>
      </x:c>
      <x:c r="J26" s="24" t="n">
        <x:v>66.3066540096883</x:v>
      </x:c>
      <x:c r="K26" s="24" t="n">
        <x:v>63.340303688209104</x:v>
      </x:c>
      <x:c r="L26" s="24" t="n">
        <x:v>59.19719629456943</x:v>
      </x:c>
      <x:c r="M26" s="24" t="n">
        <x:v>50</x:v>
      </x:c>
      <x:c r="N26" s="24" t="n">
        <x:v>60.0141180279825</x:v>
      </x:c>
      <x:c r="O26" s="24" t="n">
        <x:v>68.87226996195534</x:v>
      </x:c>
      <x:c r="P26" s="24" t="n">
        <x:v>70.35830901506563</x:v>
      </x:c>
      <x:c r="Q26" s="24" t="n">
        <x:v>75.71345897515432</x:v>
      </x:c>
      <x:c r="R26" s="24" t="n">
        <x:v>69.1112123083774</x:v>
      </x:c>
      <x:c r="S26" s="24" t="n">
        <x:v>81.63953965537745</x:v>
      </x:c>
      <x:c r="T26" s="24" t="n">
        <x:v>67.72030860365976</x:v>
      </x:c>
      <x:c r="U26" s="24" t="n">
        <x:v>70.3439791347529</x:v>
      </x:c>
    </x:row>
    <x:row r="27">
      <x:c r="A27" s="24" t="n">
        <x:v>2.5</x:v>
      </x:c>
      <x:c r="B27" s="24" t="n">
        <x:v>68.0819396297477</x:v>
      </x:c>
      <x:c r="C27" s="24" t="n">
        <x:v>60.42654883714438</x:v>
      </x:c>
      <x:c r="D27" s="24" t="n">
        <x:v>77.69523286384792</x:v>
      </x:c>
      <x:c r="E27" s="24" t="n">
        <x:v>67.82928086762456</x:v>
      </x:c>
      <x:c r="F27" s="24" t="n">
        <x:v>56.38393891563784</x:v>
      </x:c>
      <x:c r="G27" s="24" t="n">
        <x:v>75.80701331391637</x:v>
      </x:c>
      <x:c r="H27" s="24" t="n">
        <x:v>70.61442021088472</x:v>
      </x:c>
      <x:c r="I27" s="24" t="n">
        <x:v>71.42030506561888</x:v>
      </x:c>
      <x:c r="J27" s="24" t="n">
        <x:v>67.94202087380395</x:v>
      </x:c>
      <x:c r="K27" s="24" t="n">
        <x:v>63.340303688209104</x:v>
      </x:c>
      <x:c r="L27" s="24" t="n">
        <x:v>59.81034271420738</x:v>
      </x:c>
      <x:c r="M27" s="24" t="n">
        <x:v>50</x:v>
      </x:c>
      <x:c r="N27" s="24" t="n">
        <x:v>78.77454804849191</x:v>
      </x:c>
      <x:c r="O27" s="24" t="n">
        <x:v>77.17686623568989</x:v>
      </x:c>
      <x:c r="P27" s="24" t="n">
        <x:v>70.35830901506563</x:v>
      </x:c>
      <x:c r="Q27" s="24" t="n">
        <x:v>75.07673129071613</x:v>
      </x:c>
      <x:c r="R27" s="24" t="n">
        <x:v>65.49941478966483</x:v>
      </x:c>
      <x:c r="S27" s="24" t="n">
        <x:v>81.63953965537745</x:v>
      </x:c>
      <x:c r="T27" s="24" t="n">
        <x:v>68.48563573534224</x:v>
      </x:c>
      <x:c r="U27" s="24" t="n">
        <x:v>66.7052982982326</x:v>
      </x:c>
    </x:row>
    <x:row r="28">
      <x:c r="A28" s="24" t="n">
        <x:v>2.6</x:v>
      </x:c>
      <x:c r="B28" s="24" t="n">
        <x:v>70.50262527928858</x:v>
      </x:c>
      <x:c r="C28" s="24" t="n">
        <x:v>60.52470754544935</x:v>
      </x:c>
      <x:c r="D28" s="24" t="n">
        <x:v>77.69523286384792</x:v>
      </x:c>
      <x:c r="E28" s="24" t="n">
        <x:v>67.82928086762456</x:v>
      </x:c>
      <x:c r="F28" s="24" t="n">
        <x:v>56.93215868977155</x:v>
      </x:c>
      <x:c r="G28" s="24" t="n">
        <x:v>75.28370067390856</x:v>
      </x:c>
      <x:c r="H28" s="24" t="n">
        <x:v>73.09367708718122</x:v>
      </x:c>
      <x:c r="I28" s="24" t="n">
        <x:v>71.04835800185825</x:v>
      </x:c>
      <x:c r="J28" s="24" t="n">
        <x:v>67.94202087380395</x:v>
      </x:c>
      <x:c r="K28" s="24" t="n">
        <x:v>68.83325146982793</x:v>
      </x:c>
      <x:c r="L28" s="24" t="n">
        <x:v>69.43263683620141</x:v>
      </x:c>
      <x:c r="M28" s="24" t="n">
        <x:v>59.57209946781945</x:v>
      </x:c>
      <x:c r="N28" s="24" t="n">
        <x:v>78.77454804849191</x:v>
      </x:c>
      <x:c r="O28" s="24" t="n">
        <x:v>79.32644875450649</x:v>
      </x:c>
      <x:c r="P28" s="24" t="n">
        <x:v>69.33142835186845</x:v>
      </x:c>
      <x:c r="Q28" s="24" t="n">
        <x:v>72.53245539656072</x:v>
      </x:c>
      <x:c r="R28" s="24" t="n">
        <x:v>68.22091001001337</x:v>
      </x:c>
      <x:c r="S28" s="24" t="n">
        <x:v>73.24435236637666</x:v>
      </x:c>
      <x:c r="T28" s="24" t="n">
        <x:v>68.92250647743683</x:v>
      </x:c>
      <x:c r="U28" s="24" t="n">
        <x:v>60.4135720668542</x:v>
      </x:c>
    </x:row>
    <x:row r="29">
      <x:c r="A29" s="24" t="n">
        <x:v>2.7</x:v>
      </x:c>
      <x:c r="B29" s="24" t="n">
        <x:v>72.92331092882948</x:v>
      </x:c>
      <x:c r="C29" s="24" t="n">
        <x:v>61.84578066425069</x:v>
      </x:c>
      <x:c r="D29" s="24" t="n">
        <x:v>72.25575430389823</x:v>
      </x:c>
      <x:c r="E29" s="24" t="n">
        <x:v>67.42432039282694</x:v>
      </x:c>
      <x:c r="F29" s="24" t="n">
        <x:v>59.67325756044007</x:v>
      </x:c>
      <x:c r="G29" s="24" t="n">
        <x:v>62.80612759452904</x:v>
      </x:c>
      <x:c r="H29" s="24" t="n">
        <x:v>73.09367708718122</x:v>
      </x:c>
      <x:c r="I29" s="24" t="n">
        <x:v>69.18862268305506</x:v>
      </x:c>
      <x:c r="J29" s="24" t="n">
        <x:v>65.91892533218711</x:v>
      </x:c>
      <x:c r="K29" s="24" t="n">
        <x:v>69.34665843243155</x:v>
      </x:c>
      <x:c r="L29" s="24" t="n">
        <x:v>82.78977271374715</x:v>
      </x:c>
      <x:c r="M29" s="24" t="n">
        <x:v>69.1441989356389</x:v>
      </x:c>
      <x:c r="N29" s="24" t="n">
        <x:v>75.20110505437997</x:v>
      </x:c>
      <x:c r="O29" s="24" t="n">
        <x:v>78.36273694943236</x:v>
      </x:c>
      <x:c r="P29" s="24" t="n">
        <x:v>69.28306892374283</x:v>
      </x:c>
      <x:c r="Q29" s="24" t="n">
        <x:v>81.07124911405474</x:v>
      </x:c>
      <x:c r="R29" s="24" t="n">
        <x:v>68.22091001001337</x:v>
      </x:c>
      <x:c r="S29" s="24" t="n">
        <x:v>64.85328448621392</x:v>
      </x:c>
      <x:c r="T29" s="24" t="n">
        <x:v>84.08045804077314</x:v>
      </x:c>
      <x:c r="U29" s="24" t="n">
        <x:v>50</x:v>
      </x:c>
    </x:row>
    <x:row r="30">
      <x:c r="A30" s="24" t="n">
        <x:v>2.8000000000000003</x:v>
      </x:c>
      <x:c r="B30" s="24" t="n">
        <x:v>75.34399657837037</x:v>
      </x:c>
      <x:c r="C30" s="24" t="n">
        <x:v>65.14846346125404</x:v>
      </x:c>
      <x:c r="D30" s="24" t="n">
        <x:v>66.272426018018</x:v>
      </x:c>
      <x:c r="E30" s="24" t="n">
        <x:v>67.42432039282694</x:v>
      </x:c>
      <x:c r="F30" s="24" t="n">
        <x:v>62.41435643110859</x:v>
      </x:c>
      <x:c r="G30" s="24" t="n">
        <x:v>53.50474931864532</x:v>
      </x:c>
      <x:c r="H30" s="24" t="n">
        <x:v>73.17968008612601</x:v>
      </x:c>
      <x:c r="I30" s="24" t="n">
        <x:v>67.32888736425188</x:v>
      </x:c>
      <x:c r="J30" s="24" t="n">
        <x:v>65.36236080341581</x:v>
      </x:c>
      <x:c r="K30" s="24" t="n">
        <x:v>69.15213832503714</x:v>
      </x:c>
      <x:c r="L30" s="24" t="n">
        <x:v>82.78977271374715</x:v>
      </x:c>
      <x:c r="M30" s="24" t="n">
        <x:v>69.1441989356389</x:v>
      </x:c>
      <x:c r="N30" s="24" t="n">
        <x:v>72.67696990417998</x:v>
      </x:c>
      <x:c r="O30" s="24" t="n">
        <x:v>67.92863782545456</x:v>
      </x:c>
      <x:c r="P30" s="24" t="n">
        <x:v>68.08969078909196</x:v>
      </x:c>
      <x:c r="Q30" s="24" t="n">
        <x:v>81.47573787217777</x:v>
      </x:c>
      <x:c r="R30" s="24" t="n">
        <x:v>68.41969173850785</x:v>
      </x:c>
      <x:c r="S30" s="24" t="n">
        <x:v>50</x:v>
      </x:c>
      <x:c r="T30" s="24" t="n">
        <x:v>84.52402452710459</x:v>
      </x:c>
      <x:c r="U30" s="24" t="n">
        <x:v>50</x:v>
      </x:c>
    </x:row>
    <x:row r="31">
      <x:c r="A31" s="24" t="n">
        <x:v>2.9000000000000004</x:v>
      </x:c>
      <x:c r="B31" s="24" t="n">
        <x:v>75.82813370827853</x:v>
      </x:c>
      <x:c r="C31" s="24" t="n">
        <x:v>68.45114625825737</x:v>
      </x:c>
      <x:c r="D31" s="24" t="n">
        <x:v>62.21434026510136</x:v>
      </x:c>
      <x:c r="E31" s="24" t="n">
        <x:v>68.91248205136876</x:v>
      </x:c>
      <x:c r="F31" s="24" t="n">
        <x:v>64.0590157535097</x:v>
      </x:c>
      <x:c r="G31" s="24" t="n">
        <x:v>56.51453437635217</x:v>
      </x:c>
      <x:c r="H31" s="24" t="n">
        <x:v>73.76260855857336</x:v>
      </x:c>
      <x:c r="I31" s="24" t="n">
        <x:v>65.84109910920935</x:v>
      </x:c>
      <x:c r="J31" s="24" t="n">
        <x:v>65.36236080341583</x:v>
      </x:c>
      <x:c r="K31" s="24" t="n">
        <x:v>59.023849785704236</x:v>
      </x:c>
      <x:c r="L31" s="24" t="n">
        <x:v>77.46528612623533</x:v>
      </x:c>
      <x:c r="M31" s="24" t="n">
        <x:v>70.29660680498488</x:v>
      </x:c>
      <x:c r="N31" s="24" t="n">
        <x:v>70.52508622529287</x:v>
      </x:c>
      <x:c r="O31" s="24" t="n">
        <x:v>50</x:v>
      </x:c>
      <x:c r="P31" s="24" t="n">
        <x:v>67.50762673252238</x:v>
      </x:c>
      <x:c r="Q31" s="24" t="n">
        <x:v>80.86581074189603</x:v>
      </x:c>
      <x:c r="R31" s="24" t="n">
        <x:v>68.72315522045268</x:v>
      </x:c>
      <x:c r="S31" s="24" t="n">
        <x:v>50</x:v>
      </x:c>
      <x:c r="T31" s="24" t="n">
        <x:v>83.0680097984417</x:v>
      </x:c>
      <x:c r="U31" s="24" t="n">
        <x:v>61.47842370992233</x:v>
      </x:c>
    </x:row>
    <x:row r="32">
      <x:c r="A32" s="24" t="n">
        <x:v>3</x:v>
      </x:c>
      <x:c r="B32" s="24" t="n">
        <x:v>75.26787096302942</x:v>
      </x:c>
      <x:c r="C32" s="24" t="n">
        <x:v>71.7538290552607</x:v>
      </x:c>
      <x:c r="D32" s="24" t="n">
        <x:v>66.74845448405851</x:v>
      </x:c>
      <x:c r="E32" s="24" t="n">
        <x:v>69.2423549238604</x:v>
      </x:c>
      <x:c r="F32" s="24" t="n">
        <x:v>65.14211978586327</x:v>
      </x:c>
      <x:c r="G32" s="24" t="n">
        <x:v>61.53084280586352</x:v>
      </x:c>
      <x:c r="H32" s="24" t="n">
        <x:v>73.76260855857336</x:v>
      </x:c>
      <x:c r="I32" s="24" t="n">
        <x:v>65.84109910920935</x:v>
      </x:c>
      <x:c r="J32" s="24" t="n">
        <x:v>83.01380062822648</x:v>
      </x:c>
      <x:c r="K32" s="24" t="n">
        <x:v>59.023849785704236</x:v>
      </x:c>
      <x:c r="L32" s="24" t="n">
        <x:v>76.37811070216422</x:v>
      </x:c>
      <x:c r="M32" s="24" t="n">
        <x:v>70.57508721412673</x:v>
      </x:c>
      <x:c r="N32" s="24" t="n">
        <x:v>70.52508622529287</x:v>
      </x:c>
      <x:c r="O32" s="24" t="n">
        <x:v>59.899090964719775</x:v>
      </x:c>
      <x:c r="P32" s="24" t="n">
        <x:v>71.06422779626092</x:v>
      </x:c>
      <x:c r="Q32" s="24" t="n">
        <x:v>72.83577621109211</x:v>
      </x:c>
      <x:c r="R32" s="24" t="n">
        <x:v>68.72315522045268</x:v>
      </x:c>
      <x:c r="S32" s="24" t="n">
        <x:v>52.47170765043285</x:v>
      </x:c>
      <x:c r="T32" s="24" t="n">
        <x:v>75.65237595848023</x:v>
      </x:c>
      <x:c r="U32" s="24" t="n">
        <x:v>67.00038912600291</x:v>
      </x:c>
    </x:row>
    <x:row r="33">
      <x:c r="A33" s="24" t="n">
        <x:v>3.1</x:v>
      </x:c>
      <x:c r="B33" s="24" t="n">
        <x:v>69.4735027907048</x:v>
      </x:c>
      <x:c r="C33" s="24" t="n">
        <x:v>75.45832944960279</x:v>
      </x:c>
      <x:c r="D33" s="24" t="n">
        <x:v>69.01819019590172</x:v>
      </x:c>
      <x:c r="E33" s="24" t="n">
        <x:v>69.2423549238604</x:v>
      </x:c>
      <x:c r="F33" s="24" t="n">
        <x:v>72.42571522296912</x:v>
      </x:c>
      <x:c r="G33" s="24" t="n">
        <x:v>65.14340350969135</x:v>
      </x:c>
      <x:c r="H33" s="24" t="n">
        <x:v>73.16763034864671</x:v>
      </x:c>
      <x:c r="I33" s="24" t="n">
        <x:v>66.32750946882537</x:v>
      </x:c>
      <x:c r="J33" s="24" t="n">
        <x:v>83.01380062822648</x:v>
      </x:c>
      <x:c r="K33" s="24" t="n">
        <x:v>59.35610058398967</x:v>
      </x:c>
      <x:c r="L33" s="24" t="n">
        <x:v>70.90320979996368</x:v>
      </x:c>
      <x:c r="M33" s="24" t="n">
        <x:v>71.77011550065798</x:v>
      </x:c>
      <x:c r="N33" s="24" t="n">
        <x:v>69.83284485725436</x:v>
      </x:c>
      <x:c r="O33" s="24" t="n">
        <x:v>72.2729546706195</x:v>
      </x:c>
      <x:c r="P33" s="24" t="n">
        <x:v>74.23744282507361</x:v>
      </x:c>
      <x:c r="Q33" s="24" t="n">
        <x:v>50</x:v>
      </x:c>
      <x:c r="R33" s="24" t="n">
        <x:v>68.85922788700748</x:v>
      </x:c>
      <x:c r="S33" s="24" t="n">
        <x:v>67.71131629161559</x:v>
      </x:c>
      <x:c r="T33" s="24" t="n">
        <x:v>74.36466666329603</x:v>
      </x:c>
      <x:c r="U33" s="24" t="n">
        <x:v>67.00038912600291</x:v>
      </x:c>
    </x:row>
    <x:row r="34">
      <x:c r="A34" s="24" t="n">
        <x:v>3.2</x:v>
      </x:c>
      <x:c r="B34" s="24" t="n">
        <x:v>65.91017646027967</x:v>
      </x:c>
      <x:c r="C34" s="24" t="n">
        <x:v>76.11940077483482</x:v>
      </x:c>
      <x:c r="D34" s="24" t="n">
        <x:v>69.81519501611459</x:v>
      </x:c>
      <x:c r="E34" s="24" t="n">
        <x:v>69.77474332017727</x:v>
      </x:c>
      <x:c r="F34" s="24" t="n">
        <x:v>72.42571522296912</x:v>
      </x:c>
      <x:c r="G34" s="24" t="n">
        <x:v>65.14340350969135</x:v>
      </x:c>
      <x:c r="H34" s="24" t="n">
        <x:v>74.13667428555922</x:v>
      </x:c>
      <x:c r="I34" s="24" t="n">
        <x:v>66.32750946882537</x:v>
      </x:c>
      <x:c r="J34" s="24" t="n">
        <x:v>79.8871233083631</x:v>
      </x:c>
      <x:c r="K34" s="24" t="n">
        <x:v>63.592987171716004</x:v>
      </x:c>
      <x:c r="L34" s="24" t="n">
        <x:v>68.21387448453714</x:v>
      </x:c>
      <x:c r="M34" s="24" t="n">
        <x:v>72.12138275873725</x:v>
      </x:c>
      <x:c r="N34" s="24" t="n">
        <x:v>69.97701655953786</x:v>
      </x:c>
      <x:c r="O34" s="24" t="n">
        <x:v>79.47667624225986</x:v>
      </x:c>
      <x:c r="P34" s="24" t="n">
        <x:v>74.23744282507361</x:v>
      </x:c>
      <x:c r="Q34" s="24" t="n">
        <x:v>50</x:v>
      </x:c>
      <x:c r="R34" s="24" t="n">
        <x:v>69.28408064705445</x:v>
      </x:c>
      <x:c r="S34" s="24" t="n">
        <x:v>71.17567274981859</x:v>
      </x:c>
      <x:c r="T34" s="24" t="n">
        <x:v>70.71073883083895</x:v>
      </x:c>
      <x:c r="U34" s="24" t="n">
        <x:v>79.38719761204774</x:v>
      </x:c>
    </x:row>
    <x:row r="35">
      <x:c r="A35" s="24" t="n">
        <x:v>3.3000000000000003</x:v>
      </x:c>
      <x:c r="B35" s="24" t="n">
        <x:v>60.98817554737555</x:v>
      </x:c>
      <x:c r="C35" s="24" t="n">
        <x:v>75.5471631550645</x:v>
      </x:c>
      <x:c r="D35" s="24" t="n">
        <x:v>70.64641080612444</x:v>
      </x:c>
      <x:c r="E35" s="24" t="n">
        <x:v>70.53049849143537</x:v>
      </x:c>
      <x:c r="F35" s="24" t="n">
        <x:v>62.817262723447854</x:v>
      </x:c>
      <x:c r="G35" s="24" t="n">
        <x:v>70.56481162849741</x:v>
      </x:c>
      <x:c r="H35" s="24" t="n">
        <x:v>74.24327249268217</x:v>
      </x:c>
      <x:c r="I35" s="24" t="n">
        <x:v>64.0942758500386</x:v>
      </x:c>
      <x:c r="J35" s="24" t="n">
        <x:v>71.13065391750693</x:v>
      </x:c>
      <x:c r="K35" s="24" t="n">
        <x:v>63.5929871717161</x:v>
      </x:c>
      <x:c r="L35" s="24" t="n">
        <x:v>66.15970711484552</x:v>
      </x:c>
      <x:c r="M35" s="24" t="n">
        <x:v>72.56205031723923</x:v>
      </x:c>
      <x:c r="N35" s="24" t="n">
        <x:v>70.92457131395605</x:v>
      </x:c>
      <x:c r="O35" s="24" t="n">
        <x:v>79.47667624225986</x:v>
      </x:c>
      <x:c r="P35" s="24" t="n">
        <x:v>66.42615731729677</x:v>
      </x:c>
      <x:c r="Q35" s="24" t="n">
        <x:v>50</x:v>
      </x:c>
      <x:c r="R35" s="24" t="n">
        <x:v>70.88335024406479</x:v>
      </x:c>
      <x:c r="S35" s="24" t="n">
        <x:v>71.45049201273751</x:v>
      </x:c>
      <x:c r="T35" s="24" t="n">
        <x:v>69.19606447262134</x:v>
      </x:c>
      <x:c r="U35" s="24" t="n">
        <x:v>79.38719761204774</x:v>
      </x:c>
    </x:row>
    <x:row r="36">
      <x:c r="A36" s="24" t="n">
        <x:v>3.4000000000000004</x:v>
      </x:c>
      <x:c r="B36" s="24" t="n">
        <x:v>62.20351889974589</x:v>
      </x:c>
      <x:c r="C36" s="24" t="n">
        <x:v>68.49962512006041</x:v>
      </x:c>
      <x:c r="D36" s="24" t="n">
        <x:v>70.64641080612444</x:v>
      </x:c>
      <x:c r="E36" s="24" t="n">
        <x:v>69.49900553228417</x:v>
      </x:c>
      <x:c r="F36" s="24" t="n">
        <x:v>62.33355111423571</x:v>
      </x:c>
      <x:c r="G36" s="24" t="n">
        <x:v>70.56481162849741</x:v>
      </x:c>
      <x:c r="H36" s="24" t="n">
        <x:v>87.94436795931738</x:v>
      </x:c>
      <x:c r="I36" s="24" t="n">
        <x:v>66.45845854303047</x:v>
      </x:c>
      <x:c r="J36" s="24" t="n">
        <x:v>63.735399451047954</x:v>
      </x:c>
      <x:c r="K36" s="24" t="n">
        <x:v>83.44339507443158</x:v>
      </x:c>
      <x:c r="L36" s="24" t="n">
        <x:v>66.5145714198048</x:v>
      </x:c>
      <x:c r="M36" s="24" t="n">
        <x:v>73.15333876451881</x:v>
      </x:c>
      <x:c r="N36" s="24" t="n">
        <x:v>71.7882284755962</x:v>
      </x:c>
      <x:c r="O36" s="24" t="n">
        <x:v>74.73506474474227</x:v>
      </x:c>
      <x:c r="P36" s="24" t="n">
        <x:v>50</x:v>
      </x:c>
      <x:c r="Q36" s="24" t="n">
        <x:v>50</x:v>
      </x:c>
      <x:c r="R36" s="24" t="n">
        <x:v>70.88335024406479</x:v>
      </x:c>
      <x:c r="S36" s="24" t="n">
        <x:v>71.7470726141926</x:v>
      </x:c>
      <x:c r="T36" s="24" t="n">
        <x:v>68.5165468141669</x:v>
      </x:c>
      <x:c r="U36" s="24" t="n">
        <x:v>78.00940895394669</x:v>
      </x:c>
    </x:row>
    <x:row r="37">
      <x:c r="A37" s="24" t="n">
        <x:v>3.5</x:v>
      </x:c>
      <x:c r="B37" s="24" t="n">
        <x:v>62.68645026426576</x:v>
      </x:c>
      <x:c r="C37" s="24" t="n">
        <x:v>63.28901909692348</x:v>
      </x:c>
      <x:c r="D37" s="24" t="n">
        <x:v>70.7344491290999</x:v>
      </x:c>
      <x:c r="E37" s="24" t="n">
        <x:v>76.48913591357736</x:v>
      </x:c>
      <x:c r="F37" s="24" t="n">
        <x:v>64.36007762713422</x:v>
      </x:c>
      <x:c r="G37" s="24" t="n">
        <x:v>66.24557613286835</x:v>
      </x:c>
      <x:c r="H37" s="24" t="n">
        <x:v>88.73481670837076</x:v>
      </x:c>
      <x:c r="I37" s="24" t="n">
        <x:v>66.45845854303047</x:v>
      </x:c>
      <x:c r="J37" s="24" t="n">
        <x:v>60.982519610857146</x:v>
      </x:c>
      <x:c r="K37" s="24" t="n">
        <x:v>83.44339507443158</x:v>
      </x:c>
      <x:c r="L37" s="24" t="n">
        <x:v>67.31427408545655</x:v>
      </x:c>
      <x:c r="M37" s="24" t="n">
        <x:v>73.32355274394988</x:v>
      </x:c>
      <x:c r="N37" s="24" t="n">
        <x:v>71.7882284755962</x:v>
      </x:c>
      <x:c r="O37" s="24" t="n">
        <x:v>71.3313406168899</x:v>
      </x:c>
      <x:c r="P37" s="24" t="n">
        <x:v>50</x:v>
      </x:c>
      <x:c r="Q37" s="24" t="n">
        <x:v>60.48946799963008</x:v>
      </x:c>
      <x:c r="R37" s="24" t="n">
        <x:v>82.20710030213787</x:v>
      </x:c>
      <x:c r="S37" s="24" t="n">
        <x:v>71.7470726141926</x:v>
      </x:c>
      <x:c r="T37" s="24" t="n">
        <x:v>72.57817335940213</x:v>
      </x:c>
      <x:c r="U37" s="24" t="n">
        <x:v>78.3399718438335</x:v>
      </x:c>
    </x:row>
    <x:row r="38">
      <x:c r="A38" s="24" t="n">
        <x:v>3.6</x:v>
      </x:c>
      <x:c r="B38" s="24" t="n">
        <x:v>65.61290800168567</x:v>
      </x:c>
      <x:c r="C38" s="24" t="n">
        <x:v>64.71358898930299</x:v>
      </x:c>
      <x:c r="D38" s="24" t="n">
        <x:v>70.7344491290999</x:v>
      </x:c>
      <x:c r="E38" s="24" t="n">
        <x:v>77.43580901486294</x:v>
      </x:c>
      <x:c r="F38" s="24" t="n">
        <x:v>65.2231177967667</x:v>
      </x:c>
      <x:c r="G38" s="24" t="n">
        <x:v>62.399671079304184</x:v>
      </x:c>
      <x:c r="H38" s="24" t="n">
        <x:v>88.19785007037581</x:v>
      </x:c>
      <x:c r="I38" s="24" t="n">
        <x:v>63.863360871341115</x:v>
      </x:c>
      <x:c r="J38" s="24" t="n">
        <x:v>65.62858955684094</x:v>
      </x:c>
      <x:c r="K38" s="24" t="n">
        <x:v>80.3120423708238</x:v>
      </x:c>
      <x:c r="L38" s="24" t="n">
        <x:v>68.18522651475287</x:v>
      </x:c>
      <x:c r="M38" s="24" t="n">
        <x:v>73.32355274394988</x:v>
      </x:c>
      <x:c r="N38" s="24" t="n">
        <x:v>70.86916975155599</x:v>
      </x:c>
      <x:c r="O38" s="24" t="n">
        <x:v>69.17347583130521</x:v>
      </x:c>
      <x:c r="P38" s="24" t="n">
        <x:v>50</x:v>
      </x:c>
      <x:c r="Q38" s="24" t="n">
        <x:v>79.32787296049887</x:v>
      </x:c>
      <x:c r="R38" s="24" t="n">
        <x:v>82.69726914603427</x:v>
      </x:c>
      <x:c r="S38" s="24" t="n">
        <x:v>70.722921172411</x:v>
      </x:c>
      <x:c r="T38" s="24" t="n">
        <x:v>78.42150116169253</x:v>
      </x:c>
      <x:c r="U38" s="24" t="n">
        <x:v>78.3399718438335</x:v>
      </x:c>
    </x:row>
    <x:row r="39">
      <x:c r="A39" s="24" t="n">
        <x:v>3.7</x:v>
      </x:c>
      <x:c r="B39" s="24" t="n">
        <x:v>65.61290800168567</x:v>
      </x:c>
      <x:c r="C39" s="24" t="n">
        <x:v>67.3330607299945</x:v>
      </x:c>
      <x:c r="D39" s="24" t="n">
        <x:v>70.40766038779101</x:v>
      </x:c>
      <x:c r="E39" s="24" t="n">
        <x:v>75.54778773731452</x:v>
      </x:c>
      <x:c r="F39" s="24" t="n">
        <x:v>69.45834001282162</x:v>
      </x:c>
      <x:c r="G39" s="24" t="n">
        <x:v>63.18117037002018</x:v>
      </x:c>
      <x:c r="H39" s="24" t="n">
        <x:v>78.68495867940533</x:v>
      </x:c>
      <x:c r="I39" s="24" t="n">
        <x:v>62.34519905231865</x:v>
      </x:c>
      <x:c r="J39" s="24" t="n">
        <x:v>70.27465950282473</x:v>
      </x:c>
      <x:c r="K39" s="24" t="n">
        <x:v>71.74759009115004</x:v>
      </x:c>
      <x:c r="L39" s="24" t="n">
        <x:v>69.2896764664698</x:v>
      </x:c>
      <x:c r="M39" s="24" t="n">
        <x:v>72.96753764377499</x:v>
      </x:c>
      <x:c r="N39" s="24" t="n">
        <x:v>69.00593020804635</x:v>
      </x:c>
      <x:c r="O39" s="24" t="n">
        <x:v>68.31874537954195</x:v>
      </x:c>
      <x:c r="P39" s="24" t="n">
        <x:v>50</x:v>
      </x:c>
      <x:c r="Q39" s="24" t="n">
        <x:v>79.32787296049887</x:v>
      </x:c>
      <x:c r="R39" s="24" t="n">
        <x:v>81.69973054754418</x:v>
      </x:c>
      <x:c r="S39" s="24" t="n">
        <x:v>66.33373803228105</x:v>
      </x:c>
      <x:c r="T39" s="24" t="n">
        <x:v>78.42150116169253</x:v>
      </x:c>
      <x:c r="U39" s="24" t="n">
        <x:v>75.8366996284011</x:v>
      </x:c>
    </x:row>
    <x:row r="40">
      <x:c r="A40" s="24" t="n">
        <x:v>3.8000000000000003</x:v>
      </x:c>
      <x:c r="B40" s="24" t="n">
        <x:v>64.7665853511531</x:v>
      </x:c>
      <x:c r="C40" s="24" t="n">
        <x:v>67.92229235553401</x:v>
      </x:c>
      <x:c r="D40" s="24" t="n">
        <x:v>70.04438001749975</x:v>
      </x:c>
      <x:c r="E40" s="24" t="n">
        <x:v>64.84669035449532</x:v>
      </x:c>
      <x:c r="F40" s="24" t="n">
        <x:v>70.07845153068217</x:v>
      </x:c>
      <x:c r="G40" s="24" t="n">
        <x:v>63.87695097019342</x:v>
      </x:c>
      <x:c r="H40" s="24" t="n">
        <x:v>71.77133710460667</x:v>
      </x:c>
      <x:c r="I40" s="24" t="n">
        <x:v>65.74233258491874</x:v>
      </x:c>
      <x:c r="J40" s="24" t="n">
        <x:v>70.2746595028247</x:v>
      </x:c>
      <x:c r="K40" s="24" t="n">
        <x:v>66.58212282994616</x:v>
      </x:c>
      <x:c r="L40" s="24" t="n">
        <x:v>69.38146750911253</x:v>
      </x:c>
      <x:c r="M40" s="24" t="n">
        <x:v>74.03513915048298</x:v>
      </x:c>
      <x:c r="N40" s="24" t="n">
        <x:v>75.74668520952413</x:v>
      </x:c>
      <x:c r="O40" s="24" t="n">
        <x:v>65.6158777479202</x:v>
      </x:c>
      <x:c r="P40" s="24" t="n">
        <x:v>61.67831734545052</x:v>
      </x:c>
      <x:c r="Q40" s="24" t="n">
        <x:v>72.47552208963916</x:v>
      </x:c>
      <x:c r="R40" s="24" t="n">
        <x:v>70.77108648690964</x:v>
      </x:c>
      <x:c r="S40" s="24" t="n">
        <x:v>80.8941480799215</x:v>
      </x:c>
      <x:c r="T40" s="24" t="n">
        <x:v>72.53768899920449</x:v>
      </x:c>
      <x:c r="U40" s="24" t="n">
        <x:v>72.00460167549426</x:v>
      </x:c>
    </x:row>
    <x:row r="41">
      <x:c r="A41" s="24" t="n">
        <x:v>3.9000000000000004</x:v>
      </x:c>
      <x:c r="B41" s="24" t="n">
        <x:v>65.81279206374067</x:v>
      </x:c>
      <x:c r="C41" s="24" t="n">
        <x:v>67.92229235553401</x:v>
      </x:c>
      <x:c r="D41" s="24" t="n">
        <x:v>72.0373713987217</x:v>
      </x:c>
      <x:c r="E41" s="24" t="n">
        <x:v>52.047679274739764</x:v>
      </x:c>
      <x:c r="F41" s="24" t="n">
        <x:v>69.73380518587057</x:v>
      </x:c>
      <x:c r="G41" s="24" t="n">
        <x:v>65.437579063448</x:v>
      </x:c>
      <x:c r="H41" s="24" t="n">
        <x:v>69.57276804050883</x:v>
      </x:c>
      <x:c r="I41" s="24" t="n">
        <x:v>74.72890661195956</x:v>
      </x:c>
      <x:c r="J41" s="24" t="n">
        <x:v>62.83560107007746</x:v>
      </x:c>
      <x:c r="K41" s="24" t="n">
        <x:v>64.41018149543982</x:v>
      </x:c>
      <x:c r="L41" s="24" t="n">
        <x:v>68.77804569526091</x:v>
      </x:c>
      <x:c r="M41" s="24" t="n">
        <x:v>74.03513915048298</x:v>
      </x:c>
      <x:c r="N41" s="24" t="n">
        <x:v>79.79113821041078</x:v>
      </x:c>
      <x:c r="O41" s="24" t="n">
        <x:v>65.53746255887583</x:v>
      </x:c>
      <x:c r="P41" s="24" t="n">
        <x:v>76.92701407956176</x:v>
      </x:c>
      <x:c r="Q41" s="24" t="n">
        <x:v>72.97885877616942</x:v>
      </x:c>
      <x:c r="R41" s="24" t="n">
        <x:v>63.199835002704845</x:v>
      </x:c>
      <x:c r="S41" s="24" t="n">
        <x:v>81.45915265129693</x:v>
      </x:c>
      <x:c r="T41" s="24" t="n">
        <x:v>64.26351028758955</x:v>
      </x:c>
      <x:c r="U41" s="24" t="n">
        <x:v>68.73488039959355</x:v>
      </x:c>
    </x:row>
    <x:row r="42">
      <x:c r="A42" s="24" t="n">
        <x:v>4</x:v>
      </x:c>
      <x:c r="B42" s="24" t="n">
        <x:v>65.81279206374067</x:v>
      </x:c>
      <x:c r="C42" s="24" t="n">
        <x:v>68.52774811557357</x:v>
      </x:c>
      <x:c r="D42" s="24" t="n">
        <x:v>72.0373713987217</x:v>
      </x:c>
      <x:c r="E42" s="24" t="n">
        <x:v>52.9444209367251</x:v>
      </x:c>
      <x:c r="F42" s="24" t="n">
        <x:v>70.29563576391942</x:v>
      </x:c>
      <x:c r="G42" s="24" t="n">
        <x:v>64.97172244246264</x:v>
      </x:c>
      <x:c r="H42" s="24" t="n">
        <x:v>55.25090593073517</x:v>
      </x:c>
      <x:c r="I42" s="24" t="n">
        <x:v>74.72890661195956</x:v>
      </x:c>
      <x:c r="J42" s="24" t="n">
        <x:v>65.84061314719</x:v>
      </x:c>
      <x:c r="K42" s="24" t="n">
        <x:v>65.60850587237015</x:v>
      </x:c>
      <x:c r="L42" s="24" t="n">
        <x:v>66.25946611699972</x:v>
      </x:c>
      <x:c r="M42" s="24" t="n">
        <x:v>72.02372511027549</x:v>
      </x:c>
      <x:c r="N42" s="24" t="n">
        <x:v>79.79113821041078</x:v>
      </x:c>
      <x:c r="O42" s="24" t="n">
        <x:v>67.85601865497966</x:v>
      </x:c>
      <x:c r="P42" s="24" t="n">
        <x:v>76.92701407956176</x:v>
      </x:c>
      <x:c r="Q42" s="24" t="n">
        <x:v>72.75796423319605</x:v>
      </x:c>
      <x:c r="R42" s="24" t="n">
        <x:v>50</x:v>
      </x:c>
      <x:c r="S42" s="24" t="n">
        <x:v>80.75507005364004</x:v>
      </x:c>
      <x:c r="T42" s="24" t="n">
        <x:v>50</x:v>
      </x:c>
      <x:c r="U42" s="24" t="n">
        <x:v>66.74066129146571</x:v>
      </x:c>
    </x:row>
    <x:row r="43">
      <x:c r="A43" s="24" t="n">
        <x:v>4.1000000000000005</x:v>
      </x:c>
      <x:c r="B43" s="24" t="n">
        <x:v>63.93156979510928</x:v>
      </x:c>
      <x:c r="C43" s="24" t="n">
        <x:v>68.57168892620984</x:v>
      </x:c>
      <x:c r="D43" s="24" t="n">
        <x:v>92.63161033133652</x:v>
      </x:c>
      <x:c r="E43" s="24" t="n">
        <x:v>53.43345612131135</x:v>
      </x:c>
      <x:c r="F43" s="24" t="n">
        <x:v>70.99376589276166</x:v>
      </x:c>
      <x:c r="G43" s="24" t="n">
        <x:v>65.44618497830568</x:v>
      </x:c>
      <x:c r="H43" s="24" t="n">
        <x:v>63.118473147747494</x:v>
      </x:c>
      <x:c r="I43" s="24" t="n">
        <x:v>72.04299693831493</x:v>
      </x:c>
      <x:c r="J43" s="24" t="n">
        <x:v>66.58780813000097</x:v>
      </x:c>
      <x:c r="K43" s="24" t="n">
        <x:v>67.60571316725404</x:v>
      </x:c>
      <x:c r="L43" s="24" t="n">
        <x:v>63.3645755737546</x:v>
      </x:c>
      <x:c r="M43" s="24" t="n">
        <x:v>70.54734264587277</x:v>
      </x:c>
      <x:c r="N43" s="24" t="n">
        <x:v>69.73177467539747</x:v>
      </x:c>
      <x:c r="O43" s="24" t="n">
        <x:v>67.92785501851169</x:v>
      </x:c>
      <x:c r="P43" s="24" t="n">
        <x:v>73.31512370429003</x:v>
      </x:c>
      <x:c r="Q43" s="24" t="n">
        <x:v>71.83939988695496</x:v>
      </x:c>
      <x:c r="R43" s="24" t="n">
        <x:v>50</x:v>
      </x:c>
      <x:c r="S43" s="24" t="n">
        <x:v>71.66138773849812</x:v>
      </x:c>
      <x:c r="T43" s="24" t="n">
        <x:v>50</x:v>
      </x:c>
      <x:c r="U43" s="24" t="n">
        <x:v>64.8249748038102</x:v>
      </x:c>
    </x:row>
    <x:row r="44">
      <x:c r="A44" s="24" t="n">
        <x:v>4.2</x:v>
      </x:c>
      <x:c r="B44" s="24" t="n">
        <x:v>63.93156979510928</x:v>
      </x:c>
      <x:c r="C44" s="24" t="n">
        <x:v>68.42300624174518</x:v>
      </x:c>
      <x:c r="D44" s="24" t="n">
        <x:v>92.63161033133652</x:v>
      </x:c>
      <x:c r="E44" s="24" t="n">
        <x:v>66.17509381959792</x:v>
      </x:c>
      <x:c r="F44" s="24" t="n">
        <x:v>70.99376589276166</x:v>
      </x:c>
      <x:c r="G44" s="24" t="n">
        <x:v>66.37744349664283</x:v>
      </x:c>
      <x:c r="H44" s="24" t="n">
        <x:v>63.118473147747494</x:v>
      </x:c>
      <x:c r="I44" s="24" t="n">
        <x:v>68.79990888742438</x:v>
      </x:c>
      <x:c r="J44" s="24" t="n">
        <x:v>66.58780813000097</x:v>
      </x:c>
      <x:c r="K44" s="24" t="n">
        <x:v>68.80403754418435</x:v>
      </x:c>
      <x:c r="L44" s="24" t="n">
        <x:v>63.14865978730711</x:v>
      </x:c>
      <x:c r="M44" s="24" t="n">
        <x:v>77.42902349330373</x:v>
      </x:c>
      <x:c r="N44" s="24" t="n">
        <x:v>61.78328998030075</x:v>
      </x:c>
      <x:c r="O44" s="24" t="n">
        <x:v>67.92793483978579</x:v>
      </x:c>
      <x:c r="P44" s="24" t="n">
        <x:v>72.32477109237723</x:v>
      </x:c>
      <x:c r="Q44" s="24" t="n">
        <x:v>72.00603315542965</x:v>
      </x:c>
      <x:c r="R44" s="24" t="n">
        <x:v>50</x:v>
      </x:c>
      <x:c r="S44" s="24" t="n">
        <x:v>66.64637353284164</x:v>
      </x:c>
      <x:c r="T44" s="24" t="n">
        <x:v>57.35924631310874</x:v>
      </x:c>
      <x:c r="U44" s="24" t="n">
        <x:v>64.69423097731882</x:v>
      </x:c>
    </x:row>
    <x:row r="45">
      <x:c r="A45" s="24" t="n">
        <x:v>4.3</x:v>
      </x:c>
      <x:c r="B45" s="24" t="n">
        <x:v>59.613985592831135</x:v>
      </x:c>
      <x:c r="C45" s="24" t="n">
        <x:v>68.14573766454636</x:v>
      </x:c>
      <x:c r="D45" s="24" t="n">
        <x:v>89.38373267251323</x:v>
      </x:c>
      <x:c r="E45" s="24" t="n">
        <x:v>67.16006194988745</x:v>
      </x:c>
      <x:c r="F45" s="24" t="n">
        <x:v>69.57083148747941</x:v>
      </x:c>
      <x:c r="G45" s="24" t="n">
        <x:v>66.52880335183464</x:v>
      </x:c>
      <x:c r="H45" s="24" t="n">
        <x:v>71.93578023996562</x:v>
      </x:c>
      <x:c r="I45" s="24" t="n">
        <x:v>66.53898901779709</x:v>
      </x:c>
      <x:c r="J45" s="24" t="n">
        <x:v>64.8182741481206</x:v>
      </x:c>
      <x:c r="K45" s="24" t="n">
        <x:v>68.80403754418435</x:v>
      </x:c>
      <x:c r="L45" s="24" t="n">
        <x:v>77.62099961917735</x:v>
      </x:c>
      <x:c r="M45" s="24" t="n">
        <x:v>81.154660191323</x:v>
      </x:c>
      <x:c r="N45" s="24" t="n">
        <x:v>50</x:v>
      </x:c>
      <x:c r="O45" s="24" t="n">
        <x:v>77.27153442744338</x:v>
      </x:c>
      <x:c r="P45" s="24" t="n">
        <x:v>72.32477109237723</x:v>
      </x:c>
      <x:c r="Q45" s="24" t="n">
        <x:v>72.00603315542965</x:v>
      </x:c>
      <x:c r="R45" s="24" t="n">
        <x:v>61.607455244740954</x:v>
      </x:c>
      <x:c r="S45" s="24" t="n">
        <x:v>60.166238953003784</x:v>
      </x:c>
      <x:c r="T45" s="24" t="n">
        <x:v>64.28152050214985</x:v>
      </x:c>
      <x:c r="U45" s="24" t="n">
        <x:v>64.63370827928422</x:v>
      </x:c>
    </x:row>
    <x:row r="46">
      <x:c r="A46" s="24" t="n">
        <x:v>4.4</x:v>
      </x:c>
      <x:c r="B46" s="24" t="n">
        <x:v>64.1366545867032</x:v>
      </x:c>
      <x:c r="C46" s="24" t="n">
        <x:v>68.14573766454636</x:v>
      </x:c>
      <x:c r="D46" s="24" t="n">
        <x:v>81.04072316913711</x:v>
      </x:c>
      <x:c r="E46" s="24" t="n">
        <x:v>67.06435578187228</x:v>
      </x:c>
      <x:c r="F46" s="24" t="n">
        <x:v>69.57083148747941</x:v>
      </x:c>
      <x:c r="G46" s="24" t="n">
        <x:v>84.71678805875572</x:v>
      </x:c>
      <x:c r="H46" s="24" t="n">
        <x:v>71.93578023996562</x:v>
      </x:c>
      <x:c r="I46" s="24" t="n">
        <x:v>64.27806914816979</x:v>
      </x:c>
      <x:c r="J46" s="24" t="n">
        <x:v>64.06298288900322</x:v>
      </x:c>
      <x:c r="K46" s="24" t="n">
        <x:v>61.770429369230726</x:v>
      </x:c>
      <x:c r="L46" s="24" t="n">
        <x:v>79.99864418243142</x:v>
      </x:c>
      <x:c r="M46" s="24" t="n">
        <x:v>81.154660191323</x:v>
      </x:c>
      <x:c r="N46" s="24" t="n">
        <x:v>50</x:v>
      </x:c>
      <x:c r="O46" s="24" t="n">
        <x:v>79.15735362537265</x:v>
      </x:c>
      <x:c r="P46" s="24" t="n">
        <x:v>69.48623602559348</x:v>
      </x:c>
      <x:c r="Q46" s="24" t="n">
        <x:v>71.86127187666074</x:v>
      </x:c>
      <x:c r="R46" s="24" t="n">
        <x:v>81.34057208318364</x:v>
      </x:c>
      <x:c r="S46" s="24" t="n">
        <x:v>50</x:v>
      </x:c>
      <x:c r="T46" s="24" t="n">
        <x:v>68.20856600015625</x:v>
      </x:c>
      <x:c r="U46" s="24" t="n">
        <x:v>84.78617499135723</x:v>
      </x:c>
    </x:row>
    <x:row r="47">
      <x:c r="A47" s="24" t="n">
        <x:v>4.5</x:v>
      </x:c>
      <x:c r="B47" s="24" t="n">
        <x:v>64.1366545867032</x:v>
      </x:c>
      <x:c r="C47" s="24" t="n">
        <x:v>67.95434318485503</x:v>
      </x:c>
      <x:c r="D47" s="24" t="n">
        <x:v>72.599082196032</x:v>
      </x:c>
      <x:c r="E47" s="24" t="n">
        <x:v>76.8933771088611</x:v>
      </x:c>
      <x:c r="F47" s="24" t="n">
        <x:v>68.19372803983735</x:v>
      </x:c>
      <x:c r="G47" s="24" t="n">
        <x:v>86.39956270325644</x:v>
      </x:c>
      <x:c r="H47" s="24" t="n">
        <x:v>65.86222510648936</x:v>
      </x:c>
      <x:c r="I47" s="24" t="n">
        <x:v>62.017149278542504</x:v>
      </x:c>
      <x:c r="J47" s="24" t="n">
        <x:v>80.15797543828504</x:v>
      </x:c>
      <x:c r="K47" s="24" t="n">
        <x:v>62.581778545772295</x:v>
      </x:c>
      <x:c r="L47" s="24" t="n">
        <x:v>79.99864418243142</x:v>
      </x:c>
      <x:c r="M47" s="24" t="n">
        <x:v>71.57385822289454</x:v>
      </x:c>
      <x:c r="N47" s="24" t="n">
        <x:v>50</x:v>
      </x:c>
      <x:c r="O47" s="24" t="n">
        <x:v>79.15735362537265</x:v>
      </x:c>
      <x:c r="P47" s="24" t="n">
        <x:v>69.48623602559348</x:v>
      </x:c>
      <x:c r="Q47" s="24" t="n">
        <x:v>72.08643617515213</x:v>
      </x:c>
      <x:c r="R47" s="24" t="n">
        <x:v>85.68336613431143</x:v>
      </x:c>
      <x:c r="S47" s="24" t="n">
        <x:v>55.214787756231615</x:v>
      </x:c>
      <x:c r="T47" s="24" t="n">
        <x:v>69.57741910829952</x:v>
      </x:c>
      <x:c r="U47" s="24" t="n">
        <x:v>85.58187951619757</x:v>
      </x:c>
    </x:row>
    <x:row r="48">
      <x:c r="A48" s="24" t="n">
        <x:v>4.6000000000000005</x:v>
      </x:c>
      <x:c r="B48" s="24" t="n">
        <x:v>77.72671445248331</x:v>
      </x:c>
      <x:c r="C48" s="24" t="n">
        <x:v>68.76242003869771</x:v>
      </x:c>
      <x:c r="D48" s="24" t="n">
        <x:v>66.35689734321481</x:v>
      </x:c>
      <x:c r="E48" s="24" t="n">
        <x:v>76.8933771088611</x:v>
      </x:c>
      <x:c r="F48" s="24" t="n">
        <x:v>64.88629822904406</x:v>
      </x:c>
      <x:c r="G48" s="24" t="n">
        <x:v>86.39956270325632</x:v>
      </x:c>
      <x:c r="H48" s="24" t="n">
        <x:v>47.509170017911146</x:v>
      </x:c>
      <x:c r="I48" s="24" t="n">
        <x:v>60.66059735676613</x:v>
      </x:c>
      <x:c r="J48" s="24" t="n">
        <x:v>80.49076513321614</x:v>
      </x:c>
      <x:c r="K48" s="24" t="n">
        <x:v>62.581778545772295</x:v>
      </x:c>
      <x:c r="L48" s="24" t="n">
        <x:v>70.26854374389126</x:v>
      </x:c>
      <x:c r="M48" s="24" t="n">
        <x:v>50</x:v>
      </x:c>
      <x:c r="N48" s="24" t="n">
        <x:v>68.38109864321738</x:v>
      </x:c>
      <x:c r="O48" s="24" t="n">
        <x:v>69.88889936802917</x:v>
      </x:c>
      <x:c r="P48" s="24" t="n">
        <x:v>70.08107570243129</x:v>
      </x:c>
      <x:c r="Q48" s="24" t="n">
        <x:v>72.08643617515213</x:v>
      </x:c>
      <x:c r="R48" s="24" t="n">
        <x:v>86.39466865188231</x:v>
      </x:c>
      <x:c r="S48" s="24" t="n">
        <x:v>71.7209350918063</x:v>
      </x:c>
      <x:c r="T48" s="24" t="n">
        <x:v>69.57741910829951</x:v>
      </x:c>
      <x:c r="U48" s="24" t="n">
        <x:v>85.19944846295039</x:v>
      </x:c>
    </x:row>
    <x:row r="49">
      <x:c r="A49" s="24" t="n">
        <x:v>4.7</x:v>
      </x:c>
      <x:c r="B49" s="24" t="n">
        <x:v>90.34372393207698</x:v>
      </x:c>
      <x:c r="C49" s="24" t="n">
        <x:v>73.10515519397933</x:v>
      </x:c>
      <x:c r="D49" s="24" t="n">
        <x:v>59.910732951297156</x:v>
      </x:c>
      <x:c r="E49" s="24" t="n">
        <x:v>73.56649766825079</x:v>
      </x:c>
      <x:c r="F49" s="24" t="n">
        <x:v>81.58983469707603</x:v>
      </x:c>
      <x:c r="G49" s="24" t="n">
        <x:v>79.03193780882626</x:v>
      </x:c>
      <x:c r="H49" s="24" t="n">
        <x:v>66.94820042861764</x:v>
      </x:c>
      <x:c r="I49" s="24" t="n">
        <x:v>65.40420936088805</x:v>
      </x:c>
      <x:c r="J49" s="24" t="n">
        <x:v>79.4539558787972</x:v>
      </x:c>
      <x:c r="K49" s="24" t="n">
        <x:v>61.87346225893219</x:v>
      </x:c>
      <x:c r="L49" s="24" t="n">
        <x:v>63.19052603119593</x:v>
      </x:c>
      <x:c r="M49" s="24" t="n">
        <x:v>50</x:v>
      </x:c>
      <x:c r="N49" s="24" t="n">
        <x:v>69.73272652464904</x:v>
      </x:c>
      <x:c r="O49" s="24" t="n">
        <x:v>52.92980084038932</x:v>
      </x:c>
      <x:c r="P49" s="24" t="n">
        <x:v>70.22816728960373</x:v>
      </x:c>
      <x:c r="Q49" s="24" t="n">
        <x:v>73.27567483056484</x:v>
      </x:c>
      <x:c r="R49" s="24" t="n">
        <x:v>86.1572728190568</x:v>
      </x:c>
      <x:c r="S49" s="24" t="n">
        <x:v>80.72929645961935</x:v>
      </x:c>
      <x:c r="T49" s="24" t="n">
        <x:v>67.06436570993458</x:v>
      </x:c>
      <x:c r="U49" s="24" t="n">
        <x:v>76.94808086421341</x:v>
      </x:c>
    </x:row>
    <x:row r="50">
      <x:c r="A50" s="24" t="n">
        <x:v>4.800000000000001</x:v>
      </x:c>
      <x:c r="B50" s="24" t="n">
        <x:v>90.34372393207698</x:v>
      </x:c>
      <x:c r="C50" s="24" t="n">
        <x:v>79.85591449580618</x:v>
      </x:c>
      <x:c r="D50" s="24" t="n">
        <x:v>52.39175843351897</x:v>
      </x:c>
      <x:c r="E50" s="24" t="n">
        <x:v>67.36437182399261</x:v>
      </x:c>
      <x:c r="F50" s="24" t="n">
        <x:v>82.39453266073129</x:v>
      </x:c>
      <x:c r="G50" s="24" t="n">
        <x:v>70.90922885835747</x:v>
      </x:c>
      <x:c r="H50" s="24" t="n">
        <x:v>66.94820042861764</x:v>
      </x:c>
      <x:c r="I50" s="24" t="n">
        <x:v>70.14782136500997</x:v>
      </x:c>
      <x:c r="J50" s="24" t="n">
        <x:v>71.15370987374155</x:v>
      </x:c>
      <x:c r="K50" s="24" t="n">
        <x:v>63.22483880499247</x:v>
      </x:c>
      <x:c r="L50" s="24" t="n">
        <x:v>54.94644726169844</x:v>
      </x:c>
      <x:c r="M50" s="24" t="n">
        <x:v>54.35432505036129</x:v>
      </x:c>
      <x:c r="N50" s="24" t="n">
        <x:v>69.732726524649</x:v>
      </x:c>
      <x:c r="O50" s="24" t="n">
        <x:v>54.683559492240406</x:v>
      </x:c>
      <x:c r="P50" s="24" t="n">
        <x:v>69.33162326200784</x:v>
      </x:c>
      <x:c r="Q50" s="24" t="n">
        <x:v>73.27567483056484</x:v>
      </x:c>
      <x:c r="R50" s="24" t="n">
        <x:v>75.64537317528283</x:v>
      </x:c>
      <x:c r="S50" s="24" t="n">
        <x:v>80.72929645961935</x:v>
      </x:c>
      <x:c r="T50" s="24" t="n">
        <x:v>66.30592558515913</x:v>
      </x:c>
      <x:c r="U50" s="24" t="n">
        <x:v>69.10661271652195</x:v>
      </x:c>
    </x:row>
    <x:row r="51">
      <x:c r="A51" s="24" t="n">
        <x:v>4.9</x:v>
      </x:c>
      <x:c r="B51" s="24" t="n">
        <x:v>82.78704359250577</x:v>
      </x:c>
      <x:c r="C51" s="24" t="n">
        <x:v>79.85591449580618</x:v>
      </x:c>
      <x:c r="D51" s="24" t="n">
        <x:v>67.50352806299883</x:v>
      </x:c>
      <x:c r="E51" s="24" t="n">
        <x:v>66.4301397141198</x:v>
      </x:c>
      <x:c r="F51" s="24" t="n">
        <x:v>81.64455489322049</x:v>
      </x:c>
      <x:c r="G51" s="24" t="n">
        <x:v>61.031903895775066</x:v>
      </x:c>
      <x:c r="H51" s="24" t="n">
        <x:v>68.20072285524112</x:v>
      </x:c>
      <x:c r="I51" s="24" t="n">
        <x:v>70.14782136500997</x:v>
      </x:c>
      <x:c r="J51" s="24" t="n">
        <x:v>64.57833086690215</x:v>
      </x:c>
      <x:c r="K51" s="24" t="n">
        <x:v>62.78301733004858</x:v>
      </x:c>
      <x:c r="L51" s="24" t="n">
        <x:v>50.510282310679784</x:v>
      </x:c>
      <x:c r="M51" s="24" t="n">
        <x:v>58.70865010072254</x:v>
      </x:c>
      <x:c r="N51" s="24" t="n">
        <x:v>67.30675840498249</x:v>
      </x:c>
      <x:c r="O51" s="24" t="n">
        <x:v>66.3924582228411</x:v>
      </x:c>
      <x:c r="P51" s="24" t="n">
        <x:v>69.20176185622407</x:v>
      </x:c>
      <x:c r="Q51" s="24" t="n">
        <x:v>72.23582513656626</x:v>
      </x:c>
      <x:c r="R51" s="24" t="n">
        <x:v>70.69367959526926</x:v>
      </x:c>
      <x:c r="S51" s="24" t="n">
        <x:v>75.18036354449328</x:v>
      </x:c>
      <x:c r="T51" s="24" t="n">
        <x:v>63.98734027505185</x:v>
      </x:c>
      <x:c r="U51" s="24" t="n">
        <x:v>60.28504021854374</x:v>
      </x:c>
    </x:row>
    <x:row r="52">
      <x:c r="A52" s="24" t="n">
        <x:v>5</x:v>
      </x:c>
      <x:c r="B52" s="24" t="n">
        <x:v>74.53894546130844</x:v>
      </x:c>
      <x:c r="C52" s="24" t="n">
        <x:v>68.97764331424486</x:v>
      </x:c>
      <x:c r="D52" s="24" t="n">
        <x:v>67.50352806299883</x:v>
      </x:c>
      <x:c r="E52" s="24" t="n">
        <x:v>69.50624713874528</x:v>
      </x:c>
      <x:c r="F52" s="24" t="n">
        <x:v>70.70885800137086</x:v>
      </x:c>
      <x:c r="G52" s="24" t="n">
        <x:v>67.39508432162192</x:v>
      </x:c>
      <x:c r="H52" s="24" t="n">
        <x:v>68.37820133282585</x:v>
      </x:c>
      <x:c r="I52" s="24" t="n">
        <x:v>66.3428607551285</x:v>
      </x:c>
      <x:c r="J52" s="24" t="n">
        <x:v>62.44411338795126</x:v>
      </x:c>
      <x:c r="K52" s="24" t="n">
        <x:v>82.79259716981694</x:v>
      </x:c>
      <x:c r="L52" s="24" t="n">
        <x:v>53.06169386407865</x:v>
      </x:c>
      <x:c r="M52" s="24" t="n">
        <x:v>63.06297515108379</x:v>
      </x:c>
      <x:c r="N52" s="24" t="n">
        <x:v>69.26510056236324</x:v>
      </x:c>
      <x:c r="O52" s="24" t="n">
        <x:v>78.8743088067601</x:v>
      </x:c>
      <x:c r="P52" s="24" t="n">
        <x:v>69.90283083877239</x:v>
      </x:c>
      <x:c r="Q52" s="24" t="n">
        <x:v>71.71279830332492</x:v>
      </x:c>
      <x:c r="R52" s="24" t="n">
        <x:v>68.17048203876166</x:v>
      </x:c>
      <x:c r="S52" s="24" t="n">
        <x:v>67.9778748182508</x:v>
      </x:c>
      <x:c r="T52" s="24" t="n">
        <x:v>75.25121585370952</x:v>
      </x:c>
      <x:c r="U52" s="24" t="n">
        <x:v>50</x:v>
      </x:c>
    </x:row>
    <x:row r="53">
      <x:c r="A53" s="24" t="n">
        <x:v>5.1000000000000005</x:v>
      </x:c>
      <x:c r="B53" s="24" t="n">
        <x:v>71.62200452107197</x:v>
      </x:c>
      <x:c r="C53" s="24" t="n">
        <x:v>60.50097848758632</x:v>
      </x:c>
      <x:c r="D53" s="24" t="n">
        <x:v>52.391758433519726</x:v>
      </x:c>
      <x:c r="E53" s="24" t="n">
        <x:v>69.50624713874528</x:v>
      </x:c>
      <x:c r="F53" s="24" t="n">
        <x:v>59.890120288556616</x:v>
      </x:c>
      <x:c r="G53" s="24" t="n">
        <x:v>67.39508432162192</x:v>
      </x:c>
      <x:c r="H53" s="24" t="n">
        <x:v>70.04718317009889</x:v>
      </x:c>
      <x:c r="I53" s="24" t="n">
        <x:v>65.32224784776577</x:v>
      </x:c>
      <x:c r="J53" s="24" t="n">
        <x:v>62.444113387951305</x:v>
      </x:c>
      <x:c r="K53" s="24" t="n">
        <x:v>83.44175099044233</x:v>
      </x:c>
      <x:c r="L53" s="24" t="n">
        <x:v>55.613105417477534</x:v>
      </x:c>
      <x:c r="M53" s="24" t="n">
        <x:v>80.28800774039166</x:v>
      </x:c>
      <x:c r="N53" s="24" t="n">
        <x:v>69.26510056236324</x:v>
      </x:c>
      <x:c r="O53" s="24" t="n">
        <x:v>78.8743088067601</x:v>
      </x:c>
      <x:c r="P53" s="24" t="n">
        <x:v>69.3347170888812</x:v>
      </x:c>
      <x:c r="Q53" s="24" t="n">
        <x:v>73.81260308837598</x:v>
      </x:c>
      <x:c r="R53" s="24" t="n">
        <x:v>69.5812700049846</x:v>
      </x:c>
      <x:c r="S53" s="24" t="n">
        <x:v>60.64106741882652</x:v>
      </x:c>
      <x:c r="T53" s="24" t="n">
        <x:v>79.75676608517261</x:v>
      </x:c>
      <x:c r="U53" s="24" t="n">
        <x:v>50</x:v>
      </x:c>
    </x:row>
    <x:row r="54">
      <x:c r="A54" s="24" t="n">
        <x:v>5.2</x:v>
      </x:c>
      <x:c r="B54" s="24" t="n">
        <x:v>70.86320686912629</x:v>
      </x:c>
      <x:c r="C54" s="24" t="n">
        <x:v>60.201781762326824</x:v>
      </x:c>
      <x:c r="D54" s="24" t="n">
        <x:v>77.1054336009344</x:v>
      </x:c>
      <x:c r="E54" s="24" t="n">
        <x:v>68.64926879741023</x:v>
      </x:c>
      <x:c r="F54" s="24" t="n">
        <x:v>59.890120288556616</x:v>
      </x:c>
      <x:c r="G54" s="24" t="n">
        <x:v>59.41556366692158</x:v>
      </x:c>
      <x:c r="H54" s="24" t="n">
        <x:v>70.34440052377728</x:v>
      </x:c>
      <x:c r="I54" s="24" t="n">
        <x:v>65.56376477038168</x:v>
      </x:c>
      <x:c r="J54" s="24" t="n">
        <x:v>66.78021486599404</x:v>
      </x:c>
      <x:c r="K54" s="24" t="n">
        <x:v>80.97981241299257</x:v>
      </x:c>
      <x:c r="L54" s="24" t="n">
        <x:v>57.65423466019661</x:v>
      </x:c>
      <x:c r="M54" s="24" t="n">
        <x:v>80.55708836221224</x:v>
      </x:c>
      <x:c r="N54" s="24" t="n">
        <x:v>69.51443071003364</x:v>
      </x:c>
      <x:c r="O54" s="24" t="n">
        <x:v>76.37596840417866</x:v>
      </x:c>
      <x:c r="P54" s="24" t="n">
        <x:v>80.8018775657579</x:v>
      </x:c>
      <x:c r="Q54" s="24" t="n">
        <x:v>78.71918985244814</x:v>
      </x:c>
      <x:c r="R54" s="24" t="n">
        <x:v>69.5812700049846</x:v>
      </x:c>
      <x:c r="S54" s="24" t="n">
        <x:v>57.11934776430827</x:v>
      </x:c>
      <x:c r="T54" s="24" t="n">
        <x:v>79.75676608517261</x:v>
      </x:c>
      <x:c r="U54" s="24" t="n">
        <x:v>50</x:v>
      </x:c>
    </x:row>
    <x:row r="55">
      <x:c r="A55" s="24" t="n">
        <x:v>5.300000000000001</x:v>
      </x:c>
      <x:c r="B55" s="24" t="n">
        <x:v>70.69056215869318</x:v>
      </x:c>
      <x:c r="C55" s="24" t="n">
        <x:v>59.90258503706732</x:v>
      </x:c>
      <x:c r="D55" s="24" t="n">
        <x:v>77.1054336009344</x:v>
      </x:c>
      <x:c r="E55" s="24" t="n">
        <x:v>67.95206879394398</x:v>
      </x:c>
      <x:c r="F55" s="24" t="n">
        <x:v>52.62734679463941</x:v>
      </x:c>
      <x:c r="G55" s="24" t="n">
        <x:v>73.90162220135997</x:v>
      </x:c>
      <x:c r="H55" s="24" t="n">
        <x:v>74.19787610876031</x:v>
      </x:c>
      <x:c r="I55" s="24" t="n">
        <x:v>65.56376477038168</x:v>
      </x:c>
      <x:c r="J55" s="24" t="n">
        <x:v>70.24909604842826</x:v>
      </x:c>
      <x:c r="K55" s="24" t="n">
        <x:v>72.31580329602389</x:v>
      </x:c>
      <x:c r="L55" s="24" t="n">
        <x:v>79.31639946951877</x:v>
      </x:c>
      <x:c r="M55" s="24" t="n">
        <x:v>79.37485550261295</x:v>
      </x:c>
      <x:c r="N55" s="24" t="n">
        <x:v>69.90585862176313</x:v>
      </x:c>
      <x:c r="O55" s="24" t="n">
        <x:v>69.896162397611</x:v>
      </x:c>
      <x:c r="P55" s="24" t="n">
        <x:v>80.8018775657579</x:v>
      </x:c>
      <x:c r="Q55" s="24" t="n">
        <x:v>78.71918985244814</x:v>
      </x:c>
      <x:c r="R55" s="24" t="n">
        <x:v>69.3358646156386</x:v>
      </x:c>
      <x:c r="S55" s="24" t="n">
        <x:v>60.28956208079804</x:v>
      </x:c>
      <x:c r="T55" s="24" t="n">
        <x:v>71.91548339958877</x:v>
      </x:c>
      <x:c r="U55" s="24" t="n">
        <x:v>58.215149382198554</x:v>
      </x:c>
    </x:row>
    <x:row r="56">
      <x:c r="A56" s="24" t="n">
        <x:v>5.4</x:v>
      </x:c>
      <x:c r="B56" s="24" t="n">
        <x:v>67.75323840916337</x:v>
      </x:c>
      <x:c r="C56" s="24" t="n">
        <x:v>59.60338831180781</x:v>
      </x:c>
      <x:c r="D56" s="24" t="n">
        <x:v>75.78171760484634</x:v>
      </x:c>
      <x:c r="E56" s="24" t="n">
        <x:v>68.15810518327328</x:v>
      </x:c>
      <x:c r="F56" s="24" t="n">
        <x:v>56.792627216206874</x:v>
      </x:c>
      <x:c r="G56" s="24" t="n">
        <x:v>73.90162220135997</x:v>
      </x:c>
      <x:c r="H56" s="24" t="n">
        <x:v>74.19787610876031</x:v>
      </x:c>
      <x:c r="I56" s="24" t="n">
        <x:v>65.34218298013823</x:v>
      </x:c>
      <x:c r="J56" s="24" t="n">
        <x:v>70.24909604842826</x:v>
      </x:c>
      <x:c r="K56" s="24" t="n">
        <x:v>64.63750444709484</x:v>
      </x:c>
      <x:c r="L56" s="24" t="n">
        <x:v>79.46201517489459</x:v>
      </x:c>
      <x:c r="M56" s="24" t="n">
        <x:v>74.52933538357787</x:v>
      </x:c>
      <x:c r="N56" s="24" t="n">
        <x:v>70.04885198955725</x:v>
      </x:c>
      <x:c r="O56" s="24" t="n">
        <x:v>69.4059457854577</x:v>
      </x:c>
      <x:c r="P56" s="24" t="n">
        <x:v>76.06612839895003</x:v>
      </x:c>
      <x:c r="Q56" s="24" t="n">
        <x:v>69.72585335059638</x:v>
      </x:c>
      <x:c r="R56" s="24" t="n">
        <x:v>69.3358646156386</x:v>
      </x:c>
      <x:c r="S56" s="24" t="n">
        <x:v>63.45977639728778</x:v>
      </x:c>
      <x:c r="T56" s="24" t="n">
        <x:v>64.88069597757666</x:v>
      </x:c>
      <x:c r="U56" s="24" t="n">
        <x:v>69.22772784583225</x:v>
      </x:c>
    </x:row>
    <x:row r="57">
      <x:c r="A57" s="24" t="n">
        <x:v>5.5</x:v>
      </x:c>
      <x:c r="B57" s="24" t="n">
        <x:v>65.69989032223863</x:v>
      </x:c>
      <x:c r="C57" s="24" t="n">
        <x:v>59.30419158654831</x:v>
      </x:c>
      <x:c r="D57" s="24" t="n">
        <x:v>70.01120240237086</x:v>
      </x:c>
      <x:c r="E57" s="24" t="n">
        <x:v>68.15810518327328</x:v>
      </x:c>
      <x:c r="F57" s="24" t="n">
        <x:v>67.00240450171334</x:v>
      </x:c>
      <x:c r="G57" s="24" t="n">
        <x:v>72.07299991977845</x:v>
      </x:c>
      <x:c r="H57" s="24" t="n">
        <x:v>85.71034527896677</x:v>
      </x:c>
      <x:c r="I57" s="24" t="n">
        <x:v>64.90058278944059</x:v>
      </x:c>
      <x:c r="J57" s="24" t="n">
        <x:v>65.14956987562636</x:v>
      </x:c>
      <x:c r="K57" s="24" t="n">
        <x:v>63.1269197475938</x:v>
      </x:c>
      <x:c r="L57" s="24" t="n">
        <x:v>77.817571796209</x:v>
      </x:c>
      <x:c r="M57" s="24" t="n">
        <x:v>73.46573646387223</x:v>
      </x:c>
      <x:c r="N57" s="24" t="n">
        <x:v>70.15174773018346</x:v>
      </x:c>
      <x:c r="O57" s="24" t="n">
        <x:v>67.39066910479693</x:v>
      </x:c>
      <x:c r="P57" s="24" t="n">
        <x:v>65.67002909698607</x:v>
      </x:c>
      <x:c r="Q57" s="24" t="n">
        <x:v>60.03050221935492</x:v>
      </x:c>
      <x:c r="R57" s="24" t="n">
        <x:v>83.59194758796929</x:v>
      </x:c>
      <x:c r="S57" s="24" t="n">
        <x:v>67.61678243514199</x:v>
      </x:c>
      <x:c r="T57" s="24" t="n">
        <x:v>56.91428943663412</x:v>
      </x:c>
      <x:c r="U57" s="24" t="n">
        <x:v>79.74479110978892</x:v>
      </x:c>
    </x:row>
    <x:row r="58">
      <x:c r="A58" s="24" t="n">
        <x:v>5.6000000000000005</x:v>
      </x:c>
      <x:c r="B58" s="24" t="n">
        <x:v>66.36993472224842</x:v>
      </x:c>
      <x:c r="C58" s="24" t="n">
        <x:v>59.004994861288964</x:v>
      </x:c>
      <x:c r="D58" s="24" t="n">
        <x:v>65.05573244659382</x:v>
      </x:c>
      <x:c r="E58" s="24" t="n">
        <x:v>68.59643257487086</x:v>
      </x:c>
      <x:c r="F58" s="24" t="n">
        <x:v>67.00240450171334</x:v>
      </x:c>
      <x:c r="G58" s="24" t="n">
        <x:v>65.45542954164446</x:v>
      </x:c>
      <x:c r="H58" s="24" t="n">
        <x:v>89.35743251570432</x:v>
      </x:c>
      <x:c r="I58" s="24" t="n">
        <x:v>64.24860900658868</x:v>
      </x:c>
      <x:c r="J58" s="24" t="n">
        <x:v>65.3771463646597</x:v>
      </x:c>
      <x:c r="K58" s="24" t="n">
        <x:v>63.1269197475938</x:v>
      </x:c>
      <x:c r="L58" s="24" t="n">
        <x:v>73.7080942660285</x:v>
      </x:c>
      <x:c r="M58" s="24" t="n">
        <x:v>73.88305811581786</x:v>
      </x:c>
      <x:c r="N58" s="24" t="n">
        <x:v>71.46916847981139</x:v>
      </x:c>
      <x:c r="O58" s="24" t="n">
        <x:v>67.39066910479693</x:v>
      </x:c>
      <x:c r="P58" s="24" t="n">
        <x:v>50</x:v>
      </x:c>
      <x:c r="Q58" s="24" t="n">
        <x:v>57.776925698870166</x:v>
      </x:c>
      <x:c r="R58" s="24" t="n">
        <x:v>83.59194758796929</x:v>
      </x:c>
      <x:c r="S58" s="24" t="n">
        <x:v>70.17450871226106</x:v>
      </x:c>
      <x:c r="T58" s="24" t="n">
        <x:v>61.01088670024792</x:v>
      </x:c>
      <x:c r="U58" s="24" t="n">
        <x:v>79.74479110978892</x:v>
      </x:c>
    </x:row>
    <x:row r="59">
      <x:c r="A59" s="24" t="n">
        <x:v>5.7</x:v>
      </x:c>
      <x:c r="B59" s="24" t="n">
        <x:v>65.264713083122</x:v>
      </x:c>
      <x:c r="C59" s="24" t="n">
        <x:v>63.782700327923905</x:v>
      </x:c>
      <x:c r="D59" s="24" t="n">
        <x:v>68.57256547072076</x:v>
      </x:c>
      <x:c r="E59" s="24" t="n">
        <x:v>70.52053745663109</x:v>
      </x:c>
      <x:c r="F59" s="24" t="n">
        <x:v>72.48552554838797</x:v>
      </x:c>
      <x:c r="G59" s="24" t="n">
        <x:v>63.57561641597736</x:v>
      </x:c>
      <x:c r="H59" s="24" t="n">
        <x:v>89.35743251570432</x:v>
      </x:c>
      <x:c r="I59" s="24" t="n">
        <x:v>64.24860900658868</x:v>
      </x:c>
      <x:c r="J59" s="24" t="n">
        <x:v>65.3771463646597</x:v>
      </x:c>
      <x:c r="K59" s="24" t="n">
        <x:v>65.4058126014578</x:v>
      </x:c>
      <x:c r="L59" s="24" t="n">
        <x:v>71.16354149337349</x:v>
      </x:c>
      <x:c r="M59" s="24" t="n">
        <x:v>73.88305811581786</x:v>
      </x:c>
      <x:c r="N59" s="24" t="n">
        <x:v>71.46916847981139</x:v>
      </x:c>
      <x:c r="O59" s="24" t="n">
        <x:v>66.04359421230718</x:v>
      </x:c>
      <x:c r="P59" s="24" t="n">
        <x:v>50</x:v>
      </x:c>
      <x:c r="Q59" s="24" t="n">
        <x:v>57.776925698870166</x:v>
      </x:c>
      <x:c r="R59" s="24" t="n">
        <x:v>79.23694237958698</x:v>
      </x:c>
      <x:c r="S59" s="24" t="n">
        <x:v>72.09806531701133</x:v>
      </x:c>
      <x:c r="T59" s="24" t="n">
        <x:v>65.10748396386168</x:v>
      </x:c>
      <x:c r="U59" s="24" t="n">
        <x:v>78.99235615411902</x:v>
      </x:c>
    </x:row>
    <x:row r="60">
      <x:c r="A60" s="24" t="n">
        <x:v>5.800000000000001</x:v>
      </x:c>
      <x:c r="B60" s="24" t="n">
        <x:v>64.15830075954175</x:v>
      </x:c>
      <x:c r="C60" s="24" t="n">
        <x:v>63.78270032792386</x:v>
      </x:c>
      <x:c r="D60" s="24" t="n">
        <x:v>69.33960257383386</x:v>
      </x:c>
      <x:c r="E60" s="24" t="n">
        <x:v>84.33960928501578</x:v>
      </x:c>
      <x:c r="F60" s="24" t="n">
        <x:v>72.48552554838797</x:v>
      </x:c>
      <x:c r="G60" s="24" t="n">
        <x:v>63.57561641597736</x:v>
      </x:c>
      <x:c r="H60" s="24" t="n">
        <x:v>79.89528470057097</x:v>
      </x:c>
      <x:c r="I60" s="24" t="n">
        <x:v>66.78378699903072</x:v>
      </x:c>
      <x:c r="J60" s="24" t="n">
        <x:v>65.59151291840138</x:v>
      </x:c>
      <x:c r="K60" s="24" t="n">
        <x:v>68.44433640660976</x:v>
      </x:c>
      <x:c r="L60" s="24" t="n">
        <x:v>66.13388568373493</x:v>
      </x:c>
      <x:c r="M60" s="24" t="n">
        <x:v>73.46180397238392</x:v>
      </x:c>
      <x:c r="N60" s="24" t="n">
        <x:v>70.66336740669533</x:v>
      </x:c>
      <x:c r="O60" s="24" t="n">
        <x:v>68.19443604774287</x:v>
      </x:c>
      <x:c r="P60" s="24" t="n">
        <x:v>50</x:v>
      </x:c>
      <x:c r="Q60" s="24" t="n">
        <x:v>50</x:v>
      </x:c>
      <x:c r="R60" s="24" t="n">
        <x:v>74.62284261299189</x:v>
      </x:c>
      <x:c r="S60" s="24" t="n">
        <x:v>72.09806531701132</x:v>
      </x:c>
      <x:c r="T60" s="24" t="n">
        <x:v>78.18898138093616</x:v>
      </x:c>
      <x:c r="U60" s="24" t="n">
        <x:v>78.92411683382164</x:v>
      </x:c>
    </x:row>
    <x:row r="61">
      <x:c r="A61" s="24" t="n">
        <x:v>5.9</x:v>
      </x:c>
      <x:c r="B61" s="24" t="n">
        <x:v>60.442293734925414</x:v>
      </x:c>
      <x:c r="C61" s="24" t="n">
        <x:v>68.91120891684658</x:v>
      </x:c>
      <x:c r="D61" s="24" t="n">
        <x:v>69.30375146944637</x:v>
      </x:c>
      <x:c r="E61" s="24" t="n">
        <x:v>85.77796378127373</x:v>
      </x:c>
      <x:c r="F61" s="24" t="n">
        <x:v>67.81954099753698</x:v>
      </x:c>
      <x:c r="G61" s="24" t="n">
        <x:v>63.19878072257698</x:v>
      </x:c>
      <x:c r="H61" s="24" t="n">
        <x:v>74.63845872113114</x:v>
      </x:c>
      <x:c r="I61" s="24" t="n">
        <x:v>66.78378699903072</x:v>
      </x:c>
      <x:c r="J61" s="24" t="n">
        <x:v>65.59151291840138</x:v>
      </x:c>
      <x:c r="K61" s="24" t="n">
        <x:v>68.44433640660976</x:v>
      </x:c>
      <x:c r="L61" s="24" t="n">
        <x:v>65.90652471344072</x:v>
      </x:c>
      <x:c r="M61" s="24" t="n">
        <x:v>73.17033977650293</x:v>
      </x:c>
      <x:c r="N61" s="24" t="n">
        <x:v>72.48291449326142</x:v>
      </x:c>
      <x:c r="O61" s="24" t="n">
        <x:v>69.32104860727249</x:v>
      </x:c>
      <x:c r="P61" s="24" t="n">
        <x:v>50</x:v>
      </x:c>
      <x:c r="Q61" s="24" t="n">
        <x:v>50</x:v>
      </x:c>
      <x:c r="R61" s="24" t="n">
        <x:v>68.18737211629275</x:v>
      </x:c>
      <x:c r="S61" s="24" t="n">
        <x:v>70.9071285552169</x:v>
      </x:c>
      <x:c r="T61" s="24" t="n">
        <x:v>78.18898138093616</x:v>
      </x:c>
      <x:c r="U61" s="24" t="n">
        <x:v>78.30311754402054</x:v>
      </x:c>
    </x:row>
    <x:row r="62">
      <x:c r="A62" s="24" t="n">
        <x:v>6</x:v>
      </x:c>
      <x:c r="B62" s="24" t="n">
        <x:v>69.11210198693752</x:v>
      </x:c>
      <x:c r="C62" s="24" t="n">
        <x:v>73.48032937565802</x:v>
      </x:c>
      <x:c r="D62" s="24" t="n">
        <x:v>70.75733284593805</x:v>
      </x:c>
      <x:c r="E62" s="24" t="n">
        <x:v>85.77796378127373</x:v>
      </x:c>
      <x:c r="F62" s="24" t="n">
        <x:v>56.28100404142122</x:v>
      </x:c>
      <x:c r="G62" s="24" t="n">
        <x:v>63.19878072257698</x:v>
      </x:c>
      <x:c r="H62" s="24" t="n">
        <x:v>71.33093972920898</x:v>
      </x:c>
      <x:c r="I62" s="24" t="n">
        <x:v>63.148634225777045</x:v>
      </x:c>
      <x:c r="J62" s="24" t="n">
        <x:v>63.40830188628682</x:v>
      </x:c>
      <x:c r="K62" s="24" t="n">
        <x:v>60.97696696760528</x:v>
      </x:c>
      <x:c r="L62" s="24" t="n">
        <x:v>65.90652471344072</x:v>
      </x:c>
      <x:c r="M62" s="24" t="n">
        <x:v>73.57384619816663</x:v>
      </x:c>
      <x:c r="N62" s="24" t="n">
        <x:v>80.43160907349169</x:v>
      </x:c>
      <x:c r="O62" s="24" t="n">
        <x:v>69.32104860727249</x:v>
      </x:c>
      <x:c r="P62" s="24" t="n">
        <x:v>79.71647597780529</x:v>
      </x:c>
      <x:c r="Q62" s="24" t="n">
        <x:v>79.43329819414873</x:v>
      </x:c>
      <x:c r="R62" s="24" t="n">
        <x:v>64.03303794615393</x:v>
      </x:c>
      <x:c r="S62" s="24" t="n">
        <x:v>68.16325585471384</x:v>
      </x:c>
      <x:c r="T62" s="24" t="n">
        <x:v>74.9960213349741</x:v>
      </x:c>
      <x:c r="U62" s="24" t="n">
        <x:v>77.3160724760057</x:v>
      </x:c>
    </x:row>
    <x:row r="63">
      <x:c r="A63" s="24" t="n">
        <x:v>6.1000000000000005</x:v>
      </x:c>
      <x:c r="B63" s="24" t="n">
        <x:v>75.01677249916759</x:v>
      </x:c>
      <x:c r="C63" s="24" t="n">
        <x:v>73.48032937565802</x:v>
      </x:c>
      <x:c r="D63" s="24" t="n">
        <x:v>70.75733284593805</x:v>
      </x:c>
      <x:c r="E63" s="24" t="n">
        <x:v>78.46246166696524</x:v>
      </x:c>
      <x:c r="F63" s="24" t="n">
        <x:v>67.35361944038857</x:v>
      </x:c>
      <x:c r="G63" s="24" t="n">
        <x:v>64.0112448114626</x:v>
      </x:c>
      <x:c r="H63" s="24" t="n">
        <x:v>70.442055492639</x:v>
      </x:c>
      <x:c r="I63" s="24" t="n">
        <x:v>60.75379487458757</x:v>
      </x:c>
      <x:c r="J63" s="24" t="n">
        <x:v>81.48825507636421</x:v>
      </x:c>
      <x:c r="K63" s="24" t="n">
        <x:v>62.11412661947418</x:v>
      </x:c>
      <x:c r="L63" s="24" t="n">
        <x:v>66.59800222895579</x:v>
      </x:c>
      <x:c r="M63" s="24" t="n">
        <x:v>73.57384619816663</x:v>
      </x:c>
      <x:c r="N63" s="24" t="n">
        <x:v>80.43160907349169</x:v>
      </x:c>
      <x:c r="O63" s="24" t="n">
        <x:v>73.7431617191074</x:v>
      </x:c>
      <x:c r="P63" s="24" t="n">
        <x:v>80.51374288262278</x:v>
      </x:c>
      <x:c r="Q63" s="24" t="n">
        <x:v>79.43329819414873</x:v>
      </x:c>
      <x:c r="R63" s="24" t="n">
        <x:v>64.03303794615388</x:v>
      </x:c>
      <x:c r="S63" s="24" t="n">
        <x:v>68.16325585471382</x:v>
      </x:c>
      <x:c r="T63" s="24" t="n">
        <x:v>66.35682796350942</x:v>
      </x:c>
      <x:c r="U63" s="24" t="n">
        <x:v>74.7571012370639</x:v>
      </x:c>
    </x:row>
    <x:row r="64">
      <x:c r="A64" s="24" t="n">
        <x:v>6.2</x:v>
      </x:c>
      <x:c r="B64" s="24" t="n">
        <x:v>75.01677249916759</x:v>
      </x:c>
      <x:c r="C64" s="24" t="n">
        <x:v>69.70953665111443</x:v>
      </x:c>
      <x:c r="D64" s="24" t="n">
        <x:v>69.51546786281354</x:v>
      </x:c>
      <x:c r="E64" s="24" t="n">
        <x:v>70.97486085768631</x:v>
      </x:c>
      <x:c r="F64" s="24" t="n">
        <x:v>67.85942654912911</x:v>
      </x:c>
      <x:c r="G64" s="24" t="n">
        <x:v>64.0112448114626</x:v>
      </x:c>
      <x:c r="H64" s="24" t="n">
        <x:v>64.12052874953127</x:v>
      </x:c>
      <x:c r="I64" s="24" t="n">
        <x:v>72.13899434893334</x:v>
      </x:c>
      <x:c r="J64" s="24" t="n">
        <x:v>82.95261425425701</x:v>
      </x:c>
      <x:c r="K64" s="24" t="n">
        <x:v>62.905732186256955</x:v>
      </x:c>
      <x:c r="L64" s="24" t="n">
        <x:v>67.49083391414256</x:v>
      </x:c>
      <x:c r="M64" s="24" t="n">
        <x:v>73.47790152160583</x:v>
      </x:c>
      <x:c r="N64" s="24" t="n">
        <x:v>75.6522585828374</x:v>
      </x:c>
      <x:c r="O64" s="24" t="n">
        <x:v>79.6521052003895</x:v>
      </x:c>
      <x:c r="P64" s="24" t="n">
        <x:v>80.51374288262278</x:v>
      </x:c>
      <x:c r="Q64" s="24" t="n">
        <x:v>76.61062234779348</x:v>
      </x:c>
      <x:c r="R64" s="24" t="n">
        <x:v>60.872525631226</x:v>
      </x:c>
      <x:c r="S64" s="24" t="n">
        <x:v>80.44941084794254</x:v>
      </x:c>
      <x:c r="T64" s="24" t="n">
        <x:v>59.66697998212186</x:v>
      </x:c>
      <x:c r="U64" s="24" t="n">
        <x:v>71.94782154862904</x:v>
      </x:c>
    </x:row>
    <x:row r="65">
      <x:c r="A65" s="24" t="n">
        <x:v>6.300000000000001</x:v>
      </x:c>
      <x:c r="B65" s="24" t="n">
        <x:v>72.76386081622472</x:v>
      </x:c>
      <x:c r="C65" s="24" t="n">
        <x:v>63.406171438258276</x:v>
      </x:c>
      <x:c r="D65" s="24" t="n">
        <x:v>70.91481163196974</x:v>
      </x:c>
      <x:c r="E65" s="24" t="n">
        <x:v>63.783057769887094</x:v>
      </x:c>
      <x:c r="F65" s="24" t="n">
        <x:v>67.63069146168543</x:v>
      </x:c>
      <x:c r="G65" s="24" t="n">
        <x:v>63.154511602437935</x:v>
      </x:c>
      <x:c r="H65" s="24" t="n">
        <x:v>64.12052874953127</x:v>
      </x:c>
      <x:c r="I65" s="24" t="n">
        <x:v>73.48351521084506</x:v>
      </x:c>
      <x:c r="J65" s="24" t="n">
        <x:v>82.95261425425694</x:v>
      </x:c>
      <x:c r="K65" s="24" t="n">
        <x:v>64.21885980025752</x:v>
      </x:c>
      <x:c r="L65" s="24" t="n">
        <x:v>68.7312158691475</x:v>
      </x:c>
      <x:c r="M65" s="24" t="n">
        <x:v>72.14139291359122</x:v>
      </x:c>
      <x:c r="N65" s="24" t="n">
        <x:v>64.85247253205141</x:v>
      </x:c>
      <x:c r="O65" s="24" t="n">
        <x:v>79.6521052003895</x:v>
      </x:c>
      <x:c r="P65" s="24" t="n">
        <x:v>70.86368858559949</x:v>
      </x:c>
      <x:c r="Q65" s="24" t="n">
        <x:v>70.95729116131311</x:v>
      </x:c>
      <x:c r="R65" s="24" t="n">
        <x:v>64.11995733879793</x:v>
      </x:c>
      <x:c r="S65" s="24" t="n">
        <x:v>82.45199552240075</x:v>
      </x:c>
      <x:c r="T65" s="24" t="n">
        <x:v>52.266107907701596</x:v>
      </x:c>
      <x:c r="U65" s="24" t="n">
        <x:v>68.29354466324807</x:v>
      </x:c>
    </x:row>
    <x:row r="66">
      <x:c r="A66" s="24" t="n">
        <x:v>6.4</x:v>
      </x:c>
      <x:c r="B66" s="24" t="n">
        <x:v>67.61887227846381</x:v>
      </x:c>
      <x:c r="C66" s="24" t="n">
        <x:v>66.4289014368273</x:v>
      </x:c>
      <x:c r="D66" s="24" t="n">
        <x:v>71.70523533295018</x:v>
      </x:c>
      <x:c r="E66" s="24" t="n">
        <x:v>56.658392968210165</x:v>
      </x:c>
      <x:c r="F66" s="24" t="n">
        <x:v>69.37449158037018</x:v>
      </x:c>
      <x:c r="G66" s="24" t="n">
        <x:v>64.67902823909611</x:v>
      </x:c>
      <x:c r="H66" s="24" t="n">
        <x:v>73.49901230458518</x:v>
      </x:c>
      <x:c r="I66" s="24" t="n">
        <x:v>73.48351521084506</x:v>
      </x:c>
      <x:c r="J66" s="24" t="n">
        <x:v>75.04270546678937</x:v>
      </x:c>
      <x:c r="K66" s="24" t="n">
        <x:v>64.21885980025752</x:v>
      </x:c>
      <x:c r="L66" s="24" t="n">
        <x:v>68.7312158691475</x:v>
      </x:c>
      <x:c r="M66" s="24" t="n">
        <x:v>70.54057561522644</x:v>
      </x:c>
      <x:c r="N66" s="24" t="n">
        <x:v>50</x:v>
      </x:c>
      <x:c r="O66" s="24" t="n">
        <x:v>73.91989443126651</x:v>
      </x:c>
      <x:c r="P66" s="24" t="n">
        <x:v>70.86368858559949</x:v>
      </x:c>
      <x:c r="Q66" s="24" t="n">
        <x:v>71.29917096309418</x:v>
      </x:c>
      <x:c r="R66" s="24" t="n">
        <x:v>64.33210315777612</x:v>
      </x:c>
      <x:c r="S66" s="24" t="n">
        <x:v>82.45199552240075</x:v>
      </x:c>
      <x:c r="T66" s="24" t="n">
        <x:v>54.16657321716484</x:v>
      </x:c>
      <x:c r="U66" s="24" t="n">
        <x:v>68.56143430283814</x:v>
      </x:c>
    </x:row>
    <x:row r="67">
      <x:c r="A67" s="24" t="n">
        <x:v>6.5</x:v>
      </x:c>
      <x:c r="B67" s="24" t="n">
        <x:v>60.430998172499635</x:v>
      </x:c>
      <x:c r="C67" s="24" t="n">
        <x:v>67.19167775681407</x:v>
      </x:c>
      <x:c r="D67" s="24" t="n">
        <x:v>71.70523533295018</x:v>
      </x:c>
      <x:c r="E67" s="24" t="n">
        <x:v>64.06490670093093</x:v>
      </x:c>
      <x:c r="F67" s="24" t="n">
        <x:v>69.60763275248446</x:v>
      </x:c>
      <x:c r="G67" s="24" t="n">
        <x:v>64.67902823909611</x:v>
      </x:c>
      <x:c r="H67" s="24" t="n">
        <x:v>73.49901230458518</x:v>
      </x:c>
      <x:c r="I67" s="24" t="n">
        <x:v>60.72280634917374</x:v>
      </x:c>
      <x:c r="J67" s="24" t="n">
        <x:v>64.58469532807051</x:v>
      </x:c>
      <x:c r="K67" s="24" t="n">
        <x:v>81.76555552066611</x:v>
      </x:c>
      <x:c r="L67" s="24" t="n">
        <x:v>69.58842389888484</x:v>
      </x:c>
      <x:c r="M67" s="24" t="n">
        <x:v>69.6332687800131</x:v>
      </x:c>
      <x:c r="N67" s="24" t="n">
        <x:v>50</x:v>
      </x:c>
      <x:c r="O67" s="24" t="n">
        <x:v>59.92814187641696</x:v>
      </x:c>
      <x:c r="P67" s="24" t="n">
        <x:v>70.07563278830816</x:v>
      </x:c>
      <x:c r="Q67" s="24" t="n">
        <x:v>71.29917096309418</x:v>
      </x:c>
      <x:c r="R67" s="24" t="n">
        <x:v>64.33210315777612</x:v>
      </x:c>
      <x:c r="S67" s="24" t="n">
        <x:v>77.82140503903221</x:v>
      </x:c>
      <x:c r="T67" s="24" t="n">
        <x:v>66.69688341243915</x:v>
      </x:c>
      <x:c r="U67" s="24" t="n">
        <x:v>67.52454148917033</x:v>
      </x:c>
    </x:row>
    <x:row r="68">
      <x:c r="A68" s="24" t="n">
        <x:v>6.6000000000000005</x:v>
      </x:c>
      <x:c r="B68" s="24" t="n">
        <x:v>60.78611292604719</x:v>
      </x:c>
      <x:c r="C68" s="24" t="n">
        <x:v>68.2796157232803</x:v>
      </x:c>
      <x:c r="D68" s="24" t="n">
        <x:v>71.5368778680614</x:v>
      </x:c>
      <x:c r="E68" s="24" t="n">
        <x:v>64.06490670093083</x:v>
      </x:c>
      <x:c r="F68" s="24" t="n">
        <x:v>69.60763275248446</x:v>
      </x:c>
      <x:c r="G68" s="24" t="n">
        <x:v>68.61010656557556</x:v>
      </x:c>
      <x:c r="H68" s="24" t="n">
        <x:v>70.01329973593266</x:v>
      </x:c>
      <x:c r="I68" s="24" t="n">
        <x:v>59.671561342580375</x:v>
      </x:c>
      <x:c r="J68" s="24" t="n">
        <x:v>62.276672596300386</x:v>
      </x:c>
      <x:c r="K68" s="24" t="n">
        <x:v>83.21494194842381</x:v>
      </x:c>
      <x:c r="L68" s="24" t="n">
        <x:v>69.58842389888484</x:v>
      </x:c>
      <x:c r="M68" s="24" t="n">
        <x:v>67.198443939012</x:v>
      </x:c>
      <x:c r="N68" s="24" t="n">
        <x:v>61.423268613749244</x:v>
      </x:c>
      <x:c r="O68" s="24" t="n">
        <x:v>50</x:v>
      </x:c>
      <x:c r="P68" s="24" t="n">
        <x:v>70.07563278830813</x:v>
      </x:c>
      <x:c r="Q68" s="24" t="n">
        <x:v>72.00600544021623</x:v>
      </x:c>
      <x:c r="R68" s="24" t="n">
        <x:v>77.5941598969773</x:v>
      </x:c>
      <x:c r="S68" s="24" t="n">
        <x:v>69.53847789818181</x:v>
      </x:c>
      <x:c r="T68" s="24" t="n">
        <x:v>68.9582499665577</x:v>
      </x:c>
      <x:c r="U68" s="24" t="n">
        <x:v>64.77469818051509</x:v>
      </x:c>
    </x:row>
    <x:row r="69">
      <x:c r="A69" s="24" t="n">
        <x:v>6.7</x:v>
      </x:c>
      <x:c r="B69" s="24" t="n">
        <x:v>63.173603320802904</x:v>
      </x:c>
      <x:c r="C69" s="24" t="n">
        <x:v>68.2796157232803</x:v>
      </x:c>
      <x:c r="D69" s="24" t="n">
        <x:v>71.5368778680614</x:v>
      </x:c>
      <x:c r="E69" s="24" t="n">
        <x:v>56.61938302821715</x:v>
      </x:c>
      <x:c r="F69" s="24" t="n">
        <x:v>69.11519721282781</x:v>
      </x:c>
      <x:c r="G69" s="24" t="n">
        <x:v>76.6345894740821</x:v>
      </x:c>
      <x:c r="H69" s="24" t="n">
        <x:v>47.50917001791066</x:v>
      </x:c>
      <x:c r="I69" s="24" t="n">
        <x:v>60.06379192519539</x:v>
      </x:c>
      <x:c r="J69" s="24" t="n">
        <x:v>62.276672596300386</x:v>
      </x:c>
      <x:c r="K69" s="24" t="n">
        <x:v>83.21494194842381</x:v>
      </x:c>
      <x:c r="L69" s="24" t="n">
        <x:v>65.48949044446339</x:v>
      </x:c>
      <x:c r="M69" s="24" t="n">
        <x:v>79.66062665812674</x:v>
      </x:c>
      <x:c r="N69" s="24" t="n">
        <x:v>78.84133009738527</x:v>
      </x:c>
      <x:c r="O69" s="24" t="n">
        <x:v>50</x:v>
      </x:c>
      <x:c r="P69" s="24" t="n">
        <x:v>69.58551370636285</x:v>
      </x:c>
      <x:c r="Q69" s="24" t="n">
        <x:v>72.00600544021623</x:v>
      </x:c>
      <x:c r="R69" s="24" t="n">
        <x:v>80.89874903848602</x:v>
      </x:c>
      <x:c r="S69" s="24" t="n">
        <x:v>65.55781316145661</x:v>
      </x:c>
      <x:c r="T69" s="24" t="n">
        <x:v>71.17280050664286</x:v>
      </x:c>
      <x:c r="U69" s="24" t="n">
        <x:v>64.88605929201668</x:v>
      </x:c>
    </x:row>
    <x:row r="70">
      <x:c r="A70" s="24" t="n">
        <x:v>6.800000000000001</x:v>
      </x:c>
      <x:c r="B70" s="24" t="n">
        <x:v>63.173603320802904</x:v>
      </x:c>
      <x:c r="C70" s="24" t="n">
        <x:v>66.2469043258361</x:v>
      </x:c>
      <x:c r="D70" s="24" t="n">
        <x:v>71.44339356950758</x:v>
      </x:c>
      <x:c r="E70" s="24" t="n">
        <x:v>74.83881810593874</x:v>
      </x:c>
      <x:c r="F70" s="24" t="n">
        <x:v>69.72267613981019</x:v>
      </x:c>
      <x:c r="G70" s="24" t="n">
        <x:v>76.6345894740821</x:v>
      </x:c>
      <x:c r="H70" s="24" t="n">
        <x:v>69.24122267411114</x:v>
      </x:c>
      <x:c r="I70" s="24" t="n">
        <x:v>60.45602250781039</x:v>
      </x:c>
      <x:c r="J70" s="24" t="n">
        <x:v>55.908680536424995</x:v>
      </x:c>
      <x:c r="K70" s="24" t="n">
        <x:v>72.91819506859015</x:v>
      </x:c>
      <x:c r="L70" s="24" t="n">
        <x:v>63.118936332357876</x:v>
      </x:c>
      <x:c r="M70" s="24" t="n">
        <x:v>79.66062665812674</x:v>
      </x:c>
      <x:c r="N70" s="24" t="n">
        <x:v>80.19474466236932</x:v>
      </x:c>
      <x:c r="O70" s="24" t="n">
        <x:v>50</x:v>
      </x:c>
      <x:c r="P70" s="24" t="n">
        <x:v>69.65860139941455</x:v>
      </x:c>
      <x:c r="Q70" s="24" t="n">
        <x:v>72.12057200136888</x:v>
      </x:c>
      <x:c r="R70" s="24" t="n">
        <x:v>80.89874903848602</x:v>
      </x:c>
      <x:c r="S70" s="24" t="n">
        <x:v>57.77890658072827</x:v>
      </x:c>
      <x:c r="T70" s="24" t="n">
        <x:v>79.32202807004055</x:v>
      </x:c>
      <x:c r="U70" s="24" t="n">
        <x:v>76.4725793175891</x:v>
      </x:c>
    </x:row>
    <x:row r="71">
      <x:c r="A71" s="24" t="n">
        <x:v>6.9</x:v>
      </x:c>
      <x:c r="B71" s="24" t="n">
        <x:v>60.16088736543243</x:v>
      </x:c>
      <x:c r="C71" s="24" t="n">
        <x:v>67.97042102961399</x:v>
      </x:c>
      <x:c r="D71" s="24" t="n">
        <x:v>84.71797142921278</x:v>
      </x:c>
      <x:c r="E71" s="24" t="n">
        <x:v>74.83881810593874</x:v>
      </x:c>
      <x:c r="F71" s="24" t="n">
        <x:v>71.29818684535734</x:v>
      </x:c>
      <x:c r="G71" s="24" t="n">
        <x:v>71.14480878330826</x:v>
      </x:c>
      <x:c r="H71" s="24" t="n">
        <x:v>70.42441010995462</x:v>
      </x:c>
      <x:c r="I71" s="24" t="n">
        <x:v>60.8482530904254</x:v>
      </x:c>
      <x:c r="J71" s="24" t="n">
        <x:v>70.12276059037993</x:v>
      </x:c>
      <x:c r="K71" s="24" t="n">
        <x:v>68.58701999706943</x:v>
      </x:c>
      <x:c r="L71" s="24" t="n">
        <x:v>60.21793816513262</x:v>
      </x:c>
      <x:c r="M71" s="24" t="n">
        <x:v>73.48901296026055</x:v>
      </x:c>
      <x:c r="N71" s="24" t="n">
        <x:v>80.19474466236932</x:v>
      </x:c>
      <x:c r="O71" s="24" t="n">
        <x:v>79.69016170143206</x:v>
      </x:c>
      <x:c r="P71" s="24" t="n">
        <x:v>70.7116549159864</x:v>
      </x:c>
      <x:c r="Q71" s="24" t="n">
        <x:v>72.12057200136888</x:v>
      </x:c>
      <x:c r="R71" s="24" t="n">
        <x:v>71.6071794306927</x:v>
      </x:c>
      <x:c r="S71" s="24" t="n">
        <x:v>50</x:v>
      </x:c>
      <x:c r="T71" s="24" t="n">
        <x:v>83.99093919315587</x:v>
      </x:c>
      <x:c r="U71" s="24" t="n">
        <x:v>81.53481843530736</x:v>
      </x:c>
    </x:row>
    <x:row r="72">
      <x:c r="A72" s="24" t="n">
        <x:v>7</x:v>
      </x:c>
      <x:c r="B72" s="24" t="n">
        <x:v>60.4137645730342</x:v>
      </x:c>
      <x:c r="C72" s="24" t="n">
        <x:v>67.97042102961399</x:v>
      </x:c>
      <x:c r="D72" s="24" t="n">
        <x:v>87.41138261000238</x:v>
      </x:c>
      <x:c r="E72" s="24" t="n">
        <x:v>73.926589436687</x:v>
      </x:c>
      <x:c r="F72" s="24" t="n">
        <x:v>71.74136108954382</x:v>
      </x:c>
      <x:c r="G72" s="24" t="n">
        <x:v>53.50474931864532</x:v>
      </x:c>
      <x:c r="H72" s="24" t="n">
        <x:v>70.43312264902893</x:v>
      </x:c>
      <x:c r="I72" s="24" t="n">
        <x:v>68.19926743604752</x:v>
      </x:c>
      <x:c r="J72" s="24" t="n">
        <x:v>70.12276059037993</x:v>
      </x:c>
      <x:c r="K72" s="24" t="n">
        <x:v>63.15265475089032</x:v>
      </x:c>
      <x:c r="L72" s="24" t="n">
        <x:v>57.53566101866063</x:v>
      </x:c>
      <x:c r="M72" s="24" t="n">
        <x:v>52.99405812294332</x:v>
      </x:c>
      <x:c r="N72" s="24" t="n">
        <x:v>74.47473733470271</x:v>
      </x:c>
      <x:c r="O72" s="24" t="n">
        <x:v>80.47890922258301</x:v>
      </x:c>
      <x:c r="P72" s="24" t="n">
        <x:v>70.7116549159864</x:v>
      </x:c>
      <x:c r="Q72" s="24" t="n">
        <x:v>72.21547011364075</x:v>
      </x:c>
      <x:c r="R72" s="24" t="n">
        <x:v>50</x:v>
      </x:c>
      <x:c r="S72" s="24" t="n">
        <x:v>62.083786081032116</x:v>
      </x:c>
      <x:c r="T72" s="24" t="n">
        <x:v>83.99093919315587</x:v>
      </x:c>
      <x:c r="U72" s="24" t="n">
        <x:v>81.53481843530736</x:v>
      </x:c>
    </x:row>
    <x:row r="73">
      <x:c r="A73" s="24" t="n">
        <x:v>7.1000000000000005</x:v>
      </x:c>
      <x:c r="B73" s="24" t="n">
        <x:v>60.30966089817794</x:v>
      </x:c>
      <x:c r="C73" s="24" t="n">
        <x:v>68.38451042348333</x:v>
      </x:c>
      <x:c r="D73" s="24" t="n">
        <x:v>87.41138261000235</x:v>
      </x:c>
      <x:c r="E73" s="24" t="n">
        <x:v>63.672536869985166</x:v>
      </x:c>
      <x:c r="F73" s="24" t="n">
        <x:v>71.18477031964223</x:v>
      </x:c>
      <x:c r="G73" s="24" t="n">
        <x:v>54.6330623207616</x:v>
      </x:c>
      <x:c r="H73" s="24" t="n">
        <x:v>71.96609959810691</x:v>
      </x:c>
      <x:c r="I73" s="24" t="n">
        <x:v>68.53903663179773</x:v>
      </x:c>
      <x:c r="J73" s="24" t="n">
        <x:v>62.03604880074184</x:v>
      </x:c>
      <x:c r="K73" s="24" t="n">
        <x:v>63.15265475089032</x:v>
      </x:c>
      <x:c r="L73" s="24" t="n">
        <x:v>80.28604033198359</x:v>
      </x:c>
      <x:c r="M73" s="24" t="n">
        <x:v>50</x:v>
      </x:c>
      <x:c r="N73" s="24" t="n">
        <x:v>73.93135088422753</x:v>
      </x:c>
      <x:c r="O73" s="24" t="n">
        <x:v>79.61276176255336</x:v>
      </x:c>
      <x:c r="P73" s="24" t="n">
        <x:v>70.16561245587152</x:v>
      </x:c>
      <x:c r="Q73" s="24" t="n">
        <x:v>72.34923788306821</x:v>
      </x:c>
      <x:c r="R73" s="24" t="n">
        <x:v>50</x:v>
      </x:c>
      <x:c r="S73" s="24" t="n">
        <x:v>81.73369981686314</x:v>
      </x:c>
      <x:c r="T73" s="24" t="n">
        <x:v>79.20278642549684</x:v>
      </x:c>
      <x:c r="U73" s="24" t="n">
        <x:v>73.73570079645977</x:v>
      </x:c>
    </x:row>
    <x:row r="74">
      <x:c r="A74" s="24" t="n">
        <x:v>7.2</x:v>
      </x:c>
      <x:c r="B74" s="24" t="n">
        <x:v>59.16852580153175</x:v>
      </x:c>
      <x:c r="C74" s="24" t="n">
        <x:v>68.38451042348333</x:v>
      </x:c>
      <x:c r="D74" s="24" t="n">
        <x:v>78.3059358079225</x:v>
      </x:c>
      <x:c r="E74" s="24" t="n">
        <x:v>50.900804220723515</x:v>
      </x:c>
      <x:c r="F74" s="24" t="n">
        <x:v>66.60263074960723</x:v>
      </x:c>
      <x:c r="G74" s="24" t="n">
        <x:v>60.27462733134288</x:v>
      </x:c>
      <x:c r="H74" s="24" t="n">
        <x:v>73.201933619318</x:v>
      </x:c>
      <x:c r="I74" s="24" t="n">
        <x:v>65.02078639262287</x:v>
      </x:c>
      <x:c r="J74" s="24" t="n">
        <x:v>64.96782840218883</x:v>
      </x:c>
      <x:c r="K74" s="24" t="n">
        <x:v>63.89065666499798</x:v>
      </x:c>
      <x:c r="L74" s="24" t="n">
        <x:v>80.28604033198359</x:v>
      </x:c>
      <x:c r="M74" s="24" t="n">
        <x:v>52.576000909950935</x:v>
      </x:c>
      <x:c r="N74" s="24" t="n">
        <x:v>68.98150512877727</x:v>
      </x:c>
      <x:c r="O74" s="24" t="n">
        <x:v>76.29813789304997</x:v>
      </x:c>
      <x:c r="P74" s="24" t="n">
        <x:v>70.16561245587152</x:v>
      </x:c>
      <x:c r="Q74" s="24" t="n">
        <x:v>72.34923788306821</x:v>
      </x:c>
      <x:c r="R74" s="24" t="n">
        <x:v>50</x:v>
      </x:c>
      <x:c r="S74" s="24" t="n">
        <x:v>81.73369981686314</x:v>
      </x:c>
      <x:c r="T74" s="24" t="n">
        <x:v>75.83977378854155</x:v>
      </x:c>
      <x:c r="U74" s="24" t="n">
        <x:v>70.21605735383835</x:v>
      </x:c>
    </x:row>
    <x:row r="75">
      <x:c r="A75" s="24" t="n">
        <x:v>7.300000000000001</x:v>
      </x:c>
      <x:c r="B75" s="24" t="n">
        <x:v>61.00351953881908</x:v>
      </x:c>
      <x:c r="C75" s="24" t="n">
        <x:v>67.96413672743527</x:v>
      </x:c>
      <x:c r="D75" s="24" t="n">
        <x:v>72.10314975309076</x:v>
      </x:c>
      <x:c r="E75" s="24" t="n">
        <x:v>64.92199639948733</x:v>
      </x:c>
      <x:c r="F75" s="24" t="n">
        <x:v>78.63396464766399</x:v>
      </x:c>
      <x:c r="G75" s="24" t="n">
        <x:v>65.91619234192422</x:v>
      </x:c>
      <x:c r="H75" s="24" t="n">
        <x:v>73.444296564475</x:v>
      </x:c>
      <x:c r="I75" s="24" t="n">
        <x:v>61.413307484086104</x:v>
      </x:c>
      <x:c r="J75" s="24" t="n">
        <x:v>65.62156416678734</x:v>
      </x:c>
      <x:c r="K75" s="24" t="n">
        <x:v>70.96055404702027</x:v>
      </x:c>
      <x:c r="L75" s="24" t="n">
        <x:v>76.81418924385807</x:v>
      </x:c>
      <x:c r="M75" s="24" t="n">
        <x:v>55.79600204738962</x:v>
      </x:c>
      <x:c r="N75" s="24" t="n">
        <x:v>69.58427230626691</x:v>
      </x:c>
      <x:c r="O75" s="24" t="n">
        <x:v>71.40084424250361</x:v>
      </x:c>
      <x:c r="P75" s="24" t="n">
        <x:v>80.16632984185549</x:v>
      </x:c>
      <x:c r="Q75" s="24" t="n">
        <x:v>71.24346287822911</x:v>
      </x:c>
      <x:c r="R75" s="24" t="n">
        <x:v>50</x:v>
      </x:c>
      <x:c r="S75" s="24" t="n">
        <x:v>78.02801096955103</x:v>
      </x:c>
      <x:c r="T75" s="24" t="n">
        <x:v>72.65822864094291</x:v>
      </x:c>
      <x:c r="U75" s="24" t="n">
        <x:v>62.55016835828974</x:v>
      </x:c>
    </x:row>
    <x:row r="76">
      <x:c r="A76" s="24" t="n">
        <x:v>7.4</x:v>
      </x:c>
      <x:c r="B76" s="24" t="n">
        <x:v>61.00351953881908</x:v>
      </x:c>
      <x:c r="C76" s="24" t="n">
        <x:v>67.70533188722538</x:v>
      </x:c>
      <x:c r="D76" s="24" t="n">
        <x:v>59.02098960438828</x:v>
      </x:c>
      <x:c r="E76" s="24" t="n">
        <x:v>66.14511740943382</x:v>
      </x:c>
      <x:c r="F76" s="24" t="n">
        <x:v>82.60474555592774</x:v>
      </x:c>
      <x:c r="G76" s="24" t="n">
        <x:v>68.17281834615667</x:v>
      </x:c>
      <x:c r="H76" s="24" t="n">
        <x:v>73.50561787268676</x:v>
      </x:c>
      <x:c r="I76" s="24" t="n">
        <x:v>63.98491514142883</x:v>
      </x:c>
      <x:c r="J76" s="24" t="n">
        <x:v>65.81131618210617</x:v>
      </x:c>
      <x:c r="K76" s="24" t="n">
        <x:v>70.96055404702027</x:v>
      </x:c>
      <x:c r="L76" s="24" t="n">
        <x:v>66.97507512654333</x:v>
      </x:c>
      <x:c r="M76" s="24" t="n">
        <x:v>59.01600318482827</x:v>
      </x:c>
      <x:c r="N76" s="24" t="n">
        <x:v>69.97345554072875</x:v>
      </x:c>
      <x:c r="O76" s="24" t="n">
        <x:v>69.64976152894327</x:v>
      </x:c>
      <x:c r="P76" s="24" t="n">
        <x:v>80.43433071516833</x:v>
      </x:c>
      <x:c r="Q76" s="24" t="n">
        <x:v>71.24346287822911</x:v>
      </x:c>
      <x:c r="R76" s="24" t="n">
        <x:v>80.67423393943926</x:v>
      </x:c>
      <x:c r="S76" s="24" t="n">
        <x:v>70.75126450501811</x:v>
      </x:c>
      <x:c r="T76" s="24" t="n">
        <x:v>70.23263301689806</x:v>
      </x:c>
      <x:c r="U76" s="24" t="n">
        <x:v>50</x:v>
      </x:c>
    </x:row>
    <x:row r="77">
      <x:c r="A77" s="24" t="n">
        <x:v>7.5</x:v>
      </x:c>
      <x:c r="B77" s="24" t="n">
        <x:v>60.618987926210224</x:v>
      </x:c>
      <x:c r="C77" s="24" t="n">
        <x:v>67.2215798616226</x:v>
      </x:c>
      <x:c r="D77" s="24" t="n">
        <x:v>58.429287767864174</x:v>
      </x:c>
      <x:c r="E77" s="24" t="n">
        <x:v>67.47578170031979</x:v>
      </x:c>
      <x:c r="F77" s="24" t="n">
        <x:v>82.60474555592774</x:v>
      </x:c>
      <x:c r="G77" s="24" t="n">
        <x:v>69.76975360021882</x:v>
      </x:c>
      <x:c r="H77" s="24" t="n">
        <x:v>74.51942090596245</x:v>
      </x:c>
      <x:c r="I77" s="24" t="n">
        <x:v>65.81137939245795</x:v>
      </x:c>
      <x:c r="J77" s="24" t="n">
        <x:v>65.4199540545288</x:v>
      </x:c>
      <x:c r="K77" s="24" t="n">
        <x:v>67.14758817517578</x:v>
      </x:c>
      <x:c r="L77" s="24" t="n">
        <x:v>53.267146813150546</x:v>
      </x:c>
      <x:c r="M77" s="24" t="n">
        <x:v>78.20896316843515</x:v>
      </x:c>
      <x:c r="N77" s="24" t="n">
        <x:v>70.11251091688176</x:v>
      </x:c>
      <x:c r="O77" s="24" t="n">
        <x:v>68.35834220723098</x:v>
      </x:c>
      <x:c r="P77" s="24" t="n">
        <x:v>79.34369874283954</x:v>
      </x:c>
      <x:c r="Q77" s="24" t="n">
        <x:v>70.97109171684139</x:v>
      </x:c>
      <x:c r="R77" s="24" t="n">
        <x:v>80.92526166162398</x:v>
      </x:c>
      <x:c r="S77" s="24" t="n">
        <x:v>64.84612103607502</x:v>
      </x:c>
      <x:c r="T77" s="24" t="n">
        <x:v>67.56086878611058</x:v>
      </x:c>
      <x:c r="U77" s="24" t="n">
        <x:v>50</x:v>
      </x:c>
    </x:row>
    <x:row r="78">
      <x:c r="A78" s="24" t="n">
        <x:v>7.6000000000000005</x:v>
      </x:c>
      <x:c r="B78" s="24" t="n">
        <x:v>63.16877717932161</x:v>
      </x:c>
      <x:c r="C78" s="24" t="n">
        <x:v>78.46529904408303</x:v>
      </x:c>
      <x:c r="D78" s="24" t="n">
        <x:v>52.39175843351897</x:v>
      </x:c>
      <x:c r="E78" s="24" t="n">
        <x:v>67.9874472252398</x:v>
      </x:c>
      <x:c r="F78" s="24" t="n">
        <x:v>72.5543483680889</x:v>
      </x:c>
      <x:c r="G78" s="24" t="n">
        <x:v>71.32784116603548</x:v>
      </x:c>
      <x:c r="H78" s="24" t="n">
        <x:v>74.51942090596245</x:v>
      </x:c>
      <x:c r="I78" s="24" t="n">
        <x:v>65.81137939245794</x:v>
      </x:c>
      <x:c r="J78" s="24" t="n">
        <x:v>64.42942452143373</x:v>
      </x:c>
      <x:c r="K78" s="24" t="n">
        <x:v>45.47631103694814</x:v>
      </x:c>
      <x:c r="L78" s="24" t="n">
        <x:v>51.78208007990029</x:v>
      </x:c>
      <x:c r="M78" s="24" t="n">
        <x:v>80.2029316855447</x:v>
      </x:c>
      <x:c r="N78" s="24" t="n">
        <x:v>71.1436167178665</x:v>
      </x:c>
      <x:c r="O78" s="24" t="n">
        <x:v>68.96250885613512</x:v>
      </x:c>
      <x:c r="P78" s="24" t="n">
        <x:v>66.4134234549446</x:v>
      </x:c>
      <x:c r="Q78" s="24" t="n">
        <x:v>79.96647365392926</x:v>
      </x:c>
      <x:c r="R78" s="24" t="n">
        <x:v>79.1410756839557</x:v>
      </x:c>
      <x:c r="S78" s="24" t="n">
        <x:v>59.05349379177282</x:v>
      </x:c>
      <x:c r="T78" s="24" t="n">
        <x:v>71.67409561687748</x:v>
      </x:c>
      <x:c r="U78" s="24" t="n">
        <x:v>50</x:v>
      </x:c>
    </x:row>
    <x:row r="79">
      <x:c r="A79" s="24" t="n">
        <x:v>7.7</x:v>
      </x:c>
      <x:c r="B79" s="24" t="n">
        <x:v>63.16877717932161</x:v>
      </x:c>
      <x:c r="C79" s="24" t="n">
        <x:v>78.46529904408303</x:v>
      </x:c>
      <x:c r="D79" s="24" t="n">
        <x:v>66.37703986340851</x:v>
      </x:c>
      <x:c r="E79" s="24" t="n">
        <x:v>68.1725083736471</x:v>
      </x:c>
      <x:c r="F79" s="24" t="n">
        <x:v>62.74068855282879</x:v>
      </x:c>
      <x:c r="G79" s="24" t="n">
        <x:v>71.32784116603548</x:v>
      </x:c>
      <x:c r="H79" s="24" t="n">
        <x:v>73.67730163328311</x:v>
      </x:c>
      <x:c r="I79" s="24" t="n">
        <x:v>64.86723517683191</x:v>
      </x:c>
      <x:c r="J79" s="24" t="n">
        <x:v>78.57856758448506</x:v>
      </x:c>
      <x:c r="K79" s="24" t="n">
        <x:v>62.99025673579487</x:v>
      </x:c>
      <x:c r="L79" s="24" t="n">
        <x:v>50.29701334665005</x:v>
      </x:c>
      <x:c r="M79" s="24" t="n">
        <x:v>80.2029316855447</x:v>
      </x:c>
      <x:c r="N79" s="24" t="n">
        <x:v>70.46302970224988</x:v>
      </x:c>
      <x:c r="O79" s="24" t="n">
        <x:v>68.45117896118091</x:v>
      </x:c>
      <x:c r="P79" s="24" t="n">
        <x:v>50</x:v>
      </x:c>
      <x:c r="Q79" s="24" t="n">
        <x:v>79.96647365392926</x:v>
      </x:c>
      <x:c r="R79" s="24" t="n">
        <x:v>71.89755314332444</x:v>
      </x:c>
      <x:c r="S79" s="24" t="n">
        <x:v>51.50891563196211</x:v>
      </x:c>
      <x:c r="T79" s="24" t="n">
        <x:v>75.1999512446882</x:v>
      </x:c>
      <x:c r="U79" s="24" t="n">
        <x:v>50</x:v>
      </x:c>
    </x:row>
    <x:row r="80">
      <x:c r="A80" s="24" t="n">
        <x:v>7.800000000000001</x:v>
      </x:c>
      <x:c r="B80" s="24" t="n">
        <x:v>65.52191284247121</x:v>
      </x:c>
      <x:c r="C80" s="24" t="n">
        <x:v>74.79178730791381</x:v>
      </x:c>
      <x:c r="D80" s="24" t="n">
        <x:v>67.31210486400478</x:v>
      </x:c>
      <x:c r="E80" s="24" t="n">
        <x:v>68.92989982227186</x:v>
      </x:c>
      <x:c r="F80" s="24" t="n">
        <x:v>52.62734679463941</x:v>
      </x:c>
      <x:c r="G80" s="24" t="n">
        <x:v>67.1303068652901</x:v>
      </x:c>
      <x:c r="H80" s="24" t="n">
        <x:v>84.22953290900169</x:v>
      </x:c>
      <x:c r="I80" s="24" t="n">
        <x:v>65.10732260588841</x:v>
      </x:c>
      <x:c r="J80" s="24" t="n">
        <x:v>82.81554113519842</x:v>
      </x:c>
      <x:c r="K80" s="24" t="n">
        <x:v>63.76149586831875</x:v>
      </x:c>
      <x:c r="L80" s="24" t="n">
        <x:v>52.37286754260535</x:v>
      </x:c>
      <x:c r="M80" s="24" t="n">
        <x:v>75.9809511987869</x:v>
      </x:c>
      <x:c r="N80" s="24" t="n">
        <x:v>70.42919582418124</x:v>
      </x:c>
      <x:c r="O80" s="24" t="n">
        <x:v>69.80048547544948</x:v>
      </x:c>
      <x:c r="P80" s="24" t="n">
        <x:v>50</x:v>
      </x:c>
      <x:c r="Q80" s="24" t="n">
        <x:v>74.07113700573998</x:v>
      </x:c>
      <x:c r="R80" s="24" t="n">
        <x:v>71.12298238870314</x:v>
      </x:c>
      <x:c r="S80" s="24" t="n">
        <x:v>59.46140063221172</x:v>
      </x:c>
      <x:c r="T80" s="24" t="n">
        <x:v>75.19995124468814</x:v>
      </x:c>
      <x:c r="U80" s="24" t="n">
        <x:v>65.7157368255772</x:v>
      </x:c>
    </x:row>
    <x:row r="81">
      <x:c r="A81" s="24" t="n">
        <x:v>7.9</x:v>
      </x:c>
      <x:c r="B81" s="24" t="n">
        <x:v>65.52191284247121</x:v>
      </x:c>
      <x:c r="C81" s="24" t="n">
        <x:v>64.90162444581668</x:v>
      </x:c>
      <x:c r="D81" s="24" t="n">
        <x:v>67.31210486400478</x:v>
      </x:c>
      <x:c r="E81" s="24" t="n">
        <x:v>68.65456517738716</x:v>
      </x:c>
      <x:c r="F81" s="24" t="n">
        <x:v>52.62734679463941</x:v>
      </x:c>
      <x:c r="G81" s="24" t="n">
        <x:v>66.87544028630649</x:v>
      </x:c>
      <x:c r="H81" s="24" t="n">
        <x:v>84.22953290900169</x:v>
      </x:c>
      <x:c r="I81" s="24" t="n">
        <x:v>65.82921755757098</x:v>
      </x:c>
      <x:c r="J81" s="24" t="n">
        <x:v>82.81554113519842</x:v>
      </x:c>
      <x:c r="K81" s="24" t="n">
        <x:v>63.9194018265964</x:v>
      </x:c>
      <x:c r="L81" s="24" t="n">
        <x:v>55.338951970861984</x:v>
      </x:c>
      <x:c r="M81" s="24" t="n">
        <x:v>75.82940222778328</x:v>
      </x:c>
      <x:c r="N81" s="24" t="n">
        <x:v>68.26364851026962</x:v>
      </x:c>
      <x:c r="O81" s="24" t="n">
        <x:v>70.33755024194613</x:v>
      </x:c>
      <x:c r="P81" s="24" t="n">
        <x:v>50</x:v>
      </x:c>
      <x:c r="Q81" s="24" t="n">
        <x:v>70.97944118291724</x:v>
      </x:c>
      <x:c r="R81" s="24" t="n">
        <x:v>66.87867494846269</x:v>
      </x:c>
      <x:c r="S81" s="24" t="n">
        <x:v>68.59904032095</x:v>
      </x:c>
      <x:c r="T81" s="24" t="n">
        <x:v>68.56562794064865</x:v>
      </x:c>
      <x:c r="U81" s="24" t="n">
        <x:v>75.6389918074164</x:v>
      </x:c>
    </x:row>
    <x:row r="82">
      <x:c r="A82" s="24" t="n">
        <x:v>8</x:v>
      </x:c>
      <x:c r="B82" s="24" t="n">
        <x:v>64.32083195315309</x:v>
      </x:c>
      <x:c r="C82" s="24" t="n">
        <x:v>60.138249865381745</x:v>
      </x:c>
      <x:c r="D82" s="24" t="n">
        <x:v>59.539297772566854</x:v>
      </x:c>
      <x:c r="E82" s="24" t="n">
        <x:v>68.97460650664507</x:v>
      </x:c>
      <x:c r="F82" s="24" t="n">
        <x:v>57.523265050141504</x:v>
      </x:c>
      <x:c r="G82" s="24" t="n">
        <x:v>66.87544028630649</x:v>
      </x:c>
      <x:c r="H82" s="24" t="n">
        <x:v>79.68074366283646</x:v>
      </x:c>
      <x:c r="I82" s="24" t="n">
        <x:v>65.82921755757098</x:v>
      </x:c>
      <x:c r="J82" s="24" t="n">
        <x:v>75.7228011812492</x:v>
      </x:c>
      <x:c r="K82" s="24" t="n">
        <x:v>63.9194018265964</x:v>
      </x:c>
      <x:c r="L82" s="24" t="n">
        <x:v>79.02333506732836</x:v>
      </x:c>
      <x:c r="M82" s="24" t="n">
        <x:v>72.63614951948394</x:v>
      </x:c>
      <x:c r="N82" s="24" t="n">
        <x:v>70.83623908647682</x:v>
      </x:c>
      <x:c r="O82" s="24" t="n">
        <x:v>69.45526502152933</x:v>
      </x:c>
      <x:c r="P82" s="24" t="n">
        <x:v>50</x:v>
      </x:c>
      <x:c r="Q82" s="24" t="n">
        <x:v>58.76849188591979</x:v>
      </x:c>
      <x:c r="R82" s="24" t="n">
        <x:v>66.97393730408956</x:v>
      </x:c>
      <x:c r="S82" s="24" t="n">
        <x:v>71.21378558112735</x:v>
      </x:c>
      <x:c r="T82" s="24" t="n">
        <x:v>63.76160499679999</x:v>
      </x:c>
      <x:c r="U82" s="24" t="n">
        <x:v>77.02331566039928</x:v>
      </x:c>
    </x:row>
    <x:row r="83">
      <x:c r="A83" s="24" t="n">
        <x:v>8.1</x:v>
      </x:c>
      <x:c r="B83" s="24" t="n">
        <x:v>82.99324746854535</x:v>
      </x:c>
      <x:c r="C83" s="24" t="n">
        <x:v>59.051282568401916</x:v>
      </x:c>
      <x:c r="D83" s="24" t="n">
        <x:v>71.45186333764669</x:v>
      </x:c>
      <x:c r="E83" s="24" t="n">
        <x:v>72.92676094807598</x:v>
      </x:c>
      <x:c r="F83" s="24" t="n">
        <x:v>66.7640969299145</x:v>
      </x:c>
      <x:c r="G83" s="24" t="n">
        <x:v>66.13085225412291</x:v>
      </x:c>
      <x:c r="H83" s="24" t="n">
        <x:v>69.2227249199176</x:v>
      </x:c>
      <x:c r="I83" s="24" t="n">
        <x:v>65.62417337031874</x:v>
      </x:c>
      <x:c r="J83" s="24" t="n">
        <x:v>67.32125236496523</x:v>
      </x:c>
      <x:c r="K83" s="24" t="n">
        <x:v>80.59013512685925</x:v>
      </x:c>
      <x:c r="L83" s="24" t="n">
        <x:v>81.4500339143726</x:v>
      </x:c>
      <x:c r="M83" s="24" t="n">
        <x:v>72.3856195286834</x:v>
      </x:c>
      <x:c r="N83" s="24" t="n">
        <x:v>74.41304369077758</x:v>
      </x:c>
      <x:c r="O83" s="24" t="n">
        <x:v>78.43567786990201</x:v>
      </x:c>
      <x:c r="P83" s="24" t="n">
        <x:v>74.79075157120793</x:v>
      </x:c>
      <x:c r="Q83" s="24" t="n">
        <x:v>51.904158502407924</x:v>
      </x:c>
      <x:c r="R83" s="24" t="n">
        <x:v>67.18062389822319</x:v>
      </x:c>
      <x:c r="S83" s="24" t="n">
        <x:v>79.54594757139861</x:v>
      </x:c>
      <x:c r="T83" s="24" t="n">
        <x:v>50</x:v>
      </x:c>
      <x:c r="U83" s="24" t="n">
        <x:v>77.02331566039928</x:v>
      </x:c>
    </x:row>
    <x:row r="84">
      <x:c r="A84" s="24" t="n">
        <x:v>8.200000000000001</x:v>
      </x:c>
      <x:c r="B84" s="24" t="n">
        <x:v>83.41324217166463</x:v>
      </x:c>
      <x:c r="C84" s="24" t="n">
        <x:v>57.96431527142208</x:v>
      </x:c>
      <x:c r="D84" s="24" t="n">
        <x:v>76.21688956367875</x:v>
      </x:c>
      <x:c r="E84" s="24" t="n">
        <x:v>85.14151622926434</x:v>
      </x:c>
      <x:c r="F84" s="24" t="n">
        <x:v>66.7640969299145</x:v>
      </x:c>
      <x:c r="G84" s="24" t="n">
        <x:v>66.14519140880927</x:v>
      </x:c>
      <x:c r="H84" s="24" t="n">
        <x:v>60.37299619417715</x:v>
      </x:c>
      <x:c r="I84" s="24" t="n">
        <x:v>63.69629216784982</x:v>
      </x:c>
      <x:c r="J84" s="24" t="n">
        <x:v>57.897240919206574</x:v>
      </x:c>
      <x:c r="K84" s="24" t="n">
        <x:v>83.44935919587918</x:v>
      </x:c>
      <x:c r="L84" s="24" t="n">
        <x:v>81.45003391437254</x:v>
      </x:c>
      <x:c r="M84" s="24" t="n">
        <x:v>71.89542961992957</x:v>
      </x:c>
      <x:c r="N84" s="24" t="n">
        <x:v>77.98984829507842</x:v>
      </x:c>
      <x:c r="O84" s="24" t="n">
        <x:v>78.43567786990201</x:v>
      </x:c>
      <x:c r="P84" s="24" t="n">
        <x:v>78.9761811568233</x:v>
      </x:c>
      <x:c r="Q84" s="24" t="n">
        <x:v>50</x:v>
      </x:c>
      <x:c r="R84" s="24" t="n">
        <x:v>67.18062389822319</x:v>
      </x:c>
      <x:c r="S84" s="24" t="n">
        <x:v>86.975082699302</x:v>
      </x:c>
      <x:c r="T84" s="24" t="n">
        <x:v>50</x:v>
      </x:c>
      <x:c r="U84" s="24" t="n">
        <x:v>74.9897602088505</x:v>
      </x:c>
    </x:row>
    <x:row r="85">
      <x:c r="A85" s="24" t="n">
        <x:v>8.3</x:v>
      </x:c>
      <x:c r="B85" s="24" t="n">
        <x:v>81.63229419889493</x:v>
      </x:c>
      <x:c r="C85" s="24" t="n">
        <x:v>56.87734797444225</x:v>
      </x:c>
      <x:c r="D85" s="24" t="n">
        <x:v>75.55610220733972</x:v>
      </x:c>
      <x:c r="E85" s="24" t="n">
        <x:v>85.14151622926434</x:v>
      </x:c>
      <x:c r="F85" s="24" t="n">
        <x:v>72.59846652574963</x:v>
      </x:c>
      <x:c r="G85" s="24" t="n">
        <x:v>67.79564756438924</x:v>
      </x:c>
      <x:c r="H85" s="24" t="n">
        <x:v>47.50917001791066</x:v>
      </x:c>
      <x:c r="I85" s="24" t="n">
        <x:v>61.26684902136853</x:v>
      </x:c>
      <x:c r="J85" s="24" t="n">
        <x:v>57.897240919206574</x:v>
      </x:c>
      <x:c r="K85" s="24" t="n">
        <x:v>83.44935919587918</x:v>
      </x:c>
      <x:c r="L85" s="24" t="n">
        <x:v>75.51702854530647</x:v>
      </x:c>
      <x:c r="M85" s="24" t="n">
        <x:v>73.37798048472301</x:v>
      </x:c>
      <x:c r="N85" s="24" t="n">
        <x:v>78.70520921593855</x:v>
      </x:c>
      <x:c r="O85" s="24" t="n">
        <x:v>74.75491436821832</x:v>
      </x:c>
      <x:c r="P85" s="24" t="n">
        <x:v>78.9761811568233</x:v>
      </x:c>
      <x:c r="Q85" s="24" t="n">
        <x:v>50</x:v>
      </x:c>
      <x:c r="R85" s="24" t="n">
        <x:v>68.04134241128575</x:v>
      </x:c>
      <x:c r="S85" s="24" t="n">
        <x:v>86.975082699302</x:v>
      </x:c>
      <x:c r="T85" s="24" t="n">
        <x:v>63.51535538319513</x:v>
      </x:c>
      <x:c r="U85" s="24" t="n">
        <x:v>74.40082907803173</x:v>
      </x:c>
    </x:row>
    <x:row r="86">
      <x:c r="A86" s="24" t="n">
        <x:v>8.4</x:v>
      </x:c>
      <x:c r="B86" s="24" t="n">
        <x:v>73.08901185697447</x:v>
      </x:c>
      <x:c r="C86" s="24" t="n">
        <x:v>55.79038067746243</x:v>
      </x:c>
      <x:c r="D86" s="24" t="n">
        <x:v>71.57239908695551</x:v>
      </x:c>
      <x:c r="E86" s="24" t="n">
        <x:v>77.61489608477811</x:v>
      </x:c>
      <x:c r="F86" s="24" t="n">
        <x:v>73.32272629753254</x:v>
      </x:c>
      <x:c r="G86" s="24" t="n">
        <x:v>67.79564756438924</x:v>
      </x:c>
      <x:c r="H86" s="24" t="n">
        <x:v>59.33569155308588</x:v>
      </x:c>
      <x:c r="I86" s="24" t="n">
        <x:v>67.03088124153392</x:v>
      </x:c>
      <x:c r="J86" s="24" t="n">
        <x:v>58.31952776881276</x:v>
      </x:c>
      <x:c r="K86" s="24" t="n">
        <x:v>75.78328751447202</x:v>
      </x:c>
      <x:c r="L86" s="24" t="n">
        <x:v>71.9055273784577</x:v>
      </x:c>
      <x:c r="M86" s="24" t="n">
        <x:v>73.37798048472301</x:v>
      </x:c>
      <x:c r="N86" s="24" t="n">
        <x:v>76.3093927562967</x:v>
      </x:c>
      <x:c r="O86" s="24" t="n">
        <x:v>50</x:v>
      </x:c>
      <x:c r="P86" s="24" t="n">
        <x:v>72.14178900044888</x:v>
      </x:c>
      <x:c r="Q86" s="24" t="n">
        <x:v>50</x:v>
      </x:c>
      <x:c r="R86" s="24" t="n">
        <x:v>68.44991826223529</x:v>
      </x:c>
      <x:c r="S86" s="24" t="n">
        <x:v>82.47745274260998</x:v>
      </x:c>
      <x:c r="T86" s="24" t="n">
        <x:v>68.12348312572786</x:v>
      </x:c>
      <x:c r="U86" s="24" t="n">
        <x:v>73.66468231137884</x:v>
      </x:c>
    </x:row>
    <x:row r="87">
      <x:c r="A87" s="24" t="n">
        <x:v>8.5</x:v>
      </x:c>
      <x:c r="B87" s="24" t="n">
        <x:v>63.769797625064335</x:v>
      </x:c>
      <x:c r="C87" s="24" t="n">
        <x:v>54.70341338048261</x:v>
      </x:c>
      <x:c r="D87" s="24" t="n">
        <x:v>66.91000924315054</x:v>
      </x:c>
      <x:c r="E87" s="24" t="n">
        <x:v>69.03433500491944</x:v>
      </x:c>
      <x:c r="F87" s="24" t="n">
        <x:v>71.88262125004351</x:v>
      </x:c>
      <x:c r="G87" s="24" t="n">
        <x:v>66.21254556420901</x:v>
      </x:c>
      <x:c r="H87" s="24" t="n">
        <x:v>64.06630016715589</x:v>
      </x:c>
      <x:c r="I87" s="24" t="n">
        <x:v>73.49212522274257</x:v>
      </x:c>
      <x:c r="J87" s="24" t="n">
        <x:v>68.92488847954463</x:v>
      </x:c>
      <x:c r="K87" s="24" t="n">
        <x:v>65.2959632357652</x:v>
      </x:c>
      <x:c r="L87" s="24" t="n">
        <x:v>67.70541342204567</x:v>
      </x:c>
      <x:c r="M87" s="24" t="n">
        <x:v>72.08751413686734</x:v>
      </x:c>
      <x:c r="N87" s="24" t="n">
        <x:v>63.16775043671005</x:v>
      </x:c>
      <x:c r="O87" s="24" t="n">
        <x:v>54.23979073855256</x:v>
      </x:c>
      <x:c r="P87" s="24" t="n">
        <x:v>72.14178900044888</x:v>
      </x:c>
      <x:c r="Q87" s="24" t="n">
        <x:v>50</x:v>
      </x:c>
      <x:c r="R87" s="24" t="n">
        <x:v>68.44991826223529</x:v>
      </x:c>
      <x:c r="S87" s="24" t="n">
        <x:v>77.79485982145702</x:v>
      </x:c>
      <x:c r="T87" s="24" t="n">
        <x:v>70.32208260559767</x:v>
      </x:c>
      <x:c r="U87" s="24" t="n">
        <x:v>68.4820630604203</x:v>
      </x:c>
    </x:row>
    <x:row r="88">
      <x:c r="A88" s="24" t="n">
        <x:v>8.6</x:v>
      </x:c>
      <x:c r="B88" s="24" t="n">
        <x:v>58.63997768395781</x:v>
      </x:c>
      <x:c r="C88" s="24" t="n">
        <x:v>57.44545434000505</x:v>
      </x:c>
      <x:c r="D88" s="24" t="n">
        <x:v>66.33746157407971</x:v>
      </x:c>
      <x:c r="E88" s="24" t="n">
        <x:v>61.40616102385877</x:v>
      </x:c>
      <x:c r="F88" s="24" t="n">
        <x:v>63.924590155786575</x:v>
      </x:c>
      <x:c r="G88" s="24" t="n">
        <x:v>66.31490505654628</x:v>
      </x:c>
      <x:c r="H88" s="24" t="n">
        <x:v>72.3758733713393</x:v>
      </x:c>
      <x:c r="I88" s="24" t="n">
        <x:v>73.49212522274257</x:v>
      </x:c>
      <x:c r="J88" s="24" t="n">
        <x:v>71.04596062169097</x:v>
      </x:c>
      <x:c r="K88" s="24" t="n">
        <x:v>63.00047096882301</x:v>
      </x:c>
      <x:c r="L88" s="24" t="n">
        <x:v>68.12192266551357</x:v>
      </x:c>
      <x:c r="M88" s="24" t="n">
        <x:v>72.08751413686734</x:v>
      </x:c>
      <x:c r="N88" s="24" t="n">
        <x:v>50</x:v>
      </x:c>
      <x:c r="O88" s="24" t="n">
        <x:v>64.83926758493412</x:v>
      </x:c>
      <x:c r="P88" s="24" t="n">
        <x:v>71.14360575957218</x:v>
      </x:c>
      <x:c r="Q88" s="24" t="n">
        <x:v>58.9216080312724</x:v>
      </x:c>
      <x:c r="R88" s="24" t="n">
        <x:v>66.39996068020298</x:v>
      </x:c>
      <x:c r="S88" s="24" t="n">
        <x:v>76.67367893798993</x:v>
      </x:c>
      <x:c r="T88" s="24" t="n">
        <x:v>71.6725227318648</x:v>
      </x:c>
      <x:c r="U88" s="24" t="n">
        <x:v>67.29543131604686</x:v>
      </x:c>
    </x:row>
    <x:row r="89">
      <x:c r="A89" s="24" t="n">
        <x:v>8.700000000000001</x:v>
      </x:c>
      <x:c r="B89" s="24" t="n">
        <x:v>54.476320651657595</x:v>
      </x:c>
      <x:c r="C89" s="24" t="n">
        <x:v>65.38752403579124</x:v>
      </x:c>
      <x:c r="D89" s="24" t="n">
        <x:v>69.11127915896022</x:v>
      </x:c>
      <x:c r="E89" s="24" t="n">
        <x:v>58.05961303050192</x:v>
      </x:c>
      <x:c r="F89" s="24" t="n">
        <x:v>61.698936322890596</x:v>
      </x:c>
      <x:c r="G89" s="24" t="n">
        <x:v>66.38233181653644</x:v>
      </x:c>
      <x:c r="H89" s="24" t="n">
        <x:v>73.35667033625262</x:v>
      </x:c>
      <x:c r="I89" s="24" t="n">
        <x:v>66.29428677324016</x:v>
      </x:c>
      <x:c r="J89" s="24" t="n">
        <x:v>67.35925079144617</x:v>
      </x:c>
      <x:c r="K89" s="24" t="n">
        <x:v>64.75930982556388</x:v>
      </x:c>
      <x:c r="L89" s="24" t="n">
        <x:v>68.88060618670481</x:v>
      </x:c>
      <x:c r="M89" s="24" t="n">
        <x:v>71.6596533418144</x:v>
      </x:c>
      <x:c r="N89" s="24" t="n">
        <x:v>51.344766598779216</x:v>
      </x:c>
      <x:c r="O89" s="24" t="n">
        <x:v>76.82661396719612</x:v>
      </x:c>
      <x:c r="P89" s="24" t="n">
        <x:v>70.56501843643933</x:v>
      </x:c>
      <x:c r="Q89" s="24" t="n">
        <x:v>68.27189036456458</x:v>
      </x:c>
      <x:c r="R89" s="24" t="n">
        <x:v>81.61916855165256</x:v>
      </x:c>
      <x:c r="S89" s="24" t="n">
        <x:v>73.28173243981428</x:v>
      </x:c>
      <x:c r="T89" s="24" t="n">
        <x:v>84.12518430326513</x:v>
      </x:c>
      <x:c r="U89" s="24" t="n">
        <x:v>66.53073512504953</x:v>
      </x:c>
    </x:row>
    <x:row r="90">
      <x:c r="A90" s="24" t="n">
        <x:v>8.8</x:v>
      </x:c>
      <x:c r="B90" s="24" t="n">
        <x:v>52.6534461064397</x:v>
      </x:c>
      <x:c r="C90" s="24" t="n">
        <x:v>73.32959373157729</x:v>
      </x:c>
      <x:c r="D90" s="24" t="n">
        <x:v>69.11127915896022</x:v>
      </x:c>
      <x:c r="E90" s="24" t="n">
        <x:v>66.67967990147368</x:v>
      </x:c>
      <x:c r="F90" s="24" t="n">
        <x:v>67.43869922207163</x:v>
      </x:c>
      <x:c r="G90" s="24" t="n">
        <x:v>82.512651896515</x:v>
      </x:c>
      <x:c r="H90" s="24" t="n">
        <x:v>73.35667033625262</x:v>
      </x:c>
      <x:c r="I90" s="24" t="n">
        <x:v>65.18123136113743</x:v>
      </x:c>
      <x:c r="J90" s="24" t="n">
        <x:v>64.33845994085304</x:v>
      </x:c>
      <x:c r="K90" s="24" t="n">
        <x:v>63.18067905346234</x:v>
      </x:c>
      <x:c r="L90" s="24" t="n">
        <x:v>68.88060618670481</x:v>
      </x:c>
      <x:c r="M90" s="24" t="n">
        <x:v>81.8166022352499</x:v>
      </x:c>
      <x:c r="N90" s="24" t="n">
        <x:v>58.068599592674815</x:v>
      </x:c>
      <x:c r="O90" s="24" t="n">
        <x:v>79.61318152763097</x:v>
      </x:c>
      <x:c r="P90" s="24" t="n">
        <x:v>70.31149687151218</x:v>
      </x:c>
      <x:c r="Q90" s="24" t="n">
        <x:v>68.84022991012216</x:v>
      </x:c>
      <x:c r="R90" s="24" t="n">
        <x:v>81.61916855165256</x:v>
      </x:c>
      <x:c r="S90" s="24" t="n">
        <x:v>70.47684043711556</x:v>
      </x:c>
      <x:c r="T90" s="24" t="n">
        <x:v>84.12518430326513</x:v>
      </x:c>
      <x:c r="U90" s="24" t="n">
        <x:v>63.621738091234164</x:v>
      </x:c>
    </x:row>
    <x:row r="91">
      <x:c r="A91" s="24" t="n">
        <x:v>8.9</x:v>
      </x:c>
      <x:c r="B91" s="24" t="n">
        <x:v>54.649629617337936</x:v>
      </x:c>
      <x:c r="C91" s="24" t="n">
        <x:v>73.32959373157729</x:v>
      </x:c>
      <x:c r="D91" s="24" t="n">
        <x:v>68.46739195883846</x:v>
      </x:c>
      <x:c r="E91" s="24" t="n">
        <x:v>66.67967990147368</x:v>
      </x:c>
      <x:c r="F91" s="24" t="n">
        <x:v>68.92795442218988</x:v>
      </x:c>
      <x:c r="G91" s="24" t="n">
        <x:v>82.512651896515</x:v>
      </x:c>
      <x:c r="H91" s="24" t="n">
        <x:v>48.53368631779085</x:v>
      </x:c>
      <x:c r="I91" s="24" t="n">
        <x:v>64.06817594903472</x:v>
      </x:c>
      <x:c r="J91" s="24" t="n">
        <x:v>65.49028313615179</x:v>
      </x:c>
      <x:c r="K91" s="24" t="n">
        <x:v>69.115539289896</x:v>
      </x:c>
      <x:c r="L91" s="24" t="n">
        <x:v>68.4318885461285</x:v>
      </x:c>
      <x:c r="M91" s="24" t="n">
        <x:v>82.25935992773013</x:v>
      </x:c>
      <x:c r="N91" s="24" t="n">
        <x:v>73.23728359478724</x:v>
      </x:c>
      <x:c r="O91" s="24" t="n">
        <x:v>79.61318152763097</x:v>
      </x:c>
      <x:c r="P91" s="24" t="n">
        <x:v>70.31149687151218</x:v>
      </x:c>
      <x:c r="Q91" s="24" t="n">
        <x:v>67.5070335199212</x:v>
      </x:c>
      <x:c r="R91" s="24" t="n">
        <x:v>77.17048343595278</x:v>
      </x:c>
      <x:c r="S91" s="24" t="n">
        <x:v>69.40911224787993</x:v>
      </x:c>
      <x:c r="T91" s="24" t="n">
        <x:v>82.23458467526801</x:v>
      </x:c>
      <x:c r="U91" s="24" t="n">
        <x:v>63.83790331207962</x:v>
      </x:c>
    </x:row>
    <x:row r="92">
      <x:c r="A92" s="24" t="n">
        <x:v>9</x:v>
      </x:c>
      <x:c r="B92" s="24" t="n">
        <x:v>62.03319191434838</x:v>
      </x:c>
      <x:c r="C92" s="24" t="n">
        <x:v>71.66946626918987</x:v>
      </x:c>
      <x:c r="D92" s="24" t="n">
        <x:v>68.379806550452</x:v>
      </x:c>
      <x:c r="E92" s="24" t="n">
        <x:v>62.765450691344114</x:v>
      </x:c>
      <x:c r="F92" s="24" t="n">
        <x:v>69.61516254033174</x:v>
      </x:c>
      <x:c r="G92" s="24" t="n">
        <x:v>77.42438720764775</x:v>
      </x:c>
      <x:c r="H92" s="24" t="n">
        <x:v>69.90853402841873</x:v>
      </x:c>
      <x:c r="I92" s="24" t="n">
        <x:v>62.955120536932014</x:v>
      </x:c>
      <x:c r="J92" s="24" t="n">
        <x:v>64.74346127110107</x:v>
      </x:c>
      <x:c r="K92" s="24" t="n">
        <x:v>69.56481000989908</x:v>
      </x:c>
      <x:c r="L92" s="24" t="n">
        <x:v>67.9237885155781</x:v>
      </x:c>
      <x:c r="M92" s="24" t="n">
        <x:v>81.83207401363948</x:v>
      </x:c>
      <x:c r="N92" s="24" t="n">
        <x:v>79.22493443073475</x:v>
      </x:c>
      <x:c r="O92" s="24" t="n">
        <x:v>73.57753810769871</x:v>
      </x:c>
      <x:c r="P92" s="24" t="n">
        <x:v>70.6796681929286</x:v>
      </x:c>
      <x:c r="Q92" s="24" t="n">
        <x:v>67.75406958101533</x:v>
      </x:c>
      <x:c r="R92" s="24" t="n">
        <x:v>60.38163714807653</x:v>
      </x:c>
      <x:c r="S92" s="24" t="n">
        <x:v>81.25788667924202</x:v>
      </x:c>
      <x:c r="T92" s="24" t="n">
        <x:v>74.98814554296644</x:v>
      </x:c>
      <x:c r="U92" s="24" t="n">
        <x:v>62.763885167377424</x:v>
      </x:c>
    </x:row>
    <x:row r="93">
      <x:c r="A93" s="24" t="n">
        <x:v>9.1</x:v>
      </x:c>
      <x:c r="B93" s="24" t="n">
        <x:v>63.65069966422281</x:v>
      </x:c>
      <x:c r="C93" s="24" t="n">
        <x:v>65.1343715112133</x:v>
      </x:c>
      <x:c r="D93" s="24" t="n">
        <x:v>68.44226778594687</x:v>
      </x:c>
      <x:c r="E93" s="24" t="n">
        <x:v>69.07602985892228</x:v>
      </x:c>
      <x:c r="F93" s="24" t="n">
        <x:v>69.61516254033174</x:v>
      </x:c>
      <x:c r="G93" s="24" t="n">
        <x:v>65.78070040310912</x:v>
      </x:c>
      <x:c r="H93" s="24" t="n">
        <x:v>70.36448703124627</x:v>
      </x:c>
      <x:c r="I93" s="24" t="n">
        <x:v>61.842065124829304</x:v>
      </x:c>
      <x:c r="J93" s="24" t="n">
        <x:v>65.470564770392</x:v>
      </x:c>
      <x:c r="K93" s="24" t="n">
        <x:v>67.12114718734236</x:v>
      </x:c>
      <x:c r="L93" s="24" t="n">
        <x:v>65.79069430479852</x:v>
      </x:c>
      <x:c r="M93" s="24" t="n">
        <x:v>72.25330511825003</x:v>
      </x:c>
      <x:c r="N93" s="24" t="n">
        <x:v>79.22493443073475</x:v>
      </x:c>
      <x:c r="O93" s="24" t="n">
        <x:v>71.87105101197645</x:v>
      </x:c>
      <x:c r="P93" s="24" t="n">
        <x:v>70.98633956085347</x:v>
      </x:c>
      <x:c r="Q93" s="24" t="n">
        <x:v>68.66654642431416</x:v>
      </x:c>
      <x:c r="R93" s="24" t="n">
        <x:v>50</x:v>
      </x:c>
      <x:c r="S93" s="24" t="n">
        <x:v>81.86079973344178</x:v>
      </x:c>
      <x:c r="T93" s="24" t="n">
        <x:v>73.59124579729529</x:v>
      </x:c>
      <x:c r="U93" s="24" t="n">
        <x:v>66.91805191481106</x:v>
      </x:c>
    </x:row>
    <x:row r="94">
      <x:c r="A94" s="24" t="n">
        <x:v>9.200000000000001</x:v>
      </x:c>
      <x:c r="B94" s="24" t="n">
        <x:v>61.33911660735708</x:v>
      </x:c>
      <x:c r="C94" s="24" t="n">
        <x:v>61.744263759839036</x:v>
      </x:c>
      <x:c r="D94" s="24" t="n">
        <x:v>68.44226778594697</x:v>
      </x:c>
      <x:c r="E94" s="24" t="n">
        <x:v>74.65184008173387</x:v>
      </x:c>
      <x:c r="F94" s="24" t="n">
        <x:v>69.7060732535403</x:v>
      </x:c>
      <x:c r="G94" s="24" t="n">
        <x:v>53.50474931864532</x:v>
      </x:c>
      <x:c r="H94" s="24" t="n">
        <x:v>73.39052987463643</x:v>
      </x:c>
      <x:c r="I94" s="24" t="n">
        <x:v>61.842065124829304</x:v>
      </x:c>
      <x:c r="J94" s="24" t="n">
        <x:v>65.470564770392</x:v>
      </x:c>
      <x:c r="K94" s="24" t="n">
        <x:v>58.847081608415394</x:v>
      </x:c>
      <x:c r="L94" s="24" t="n">
        <x:v>67.7658269862566</x:v>
      </x:c>
      <x:c r="M94" s="24" t="n">
        <x:v>50</x:v>
      </x:c>
      <x:c r="N94" s="24" t="n">
        <x:v>73.90072369599591</x:v>
      </x:c>
      <x:c r="O94" s="24" t="n">
        <x:v>67.44887526599047</x:v>
      </x:c>
      <x:c r="P94" s="24" t="n">
        <x:v>70.98633956085347</x:v>
      </x:c>
      <x:c r="Q94" s="24" t="n">
        <x:v>71.51072690843307</x:v>
      </x:c>
      <x:c r="R94" s="24" t="n">
        <x:v>50</x:v>
      </x:c>
      <x:c r="S94" s="24" t="n">
        <x:v>81.23752316264104</x:v>
      </x:c>
      <x:c r="T94" s="24" t="n">
        <x:v>69.5418250542654</x:v>
      </x:c>
      <x:c r="U94" s="24" t="n">
        <x:v>71.17102910426739</x:v>
      </x:c>
    </x:row>
    <x:row r="95">
      <x:c r="A95" s="24" t="n">
        <x:v>9.3</x:v>
      </x:c>
      <x:c r="B95" s="24" t="n">
        <x:v>49.78120132302922</x:v>
      </x:c>
      <x:c r="C95" s="24" t="n">
        <x:v>65.42179256487101</x:v>
      </x:c>
      <x:c r="D95" s="24" t="n">
        <x:v>69.49955203328734</x:v>
      </x:c>
      <x:c r="E95" s="24" t="n">
        <x:v>74.65184008173387</x:v>
      </x:c>
      <x:c r="F95" s="24" t="n">
        <x:v>70.24183478671407</x:v>
      </x:c>
      <x:c r="G95" s="24" t="n">
        <x:v>56.82473034892258</x:v>
      </x:c>
      <x:c r="H95" s="24" t="n">
        <x:v>73.51304555332783</x:v>
      </x:c>
      <x:c r="I95" s="24" t="n">
        <x:v>68.16854018175815</x:v>
      </x:c>
      <x:c r="J95" s="24" t="n">
        <x:v>65.35902683272825</x:v>
      </x:c>
      <x:c r="K95" s="24" t="n">
        <x:v>63.37471353090207</x:v>
      </x:c>
      <x:c r="L95" s="24" t="n">
        <x:v>68.03803673502178</x:v>
      </x:c>
      <x:c r="M95" s="24" t="n">
        <x:v>50</x:v>
      </x:c>
      <x:c r="N95" s="24" t="n">
        <x:v>72.6528213738181</x:v>
      </x:c>
      <x:c r="O95" s="24" t="n">
        <x:v>67.44887526599047</x:v>
      </x:c>
      <x:c r="P95" s="24" t="n">
        <x:v>70.76895674467787</x:v>
      </x:c>
      <x:c r="Q95" s="24" t="n">
        <x:v>71.68869716892493</x:v>
      </x:c>
      <x:c r="R95" s="24" t="n">
        <x:v>50</x:v>
      </x:c>
      <x:c r="S95" s="24" t="n">
        <x:v>72.27520652483483</x:v>
      </x:c>
      <x:c r="T95" s="24" t="n">
        <x:v>65.49899982344286</x:v>
      </x:c>
      <x:c r="U95" s="24" t="n">
        <x:v>78.25932442002787</x:v>
      </x:c>
    </x:row>
    <x:row r="96">
      <x:c r="A96" s="24" t="n">
        <x:v>9.4</x:v>
      </x:c>
      <x:c r="B96" s="24" t="n">
        <x:v>49.78120132302922</x:v>
      </x:c>
      <x:c r="C96" s="24" t="n">
        <x:v>67.05155942241883</x:v>
      </x:c>
      <x:c r="D96" s="24" t="n">
        <x:v>70.31384549040438</x:v>
      </x:c>
      <x:c r="E96" s="24" t="n">
        <x:v>67.40602448707273</x:v>
      </x:c>
      <x:c r="F96" s="24" t="n">
        <x:v>70.47817969663119</x:v>
      </x:c>
      <x:c r="G96" s="24" t="n">
        <x:v>65.12468292461551</x:v>
      </x:c>
      <x:c r="H96" s="24" t="n">
        <x:v>74.200547343578</x:v>
      </x:c>
      <x:c r="I96" s="24" t="n">
        <x:v>70.54045752819346</x:v>
      </x:c>
      <x:c r="J96" s="24" t="n">
        <x:v>82.80837962386322</x:v>
      </x:c>
      <x:c r="K96" s="24" t="n">
        <x:v>63.37471353090207</x:v>
      </x:c>
      <x:c r="L96" s="24" t="n">
        <x:v>68.0230427962425</x:v>
      </x:c>
      <x:c r="M96" s="24" t="n">
        <x:v>50</x:v>
      </x:c>
      <x:c r="N96" s="24" t="n">
        <x:v>70.22603733560443</x:v>
      </x:c>
      <x:c r="O96" s="24" t="n">
        <x:v>68.46919864827869</x:v>
      </x:c>
      <x:c r="P96" s="24" t="n">
        <x:v>70.0387034794257</x:v>
      </x:c>
      <x:c r="Q96" s="24" t="n">
        <x:v>71.68869716892493</x:v>
      </x:c>
      <x:c r="R96" s="24" t="n">
        <x:v>50</x:v>
      </x:c>
      <x:c r="S96" s="24" t="n">
        <x:v>67.0484796514096</x:v>
      </x:c>
      <x:c r="T96" s="24" t="n">
        <x:v>64.40905457707152</x:v>
      </x:c>
      <x:c r="U96" s="24" t="n">
        <x:v>78.25932442002787</x:v>
      </x:c>
    </x:row>
    <x:row r="97">
      <x:c r="A97" s="24" t="n">
        <x:v>9.5</x:v>
      </x:c>
      <x:c r="B97" s="24" t="n">
        <x:v>58.91861063902826</x:v>
      </x:c>
      <x:c r="C97" s="24" t="n">
        <x:v>67.05155942241883</x:v>
      </x:c>
      <x:c r="D97" s="24" t="n">
        <x:v>70.31384549040438</x:v>
      </x:c>
      <x:c r="E97" s="24" t="n">
        <x:v>49.331608997128484</x:v>
      </x:c>
      <x:c r="F97" s="24" t="n">
        <x:v>69.30414451329263</x:v>
      </x:c>
      <x:c r="G97" s="24" t="n">
        <x:v>66.78467343975407</x:v>
      </x:c>
      <x:c r="H97" s="24" t="n">
        <x:v>73.6385929753398</x:v>
      </x:c>
      <x:c r="I97" s="24" t="n">
        <x:v>69.99646901570816</x:v>
      </x:c>
      <x:c r="J97" s="24" t="n">
        <x:v>82.80837962386322</x:v>
      </x:c>
      <x:c r="K97" s="24" t="n">
        <x:v>63.211663564720695</x:v>
      </x:c>
      <x:c r="L97" s="24" t="n">
        <x:v>82.98003089925297</x:v>
      </x:c>
      <x:c r="M97" s="24" t="n">
        <x:v>50</x:v>
      </x:c>
      <x:c r="N97" s="24" t="n">
        <x:v>69.55627776232062</x:v>
      </x:c>
      <x:c r="O97" s="24" t="n">
        <x:v>68.46919864827869</x:v>
      </x:c>
      <x:c r="P97" s="24" t="n">
        <x:v>78.24984811137816</x:v>
      </x:c>
      <x:c r="Q97" s="24" t="n">
        <x:v>70.79917410654731</x:v>
      </x:c>
      <x:c r="R97" s="24" t="n">
        <x:v>66.36521258020709</x:v>
      </x:c>
      <x:c r="S97" s="24" t="n">
        <x:v>51.06758832899328</x:v>
      </x:c>
      <x:c r="T97" s="24" t="n">
        <x:v>76.27177195322967</x:v>
      </x:c>
      <x:c r="U97" s="24" t="n">
        <x:v>75.16244621623022</x:v>
      </x:c>
    </x:row>
    <x:row r="98">
      <x:c r="A98" s="24" t="n">
        <x:v>9.600000000000001</x:v>
      </x:c>
      <x:c r="B98" s="24" t="n">
        <x:v>75.8453545680013</x:v>
      </x:c>
      <x:c r="C98" s="24" t="n">
        <x:v>67.04155671242569</x:v>
      </x:c>
      <x:c r="D98" s="24" t="n">
        <x:v>69.50488769572705</x:v>
      </x:c>
      <x:c r="E98" s="24" t="n">
        <x:v>65.61827295663508</x:v>
      </x:c>
      <x:c r="F98" s="24" t="n">
        <x:v>69.95641607624559</x:v>
      </x:c>
      <x:c r="G98" s="24" t="n">
        <x:v>66.51028800123436</x:v>
      </x:c>
      <x:c r="H98" s="24" t="n">
        <x:v>73.63859297533973</x:v>
      </x:c>
      <x:c r="I98" s="24" t="n">
        <x:v>57.514667942921776</x:v>
      </x:c>
      <x:c r="J98" s="24" t="n">
        <x:v>77.33425128973954</x:v>
      </x:c>
      <x:c r="K98" s="24" t="n">
        <x:v>66.12157894972174</x:v>
      </x:c>
      <x:c r="L98" s="24" t="n">
        <x:v>83.506155715637</x:v>
      </x:c>
      <x:c r="M98" s="24" t="n">
        <x:v>50</x:v>
      </x:c>
      <x:c r="N98" s="24" t="n">
        <x:v>69.43698863972689</x:v>
      </x:c>
      <x:c r="O98" s="24" t="n">
        <x:v>67.95828223680033</x:v>
      </x:c>
      <x:c r="P98" s="24" t="n">
        <x:v>79.29091413936735</x:v>
      </x:c>
      <x:c r="Q98" s="24" t="n">
        <x:v>72.29713373025353</x:v>
      </x:c>
      <x:c r="R98" s="24" t="n">
        <x:v>66.36521258020709</x:v>
      </x:c>
      <x:c r="S98" s="24" t="n">
        <x:v>50</x:v>
      </x:c>
      <x:c r="T98" s="24" t="n">
        <x:v>78.33321496509177</x:v>
      </x:c>
      <x:c r="U98" s="24" t="n">
        <x:v>68.80023090612661</x:v>
      </x:c>
    </x:row>
    <x:row r="99">
      <x:c r="A99" s="24" t="n">
        <x:v>9.700000000000001</x:v>
      </x:c>
      <x:c r="B99" s="24" t="n">
        <x:v>75.94379324628534</x:v>
      </x:c>
      <x:c r="C99" s="24" t="n">
        <x:v>67.48258241236397</x:v>
      </x:c>
      <x:c r="D99" s="24" t="n">
        <x:v>69.50488769572705</x:v>
      </x:c>
      <x:c r="E99" s="24" t="n">
        <x:v>66.54967114661164</x:v>
      </x:c>
      <x:c r="F99" s="24" t="n">
        <x:v>69.95641607624559</x:v>
      </x:c>
      <x:c r="G99" s="24" t="n">
        <x:v>74.07623103480157</x:v>
      </x:c>
      <x:c r="H99" s="24" t="n">
        <x:v>74.58897624183436</x:v>
      </x:c>
      <x:c r="I99" s="24" t="n">
        <x:v>62.21357585026993</x:v>
      </x:c>
      <x:c r="J99" s="24" t="n">
        <x:v>69.8756876185139</x:v>
      </x:c>
      <x:c r="K99" s="24" t="n">
        <x:v>83.29032405858328</x:v>
      </x:c>
      <x:c r="L99" s="24" t="n">
        <x:v>82.96064014371387</x:v>
      </x:c>
      <x:c r="M99" s="24" t="n">
        <x:v>70.51800435923174</x:v>
      </x:c>
      <x:c r="N99" s="24" t="n">
        <x:v>70.14193867094134</x:v>
      </x:c>
      <x:c r="O99" s="24" t="n">
        <x:v>67.95828223680036</x:v>
      </x:c>
      <x:c r="P99" s="24" t="n">
        <x:v>79.29091413936715</x:v>
      </x:c>
      <x:c r="Q99" s="24" t="n">
        <x:v>72.29713373025353</x:v>
      </x:c>
      <x:c r="R99" s="24" t="n">
        <x:v>64.60229549159837</x:v>
      </x:c>
      <x:c r="S99" s="24" t="n">
        <x:v>53.914330528883866</x:v>
      </x:c>
      <x:c r="T99" s="24" t="n">
        <x:v>78.3332149650917</x:v>
      </x:c>
      <x:c r="U99" s="24" t="n">
        <x:v>62.65434682757307</x:v>
      </x:c>
    </x:row>
    <x:row r="100">
      <x:c r="A100" s="24" t="n">
        <x:v>9.8</x:v>
      </x:c>
      <x:c r="B100" s="24" t="n">
        <x:v>74.2080372715869</x:v>
      </x:c>
      <x:c r="C100" s="24" t="n">
        <x:v>67.48258241236397</x:v>
      </x:c>
      <x:c r="D100" s="24" t="n">
        <x:v>68.20971733091717</x:v>
      </x:c>
      <x:c r="E100" s="24" t="n">
        <x:v>68.77021216847923</x:v>
      </x:c>
      <x:c r="F100" s="24" t="n">
        <x:v>69.57173003206461</x:v>
      </x:c>
      <x:c r="G100" s="24" t="n">
        <x:v>74.07623103480157</x:v>
      </x:c>
      <x:c r="H100" s="24" t="n">
        <x:v>74.58897624183436</x:v>
      </x:c>
      <x:c r="I100" s="24" t="n">
        <x:v>64.58193230743419</x:v>
      </x:c>
      <x:c r="J100" s="24" t="n">
        <x:v>64.83647581761775</x:v>
      </x:c>
      <x:c r="K100" s="24" t="n">
        <x:v>83.29032405858328</x:v>
      </x:c>
      <x:c r="L100" s="24" t="n">
        <x:v>73.16421289089175</x:v>
      </x:c>
      <x:c r="M100" s="24" t="n">
        <x:v>80.75590207912762</x:v>
      </x:c>
      <x:c r="N100" s="24" t="n">
        <x:v>70.14193867094134</x:v>
      </x:c>
      <x:c r="O100" s="24" t="n">
        <x:v>69.27957548887457</x:v>
      </x:c>
      <x:c r="P100" s="24" t="n">
        <x:v>68.51082214759717</x:v>
      </x:c>
      <x:c r="Q100" s="24" t="n">
        <x:v>70.4632945674972</x:v>
      </x:c>
      <x:c r="R100" s="24" t="n">
        <x:v>66.3060392852829</x:v>
      </x:c>
      <x:c r="S100" s="24" t="n">
        <x:v>64.00093729337486</x:v>
      </x:c>
      <x:c r="T100" s="24" t="n">
        <x:v>70.17314144792962</x:v>
      </x:c>
      <x:c r="U100" s="24" t="n">
        <x:v>50</x:v>
      </x:c>
    </x:row>
    <x:row r="101">
      <x:c r="A101" s="24" t="n">
        <x:v>9.9</x:v>
      </x:c>
      <x:c r="B101" s="24" t="n">
        <x:v>69.39603872129089</x:v>
      </x:c>
      <x:c r="C101" s="24" t="n">
        <x:v>66.90425496049767</x:v>
      </x:c>
      <x:c r="D101" s="24" t="n">
        <x:v>85.51864399860048</x:v>
      </x:c>
      <x:c r="E101" s="24" t="n">
        <x:v>68.77021216847923</x:v>
      </x:c>
      <x:c r="F101" s="24" t="n">
        <x:v>64.46509221974688</x:v>
      </x:c>
      <x:c r="G101" s="24" t="n">
        <x:v>67.01287569947945</x:v>
      </x:c>
      <x:c r="H101" s="24" t="n">
        <x:v>73.09216417568442</x:v>
      </x:c>
      <x:c r="I101" s="24" t="n">
        <x:v>64.58193230743419</x:v>
      </x:c>
      <x:c r="J101" s="24" t="n">
        <x:v>59.950383584129916</x:v>
      </x:c>
      <x:c r="K101" s="24" t="n">
        <x:v>77.97920810377057</x:v>
      </x:c>
      <x:c r="L101" s="24" t="n">
        <x:v>58.91001050669793</x:v>
      </x:c>
      <x:c r="M101" s="24" t="n">
        <x:v>80.75590207912762</x:v>
      </x:c>
      <x:c r="N101" s="24" t="n">
        <x:v>70.47643270608025</x:v>
      </x:c>
      <x:c r="O101" s="24" t="n">
        <x:v>69.27957548887457</x:v>
      </x:c>
      <x:c r="P101" s="24" t="n">
        <x:v>50</x:v>
      </x:c>
      <x:c r="Q101" s="24" t="n">
        <x:v>71.49408520465455</x:v>
      </x:c>
      <x:c r="R101" s="24" t="n">
        <x:v>66.3060392852829</x:v>
      </x:c>
      <x:c r="S101" s="24" t="n">
        <x:v>70.26941563313683</x:v>
      </x:c>
      <x:c r="T101" s="24" t="n">
        <x:v>62.50252158866115</x:v>
      </x:c>
      <x:c r="U101" s="24" t="n">
        <x:v>50</x:v>
      </x:c>
    </x:row>
    <x:row r="102">
      <x:c r="A102" s="24" t="n">
        <x:v>10</x:v>
      </x:c>
      <x:c r="B102" s="24" t="n">
        <x:v>64.95037332829841</x:v>
      </x:c>
      <x:c r="C102" s="24" t="n">
        <x:v>67.40965589732782</x:v>
      </x:c>
      <x:c r="D102" s="24" t="n">
        <x:v>85.51864399860048</x:v>
      </x:c>
      <x:c r="E102" s="24" t="n">
        <x:v>68.56288331303264</x:v>
      </x:c>
      <x:c r="F102" s="24" t="n">
        <x:v>63.034862219845294</x:v>
      </x:c>
      <x:c r="G102" s="24" t="n">
        <x:v>66.2530163949674</x:v>
      </x:c>
      <x:c r="H102" s="24" t="n">
        <x:v>70.25934240155397</x:v>
      </x:c>
      <x:c r="I102" s="24" t="n">
        <x:v>64.03688308725992</x:v>
      </x:c>
      <x:c r="J102" s="24" t="n">
        <x:v>64.95742502905905</x:v>
      </x:c>
      <x:c r="K102" s="24" t="n">
        <x:v>68.94141451200318</x:v>
      </x:c>
      <x:c r="L102" s="24" t="n">
        <x:v>50</x:v>
      </x:c>
      <x:c r="M102" s="24" t="n">
        <x:v>77.62122650850075</x:v>
      </x:c>
      <x:c r="N102" s="24" t="n">
        <x:v>70.47643270608025</x:v>
      </x:c>
      <x:c r="O102" s="24" t="n">
        <x:v>77.47633574228811</x:v>
      </x:c>
      <x:c r="P102" s="24" t="n">
        <x:v>50</x:v>
      </x:c>
      <x:c r="Q102" s="24" t="n">
        <x:v>71.49408520465455</x:v>
      </x:c>
      <x:c r="R102" s="24" t="n">
        <x:v>67.7159902294869</x:v>
      </x:c>
      <x:c r="S102" s="24" t="n">
        <x:v>72.17908865945898</x:v>
      </x:c>
      <x:c r="T102" s="24" t="n">
        <x:v>55.177779150920074</x:v>
      </x:c>
      <x:c r="U102" s="24" t="n">
        <x:v>50</x:v>
      </x:c>
    </x:row>
    <x:row r="103">
      <x:c r="A103" s="24" t="n">
        <x:v>10.100000000000001</x:v>
      </x:c>
      <x:c r="B103" s="24" t="n">
        <x:v>60.50036049491753</x:v>
      </x:c>
      <x:c r="C103" s="24" t="n">
        <x:v>67.75067732124313</x:v>
      </x:c>
      <x:c r="D103" s="24" t="n">
        <x:v>80.30963215662848</x:v>
      </x:c>
      <x:c r="E103" s="24" t="n">
        <x:v>68.42586069723288</x:v>
      </x:c>
      <x:c r="F103" s="24" t="n">
        <x:v>80.75970417077512</x:v>
      </x:c>
      <x:c r="G103" s="24" t="n">
        <x:v>67.5564853025206</x:v>
      </x:c>
      <x:c r="H103" s="24" t="n">
        <x:v>81.78260766043354</x:v>
      </x:c>
      <x:c r="I103" s="24" t="n">
        <x:v>64.09759070633365</x:v>
      </x:c>
      <x:c r="J103" s="24" t="n">
        <x:v>69.96446647398818</x:v>
      </x:c>
      <x:c r="K103" s="24" t="n">
        <x:v>63.489657718842935</x:v>
      </x:c>
      <x:c r="L103" s="24" t="n">
        <x:v>50</x:v>
      </x:c>
      <x:c r="M103" s="24" t="n">
        <x:v>75.88516114302745</x:v>
      </x:c>
      <x:c r="N103" s="24" t="n">
        <x:v>70.30792108583387</x:v>
      </x:c>
      <x:c r="O103" s="24" t="n">
        <x:v>79.1156877929708</x:v>
      </x:c>
      <x:c r="P103" s="24" t="n">
        <x:v>50</x:v>
      </x:c>
      <x:c r="Q103" s="24" t="n">
        <x:v>81.65257060013617</x:v>
      </x:c>
      <x:c r="R103" s="24" t="n">
        <x:v>67.7159902294869</x:v>
      </x:c>
      <x:c r="S103" s="24" t="n">
        <x:v>72.35216447840021</x:v>
      </x:c>
      <x:c r="T103" s="24" t="n">
        <x:v>50</x:v>
      </x:c>
      <x:c r="U103" s="24" t="n">
        <x:v>50</x:v>
      </x:c>
    </x:row>
    <x:row r="104">
      <x:c r="A104" s="24" t="n">
        <x:v>10.200000000000001</x:v>
      </x:c>
      <x:c r="B104" s="24" t="n">
        <x:v>61.18559259766409</x:v>
      </x:c>
      <x:c r="C104" s="24" t="n">
        <x:v>68.09749554475566</x:v>
      </x:c>
      <x:c r="D104" s="24" t="n">
        <x:v>71.59599222948954</x:v>
      </x:c>
      <x:c r="E104" s="24" t="n">
        <x:v>67.56804089212699</x:v>
      </x:c>
      <x:c r="F104" s="24" t="n">
        <x:v>80.75970417077512</x:v>
      </x:c>
      <x:c r="G104" s="24" t="n">
        <x:v>67.8516626267841</x:v>
      </x:c>
      <x:c r="H104" s="24" t="n">
        <x:v>81.78260766043354</x:v>
      </x:c>
      <x:c r="I104" s="24" t="n">
        <x:v>64.12650339183546</x:v>
      </x:c>
      <x:c r="J104" s="24" t="n">
        <x:v>69.26994082486182</x:v>
      </x:c>
      <x:c r="K104" s="24" t="n">
        <x:v>62.427704541335174</x:v>
      </x:c>
      <x:c r="L104" s="24" t="n">
        <x:v>50</x:v>
      </x:c>
      <x:c r="M104" s="24" t="n">
        <x:v>72.6900686482832</x:v>
      </x:c>
      <x:c r="N104" s="24" t="n">
        <x:v>68.52558919608627</x:v>
      </x:c>
      <x:c r="O104" s="24" t="n">
        <x:v>76.57514844210718</x:v>
      </x:c>
      <x:c r="P104" s="24" t="n">
        <x:v>50</x:v>
      </x:c>
      <x:c r="Q104" s="24" t="n">
        <x:v>82.41539934590142</x:v>
      </x:c>
      <x:c r="R104" s="24" t="n">
        <x:v>66.87122368999387</x:v>
      </x:c>
      <x:c r="S104" s="24" t="n">
        <x:v>86.85470238786432</x:v>
      </x:c>
      <x:c r="T104" s="24" t="n">
        <x:v>56.103947686737776</x:v>
      </x:c>
      <x:c r="U104" s="24" t="n">
        <x:v>54.3127166153089</x:v>
      </x:c>
    </x:row>
    <x:row r="105">
      <x:c r="A105" s="24" t="n">
        <x:v>10.3</x:v>
      </x:c>
      <x:c r="B105" s="24" t="n">
        <x:v>64.5361283615483</x:v>
      </x:c>
      <x:c r="C105" s="24" t="n">
        <x:v>68.46342931946603</x:v>
      </x:c>
      <x:c r="D105" s="24" t="n">
        <x:v>63.25416238931339</x:v>
      </x:c>
      <x:c r="E105" s="24" t="n">
        <x:v>68.2858202725719</x:v>
      </x:c>
      <x:c r="F105" s="24" t="n">
        <x:v>75.18853131218468</x:v>
      </x:c>
      <x:c r="G105" s="24" t="n">
        <x:v>67.5679969932992</x:v>
      </x:c>
      <x:c r="H105" s="24" t="n">
        <x:v>79.81010844488604</x:v>
      </x:c>
      <x:c r="I105" s="24" t="n">
        <x:v>65.64276258118645</x:v>
      </x:c>
      <x:c r="J105" s="24" t="n">
        <x:v>68.6899173131312</x:v>
      </x:c>
      <x:c r="K105" s="24" t="n">
        <x:v>56.63343204826143</x:v>
      </x:c>
      <x:c r="L105" s="24" t="n">
        <x:v>50</x:v>
      </x:c>
      <x:c r="M105" s="24" t="n">
        <x:v>71.31420998010948</x:v>
      </x:c>
      <x:c r="N105" s="24" t="n">
        <x:v>75.8958759381391</x:v>
      </x:c>
      <x:c r="O105" s="24" t="n">
        <x:v>63.061898134027416</x:v>
      </x:c>
      <x:c r="P105" s="24" t="n">
        <x:v>50</x:v>
      </x:c>
      <x:c r="Q105" s="24" t="n">
        <x:v>82.12742311284231</x:v>
      </x:c>
      <x:c r="R105" s="24" t="n">
        <x:v>67.55594049694648</x:v>
      </x:c>
      <x:c r="S105" s="24" t="n">
        <x:v>86.85470238786432</x:v>
      </x:c>
      <x:c r="T105" s="24" t="n">
        <x:v>67.19166658731253</x:v>
      </x:c>
      <x:c r="U105" s="24" t="n">
        <x:v>68.96449309034867</x:v>
      </x:c>
    </x:row>
    <x:row r="106">
      <x:c r="A106" s="24" t="n">
        <x:v>10.4</x:v>
      </x:c>
      <x:c r="B106" s="24" t="n">
        <x:v>64.5361283615483</x:v>
      </x:c>
      <x:c r="C106" s="24" t="n">
        <x:v>68.46342931946603</x:v>
      </x:c>
      <x:c r="D106" s="24" t="n">
        <x:v>52.39175843351897</x:v>
      </x:c>
      <x:c r="E106" s="24" t="n">
        <x:v>69.79533206913437</x:v>
      </x:c>
      <x:c r="F106" s="24" t="n">
        <x:v>67.9643350385584</x:v>
      </x:c>
      <x:c r="G106" s="24" t="n">
        <x:v>67.01902557218321</x:v>
      </x:c>
      <x:c r="H106" s="24" t="n">
        <x:v>69.57771086176666</x:v>
      </x:c>
      <x:c r="I106" s="24" t="n">
        <x:v>84.26992944698054</x:v>
      </x:c>
      <x:c r="J106" s="24" t="n">
        <x:v>68.98775878766045</x:v>
      </x:c>
      <x:c r="K106" s="24" t="n">
        <x:v>66.72510293606639</x:v>
      </x:c>
      <x:c r="L106" s="24" t="n">
        <x:v>54.519198687051116</x:v>
      </x:c>
      <x:c r="M106" s="24" t="n">
        <x:v>71.76409422939717</x:v>
      </x:c>
      <x:c r="N106" s="24" t="n">
        <x:v>78.21506332135333</x:v>
      </x:c>
      <x:c r="O106" s="24" t="n">
        <x:v>50.42069306646325</x:v>
      </x:c>
      <x:c r="P106" s="24" t="n">
        <x:v>77.59861324150276</x:v>
      </x:c>
      <x:c r="Q106" s="24" t="n">
        <x:v>70.95557080575546</x:v>
      </x:c>
      <x:c r="R106" s="24" t="n">
        <x:v>68.25044392025846</x:v>
      </x:c>
      <x:c r="S106" s="24" t="n">
        <x:v>84.49557388923942</x:v>
      </x:c>
      <x:c r="T106" s="24" t="n">
        <x:v>68.8806105065205</x:v>
      </x:c>
      <x:c r="U106" s="24" t="n">
        <x:v>76.67179097866087</x:v>
      </x:c>
    </x:row>
    <x:row r="107">
      <x:c r="A107" s="24" t="n">
        <x:v>10.5</x:v>
      </x:c>
      <x:c r="B107" s="24" t="n">
        <x:v>64.4292427926319</x:v>
      </x:c>
      <x:c r="C107" s="24" t="n">
        <x:v>63.41826357613727</x:v>
      </x:c>
      <x:c r="D107" s="24" t="n">
        <x:v>52.39175843351897</x:v>
      </x:c>
      <x:c r="E107" s="24" t="n">
        <x:v>70.07391018681564</x:v>
      </x:c>
      <x:c r="F107" s="24" t="n">
        <x:v>61.36166255699801</x:v>
      </x:c>
      <x:c r="G107" s="24" t="n">
        <x:v>68.01171811888872</x:v>
      </x:c>
      <x:c r="H107" s="24" t="n">
        <x:v>65.60310391288456</x:v>
      </x:c>
      <x:c r="I107" s="24" t="n">
        <x:v>84.26992944698054</x:v>
      </x:c>
      <x:c r="J107" s="24" t="n">
        <x:v>68.98775878766045</x:v>
      </x:c>
      <x:c r="K107" s="24" t="n">
        <x:v>70.00304459363275</x:v>
      </x:c>
      <x:c r="L107" s="24" t="n">
        <x:v>81.47764072507555</x:v>
      </x:c>
      <x:c r="M107" s="24" t="n">
        <x:v>73.01858303134425</x:v>
      </x:c>
      <x:c r="N107" s="24" t="n">
        <x:v>78.21506332135333</x:v>
      </x:c>
      <x:c r="O107" s="24" t="n">
        <x:v>51.121848177235336</x:v>
      </x:c>
      <x:c r="P107" s="24" t="n">
        <x:v>77.59861324150276</x:v>
      </x:c>
      <x:c r="Q107" s="24" t="n">
        <x:v>64.09894103320136</x:v>
      </x:c>
      <x:c r="R107" s="24" t="n">
        <x:v>68.79411854853124</x:v>
      </x:c>
      <x:c r="S107" s="24" t="n">
        <x:v>77.81543788049963</x:v>
      </x:c>
      <x:c r="T107" s="24" t="n">
        <x:v>68.8806105065205</x:v>
      </x:c>
      <x:c r="U107" s="24" t="n">
        <x:v>76.67179097866087</x:v>
      </x:c>
    </x:row>
    <x:row r="108">
      <x:c r="A108" s="24" t="n">
        <x:v>10.600000000000001</x:v>
      </x:c>
      <x:c r="B108" s="24" t="n">
        <x:v>63.489203921838346</x:v>
      </x:c>
      <x:c r="C108" s="24" t="n">
        <x:v>58.33974028187591</x:v>
      </x:c>
      <x:c r="D108" s="24" t="n">
        <x:v>55.39499305524688</x:v>
      </x:c>
      <x:c r="E108" s="24" t="n">
        <x:v>81.44264314377455</x:v>
      </x:c>
      <x:c r="F108" s="24" t="n">
        <x:v>52.62734679463941</x:v>
      </x:c>
      <x:c r="G108" s="24" t="n">
        <x:v>68.01171811888872</x:v>
      </x:c>
      <x:c r="H108" s="24" t="n">
        <x:v>64.77946627948809</x:v>
      </x:c>
      <x:c r="I108" s="24" t="n">
        <x:v>80.37016833352322</x:v>
      </x:c>
      <x:c r="J108" s="24" t="n">
        <x:v>67.18170813015641</x:v>
      </x:c>
      <x:c r="K108" s="24" t="n">
        <x:v>69.36434243796022</x:v>
      </x:c>
      <x:c r="L108" s="24" t="n">
        <x:v>81.47764072507555</x:v>
      </x:c>
      <x:c r="M108" s="24" t="n">
        <x:v>73.01858303134425</x:v>
      </x:c>
      <x:c r="N108" s="24" t="n">
        <x:v>68.35197788005445</x:v>
      </x:c>
      <x:c r="O108" s="24" t="n">
        <x:v>51.82300328800741</x:v>
      </x:c>
      <x:c r="P108" s="24" t="n">
        <x:v>72.92951774547694</x:v>
      </x:c>
      <x:c r="Q108" s="24" t="n">
        <x:v>50</x:v>
      </x:c>
      <x:c r="R108" s="24" t="n">
        <x:v>68.69218029427199</x:v>
      </x:c>
      <x:c r="S108" s="24" t="n">
        <x:v>71.04403266040498</x:v>
      </x:c>
      <x:c r="T108" s="24" t="n">
        <x:v>83.1221626048688</x:v>
      </x:c>
      <x:c r="U108" s="24" t="n">
        <x:v>75.89112400204314</x:v>
      </x:c>
    </x:row>
    <x:row r="109">
      <x:c r="A109" s="24" t="n">
        <x:v>10.700000000000001</x:v>
      </x:c>
      <x:c r="B109" s="24" t="n">
        <x:v>64.8618369016521</x:v>
      </x:c>
      <x:c r="C109" s="24" t="n">
        <x:v>56.894201615076156</x:v>
      </x:c>
      <x:c r="D109" s="24" t="n">
        <x:v>65.38686644296423</x:v>
      </x:c>
      <x:c r="E109" s="24" t="n">
        <x:v>81.44264314377455</x:v>
      </x:c>
      <x:c r="F109" s="24" t="n">
        <x:v>55.31687726963138</x:v>
      </x:c>
      <x:c r="G109" s="24" t="n">
        <x:v>67.51661988711322</x:v>
      </x:c>
      <x:c r="H109" s="24" t="n">
        <x:v>63.95582864609163</x:v>
      </x:c>
      <x:c r="I109" s="24" t="n">
        <x:v>74.09509141359749</x:v>
      </x:c>
      <x:c r="J109" s="24" t="n">
        <x:v>67.87760839390515</x:v>
      </x:c>
      <x:c r="K109" s="24" t="n">
        <x:v>45.476311036947436</x:v>
      </x:c>
      <x:c r="L109" s="24" t="n">
        <x:v>79.3421580188817</x:v>
      </x:c>
      <x:c r="M109" s="24" t="n">
        <x:v>71.97372544259728</x:v>
      </x:c>
      <x:c r="N109" s="24" t="n">
        <x:v>50</x:v>
      </x:c>
      <x:c r="O109" s="24" t="n">
        <x:v>71.60766303713694</x:v>
      </x:c>
      <x:c r="P109" s="24" t="n">
        <x:v>71.99854160336164</x:v>
      </x:c>
      <x:c r="Q109" s="24" t="n">
        <x:v>55.053963006608726</x:v>
      </x:c>
      <x:c r="R109" s="24" t="n">
        <x:v>81.53535993026358</x:v>
      </x:c>
      <x:c r="S109" s="24" t="n">
        <x:v>66.1392694018194</x:v>
      </x:c>
      <x:c r="T109" s="24" t="n">
        <x:v>83.74023181789228</x:v>
      </x:c>
      <x:c r="U109" s="24" t="n">
        <x:v>75.89112400204311</x:v>
      </x:c>
    </x:row>
    <x:row r="110">
      <x:c r="A110" s="24" t="n">
        <x:v>10.8</x:v>
      </x:c>
      <x:c r="B110" s="24" t="n">
        <x:v>64.38203616439472</x:v>
      </x:c>
      <x:c r="C110" s="24" t="n">
        <x:v>55.44866294827641</x:v>
      </x:c>
      <x:c r="D110" s="24" t="n">
        <x:v>65.38686644296423</x:v>
      </x:c>
      <x:c r="E110" s="24" t="n">
        <x:v>77.13810016080784</x:v>
      </x:c>
      <x:c r="F110" s="24" t="n">
        <x:v>62.040703457111114</x:v>
      </x:c>
      <x:c r="G110" s="24" t="n">
        <x:v>68.42627331298891</x:v>
      </x:c>
      <x:c r="H110" s="24" t="n">
        <x:v>63.296918539374474</x:v>
      </x:c>
      <x:c r="I110" s="24" t="n">
        <x:v>71.77050961834593</x:v>
      </x:c>
      <x:c r="J110" s="24" t="n">
        <x:v>67.87760839390515</x:v>
      </x:c>
      <x:c r="K110" s="24" t="n">
        <x:v>60.84952777662026</x:v>
      </x:c>
      <x:c r="L110" s="24" t="n">
        <x:v>74.7064659445705</x:v>
      </x:c>
      <x:c r="M110" s="24" t="n">
        <x:v>72.78632384427944</x:v>
      </x:c>
      <x:c r="N110" s="24" t="n">
        <x:v>50</x:v>
      </x:c>
      <x:c r="O110" s="24" t="n">
        <x:v>80.86338506871863</x:v>
      </x:c>
      <x:c r="P110" s="24" t="n">
        <x:v>71.07630846163988</x:v>
      </x:c>
      <x:c r="Q110" s="24" t="n">
        <x:v>61.371416764869466</x:v>
      </x:c>
      <x:c r="R110" s="24" t="n">
        <x:v>81.87291362666507</x:v>
      </x:c>
      <x:c r="S110" s="24" t="n">
        <x:v>62.2758896934662</x:v>
      </x:c>
      <x:c r="T110" s="24" t="n">
        <x:v>83.05052598245405</x:v>
      </x:c>
      <x:c r="U110" s="24" t="n">
        <x:v>75.04858232583564</x:v>
      </x:c>
    </x:row>
    <x:row r="111">
      <x:c r="A111" s="24" t="n">
        <x:v>10.9</x:v>
      </x:c>
      <x:c r="B111" s="24" t="n">
        <x:v>64.38203616439472</x:v>
      </x:c>
      <x:c r="C111" s="24" t="n">
        <x:v>54.644670340197045</x:v>
      </x:c>
      <x:c r="D111" s="24" t="n">
        <x:v>57.73233066196961</x:v>
      </x:c>
      <x:c r="E111" s="24" t="n">
        <x:v>65.59438258516757</x:v>
      </x:c>
      <x:c r="F111" s="24" t="n">
        <x:v>67.41976440709493</x:v>
      </x:c>
      <x:c r="G111" s="24" t="n">
        <x:v>68.42627331298891</x:v>
      </x:c>
      <x:c r="H111" s="24" t="n">
        <x:v>68.74011170833668</x:v>
      </x:c>
      <x:c r="I111" s="24" t="n">
        <x:v>70.53421122977721</x:v>
      </x:c>
      <x:c r="J111" s="24" t="n">
        <x:v>69.1533613448746</x:v>
      </x:c>
      <x:c r="K111" s="24" t="n">
        <x:v>61.59195900519636</x:v>
      </x:c>
      <x:c r="L111" s="24" t="n">
        <x:v>70.2826653240081</x:v>
      </x:c>
      <x:c r="M111" s="24" t="n">
        <x:v>72.98204230345509</x:v>
      </x:c>
      <x:c r="N111" s="24" t="n">
        <x:v>51.98144805003819</x:v>
      </x:c>
      <x:c r="O111" s="24" t="n">
        <x:v>80.86338506871863</x:v>
      </x:c>
      <x:c r="P111" s="24" t="n">
        <x:v>70.11995809492326</x:v>
      </x:c>
      <x:c r="Q111" s="24" t="n">
        <x:v>63.89839826817372</x:v>
      </x:c>
      <x:c r="R111" s="24" t="n">
        <x:v>80.75536520071373</x:v>
      </x:c>
      <x:c r="S111" s="24" t="n">
        <x:v>60.70043420729738</x:v>
      </x:c>
      <x:c r="T111" s="24" t="n">
        <x:v>74.63542833634601</x:v>
      </x:c>
      <x:c r="U111" s="24" t="n">
        <x:v>73.01860382929277</x:v>
      </x:c>
    </x:row>
    <x:row r="112">
      <x:c r="A112" s="24" t="n">
        <x:v>11</x:v>
      </x:c>
      <x:c r="B112" s="24" t="n">
        <x:v>63.97151396716703</x:v>
      </x:c>
      <x:c r="C112" s="24" t="n">
        <x:v>56.40686196699929</x:v>
      </x:c>
      <x:c r="D112" s="24" t="n">
        <x:v>71.30380982744283</x:v>
      </x:c>
      <x:c r="E112" s="24" t="n">
        <x:v>49.331608997128484</x:v>
      </x:c>
      <x:c r="F112" s="24" t="n">
        <x:v>67.41976440709493</x:v>
      </x:c>
      <x:c r="G112" s="24" t="n">
        <x:v>76.21245114886497</x:v>
      </x:c>
      <x:c r="H112" s="24" t="n">
        <x:v>73.57568024420283</x:v>
      </x:c>
      <x:c r="I112" s="24" t="n">
        <x:v>68.9943530383091</x:v>
      </x:c>
      <x:c r="J112" s="24" t="n">
        <x:v>78.24145728797231</x:v>
      </x:c>
      <x:c r="K112" s="24" t="n">
        <x:v>62.775453151757006</x:v>
      </x:c>
      <x:c r="L112" s="24" t="n">
        <x:v>66.98418625913283</x:v>
      </x:c>
      <x:c r="M112" s="24" t="n">
        <x:v>83.6206386220417</x:v>
      </x:c>
      <x:c r="N112" s="24" t="n">
        <x:v>61.888688300229305</x:v>
      </x:c>
      <x:c r="O112" s="24" t="n">
        <x:v>76.65595328430938</x:v>
      </x:c>
      <x:c r="P112" s="24" t="n">
        <x:v>70.11995809492326</x:v>
      </x:c>
      <x:c r="Q112" s="24" t="n">
        <x:v>63.89839826817372</x:v>
      </x:c>
      <x:c r="R112" s="24" t="n">
        <x:v>68.96525525350201</x:v>
      </x:c>
      <x:c r="S112" s="24" t="n">
        <x:v>60.70043420729738</x:v>
      </x:c>
      <x:c r="T112" s="24" t="n">
        <x:v>67.82115677617004</x:v>
      </x:c>
      <x:c r="U112" s="24" t="n">
        <x:v>68.36778078516392</x:v>
      </x:c>
    </x:row>
    <x:row r="113">
      <x:c r="A113" s="24" t="n">
        <x:v>11.100000000000001</x:v>
      </x:c>
      <x:c r="B113" s="24" t="n">
        <x:v>64.66227592582521</x:v>
      </x:c>
      <x:c r="C113" s="24" t="n">
        <x:v>56.40686196699919</x:v>
      </x:c>
      <x:c r="D113" s="24" t="n">
        <x:v>75.90539823145677</x:v>
      </x:c>
      <x:c r="E113" s="24" t="n">
        <x:v>60.806244745337814</x:v>
      </x:c>
      <x:c r="F113" s="24" t="n">
        <x:v>71.41538088969659</x:v>
      </x:c>
      <x:c r="G113" s="24" t="n">
        <x:v>77.05145860627985</x:v>
      </x:c>
      <x:c r="H113" s="24" t="n">
        <x:v>73.57568024420283</x:v>
      </x:c>
      <x:c r="I113" s="24" t="n">
        <x:v>66.88944629852253</x:v>
      </x:c>
      <x:c r="J113" s="24" t="n">
        <x:v>78.24145728797231</x:v>
      </x:c>
      <x:c r="K113" s="24" t="n">
        <x:v>62.775453151756935</x:v>
      </x:c>
      <x:c r="L113" s="24" t="n">
        <x:v>65.6133989819756</x:v>
      </x:c>
      <x:c r="M113" s="24" t="n">
        <x:v>85.04449509085738</x:v>
      </x:c>
      <x:c r="N113" s="24" t="n">
        <x:v>78.7218930756587</x:v>
      </x:c>
      <x:c r="O113" s="24" t="n">
        <x:v>74.3360337731998</x:v>
      </x:c>
      <x:c r="P113" s="24" t="n">
        <x:v>69.54750816650434</x:v>
      </x:c>
      <x:c r="Q113" s="24" t="n">
        <x:v>81.22833257135085</x:v>
      </x:c>
      <x:c r="R113" s="24" t="n">
        <x:v>53.30268508322741</x:v>
      </x:c>
      <x:c r="S113" s="24" t="n">
        <x:v>57.77694111023999</x:v>
      </x:c>
      <x:c r="T113" s="24" t="n">
        <x:v>57.568953018283835</x:v>
      </x:c>
      <x:c r="U113" s="24" t="n">
        <x:v>65.55639806993028</x:v>
      </x:c>
    </x:row>
    <x:row r="114">
      <x:c r="A114" s="24" t="n">
        <x:v>11.200000000000001</x:v>
      </x:c>
      <x:c r="B114" s="24" t="n">
        <x:v>64.66227592582521</x:v>
      </x:c>
      <x:c r="C114" s="24" t="n">
        <x:v>51.59528417811513</x:v>
      </x:c>
      <x:c r="D114" s="24" t="n">
        <x:v>75.90539823145677</x:v>
      </x:c>
      <x:c r="E114" s="24" t="n">
        <x:v>65.39609904462138</x:v>
      </x:c>
      <x:c r="F114" s="24" t="n">
        <x:v>71.41538088969659</x:v>
      </x:c>
      <x:c r="G114" s="24" t="n">
        <x:v>76.63248332600139</x:v>
      </x:c>
      <x:c r="H114" s="24" t="n">
        <x:v>65.80738037965418</x:v>
      </x:c>
      <x:c r="I114" s="24" t="n">
        <x:v>68.97689950394233</x:v>
      </x:c>
      <x:c r="J114" s="24" t="n">
        <x:v>72.83963450422449</x:v>
      </x:c>
      <x:c r="K114" s="24" t="n">
        <x:v>63.324021843510366</x:v>
      </x:c>
      <x:c r="L114" s="24" t="n">
        <x:v>68.69999892192949</x:v>
      </x:c>
      <x:c r="M114" s="24" t="n">
        <x:v>85.04449509085725</x:v>
      </x:c>
      <x:c r="N114" s="24" t="n">
        <x:v>78.7218930756587</x:v>
      </x:c>
      <x:c r="O114" s="24" t="n">
        <x:v>71.30818000504183</x:v>
      </x:c>
      <x:c r="P114" s="24" t="n">
        <x:v>69.54750816650429</x:v>
      </x:c>
      <x:c r="Q114" s="24" t="n">
        <x:v>84.12010126547953</x:v>
      </x:c>
      <x:c r="R114" s="24" t="n">
        <x:v>50</x:v>
      </x:c>
      <x:c r="S114" s="24" t="n">
        <x:v>56.54073466961615</x:v>
      </x:c>
      <x:c r="T114" s="24" t="n">
        <x:v>52.823640222024316</x:v>
      </x:c>
      <x:c r="U114" s="24" t="n">
        <x:v>66.87719781437181</x:v>
      </x:c>
    </x:row>
    <x:row r="115">
      <x:c r="A115" s="24" t="n">
        <x:v>11.3</x:v>
      </x:c>
      <x:c r="B115" s="24" t="n">
        <x:v>62.68278551326914</x:v>
      </x:c>
      <x:c r="C115" s="24" t="n">
        <x:v>53.501786688252736</x:v>
      </x:c>
      <x:c r="D115" s="24" t="n">
        <x:v>69.81460391687362</x:v>
      </x:c>
      <x:c r="E115" s="24" t="n">
        <x:v>65.55877289719976</x:v>
      </x:c>
      <x:c r="F115" s="24" t="n">
        <x:v>65.15632097248161</x:v>
      </x:c>
      <x:c r="G115" s="24" t="n">
        <x:v>66.12905083104005</x:v>
      </x:c>
      <x:c r="H115" s="24" t="n">
        <x:v>67.00872244344403</x:v>
      </x:c>
      <x:c r="I115" s="24" t="n">
        <x:v>71.85462083748403</x:v>
      </x:c>
      <x:c r="J115" s="24" t="n">
        <x:v>60.39135224631855</x:v>
      </x:c>
      <x:c r="K115" s="24" t="n">
        <x:v>83.47396033247146</x:v>
      </x:c>
      <x:c r="L115" s="24" t="n">
        <x:v>69.25382286059606</x:v>
      </x:c>
      <x:c r="M115" s="24" t="n">
        <x:v>76.21147888593931</x:v>
      </x:c>
      <x:c r="N115" s="24" t="n">
        <x:v>75.3258634061849</x:v>
      </x:c>
      <x:c r="O115" s="24" t="n">
        <x:v>68.07585832236802</x:v>
      </x:c>
      <x:c r="P115" s="24" t="n">
        <x:v>70.16084476568666</x:v>
      </x:c>
      <x:c r="Q115" s="24" t="n">
        <x:v>85.919786722127</x:v>
      </x:c>
      <x:c r="R115" s="24" t="n">
        <x:v>50</x:v>
      </x:c>
      <x:c r="S115" s="24" t="n">
        <x:v>54.48039060190978</x:v>
      </x:c>
      <x:c r="T115" s="24" t="n">
        <x:v>60.05190141329096</x:v>
      </x:c>
      <x:c r="U115" s="24" t="n">
        <x:v>66.87719781437181</x:v>
      </x:c>
    </x:row>
    <x:row r="116">
      <x:c r="A116" s="24" t="n">
        <x:v>11.4</x:v>
      </x:c>
      <x:c r="B116" s="24" t="n">
        <x:v>65.52390113055901</x:v>
      </x:c>
      <x:c r="C116" s="24" t="n">
        <x:v>54.264387692307764</x:v>
      </x:c>
      <x:c r="D116" s="24" t="n">
        <x:v>66.0291739861789</x:v>
      </x:c>
      <x:c r="E116" s="24" t="n">
        <x:v>65.55877289719976</x:v>
      </x:c>
      <x:c r="F116" s="24" t="n">
        <x:v>63.538599260704316</x:v>
      </x:c>
      <x:c r="G116" s="24" t="n">
        <x:v>53.50474931864532</x:v>
      </x:c>
      <x:c r="H116" s="24" t="n">
        <x:v>71.51995253357791</x:v>
      </x:c>
      <x:c r="I116" s="24" t="n">
        <x:v>71.85462083748403</x:v>
      </x:c>
      <x:c r="J116" s="24" t="n">
        <x:v>54.23650382053284</x:v>
      </x:c>
      <x:c r="K116" s="24" t="n">
        <x:v>83.47396033247146</x:v>
      </x:c>
      <x:c r="L116" s="24" t="n">
        <x:v>69.21833882573418</x:v>
      </x:c>
      <x:c r="M116" s="24" t="n">
        <x:v>50</x:v>
      </x:c>
      <x:c r="N116" s="24" t="n">
        <x:v>72.80168464405052</x:v>
      </x:c>
      <x:c r="O116" s="24" t="n">
        <x:v>67.97017488341871</x:v>
      </x:c>
      <x:c r="P116" s="24" t="n">
        <x:v>70.19019465565694</x:v>
      </x:c>
      <x:c r="Q116" s="24" t="n">
        <x:v>85.919786722127</x:v>
      </x:c>
      <x:c r="R116" s="24" t="n">
        <x:v>69.76373256633616</x:v>
      </x:c>
      <x:c r="S116" s="24" t="n">
        <x:v>53.65625297482725</x:v>
      </x:c>
      <x:c r="T116" s="24" t="n">
        <x:v>70.90144423366573</x:v>
      </x:c>
      <x:c r="U116" s="24" t="n">
        <x:v>65.11265030266756</x:v>
      </x:c>
    </x:row>
    <x:row r="117">
      <x:c r="A117" s="24" t="n">
        <x:v>11.5</x:v>
      </x:c>
      <x:c r="B117" s="24" t="n">
        <x:v>65.52390113055901</x:v>
      </x:c>
      <x:c r="C117" s="24" t="n">
        <x:v>54.92203963942575</x:v>
      </x:c>
      <x:c r="D117" s="24" t="n">
        <x:v>63.77200465942135</x:v>
      </x:c>
      <x:c r="E117" s="24" t="n">
        <x:v>67.89057918063074</x:v>
      </x:c>
      <x:c r="F117" s="24" t="n">
        <x:v>67.2356189213383</x:v>
      </x:c>
      <x:c r="G117" s="24" t="n">
        <x:v>53.50474931864532</x:v>
      </x:c>
      <x:c r="H117" s="24" t="n">
        <x:v>71.51995253357791</x:v>
      </x:c>
      <x:c r="I117" s="24" t="n">
        <x:v>62.07310533963492</x:v>
      </x:c>
      <x:c r="J117" s="24" t="n">
        <x:v>63.85806944818431</x:v>
      </x:c>
      <x:c r="K117" s="24" t="n">
        <x:v>80.0623022913681</x:v>
      </x:c>
      <x:c r="L117" s="24" t="n">
        <x:v>68.84506925011398</x:v>
      </x:c>
      <x:c r="M117" s="24" t="n">
        <x:v>50</x:v>
      </x:c>
      <x:c r="N117" s="24" t="n">
        <x:v>70.3298080049865</x:v>
      </x:c>
      <x:c r="O117" s="24" t="n">
        <x:v>67.88309843189</x:v>
      </x:c>
      <x:c r="P117" s="24" t="n">
        <x:v>69.37691415455492</x:v>
      </x:c>
      <x:c r="Q117" s="24" t="n">
        <x:v>77.62303654034075</x:v>
      </x:c>
      <x:c r="R117" s="24" t="n">
        <x:v>78.39410305713358</x:v>
      </x:c>
      <x:c r="S117" s="24" t="n">
        <x:v>56.48104612731578</x:v>
      </x:c>
      <x:c r="T117" s="24" t="n">
        <x:v>78.1950836665074</x:v>
      </x:c>
      <x:c r="U117" s="24" t="n">
        <x:v>64.99398789159233</x:v>
      </x:c>
    </x:row>
    <x:row r="118">
      <x:c r="A118" s="24" t="n">
        <x:v>11.600000000000001</x:v>
      </x:c>
      <x:c r="B118" s="24" t="n">
        <x:v>64.26049803689014</x:v>
      </x:c>
      <x:c r="C118" s="24" t="n">
        <x:v>55.744104573323234</x:v>
      </x:c>
      <x:c r="D118" s="24" t="n">
        <x:v>67.64080937227034</x:v>
      </x:c>
      <x:c r="E118" s="24" t="n">
        <x:v>71.77692298634905</x:v>
      </x:c>
      <x:c r="F118" s="24" t="n">
        <x:v>67.2356189213383</x:v>
      </x:c>
      <x:c r="G118" s="24" t="n">
        <x:v>53.50474931864556</x:v>
      </x:c>
      <x:c r="H118" s="24" t="n">
        <x:v>73.56879094561359</x:v>
      </x:c>
      <x:c r="I118" s="24" t="n">
        <x:v>45.5688116146108</x:v>
      </x:c>
      <x:c r="J118" s="24" t="n">
        <x:v>65.9379923750158</x:v>
      </x:c>
      <x:c r="K118" s="24" t="n">
        <x:v>74.79394030821577</x:v>
      </x:c>
      <x:c r="L118" s="24" t="n">
        <x:v>68.5112117079823</x:v>
      </x:c>
      <x:c r="M118" s="24" t="n">
        <x:v>50</x:v>
      </x:c>
      <x:c r="N118" s="24" t="n">
        <x:v>69.05225055974229</x:v>
      </x:c>
      <x:c r="O118" s="24" t="n">
        <x:v>67.97991051965319</x:v>
      </x:c>
      <x:c r="P118" s="24" t="n">
        <x:v>68.2208613150499</x:v>
      </x:c>
      <x:c r="Q118" s="24" t="n">
        <x:v>70.89387089297885</x:v>
      </x:c>
      <x:c r="R118" s="24" t="n">
        <x:v>78.39410305713358</x:v>
      </x:c>
      <x:c r="S118" s="24" t="n">
        <x:v>52.160348709105065</x:v>
      </x:c>
      <x:c r="T118" s="24" t="n">
        <x:v>78.1950836665074</x:v>
      </x:c>
      <x:c r="U118" s="24" t="n">
        <x:v>68.92382201006681</x:v>
      </x:c>
    </x:row>
    <x:row r="119">
      <x:c r="A119" s="24" t="n">
        <x:v>11.700000000000001</x:v>
      </x:c>
      <x:c r="B119" s="24" t="n">
        <x:v>79.93115686481843</x:v>
      </x:c>
      <x:c r="C119" s="24" t="n">
        <x:v>56.56616950722071</x:v>
      </x:c>
      <x:c r="D119" s="24" t="n">
        <x:v>67.64390008775588</x:v>
      </x:c>
      <x:c r="E119" s="24" t="n">
        <x:v>74.89422622489126</x:v>
      </x:c>
      <x:c r="F119" s="24" t="n">
        <x:v>68.47093842529162</x:v>
      </x:c>
      <x:c r="G119" s="24" t="n">
        <x:v>67.26791718873154</x:v>
      </x:c>
      <x:c r="H119" s="24" t="n">
        <x:v>73.56879094561359</x:v>
      </x:c>
      <x:c r="I119" s="24" t="n">
        <x:v>63.94380278698611</x:v>
      </x:c>
      <x:c r="J119" s="24" t="n">
        <x:v>69.28458394407573</x:v>
      </x:c>
      <x:c r="K119" s="24" t="n">
        <x:v>69.88244737263537</x:v>
      </x:c>
      <x:c r="L119" s="24" t="n">
        <x:v>67.32147220858937</x:v>
      </x:c>
      <x:c r="M119" s="24" t="n">
        <x:v>50</x:v>
      </x:c>
      <x:c r="N119" s="24" t="n">
        <x:v>69.78216493098098</x:v>
      </x:c>
      <x:c r="O119" s="24" t="n">
        <x:v>67.97991051965319</x:v>
      </x:c>
      <x:c r="P119" s="24" t="n">
        <x:v>67.9930890848874</x:v>
      </x:c>
      <x:c r="Q119" s="24" t="n">
        <x:v>67.99456563444076</x:v>
      </x:c>
      <x:c r="R119" s="24" t="n">
        <x:v>71.99834657065416</x:v>
      </x:c>
      <x:c r="S119" s="24" t="n">
        <x:v>54.585230297594464</x:v>
      </x:c>
      <x:c r="T119" s="24" t="n">
        <x:v>72.40220188169636</x:v>
      </x:c>
      <x:c r="U119" s="24" t="n">
        <x:v>77.98888963711852</x:v>
      </x:c>
    </x:row>
    <x:row r="120">
      <x:c r="A120" s="24" t="n">
        <x:v>11.8</x:v>
      </x:c>
      <x:c r="B120" s="24" t="n">
        <x:v>82.64671769389282</x:v>
      </x:c>
      <x:c r="C120" s="24" t="n">
        <x:v>57.48095823366968</x:v>
      </x:c>
      <x:c r="D120" s="24" t="n">
        <x:v>67.35099416061489</x:v>
      </x:c>
      <x:c r="E120" s="24" t="n">
        <x:v>74.89422622489126</x:v>
      </x:c>
      <x:c r="F120" s="24" t="n">
        <x:v>69.47762371397013</x:v>
      </x:c>
      <x:c r="G120" s="24" t="n">
        <x:v>67.26791718873154</x:v>
      </x:c>
      <x:c r="H120" s="24" t="n">
        <x:v>71.03887879439151</x:v>
      </x:c>
      <x:c r="I120" s="24" t="n">
        <x:v>63.94380278698611</x:v>
      </x:c>
      <x:c r="J120" s="24" t="n">
        <x:v>69.28458394407573</x:v>
      </x:c>
      <x:c r="K120" s="24" t="n">
        <x:v>67.95266208240803</x:v>
      </x:c>
      <x:c r="L120" s="24" t="n">
        <x:v>65.97394633895021</x:v>
      </x:c>
      <x:c r="M120" s="24" t="n">
        <x:v>50</x:v>
      </x:c>
      <x:c r="N120" s="24" t="n">
        <x:v>69.78216493098098</x:v>
      </x:c>
      <x:c r="O120" s="24" t="n">
        <x:v>67.89249398372468</x:v>
      </x:c>
      <x:c r="P120" s="24" t="n">
        <x:v>69.08424351807624</x:v>
      </x:c>
      <x:c r="Q120" s="24" t="n">
        <x:v>63.23240979542376</x:v>
      </x:c>
      <x:c r="R120" s="24" t="n">
        <x:v>70.33095962342588</x:v>
      </x:c>
      <x:c r="S120" s="24" t="n">
        <x:v>60.31676816958739</x:v>
      </x:c>
      <x:c r="T120" s="24" t="n">
        <x:v>63.87483126705061</x:v>
      </x:c>
      <x:c r="U120" s="24" t="n">
        <x:v>81.61491668793914</x:v>
      </x:c>
    </x:row>
    <x:row r="121">
      <x:c r="A121" s="24" t="n">
        <x:v>11.9</x:v>
      </x:c>
      <x:c r="B121" s="24" t="n">
        <x:v>82.64671769389282</x:v>
      </x:c>
      <x:c r="C121" s="24" t="n">
        <x:v>58.76664213032464</x:v>
      </x:c>
      <x:c r="D121" s="24" t="n">
        <x:v>68.86821097645948</x:v>
      </x:c>
      <x:c r="E121" s="24" t="n">
        <x:v>68.7205220999634</x:v>
      </x:c>
      <x:c r="F121" s="24" t="n">
        <x:v>70.50852246734858</x:v>
      </x:c>
      <x:c r="G121" s="24" t="n">
        <x:v>73.49980819114018</x:v>
      </x:c>
      <x:c r="H121" s="24" t="n">
        <x:v>71.9761573385224</x:v>
      </x:c>
      <x:c r="I121" s="24" t="n">
        <x:v>60.19892932710694</x:v>
      </x:c>
      <x:c r="J121" s="24" t="n">
        <x:v>60.558314896700395</x:v>
      </x:c>
      <x:c r="K121" s="24" t="n">
        <x:v>66.46795066007863</x:v>
      </x:c>
      <x:c r="L121" s="24" t="n">
        <x:v>77.59963782800583</x:v>
      </x:c>
      <x:c r="M121" s="24" t="n">
        <x:v>79.89098864308913</x:v>
      </x:c>
      <x:c r="N121" s="24" t="n">
        <x:v>69.74784193922883</x:v>
      </x:c>
      <x:c r="O121" s="24" t="n">
        <x:v>67.81721299515392</x:v>
      </x:c>
      <x:c r="P121" s="24" t="n">
        <x:v>77.11606410703347</x:v>
      </x:c>
      <x:c r="Q121" s="24" t="n">
        <x:v>61.62242773219763</x:v>
      </x:c>
      <x:c r="R121" s="24" t="n">
        <x:v>68.02022570122668</x:v>
      </x:c>
      <x:c r="S121" s="24" t="n">
        <x:v>66.04830604158032</x:v>
      </x:c>
      <x:c r="T121" s="24" t="n">
        <x:v>59.69255897937768</x:v>
      </x:c>
      <x:c r="U121" s="24" t="n">
        <x:v>80.88911026878449</x:v>
      </x:c>
    </x:row>
    <x:row r="122">
      <x:c r="A122" s="24" t="n">
        <x:v>12</x:v>
      </x:c>
      <x:c r="B122" s="24" t="n">
        <x:v>74.61642123852916</x:v>
      </x:c>
      <x:c r="C122" s="24" t="n">
        <x:v>59.02377890965563</x:v>
      </x:c>
      <x:c r="D122" s="24" t="n">
        <x:v>68.86821097645948</x:v>
      </x:c>
      <x:c r="E122" s="24" t="n">
        <x:v>58.410953886559106</x:v>
      </x:c>
      <x:c r="F122" s="24" t="n">
        <x:v>70.17393519104152</x:v>
      </x:c>
      <x:c r="G122" s="24" t="n">
        <x:v>73.49980819114018</x:v>
      </x:c>
      <x:c r="H122" s="24" t="n">
        <x:v>72.94119075191443</x:v>
      </x:c>
      <x:c r="I122" s="24" t="n">
        <x:v>56.27130573920146</x:v>
      </x:c>
      <x:c r="J122" s="24" t="n">
        <x:v>65.17917272352216</x:v>
      </x:c>
      <x:c r="K122" s="24" t="n">
        <x:v>64.64645470303272</x:v>
      </x:c>
      <x:c r="L122" s="24" t="n">
        <x:v>82.0992043811659</x:v>
      </x:c>
      <x:c r="M122" s="24" t="n">
        <x:v>79.89098864308913</x:v>
      </x:c>
      <x:c r="N122" s="24" t="n">
        <x:v>70.37484367753504</x:v>
      </x:c>
      <x:c r="O122" s="24" t="n">
        <x:v>74.44166223640636</x:v>
      </x:c>
      <x:c r="P122" s="24" t="n">
        <x:v>77.11606410703347</x:v>
      </x:c>
      <x:c r="Q122" s="24" t="n">
        <x:v>61.31794919638984</x:v>
      </x:c>
      <x:c r="R122" s="24" t="n">
        <x:v>66.93603741718655</x:v>
      </x:c>
      <x:c r="S122" s="24" t="n">
        <x:v>71.77984391357325</x:v>
      </x:c>
      <x:c r="T122" s="24" t="n">
        <x:v>56.3932400587595</x:v>
      </x:c>
      <x:c r="U122" s="24" t="n">
        <x:v>74.88852592537731</x:v>
      </x:c>
    </x:row>
    <x:row r="123">
      <x:c r="A123" s="24" t="n">
        <x:v>12.100000000000001</x:v>
      </x:c>
      <x:c r="B123" s="24" t="n">
        <x:v>66.14977792909545</x:v>
      </x:c>
      <x:c r="C123" s="24" t="n">
        <x:v>55.39455627230013</x:v>
      </x:c>
      <x:c r="D123" s="24" t="n">
        <x:v>68.09003075295134</x:v>
      </x:c>
      <x:c r="E123" s="24" t="n">
        <x:v>63.9243219876294</x:v>
      </x:c>
      <x:c r="F123" s="24" t="n">
        <x:v>70.19490838306766</x:v>
      </x:c>
      <x:c r="G123" s="24" t="n">
        <x:v>71.88277049905338</x:v>
      </x:c>
      <x:c r="H123" s="24" t="n">
        <x:v>72.83566411682403</x:v>
      </x:c>
      <x:c r="I123" s="24" t="n">
        <x:v>56.27130573920163</x:v>
      </x:c>
      <x:c r="J123" s="24" t="n">
        <x:v>65.17917272352216</x:v>
      </x:c>
      <x:c r="K123" s="24" t="n">
        <x:v>69.32786490389974</x:v>
      </x:c>
      <x:c r="L123" s="24" t="n">
        <x:v>82.0992043811659</x:v>
      </x:c>
      <x:c r="M123" s="24" t="n">
        <x:v>78.59554195236925</x:v>
      </x:c>
      <x:c r="N123" s="24" t="n">
        <x:v>70.37484367753504</x:v>
      </x:c>
      <x:c r="O123" s="24" t="n">
        <x:v>78.41633178115787</x:v>
      </x:c>
      <x:c r="P123" s="24" t="n">
        <x:v>70.78559371124487</x:v>
      </x:c>
      <x:c r="Q123" s="24" t="n">
        <x:v>61.31794919638981</x:v>
      </x:c>
      <x:c r="R123" s="24" t="n">
        <x:v>66.97717704857052</x:v>
      </x:c>
      <x:c r="S123" s="24" t="n">
        <x:v>77.51138178556627</x:v>
      </x:c>
      <x:c r="T123" s="24" t="n">
        <x:v>50</x:v>
      </x:c>
      <x:c r="U123" s="24" t="n">
        <x:v>70.72999577061407</x:v>
      </x:c>
    </x:row>
    <x:row r="124">
      <x:c r="A124" s="24" t="n">
        <x:v>12.200000000000001</x:v>
      </x:c>
      <x:c r="B124" s="24" t="n">
        <x:v>55.30958683002819</x:v>
      </x:c>
      <x:c r="C124" s="24" t="n">
        <x:v>55.3945562723001</x:v>
      </x:c>
      <x:c r="D124" s="24" t="n">
        <x:v>68.09003075295142</x:v>
      </x:c>
      <x:c r="E124" s="24" t="n">
        <x:v>65.16759563551771</x:v>
      </x:c>
      <x:c r="F124" s="24" t="n">
        <x:v>70.19490838306766</x:v>
      </x:c>
      <x:c r="G124" s="24" t="n">
        <x:v>60.40640751083956</x:v>
      </x:c>
      <x:c r="H124" s="24" t="n">
        <x:v>72.64549418806526</x:v>
      </x:c>
      <x:c r="I124" s="24" t="n">
        <x:v>58.21982646418333</x:v>
      </x:c>
      <x:c r="J124" s="24" t="n">
        <x:v>65.02452648451805</x:v>
      </x:c>
      <x:c r="K124" s="24" t="n">
        <x:v>69.32786490389972</x:v>
      </x:c>
      <x:c r="L124" s="24" t="n">
        <x:v>75.57961414336482</x:v>
      </x:c>
      <x:c r="M124" s="24" t="n">
        <x:v>75.17230769097931</x:v>
      </x:c>
      <x:c r="N124" s="24" t="n">
        <x:v>69.60856465195027</x:v>
      </x:c>
      <x:c r="O124" s="24" t="n">
        <x:v>78.41633178115772</x:v>
      </x:c>
      <x:c r="P124" s="24" t="n">
        <x:v>60.78979849398579</x:v>
      </x:c>
      <x:c r="Q124" s="24" t="n">
        <x:v>56.5782551035812</x:v>
      </x:c>
      <x:c r="R124" s="24" t="n">
        <x:v>67.39327571548424</x:v>
      </x:c>
      <x:c r="S124" s="24" t="n">
        <x:v>80.20483355226145</x:v>
      </x:c>
      <x:c r="T124" s="24" t="n">
        <x:v>66.77841283368602</x:v>
      </x:c>
      <x:c r="U124" s="24" t="n">
        <x:v>60.05352060435637</x:v>
      </x:c>
    </x:row>
    <x:row r="125">
      <x:c r="A125" s="24" t="n">
        <x:v>12.3</x:v>
      </x:c>
      <x:c r="B125" s="24" t="n">
        <x:v>54.41970111551083</x:v>
      </x:c>
      <x:c r="C125" s="24" t="n">
        <x:v>53.824654838608154</x:v>
      </x:c>
      <x:c r="D125" s="24" t="n">
        <x:v>69.16388531417947</x:v>
      </x:c>
      <x:c r="E125" s="24" t="n">
        <x:v>67.92284380075009</x:v>
      </x:c>
      <x:c r="F125" s="24" t="n">
        <x:v>70.17716478944772</x:v>
      </x:c>
      <x:c r="G125" s="24" t="n">
        <x:v>63.087502282328906</x:v>
      </x:c>
      <x:c r="H125" s="24" t="n">
        <x:v>71.46272462630255</x:v>
      </x:c>
      <x:c r="I125" s="24" t="n">
        <x:v>83.17463367903068</x:v>
      </x:c>
      <x:c r="J125" s="24" t="n">
        <x:v>64.88202985319981</x:v>
      </x:c>
      <x:c r="K125" s="24" t="n">
        <x:v>53.09788755039626</x:v>
      </x:c>
      <x:c r="L125" s="24" t="n">
        <x:v>65.96391154799339</x:v>
      </x:c>
      <x:c r="M125" s="24" t="n">
        <x:v>70.65894776204892</x:v>
      </x:c>
      <x:c r="N125" s="24" t="n">
        <x:v>67.11370155021054</x:v>
      </x:c>
      <x:c r="O125" s="24" t="n">
        <x:v>65.5469567364123</x:v>
      </x:c>
      <x:c r="P125" s="24" t="n">
        <x:v>50</x:v>
      </x:c>
      <x:c r="Q125" s="24" t="n">
        <x:v>57.52996806335127</x:v>
      </x:c>
      <x:c r="R125" s="24" t="n">
        <x:v>67.39327571548424</x:v>
      </x:c>
      <x:c r="S125" s="24" t="n">
        <x:v>80.20483355226145</x:v>
      </x:c>
      <x:c r="T125" s="24" t="n">
        <x:v>68.68694047756428</x:v>
      </x:c>
      <x:c r="U125" s="24" t="n">
        <x:v>50</x:v>
      </x:c>
    </x:row>
    <x:row r="126">
      <x:c r="A126" s="24" t="n">
        <x:v>12.4</x:v>
      </x:c>
      <x:c r="B126" s="24" t="n">
        <x:v>54.37966974104866</x:v>
      </x:c>
      <x:c r="C126" s="24" t="n">
        <x:v>57.604015023366614</x:v>
      </x:c>
      <x:c r="D126" s="24" t="n">
        <x:v>69.16388531417947</x:v>
      </x:c>
      <x:c r="E126" s="24" t="n">
        <x:v>69.41963659919162</x:v>
      </x:c>
      <x:c r="F126" s="24" t="n">
        <x:v>70.17716478944772</x:v>
      </x:c>
      <x:c r="G126" s="24" t="n">
        <x:v>66.32240286343162</x:v>
      </x:c>
      <x:c r="H126" s="24" t="n">
        <x:v>82.0647578287381</x:v>
      </x:c>
      <x:c r="I126" s="24" t="n">
        <x:v>84.33695259213452</x:v>
      </x:c>
      <x:c r="J126" s="24" t="n">
        <x:v>63.0502647728149</x:v>
      </x:c>
      <x:c r="K126" s="24" t="n">
        <x:v>58.88749050468421</x:v>
      </x:c>
      <x:c r="L126" s="24" t="n">
        <x:v>50</x:v>
      </x:c>
      <x:c r="M126" s="24" t="n">
        <x:v>70.65894776204892</x:v>
      </x:c>
      <x:c r="N126" s="24" t="n">
        <x:v>67.15775038790927</x:v>
      </x:c>
      <x:c r="O126" s="24" t="n">
        <x:v>50</x:v>
      </x:c>
      <x:c r="P126" s="24" t="n">
        <x:v>50</x:v>
      </x:c>
      <x:c r="Q126" s="24" t="n">
        <x:v>58.62792261832526</x:v>
      </x:c>
      <x:c r="R126" s="24" t="n">
        <x:v>68.521216380968</x:v>
      </x:c>
      <x:c r="S126" s="24" t="n">
        <x:v>78.55528447172219</x:v>
      </x:c>
      <x:c r="T126" s="24" t="n">
        <x:v>69.40082244393898</x:v>
      </x:c>
      <x:c r="U126" s="24" t="n">
        <x:v>60.044453803373386</x:v>
      </x:c>
    </x:row>
    <x:row r="127">
      <x:c r="A127" s="24" t="n">
        <x:v>12.5</x:v>
      </x:c>
      <x:c r="B127" s="24" t="n">
        <x:v>54.219544243199955</x:v>
      </x:c>
      <x:c r="C127" s="24" t="n">
        <x:v>57.60678551808884</x:v>
      </x:c>
      <x:c r="D127" s="24" t="n">
        <x:v>70.39061137992688</x:v>
      </x:c>
      <x:c r="E127" s="24" t="n">
        <x:v>69.41963659919162</x:v>
      </x:c>
      <x:c r="F127" s="24" t="n">
        <x:v>69.99424013265522</x:v>
      </x:c>
      <x:c r="G127" s="24" t="n">
        <x:v>66.49976550084904</x:v>
      </x:c>
      <x:c r="H127" s="24" t="n">
        <x:v>83.56520874369285</x:v>
      </x:c>
      <x:c r="I127" s="24" t="n">
        <x:v>83.23715364696675</x:v>
      </x:c>
      <x:c r="J127" s="24" t="n">
        <x:v>85.20900702176117</x:v>
      </x:c>
      <x:c r="K127" s="24" t="n">
        <x:v>60.78278498668742</x:v>
      </x:c>
      <x:c r="L127" s="24" t="n">
        <x:v>50.75679240887267</x:v>
      </x:c>
      <x:c r="M127" s="24" t="n">
        <x:v>69.38893353845494</x:v>
      </x:c>
      <x:c r="N127" s="24" t="n">
        <x:v>68.8983230644126</x:v>
      </x:c>
      <x:c r="O127" s="24" t="n">
        <x:v>60.88764432594738</x:v>
      </x:c>
      <x:c r="P127" s="24" t="n">
        <x:v>50.846341703068475</x:v>
      </x:c>
      <x:c r="Q127" s="24" t="n">
        <x:v>57.3322449231152</x:v>
      </x:c>
      <x:c r="R127" s="24" t="n">
        <x:v>68.521216380968</x:v>
      </x:c>
      <x:c r="S127" s="24" t="n">
        <x:v>70.27928555345693</x:v>
      </x:c>
      <x:c r="T127" s="24" t="n">
        <x:v>69.40082244393898</x:v>
      </x:c>
      <x:c r="U127" s="24" t="n">
        <x:v>60.044453803373386</x:v>
      </x:c>
    </x:row>
    <x:row r="128">
      <x:c r="A128" s="24" t="n">
        <x:v>12.600000000000001</x:v>
      </x:c>
      <x:c r="B128" s="24" t="n">
        <x:v>56.94128984100847</x:v>
      </x:c>
      <x:c r="C128" s="24" t="n">
        <x:v>57.61232650753329</x:v>
      </x:c>
      <x:c r="D128" s="24" t="n">
        <x:v>70.39061137992688</x:v>
      </x:c>
      <x:c r="E128" s="24" t="n">
        <x:v>72.53634393802281</x:v>
      </x:c>
      <x:c r="F128" s="24" t="n">
        <x:v>67.56935279954598</x:v>
      </x:c>
      <x:c r="G128" s="24" t="n">
        <x:v>66.48822932683169</x:v>
      </x:c>
      <x:c r="H128" s="24" t="n">
        <x:v>83.56520874369271</x:v>
      </x:c>
      <x:c r="I128" s="24" t="n">
        <x:v>75.76548765842689</x:v>
      </x:c>
      <x:c r="J128" s="24" t="n">
        <x:v>85.42368363101481</x:v>
      </x:c>
      <x:c r="K128" s="24" t="n">
        <x:v>64.72828910217657</x:v>
      </x:c>
      <x:c r="L128" s="24" t="n">
        <x:v>51.513584817745354</x:v>
      </x:c>
      <x:c r="M128" s="24" t="n">
        <x:v>69.52507749870274</x:v>
      </x:c>
      <x:c r="N128" s="24" t="n">
        <x:v>77.83382212350742</x:v>
      </x:c>
      <x:c r="O128" s="24" t="n">
        <x:v>71.77528865189494</x:v>
      </x:c>
      <x:c r="P128" s="24" t="n">
        <x:v>55.07805021841091</x:v>
      </x:c>
      <x:c r="Q128" s="24" t="n">
        <x:v>54.09305068508994</x:v>
      </x:c>
      <x:c r="R128" s="24" t="n">
        <x:v>66.47380744460536</x:v>
      </x:c>
      <x:c r="S128" s="24" t="n">
        <x:v>66.27757209974193</x:v>
      </x:c>
      <x:c r="T128" s="24" t="n">
        <x:v>79.28821436790724</x:v>
      </x:c>
      <x:c r="U128" s="24" t="n">
        <x:v>50.00000000000108</x:v>
      </x:c>
    </x:row>
    <x:row r="129">
      <x:c r="A129" s="24" t="n">
        <x:v>12.700000000000001</x:v>
      </x:c>
      <x:c r="B129" s="24" t="n">
        <x:v>63.74565383552945</x:v>
      </x:c>
      <x:c r="C129" s="24" t="n">
        <x:v>58.97803492806411</x:v>
      </x:c>
      <x:c r="D129" s="24" t="n">
        <x:v>69.06316407070838</x:v>
      </x:c>
      <x:c r="E129" s="24" t="n">
        <x:v>72.53634393802288</x:v>
      </x:c>
      <x:c r="F129" s="24" t="n">
        <x:v>63.39881385218538</x:v>
      </x:c>
      <x:c r="G129" s="24" t="n">
        <x:v>66.35731816410379</x:v>
      </x:c>
      <x:c r="H129" s="24" t="n">
        <x:v>72.54666481903293</x:v>
      </x:c>
      <x:c r="I129" s="24" t="n">
        <x:v>71.85170258971849</x:v>
      </x:c>
      <x:c r="J129" s="24" t="n">
        <x:v>83.07032289434576</x:v>
      </x:c>
      <x:c r="K129" s="24" t="n">
        <x:v>64.72828910217657</x:v>
      </x:c>
      <x:c r="L129" s="24" t="n">
        <x:v>52.270377226618024</x:v>
      </x:c>
      <x:c r="M129" s="24" t="n">
        <x:v>70.41757325670842</x:v>
      </x:c>
      <x:c r="N129" s="24" t="n">
        <x:v>77.83382212350742</x:v>
      </x:c>
      <x:c r="O129" s="24" t="n">
        <x:v>80.50988625179241</x:v>
      </x:c>
      <x:c r="P129" s="24" t="n">
        <x:v>77.3243637208303</x:v>
      </x:c>
      <x:c r="Q129" s="24" t="n">
        <x:v>53.40733824580367</x:v>
      </x:c>
      <x:c r="R129" s="24" t="n">
        <x:v>78.9091798312479</x:v>
      </x:c>
      <x:c r="S129" s="24" t="n">
        <x:v>64.15521410763145</x:v>
      </x:c>
      <x:c r="T129" s="24" t="n">
        <x:v>82.71762680102583</x:v>
      </x:c>
      <x:c r="U129" s="24" t="n">
        <x:v>64.12246003519161</x:v>
      </x:c>
    </x:row>
    <x:row r="130">
      <x:c r="A130" s="24" t="n">
        <x:v>12.8</x:v>
      </x:c>
      <x:c r="B130" s="24" t="n">
        <x:v>63.74565383552945</x:v>
      </x:c>
      <x:c r="C130" s="24" t="n">
        <x:v>59.187185344775315</x:v>
      </x:c>
      <x:c r="D130" s="24" t="n">
        <x:v>63.21784937050997</x:v>
      </x:c>
      <x:c r="E130" s="24" t="n">
        <x:v>82.01600452991664</x:v>
      </x:c>
      <x:c r="F130" s="24" t="n">
        <x:v>79.84332125589772</x:v>
      </x:c>
      <x:c r="G130" s="24" t="n">
        <x:v>68.10280176072908</x:v>
      </x:c>
      <x:c r="H130" s="24" t="n">
        <x:v>64.35368902415934</x:v>
      </x:c>
      <x:c r="I130" s="24" t="n">
        <x:v>70.66178390417454</x:v>
      </x:c>
      <x:c r="J130" s="24" t="n">
        <x:v>74.67213664608852</x:v>
      </x:c>
      <x:c r="K130" s="24" t="n">
        <x:v>82.89007339929108</x:v>
      </x:c>
      <x:c r="L130" s="24" t="n">
        <x:v>52.72445267194162</x:v>
      </x:c>
      <x:c r="M130" s="24" t="n">
        <x:v>70.80814554023651</x:v>
      </x:c>
      <x:c r="N130" s="24" t="n">
        <x:v>70.8802935334639</x:v>
      </x:c>
      <x:c r="O130" s="24" t="n">
        <x:v>80.50988625179241</x:v>
      </x:c>
      <x:c r="P130" s="24" t="n">
        <x:v>77.83236179428899</x:v>
      </x:c>
      <x:c r="Q130" s="24" t="n">
        <x:v>53.40733824580367</x:v>
      </x:c>
      <x:c r="R130" s="24" t="n">
        <x:v>80.33709230988731</x:v>
      </x:c>
      <x:c r="S130" s="24" t="n">
        <x:v>60.24824275035911</x:v>
      </x:c>
      <x:c r="T130" s="24" t="n">
        <x:v>82.71762680102583</x:v>
      </x:c>
      <x:c r="U130" s="24" t="n">
        <x:v>74.69200685029419</x:v>
      </x:c>
    </x:row>
    <x:row r="131">
      <x:c r="A131" s="24" t="n">
        <x:v>12.9</x:v>
      </x:c>
      <x:c r="B131" s="24" t="n">
        <x:v>59.76506898713786</x:v>
      </x:c>
      <x:c r="C131" s="24" t="n">
        <x:v>56.23662697502036</x:v>
      </x:c>
      <x:c r="D131" s="24" t="n">
        <x:v>82.92075342478522</x:v>
      </x:c>
      <x:c r="E131" s="24" t="n">
        <x:v>82.01600452991664</x:v>
      </x:c>
      <x:c r="F131" s="24" t="n">
        <x:v>80.45267086510486</x:v>
      </x:c>
      <x:c r="G131" s="24" t="n">
        <x:v>68.10280176072908</x:v>
      </x:c>
      <x:c r="H131" s="24" t="n">
        <x:v>47.50917001791066</x:v>
      </x:c>
      <x:c r="I131" s="24" t="n">
        <x:v>69.62896670414142</x:v>
      </x:c>
      <x:c r="J131" s="24" t="n">
        <x:v>65.60680987304647</x:v>
      </x:c>
      <x:c r="K131" s="24" t="n">
        <x:v>83.64947864950551</x:v>
      </x:c>
      <x:c r="L131" s="24" t="n">
        <x:v>81.15216091293209</x:v>
      </x:c>
      <x:c r="M131" s="24" t="n">
        <x:v>69.96424304293932</x:v>
      </x:c>
      <x:c r="N131" s="24" t="n">
        <x:v>52.82205885453587</x:v>
      </x:c>
      <x:c r="O131" s="24" t="n">
        <x:v>78.05012149446654</x:v>
      </x:c>
      <x:c r="P131" s="24" t="n">
        <x:v>76.24767022385646</x:v>
      </x:c>
      <x:c r="Q131" s="24" t="n">
        <x:v>51.94705042617352</x:v>
      </x:c>
      <x:c r="R131" s="24" t="n">
        <x:v>80.33709230988731</x:v>
      </x:c>
      <x:c r="S131" s="24" t="n">
        <x:v>61.073661018651684</x:v>
      </x:c>
      <x:c r="T131" s="24" t="n">
        <x:v>74.33497394130242</x:v>
      </x:c>
      <x:c r="U131" s="24" t="n">
        <x:v>75.35583104667668</x:v>
      </x:c>
    </x:row>
    <x:row r="132">
      <x:c r="A132" s="24" t="n">
        <x:v>13</x:v>
      </x:c>
      <x:c r="B132" s="24" t="n">
        <x:v>56.85937740612283</x:v>
      </x:c>
      <x:c r="C132" s="24" t="n">
        <x:v>53.33764171552201</x:v>
      </x:c>
      <x:c r="D132" s="24" t="n">
        <x:v>83.48312641149933</x:v>
      </x:c>
      <x:c r="E132" s="24" t="n">
        <x:v>76.9687177682907</x:v>
      </x:c>
      <x:c r="F132" s="24" t="n">
        <x:v>80.45267086510486</x:v>
      </x:c>
      <x:c r="G132" s="24" t="n">
        <x:v>69.7942962459542</x:v>
      </x:c>
      <x:c r="H132" s="24" t="n">
        <x:v>53.96114155809773</x:v>
      </x:c>
      <x:c r="I132" s="24" t="n">
        <x:v>68.92131229292086</x:v>
      </x:c>
      <x:c r="J132" s="24" t="n">
        <x:v>65.63499857832653</x:v>
      </x:c>
      <x:c r="K132" s="24" t="n">
        <x:v>81.60322309736512</x:v>
      </x:c>
      <x:c r="L132" s="24" t="n">
        <x:v>81.6785995852015</x:v>
      </x:c>
      <x:c r="M132" s="24" t="n">
        <x:v>70.33386921446821</x:v>
      </x:c>
      <x:c r="N132" s="24" t="n">
        <x:v>51.02398227628509</x:v>
      </x:c>
      <x:c r="O132" s="24" t="n">
        <x:v>71.15114594922119</x:v>
      </x:c>
      <x:c r="P132" s="24" t="n">
        <x:v>71.61352651881002</x:v>
      </x:c>
      <x:c r="Q132" s="24" t="n">
        <x:v>51.46142720180778</x:v>
      </x:c>
      <x:c r="R132" s="24" t="n">
        <x:v>69.76763384697145</x:v>
      </x:c>
      <x:c r="S132" s="24" t="n">
        <x:v>61.76160919942356</x:v>
      </x:c>
      <x:c r="T132" s="24" t="n">
        <x:v>68.19598180173477</x:v>
      </x:c>
      <x:c r="U132" s="24" t="n">
        <x:v>74.10941834096187</x:v>
      </x:c>
    </x:row>
    <x:row r="133">
      <x:c r="A133" s="24" t="n">
        <x:v>13.100000000000001</x:v>
      </x:c>
      <x:c r="B133" s="24" t="n">
        <x:v>53.67513512459484</x:v>
      </x:c>
      <x:c r="C133" s="24" t="n">
        <x:v>54.31186950274798</x:v>
      </x:c>
      <x:c r="D133" s="24" t="n">
        <x:v>81.13488907148707</x:v>
      </x:c>
      <x:c r="E133" s="24" t="n">
        <x:v>78.84096454654015</x:v>
      </x:c>
      <x:c r="F133" s="24" t="n">
        <x:v>70.2721906789298</x:v>
      </x:c>
      <x:c r="G133" s="24" t="n">
        <x:v>82.22574232624729</x:v>
      </x:c>
      <x:c r="H133" s="24" t="n">
        <x:v>64.71442745840938</x:v>
      </x:c>
      <x:c r="I133" s="24" t="n">
        <x:v>66.89504927308695</x:v>
      </x:c>
      <x:c r="J133" s="24" t="n">
        <x:v>65.63499857832637</x:v>
      </x:c>
      <x:c r="K133" s="24" t="n">
        <x:v>72.34573012936237</x:v>
      </x:c>
      <x:c r="L133" s="24" t="n">
        <x:v>81.39775759517707</x:v>
      </x:c>
      <x:c r="M133" s="24" t="n">
        <x:v>70.23128470979967</x:v>
      </x:c>
      <x:c r="N133" s="24" t="n">
        <x:v>56.14389365771072</x:v>
      </x:c>
      <x:c r="O133" s="24" t="n">
        <x:v>67.92524929156423</x:v>
      </x:c>
      <x:c r="P133" s="24" t="n">
        <x:v>71.61352651881</x:v>
      </x:c>
      <x:c r="Q133" s="24" t="n">
        <x:v>58.76856321084692</x:v>
      </x:c>
      <x:c r="R133" s="24" t="n">
        <x:v>50</x:v>
      </x:c>
      <x:c r="S133" s="24" t="n">
        <x:v>66.02846954151082</x:v>
      </x:c>
      <x:c r="T133" s="24" t="n">
        <x:v>63.77697196263517</x:v>
      </x:c>
      <x:c r="U133" s="24" t="n">
        <x:v>60.595551815457966</x:v>
      </x:c>
    </x:row>
    <x:row r="134">
      <x:c r="A134" s="24" t="n">
        <x:v>13.200000000000001</x:v>
      </x:c>
      <x:c r="B134" s="24" t="n">
        <x:v>75.39705243689826</x:v>
      </x:c>
      <x:c r="C134" s="24" t="n">
        <x:v>54.31186950274798</x:v>
      </x:c>
      <x:c r="D134" s="24" t="n">
        <x:v>72.19273323111193</x:v>
      </x:c>
      <x:c r="E134" s="24" t="n">
        <x:v>79.93049675330155</x:v>
      </x:c>
      <x:c r="F134" s="24" t="n">
        <x:v>60.20758223535774</x:v>
      </x:c>
      <x:c r="G134" s="24" t="n">
        <x:v>84.22958687063851</x:v>
      </x:c>
      <x:c r="H134" s="24" t="n">
        <x:v>64.71442745840938</x:v>
      </x:c>
      <x:c r="I134" s="24" t="n">
        <x:v>71.70258666509278</x:v>
      </x:c>
      <x:c r="J134" s="24" t="n">
        <x:v>54.680282306791</x:v>
      </x:c>
      <x:c r="K134" s="24" t="n">
        <x:v>66.89079070500284</x:v>
      </x:c>
      <x:c r="L134" s="24" t="n">
        <x:v>74.13612495499278</x:v>
      </x:c>
      <x:c r="M134" s="24" t="n">
        <x:v>69.33244525733365</x:v>
      </x:c>
      <x:c r="N134" s="24" t="n">
        <x:v>61.26380503913626</x:v>
      </x:c>
      <x:c r="O134" s="24" t="n">
        <x:v>68.14312732958777</x:v>
      </x:c>
      <x:c r="P134" s="24" t="n">
        <x:v>68.49846241841789</x:v>
      </x:c>
      <x:c r="Q134" s="24" t="n">
        <x:v>66.97701873655413</x:v>
      </x:c>
      <x:c r="R134" s="24" t="n">
        <x:v>50</x:v>
      </x:c>
      <x:c r="S134" s="24" t="n">
        <x:v>83.09591090985833</x:v>
      </x:c>
      <x:c r="T134" s="24" t="n">
        <x:v>65.91625928592093</x:v>
      </x:c>
      <x:c r="U134" s="24" t="n">
        <x:v>58.1418477037906</x:v>
      </x:c>
    </x:row>
    <x:row r="135">
      <x:c r="A135" s="24" t="n">
        <x:v>13.3</x:v>
      </x:c>
      <x:c r="B135" s="24" t="n">
        <x:v>75.60644348929779</x:v>
      </x:c>
      <x:c r="C135" s="24" t="n">
        <x:v>54.2732494617019</x:v>
      </x:c>
      <x:c r="D135" s="24" t="n">
        <x:v>61.47453385836084</x:v>
      </x:c>
      <x:c r="E135" s="24" t="n">
        <x:v>79.93049675330155</x:v>
      </x:c>
      <x:c r="F135" s="24" t="n">
        <x:v>52.62734679463941</x:v>
      </x:c>
      <x:c r="G135" s="24" t="n">
        <x:v>84.22958687063851</x:v>
      </x:c>
      <x:c r="H135" s="24" t="n">
        <x:v>74.6817159387568</x:v>
      </x:c>
      <x:c r="I135" s="24" t="n">
        <x:v>71.70258666509278</x:v>
      </x:c>
      <x:c r="J135" s="24" t="n">
        <x:v>69.88730841738689</x:v>
      </x:c>
      <x:c r="K135" s="24" t="n">
        <x:v>63.67112005867041</x:v>
      </x:c>
      <x:c r="L135" s="24" t="n">
        <x:v>70.26932732991706</x:v>
      </x:c>
      <x:c r="M135" s="24" t="n">
        <x:v>68.59089979644934</x:v>
      </x:c>
      <x:c r="N135" s="24" t="n">
        <x:v>79.54065687292199</x:v>
      </x:c>
      <x:c r="O135" s="24" t="n">
        <x:v>67.5977626591246</x:v>
      </x:c>
      <x:c r="P135" s="24" t="n">
        <x:v>68.91888773759862</x:v>
      </x:c>
      <x:c r="Q135" s="24" t="n">
        <x:v>66.97701873655413</x:v>
      </x:c>
      <x:c r="R135" s="24" t="n">
        <x:v>50</x:v>
      </x:c>
      <x:c r="S135" s="24" t="n">
        <x:v>83.09591090985833</x:v>
      </x:c>
      <x:c r="T135" s="24" t="n">
        <x:v>69.41940646256896</x:v>
      </x:c>
      <x:c r="U135" s="24" t="n">
        <x:v>66.22603811115883</x:v>
      </x:c>
    </x:row>
    <x:row r="136">
      <x:c r="A136" s="24" t="n">
        <x:v>13.4</x:v>
      </x:c>
      <x:c r="B136" s="24" t="n">
        <x:v>74.84981127693882</x:v>
      </x:c>
      <x:c r="C136" s="24" t="n">
        <x:v>54.3215003637232</x:v>
      </x:c>
      <x:c r="D136" s="24" t="n">
        <x:v>52.39175843351897</x:v>
      </x:c>
      <x:c r="E136" s="24" t="n">
        <x:v>70.9225526972375</x:v>
      </x:c>
      <x:c r="F136" s="24" t="n">
        <x:v>52.62734679463941</x:v>
      </x:c>
      <x:c r="G136" s="24" t="n">
        <x:v>76.31247106678006</x:v>
      </x:c>
      <x:c r="H136" s="24" t="n">
        <x:v>74.6817159387568</x:v>
      </x:c>
      <x:c r="I136" s="24" t="n">
        <x:v>63.3128941412395</x:v>
      </x:c>
      <x:c r="J136" s="24" t="n">
        <x:v>69.88730841738689</x:v>
      </x:c>
      <x:c r="K136" s="24" t="n">
        <x:v>61.98230591581367</x:v>
      </x:c>
      <x:c r="L136" s="24" t="n">
        <x:v>68.15193360750452</x:v>
      </x:c>
      <x:c r="M136" s="24" t="n">
        <x:v>79.36895356978388</x:v>
      </x:c>
      <x:c r="N136" s="24" t="n">
        <x:v>79.91899126164154</x:v>
      </x:c>
      <x:c r="O136" s="24" t="n">
        <x:v>67.37197438022002</x:v>
      </x:c>
      <x:c r="P136" s="24" t="n">
        <x:v>69.6270035165457</x:v>
      </x:c>
      <x:c r="Q136" s="24" t="n">
        <x:v>65.93269356493288</x:v>
      </x:c>
      <x:c r="R136" s="24" t="n">
        <x:v>50</x:v>
      </x:c>
      <x:c r="S136" s="24" t="n">
        <x:v>79.37831812605768</x:v>
      </x:c>
      <x:c r="T136" s="24" t="n">
        <x:v>72.92255363921699</x:v>
      </x:c>
      <x:c r="U136" s="24" t="n">
        <x:v>68.54754735764382</x:v>
      </x:c>
    </x:row>
    <x:row r="137">
      <x:c r="A137" s="24" t="n">
        <x:v>13.5</x:v>
      </x:c>
      <x:c r="B137" s="24" t="n">
        <x:v>70.31751318655597</x:v>
      </x:c>
      <x:c r="C137" s="24" t="n">
        <x:v>61.24753774710802</x:v>
      </x:c>
      <x:c r="D137" s="24" t="n">
        <x:v>52.39175843351897</x:v>
      </x:c>
      <x:c r="E137" s="24" t="n">
        <x:v>60.601537855589484</x:v>
      </x:c>
      <x:c r="F137" s="24" t="n">
        <x:v>52.62734679463941</x:v>
      </x:c>
      <x:c r="G137" s="24" t="n">
        <x:v>53.83952472737504</x:v>
      </x:c>
      <x:c r="H137" s="24" t="n">
        <x:v>70.29689953002045</x:v>
      </x:c>
      <x:c r="I137" s="24" t="n">
        <x:v>45.56881161460947</x:v>
      </x:c>
      <x:c r="J137" s="24" t="n">
        <x:v>60.902066382585794</x:v>
      </x:c>
      <x:c r="K137" s="24" t="n">
        <x:v>50.17535177770672</x:v>
      </x:c>
      <x:c r="L137" s="24" t="n">
        <x:v>66.69791294458047</x:v>
      </x:c>
      <x:c r="M137" s="24" t="n">
        <x:v>79.36895356978388</x:v>
      </x:c>
      <x:c r="N137" s="24" t="n">
        <x:v>78.75641834851542</x:v>
      </x:c>
      <x:c r="O137" s="24" t="n">
        <x:v>68.29089057178165</x:v>
      </x:c>
      <x:c r="P137" s="24" t="n">
        <x:v>69.6270035165457</x:v>
      </x:c>
      <x:c r="Q137" s="24" t="n">
        <x:v>56.09682661920065</x:v>
      </x:c>
      <x:c r="R137" s="24" t="n">
        <x:v>50</x:v>
      </x:c>
      <x:c r="S137" s="24" t="n">
        <x:v>70.9338453864294</x:v>
      </x:c>
      <x:c r="T137" s="24" t="n">
        <x:v>73.62318307454657</x:v>
      </x:c>
      <x:c r="U137" s="24" t="n">
        <x:v>68.54754735764382</x:v>
      </x:c>
    </x:row>
    <x:row r="138">
      <x:c r="A138" s="24" t="n">
        <x:v>13.600000000000001</x:v>
      </x:c>
      <x:c r="B138" s="24" t="n">
        <x:v>65.681915710569</x:v>
      </x:c>
      <x:c r="C138" s="24" t="n">
        <x:v>69.57127558322061</x:v>
      </x:c>
      <x:c r="D138" s="24" t="n">
        <x:v>52.39175843351897</x:v>
      </x:c>
      <x:c r="E138" s="24" t="n">
        <x:v>52.413432413067554</x:v>
      </x:c>
      <x:c r="F138" s="24" t="n">
        <x:v>64.62259879041667</x:v>
      </x:c>
      <x:c r="G138" s="24" t="n">
        <x:v>53.50474931864532</x:v>
      </x:c>
      <x:c r="H138" s="24" t="n">
        <x:v>63.39767108928204</x:v>
      </x:c>
      <x:c r="I138" s="24" t="n">
        <x:v>64.33663524396209</x:v>
      </x:c>
      <x:c r="J138" s="24" t="n">
        <x:v>66.72024923509638</x:v>
      </x:c>
      <x:c r="K138" s="24" t="n">
        <x:v>70.61778803184498</x:v>
      </x:c>
      <x:c r="L138" s="24" t="n">
        <x:v>66.93474455796742</x:v>
      </x:c>
      <x:c r="M138" s="24" t="n">
        <x:v>72.76263031302278</x:v>
      </x:c>
      <x:c r="N138" s="24" t="n">
        <x:v>72.5897604324032</x:v>
      </x:c>
      <x:c r="O138" s="24" t="n">
        <x:v>69.33279833552251</x:v>
      </x:c>
      <x:c r="P138" s="24" t="n">
        <x:v>69.08082975505361</x:v>
      </x:c>
      <x:c r="Q138" s="24" t="n">
        <x:v>56.45002805035317</x:v>
      </x:c>
      <x:c r="R138" s="24" t="n">
        <x:v>81.2459516053729</x:v>
      </x:c>
      <x:c r="S138" s="24" t="n">
        <x:v>64.86074970562925</x:v>
      </x:c>
      <x:c r="T138" s="24" t="n">
        <x:v>73.40636849024693</x:v>
      </x:c>
      <x:c r="U138" s="24" t="n">
        <x:v>65.68683237639648</x:v>
      </x:c>
    </x:row>
    <x:row r="139">
      <x:c r="A139" s="24" t="n">
        <x:v>13.700000000000001</x:v>
      </x:c>
      <x:c r="B139" s="24" t="n">
        <x:v>61.1267901499507</x:v>
      </x:c>
      <x:c r="C139" s="24" t="n">
        <x:v>74.79987616923557</x:v>
      </x:c>
      <x:c r="D139" s="24" t="n">
        <x:v>59.138800050418396</x:v>
      </x:c>
      <x:c r="E139" s="24" t="n">
        <x:v>52.41343241306728</x:v>
      </x:c>
      <x:c r="F139" s="24" t="n">
        <x:v>64.62259879041667</x:v>
      </x:c>
      <x:c r="G139" s="24" t="n">
        <x:v>62.89551623571925</x:v>
      </x:c>
      <x:c r="H139" s="24" t="n">
        <x:v>69.05807643471887</x:v>
      </x:c>
      <x:c r="I139" s="24" t="n">
        <x:v>66.85963632853125</x:v>
      </x:c>
      <x:c r="J139" s="24" t="n">
        <x:v>66.86661579114654</x:v>
      </x:c>
      <x:c r="K139" s="24" t="n">
        <x:v>70.61778803184498</x:v>
      </x:c>
      <x:c r="L139" s="24" t="n">
        <x:v>68.23276710919593</x:v>
      </x:c>
      <x:c r="M139" s="24" t="n">
        <x:v>56.496887405845406</x:v>
      </x:c>
      <x:c r="N139" s="24" t="n">
        <x:v>72.24324488978371</x:v>
      </x:c>
      <x:c r="O139" s="24" t="n">
        <x:v>69.33279833552247</x:v>
      </x:c>
      <x:c r="P139" s="24" t="n">
        <x:v>69.08082975505361</x:v>
      </x:c>
      <x:c r="Q139" s="24" t="n">
        <x:v>57.33643046390449</x:v>
      </x:c>
      <x:c r="R139" s="24" t="n">
        <x:v>82.72891941797842</x:v>
      </x:c>
      <x:c r="S139" s="24" t="n">
        <x:v>59.581405784540664</x:v>
      </x:c>
      <x:c r="T139" s="24" t="n">
        <x:v>65.30355805713361</x:v>
      </x:c>
      <x:c r="U139" s="24" t="n">
        <x:v>65.68683237639648</x:v>
      </x:c>
    </x:row>
    <x:row r="140">
      <x:c r="A140" s="24" t="n">
        <x:v>13.8</x:v>
      </x:c>
      <x:c r="B140" s="24" t="n">
        <x:v>61.445947811757705</x:v>
      </x:c>
      <x:c r="C140" s="24" t="n">
        <x:v>74.79987616923557</x:v>
      </x:c>
      <x:c r="D140" s="24" t="n">
        <x:v>65.88584166731762</x:v>
      </x:c>
      <x:c r="E140" s="24" t="n">
        <x:v>49.331608997128484</x:v>
      </x:c>
      <x:c r="F140" s="24" t="n">
        <x:v>72.13346570074583</x:v>
      </x:c>
      <x:c r="G140" s="24" t="n">
        <x:v>68.61147078835694</x:v>
      </x:c>
      <x:c r="H140" s="24" t="n">
        <x:v>70.37673324443308</x:v>
      </x:c>
      <x:c r="I140" s="24" t="n">
        <x:v>66.85963632853125</x:v>
      </x:c>
      <x:c r="J140" s="24" t="n">
        <x:v>66.86661579114654</x:v>
      </x:c>
      <x:c r="K140" s="24" t="n">
        <x:v>63.16421574468009</x:v>
      </x:c>
      <x:c r="L140" s="24" t="n">
        <x:v>68.58616608819874</x:v>
      </x:c>
      <x:c r="M140" s="24" t="n">
        <x:v>50</x:v>
      </x:c>
      <x:c r="N140" s="24" t="n">
        <x:v>69.32539089457127</x:v>
      </x:c>
      <x:c r="O140" s="24" t="n">
        <x:v>68.20968382974212</x:v>
      </x:c>
      <x:c r="P140" s="24" t="n">
        <x:v>69.05418681378097</x:v>
      </x:c>
      <x:c r="Q140" s="24" t="n">
        <x:v>61.768442531660774</x:v>
      </x:c>
      <x:c r="R140" s="24" t="n">
        <x:v>85.58806545044672</x:v>
      </x:c>
      <x:c r="S140" s="24" t="n">
        <x:v>60.54492787821043</x:v>
      </x:c>
      <x:c r="T140" s="24" t="n">
        <x:v>60.196651072467915</x:v>
      </x:c>
      <x:c r="U140" s="24" t="n">
        <x:v>65.28991251401318</x:v>
      </x:c>
    </x:row>
    <x:row r="141">
      <x:c r="A141" s="24" t="n">
        <x:v>13.9</x:v>
      </x:c>
      <x:c r="B141" s="24" t="n">
        <x:v>64.78275131220235</x:v>
      </x:c>
      <x:c r="C141" s="24" t="n">
        <x:v>70.02259500781896</x:v>
      </x:c>
      <x:c r="D141" s="24" t="n">
        <x:v>65.88584166731762</x:v>
      </x:c>
      <x:c r="E141" s="24" t="n">
        <x:v>69.04871016336993</x:v>
      </x:c>
      <x:c r="F141" s="24" t="n">
        <x:v>72.13346570074583</x:v>
      </x:c>
      <x:c r="G141" s="24" t="n">
        <x:v>68.61147078835694</x:v>
      </x:c>
      <x:c r="H141" s="24" t="n">
        <x:v>70.7058575407729</x:v>
      </x:c>
      <x:c r="I141" s="24" t="n">
        <x:v>63.13713734683134</x:v>
      </x:c>
      <x:c r="J141" s="24" t="n">
        <x:v>66.73952278207746</x:v>
      </x:c>
      <x:c r="K141" s="24" t="n">
        <x:v>57.576486641952464</x:v>
      </x:c>
      <x:c r="L141" s="24" t="n">
        <x:v>68.73363532421187</x:v>
      </x:c>
      <x:c r="M141" s="24" t="n">
        <x:v>50</x:v>
      </x:c>
      <x:c r="N141" s="24" t="n">
        <x:v>69.50584269718114</x:v>
      </x:c>
      <x:c r="O141" s="24" t="n">
        <x:v>66.45613160394373</x:v>
      </x:c>
      <x:c r="P141" s="24" t="n">
        <x:v>68.86018460282617</x:v>
      </x:c>
      <x:c r="Q141" s="24" t="n">
        <x:v>63.54124735876326</x:v>
      </x:c>
      <x:c r="R141" s="24" t="n">
        <x:v>85.58806545044672</x:v>
      </x:c>
      <x:c r="S141" s="24" t="n">
        <x:v>65.01001879599698</x:v>
      </x:c>
      <x:c r="T141" s="24" t="n">
        <x:v>57.52862797324423</x:v>
      </x:c>
      <x:c r="U141" s="24" t="n">
        <x:v>66.04429968970868</x:v>
      </x:c>
    </x:row>
    <x:row r="142">
      <x:c r="A142" s="24" t="n">
        <x:v>14</x:v>
      </x:c>
      <x:c r="B142" s="24" t="n">
        <x:v>65.13571113039154</x:v>
      </x:c>
      <x:c r="C142" s="24" t="n">
        <x:v>62.691080780333216</x:v>
      </x:c>
      <x:c r="D142" s="24" t="n">
        <x:v>74.6037244036723</x:v>
      </x:c>
      <x:c r="E142" s="24" t="n">
        <x:v>69.23566152790187</x:v>
      </x:c>
      <x:c r="F142" s="24" t="n">
        <x:v>69.78385298846041</x:v>
      </x:c>
      <x:c r="G142" s="24" t="n">
        <x:v>72.45066219007967</x:v>
      </x:c>
      <x:c r="H142" s="24" t="n">
        <x:v>71.5160978596523</x:v>
      </x:c>
      <x:c r="I142" s="24" t="n">
        <x:v>64.77266284832083</x:v>
      </x:c>
      <x:c r="J142" s="24" t="n">
        <x:v>66.73952278207746</x:v>
      </x:c>
      <x:c r="K142" s="24" t="n">
        <x:v>60.25260011138681</x:v>
      </x:c>
      <x:c r="L142" s="24" t="n">
        <x:v>68.73363532421187</x:v>
      </x:c>
      <x:c r="M142" s="24" t="n">
        <x:v>50</x:v>
      </x:c>
      <x:c r="N142" s="24" t="n">
        <x:v>69.50584269718114</x:v>
      </x:c>
      <x:c r="O142" s="24" t="n">
        <x:v>69.53512790728362</x:v>
      </x:c>
      <x:c r="P142" s="24" t="n">
        <x:v>66.69945137960497</x:v>
      </x:c>
      <x:c r="Q142" s="24" t="n">
        <x:v>63.54124735876326</x:v>
      </x:c>
      <x:c r="R142" s="24" t="n">
        <x:v>79.51676424059647</x:v>
      </x:c>
      <x:c r="S142" s="24" t="n">
        <x:v>85.12997265810725</x:v>
      </x:c>
      <x:c r="T142" s="24" t="n">
        <x:v>57.98464748811508</x:v>
      </x:c>
      <x:c r="U142" s="24" t="n">
        <x:v>68.05292389359943</x:v>
      </x:c>
    </x:row>
    <x:row r="143">
      <x:c r="A143" s="24" t="n">
        <x:v>14.100000000000001</x:v>
      </x:c>
      <x:c r="B143" s="24" t="n">
        <x:v>64.75016223860663</x:v>
      </x:c>
      <x:c r="C143" s="24" t="n">
        <x:v>55.699220330475654</x:v>
      </x:c>
      <x:c r="D143" s="24" t="n">
        <x:v>76.34730095094321</x:v>
      </x:c>
      <x:c r="E143" s="24" t="n">
        <x:v>74.7444310772485</x:v>
      </x:c>
      <x:c r="F143" s="24" t="n">
        <x:v>63.28633375903566</x:v>
      </x:c>
      <x:c r="G143" s="24" t="n">
        <x:v>72.59683621578452</x:v>
      </x:c>
      <x:c r="H143" s="24" t="n">
        <x:v>71.5160978596523</x:v>
      </x:c>
      <x:c r="I143" s="24" t="n">
        <x:v>64.77266284832099</x:v>
      </x:c>
      <x:c r="J143" s="24" t="n">
        <x:v>80.29441388444161</x:v>
      </x:c>
      <x:c r="K143" s="24" t="n">
        <x:v>60.25260011138674</x:v>
      </x:c>
      <x:c r="L143" s="24" t="n">
        <x:v>67.95253891318015</x:v>
      </x:c>
      <x:c r="M143" s="24" t="n">
        <x:v>50</x:v>
      </x:c>
      <x:c r="N143" s="24" t="n">
        <x:v>69.15833607228564</x:v>
      </x:c>
      <x:c r="O143" s="24" t="n">
        <x:v>77.88142424695059</x:v>
      </x:c>
      <x:c r="P143" s="24" t="n">
        <x:v>64.40829189804393</x:v>
      </x:c>
      <x:c r="Q143" s="24" t="n">
        <x:v>63.337245138087944</x:v>
      </x:c>
      <x:c r="R143" s="24" t="n">
        <x:v>70.83503825650372</x:v>
      </x:c>
      <x:c r="S143" s="24" t="n">
        <x:v>87.36390660588609</x:v>
      </x:c>
      <x:c r="T143" s="24" t="n">
        <x:v>63.4314271058327</x:v>
      </x:c>
      <x:c r="U143" s="24" t="n">
        <x:v>74.53847133569289</x:v>
      </x:c>
    </x:row>
    <x:row r="144">
      <x:c r="A144" s="24" t="n">
        <x:v>14.200000000000001</x:v>
      </x:c>
      <x:c r="B144" s="24" t="n">
        <x:v>64.61589066028583</x:v>
      </x:c>
      <x:c r="C144" s="24" t="n">
        <x:v>57.03532369849827</x:v>
      </x:c>
      <x:c r="D144" s="24" t="n">
        <x:v>73.85951018210292</x:v>
      </x:c>
      <x:c r="E144" s="24" t="n">
        <x:v>75.26896417321475</x:v>
      </x:c>
      <x:c r="F144" s="24" t="n">
        <x:v>65.48185791904135</x:v>
      </x:c>
      <x:c r="G144" s="24" t="n">
        <x:v>72.34204498654216</x:v>
      </x:c>
      <x:c r="H144" s="24" t="n">
        <x:v>72.67680776539471</x:v>
      </x:c>
      <x:c r="I144" s="24" t="n">
        <x:v>66.47374055313674</x:v>
      </x:c>
      <x:c r="J144" s="24" t="n">
        <x:v>82.71162090541074</x:v>
      </x:c>
      <x:c r="K144" s="24" t="n">
        <x:v>55.38972863010039</x:v>
      </x:c>
      <x:c r="L144" s="24" t="n">
        <x:v>66.41135996207989</x:v>
      </x:c>
      <x:c r="M144" s="24" t="n">
        <x:v>77.62424452899683</x:v>
      </x:c>
      <x:c r="N144" s="24" t="n">
        <x:v>70.18434974509874</x:v>
      </x:c>
      <x:c r="O144" s="24" t="n">
        <x:v>77.88142424695059</x:v>
      </x:c>
      <x:c r="P144" s="24" t="n">
        <x:v>76.50522927551714</x:v>
      </x:c>
      <x:c r="Q144" s="24" t="n">
        <x:v>69.56293817505008</x:v>
      </x:c>
      <x:c r="R144" s="24" t="n">
        <x:v>69.5462450220869</x:v>
      </x:c>
      <x:c r="S144" s="24" t="n">
        <x:v>87.36390660588597</x:v>
      </x:c>
      <x:c r="T144" s="24" t="n">
        <x:v>68.23789924239655</x:v>
      </x:c>
      <x:c r="U144" s="24" t="n">
        <x:v>79.40263191726278</x:v>
      </x:c>
    </x:row>
    <x:row r="145">
      <x:c r="A145" s="24" t="n">
        <x:v>14.3</x:v>
      </x:c>
      <x:c r="B145" s="24" t="n">
        <x:v>64.61589066028583</x:v>
      </x:c>
      <x:c r="C145" s="24" t="n">
        <x:v>56.128650445101016</x:v>
      </x:c>
      <x:c r="D145" s="24" t="n">
        <x:v>70.41565943852183</x:v>
      </x:c>
      <x:c r="E145" s="24" t="n">
        <x:v>74.18579921530895</x:v>
      </x:c>
      <x:c r="F145" s="24" t="n">
        <x:v>67.37732522640749</x:v>
      </x:c>
      <x:c r="G145" s="24" t="n">
        <x:v>61.22501504255042</x:v>
      </x:c>
      <x:c r="H145" s="24" t="n">
        <x:v>73.53573885126838</x:v>
      </x:c>
      <x:c r="I145" s="24" t="n">
        <x:v>80.07104408246171</x:v>
      </x:c>
      <x:c r="J145" s="24" t="n">
        <x:v>82.71162090541074</x:v>
      </x:c>
      <x:c r="K145" s="24" t="n">
        <x:v>58.50809374033182</x:v>
      </x:c>
      <x:c r="L145" s="24" t="n">
        <x:v>65.31524997068838</x:v>
      </x:c>
      <x:c r="M145" s="24" t="n">
        <x:v>79.94129148850011</x:v>
      </x:c>
      <x:c r="N145" s="24" t="n">
        <x:v>70.6231184277583</x:v>
      </x:c>
      <x:c r="O145" s="24" t="n">
        <x:v>69.54796321387052</x:v>
      </x:c>
      <x:c r="P145" s="24" t="n">
        <x:v>76.50522927551714</x:v>
      </x:c>
      <x:c r="Q145" s="24" t="n">
        <x:v>69.56293817505008</x:v>
      </x:c>
      <x:c r="R145" s="24" t="n">
        <x:v>70.81481628548651</x:v>
      </x:c>
      <x:c r="S145" s="24" t="n">
        <x:v>78.94017357344124</x:v>
      </x:c>
      <x:c r="T145" s="24" t="n">
        <x:v>69.85906221952305</x:v>
      </x:c>
      <x:c r="U145" s="24" t="n">
        <x:v>79.40263191726278</x:v>
      </x:c>
    </x:row>
    <x:row r="146">
      <x:c r="A146" s="24" t="n">
        <x:v>14.4</x:v>
      </x:c>
      <x:c r="B146" s="24" t="n">
        <x:v>61.91450342811411</x:v>
      </x:c>
      <x:c r="C146" s="24" t="n">
        <x:v>51.595284178115094</x:v>
      </x:c>
      <x:c r="D146" s="24" t="n">
        <x:v>66.22730606362708</x:v>
      </x:c>
      <x:c r="E146" s="24" t="n">
        <x:v>65.2292840363033</x:v>
      </x:c>
      <x:c r="F146" s="24" t="n">
        <x:v>69.9671450422434</x:v>
      </x:c>
      <x:c r="G146" s="24" t="n">
        <x:v>64.21856851143036</x:v>
      </x:c>
      <x:c r="H146" s="24" t="n">
        <x:v>73.53573885126838</x:v>
      </x:c>
      <x:c r="I146" s="24" t="n">
        <x:v>82.95488260860623</x:v>
      </x:c>
      <x:c r="J146" s="24" t="n">
        <x:v>76.07596851312329</x:v>
      </x:c>
      <x:c r="K146" s="24" t="n">
        <x:v>82.39970553499386</x:v>
      </x:c>
      <x:c r="L146" s="24" t="n">
        <x:v>60.854695084303714</x:v>
      </x:c>
      <x:c r="M146" s="24" t="n">
        <x:v>79.94129148850011</x:v>
      </x:c>
      <x:c r="N146" s="24" t="n">
        <x:v>70.6231184277583</x:v>
      </x:c>
      <x:c r="O146" s="24" t="n">
        <x:v>50</x:v>
      </x:c>
      <x:c r="P146" s="24" t="n">
        <x:v>72.4719890408974</x:v>
      </x:c>
      <x:c r="Q146" s="24" t="n">
        <x:v>69.5454195125157</x:v>
      </x:c>
      <x:c r="R146" s="24" t="n">
        <x:v>70.81481628548651</x:v>
      </x:c>
      <x:c r="S146" s="24" t="n">
        <x:v>77.26553128775987</x:v>
      </x:c>
      <x:c r="T146" s="24" t="n">
        <x:v>69.88191332123313</x:v>
      </x:c>
      <x:c r="U146" s="24" t="n">
        <x:v>75.17941715709725</x:v>
      </x:c>
    </x:row>
    <x:row r="147">
      <x:c r="A147" s="24" t="n">
        <x:v>14.5</x:v>
      </x:c>
      <x:c r="B147" s="24" t="n">
        <x:v>64.5436555170171</x:v>
      </x:c>
      <x:c r="C147" s="24" t="n">
        <x:v>58.68907517447943</x:v>
      </x:c>
      <x:c r="D147" s="24" t="n">
        <x:v>66.33207873441384</x:v>
      </x:c>
      <x:c r="E147" s="24" t="n">
        <x:v>58.92600026778686</x:v>
      </x:c>
      <x:c r="F147" s="24" t="n">
        <x:v>71.43017462225816</x:v>
      </x:c>
      <x:c r="G147" s="24" t="n">
        <x:v>65.17441298980714</x:v>
      </x:c>
      <x:c r="H147" s="24" t="n">
        <x:v>73.91832651316636</x:v>
      </x:c>
      <x:c r="I147" s="24" t="n">
        <x:v>82.95488260860623</x:v>
      </x:c>
      <x:c r="J147" s="24" t="n">
        <x:v>66.45260069271988</x:v>
      </x:c>
      <x:c r="K147" s="24" t="n">
        <x:v>83.90857390011155</x:v>
      </x:c>
      <x:c r="L147" s="24" t="n">
        <x:v>80.73143415850612</x:v>
      </x:c>
      <x:c r="M147" s="24" t="n">
        <x:v>72.72989069340282</x:v>
      </x:c>
      <x:c r="N147" s="24" t="n">
        <x:v>68.93255002572825</x:v>
      </x:c>
      <x:c r="O147" s="24" t="n">
        <x:v>50</x:v>
      </x:c>
      <x:c r="P147" s="24" t="n">
        <x:v>64.48269008679362</x:v>
      </x:c>
      <x:c r="Q147" s="24" t="n">
        <x:v>70.64262235690674</x:v>
      </x:c>
      <x:c r="R147" s="24" t="n">
        <x:v>70.4524562201496</x:v>
      </x:c>
      <x:c r="S147" s="24" t="n">
        <x:v>72.11603926156431</x:v>
      </x:c>
      <x:c r="T147" s="24" t="n">
        <x:v>74.92223845122513</x:v>
      </x:c>
      <x:c r="U147" s="24" t="n">
        <x:v>69.53792332573417</x:v>
      </x:c>
    </x:row>
    <x:row r="148">
      <x:c r="A148" s="24" t="n">
        <x:v>14.600000000000001</x:v>
      </x:c>
      <x:c r="B148" s="24" t="n">
        <x:v>64.5436555170171</x:v>
      </x:c>
      <x:c r="C148" s="24" t="n">
        <x:v>58.68907517447943</x:v>
      </x:c>
      <x:c r="D148" s="24" t="n">
        <x:v>67.96603937915722</x:v>
      </x:c>
      <x:c r="E148" s="24" t="n">
        <x:v>65.22185727604752</x:v>
      </x:c>
      <x:c r="F148" s="24" t="n">
        <x:v>71.8232028057546</x:v>
      </x:c>
      <x:c r="G148" s="24" t="n">
        <x:v>65.43069714289535</x:v>
      </x:c>
      <x:c r="H148" s="24" t="n">
        <x:v>73.51229291788238</x:v>
      </x:c>
      <x:c r="I148" s="24" t="n">
        <x:v>73.35103290987298</x:v>
      </x:c>
      <x:c r="J148" s="24" t="n">
        <x:v>64.83018115801939</x:v>
      </x:c>
      <x:c r="K148" s="24" t="n">
        <x:v>83.90857390011139</x:v>
      </x:c>
      <x:c r="L148" s="24" t="n">
        <x:v>80.73143415850612</x:v>
      </x:c>
      <x:c r="M148" s="24" t="n">
        <x:v>72.7298906934028</x:v>
      </x:c>
      <x:c r="N148" s="24" t="n">
        <x:v>64.9126055371872</x:v>
      </x:c>
      <x:c r="O148" s="24" t="n">
        <x:v>63.427587837768726</x:v>
      </x:c>
      <x:c r="P148" s="24" t="n">
        <x:v>50</x:v>
      </x:c>
      <x:c r="Q148" s="24" t="n">
        <x:v>70.64262235690671</x:v>
      </x:c>
      <x:c r="R148" s="24" t="n">
        <x:v>70.01482289325219</x:v>
      </x:c>
      <x:c r="S148" s="24" t="n">
        <x:v>69.3443393974498</x:v>
      </x:c>
      <x:c r="T148" s="24" t="n">
        <x:v>82.83221234710109</x:v>
      </x:c>
      <x:c r="U148" s="24" t="n">
        <x:v>56.54934987689197</x:v>
      </x:c>
    </x:row>
    <x:row r="149">
      <x:c r="A149" s="24" t="n">
        <x:v>14.700000000000001</x:v>
      </x:c>
      <x:c r="B149" s="24" t="n">
        <x:v>62.482383638385215</x:v>
      </x:c>
      <x:c r="C149" s="24" t="n">
        <x:v>54.47529359012239</x:v>
      </x:c>
      <x:c r="D149" s="24" t="n">
        <x:v>67.96603937915722</x:v>
      </x:c>
      <x:c r="E149" s="24" t="n">
        <x:v>67.61616221344822</x:v>
      </x:c>
      <x:c r="F149" s="24" t="n">
        <x:v>71.45792189425742</x:v>
      </x:c>
      <x:c r="G149" s="24" t="n">
        <x:v>65.43069714289533</x:v>
      </x:c>
      <x:c r="H149" s="24" t="n">
        <x:v>70.181037677545</x:v>
      </x:c>
      <x:c r="I149" s="24" t="n">
        <x:v>66.88362090418886</x:v>
      </x:c>
      <x:c r="J149" s="24" t="n">
        <x:v>64.83018115801939</x:v>
      </x:c>
      <x:c r="K149" s="24" t="n">
        <x:v>76.35320071308594</x:v>
      </x:c>
      <x:c r="L149" s="24" t="n">
        <x:v>77.09575318671368</x:v>
      </x:c>
      <x:c r="M149" s="24" t="n">
        <x:v>70.89781134972169</x:v>
      </x:c>
      <x:c r="N149" s="24" t="n">
        <x:v>57.83065688313053</x:v>
      </x:c>
      <x:c r="O149" s="24" t="n">
        <x:v>80.08840338967174</x:v>
      </x:c>
      <x:c r="P149" s="24" t="n">
        <x:v>50</x:v>
      </x:c>
      <x:c r="Q149" s="24" t="n">
        <x:v>71.0556277587439</x:v>
      </x:c>
      <x:c r="R149" s="24" t="n">
        <x:v>81.91739870296016</x:v>
      </x:c>
      <x:c r="S149" s="24" t="n">
        <x:v>67.26829842872084</x:v>
      </x:c>
      <x:c r="T149" s="24" t="n">
        <x:v>82.83221234710109</x:v>
      </x:c>
      <x:c r="U149" s="24" t="n">
        <x:v>54.591387425107285</x:v>
      </x:c>
    </x:row>
    <x:row r="150">
      <x:c r="A150" s="24" t="n">
        <x:v>14.8</x:v>
      </x:c>
      <x:c r="B150" s="24" t="n">
        <x:v>64.43900582483091</x:v>
      </x:c>
      <x:c r="C150" s="24" t="n">
        <x:v>52.919906933302585</x:v>
      </x:c>
      <x:c r="D150" s="24" t="n">
        <x:v>67.14678447359806</x:v>
      </x:c>
      <x:c r="E150" s="24" t="n">
        <x:v>67.61616221344822</x:v>
      </x:c>
      <x:c r="F150" s="24" t="n">
        <x:v>68.9991126808731</x:v>
      </x:c>
      <x:c r="G150" s="24" t="n">
        <x:v>66.08014092074752</x:v>
      </x:c>
      <x:c r="H150" s="24" t="n">
        <x:v>73.75070909467601</x:v>
      </x:c>
      <x:c r="I150" s="24" t="n">
        <x:v>54.12803372919032</x:v>
      </x:c>
      <x:c r="J150" s="24" t="n">
        <x:v>47.07676925149272</x:v>
      </x:c>
      <x:c r="K150" s="24" t="n">
        <x:v>69.42699017693883</x:v>
      </x:c>
      <x:c r="L150" s="24" t="n">
        <x:v>68.53596906894735</x:v>
      </x:c>
      <x:c r="M150" s="24" t="n">
        <x:v>71.27455310276429</x:v>
      </x:c>
      <x:c r="N150" s="24" t="n">
        <x:v>74.58456955501674</x:v>
      </x:c>
      <x:c r="O150" s="24" t="n">
        <x:v>80.68323625826685</x:v>
      </x:c>
      <x:c r="P150" s="24" t="n">
        <x:v>50.21609031012162</x:v>
      </x:c>
      <x:c r="Q150" s="24" t="n">
        <x:v>71.0556277587439</x:v>
      </x:c>
      <x:c r="R150" s="24" t="n">
        <x:v>82.85625532961745</x:v>
      </x:c>
      <x:c r="S150" s="24" t="n">
        <x:v>65.41263455796638</x:v>
      </x:c>
      <x:c r="T150" s="24" t="n">
        <x:v>77.41498454105957</x:v>
      </x:c>
      <x:c r="U150" s="24" t="n">
        <x:v>60.198820116470586</x:v>
      </x:c>
    </x:row>
    <x:row r="151">
      <x:c r="A151" s="24" t="n">
        <x:v>14.9</x:v>
      </x:c>
      <x:c r="B151" s="24" t="n">
        <x:v>64.43900582483091</x:v>
      </x:c>
      <x:c r="C151" s="24" t="n">
        <x:v>53.753340742680706</x:v>
      </x:c>
      <x:c r="D151" s="24" t="n">
        <x:v>67.11980178989204</x:v>
      </x:c>
      <x:c r="E151" s="24" t="n">
        <x:v>67.86998473650046</x:v>
      </x:c>
      <x:c r="F151" s="24" t="n">
        <x:v>68.9991126808731</x:v>
      </x:c>
      <x:c r="G151" s="24" t="n">
        <x:v>66.66833849946545</x:v>
      </x:c>
      <x:c r="H151" s="24" t="n">
        <x:v>80.68282886599911</x:v>
      </x:c>
      <x:c r="I151" s="24" t="n">
        <x:v>60.376316285158694</x:v>
      </x:c>
      <x:c r="J151" s="24" t="n">
        <x:v>69.45060630382189</x:v>
      </x:c>
      <x:c r="K151" s="24" t="n">
        <x:v>68.23150416583462</x:v>
      </x:c>
      <x:c r="L151" s="24" t="n">
        <x:v>53.49324446464564</x:v>
      </x:c>
      <x:c r="M151" s="24" t="n">
        <x:v>71.36041587046596</x:v>
      </x:c>
      <x:c r="N151" s="24" t="n">
        <x:v>77.93535208939393</x:v>
      </x:c>
      <x:c r="O151" s="24" t="n">
        <x:v>80.6756862712292</x:v>
      </x:c>
      <x:c r="P151" s="24" t="n">
        <x:v>50.57624082699099</x:v>
      </x:c>
      <x:c r="Q151" s="24" t="n">
        <x:v>70.94733597012667</x:v>
      </x:c>
      <x:c r="R151" s="24" t="n">
        <x:v>82.45652910521758</x:v>
      </x:c>
      <x:c r="S151" s="24" t="n">
        <x:v>72.38432913819872</x:v>
      </x:c>
      <x:c r="T151" s="24" t="n">
        <x:v>71.97650266040169</x:v>
      </x:c>
      <x:c r="U151" s="24" t="n">
        <x:v>60.198820116470586</x:v>
      </x:c>
    </x:row>
    <x:row r="152">
      <x:c r="A152" s="24" t="n">
        <x:v>15</x:v>
      </x:c>
      <x:c r="B152" s="24" t="n">
        <x:v>64.50620036283746</x:v>
      </x:c>
      <x:c r="C152" s="24" t="n">
        <x:v>75.26609282907935</x:v>
      </x:c>
      <x:c r="D152" s="24" t="n">
        <x:v>68.16805514054538</x:v>
      </x:c>
      <x:c r="E152" s="24" t="n">
        <x:v>67.86998473650046</x:v>
      </x:c>
      <x:c r="F152" s="24" t="n">
        <x:v>69.10110087309158</x:v>
      </x:c>
      <x:c r="G152" s="24" t="n">
        <x:v>66.51580324026801</x:v>
      </x:c>
      <x:c r="H152" s="24" t="n">
        <x:v>80.68282886599911</x:v>
      </x:c>
      <x:c r="I152" s="24" t="n">
        <x:v>62.87562930754599</x:v>
      </x:c>
      <x:c r="J152" s="24" t="n">
        <x:v>69.45060630382189</x:v>
      </x:c>
      <x:c r="K152" s="24" t="n">
        <x:v>67.82282844936168</x:v>
      </x:c>
      <x:c r="L152" s="24" t="n">
        <x:v>50</x:v>
      </x:c>
      <x:c r="M152" s="24" t="n">
        <x:v>71.38495971246388</x:v>
      </x:c>
      <x:c r="N152" s="24" t="n">
        <x:v>73.89045556708888</x:v>
      </x:c>
      <x:c r="O152" s="24" t="n">
        <x:v>72.78139445636643</x:v>
      </x:c>
      <x:c r="P152" s="24" t="n">
        <x:v>75.3747730003019</x:v>
      </x:c>
      <x:c r="Q152" s="24" t="n">
        <x:v>70.94733597012667</x:v>
      </x:c>
      <x:c r="R152" s="24" t="n">
        <x:v>75.05234995299163</x:v>
      </x:c>
      <x:c r="S152" s="24" t="n">
        <x:v>79.1438144039627</x:v>
      </x:c>
      <x:c r="T152" s="24" t="n">
        <x:v>64.18975991229063</x:v>
      </x:c>
      <x:c r="U152" s="24" t="n">
        <x:v>54.22851626310587</x:v>
      </x:c>
    </x:row>
    <x:row r="153">
      <x:c r="A153" s="24" t="n">
        <x:v>15.100000000000001</x:v>
      </x:c>
      <x:c r="B153" s="24" t="n">
        <x:v>65.15676033929734</x:v>
      </x:c>
      <x:c r="C153" s="24" t="n">
        <x:v>75.26609282907935</x:v>
      </x:c>
      <x:c r="D153" s="24" t="n">
        <x:v>68.16805514054538</x:v>
      </x:c>
      <x:c r="E153" s="24" t="n">
        <x:v>67.71709291527898</x:v>
      </x:c>
      <x:c r="F153" s="24" t="n">
        <x:v>85.03002723163999</x:v>
      </x:c>
      <x:c r="G153" s="24" t="n">
        <x:v>66.51580324026811</x:v>
      </x:c>
      <x:c r="H153" s="24" t="n">
        <x:v>73.88046313494858</x:v>
      </x:c>
      <x:c r="I153" s="24" t="n">
        <x:v>66.54496601096373</x:v>
      </x:c>
      <x:c r="J153" s="24" t="n">
        <x:v>63.83548797362148</x:v>
      </x:c>
      <x:c r="K153" s="24" t="n">
        <x:v>71.79019309812475</x:v>
      </x:c>
      <x:c r="L153" s="24" t="n">
        <x:v>50</x:v>
      </x:c>
      <x:c r="M153" s="24" t="n">
        <x:v>71.38495971246383</x:v>
      </x:c>
      <x:c r="N153" s="24" t="n">
        <x:v>63.72749532777477</x:v>
      </x:c>
      <x:c r="O153" s="24" t="n">
        <x:v>69.25992622736842</x:v>
      </x:c>
      <x:c r="P153" s="24" t="n">
        <x:v>78.10587407024116</x:v>
      </x:c>
      <x:c r="Q153" s="24" t="n">
        <x:v>86.07974022014523</x:v>
      </x:c>
      <x:c r="R153" s="24" t="n">
        <x:v>69.89496833184697</x:v>
      </x:c>
      <x:c r="S153" s="24" t="n">
        <x:v>79.1438144039627</x:v>
      </x:c>
      <x:c r="T153" s="24" t="n">
        <x:v>59.29867749502185</x:v>
      </x:c>
      <x:c r="U153" s="24" t="n">
        <x:v>66.7927267353787</x:v>
      </x:c>
    </x:row>
    <x:row r="154">
      <x:c r="A154" s="24" t="n">
        <x:v>15.200000000000001</x:v>
      </x:c>
      <x:c r="B154" s="24" t="n">
        <x:v>65.15676033929721</x:v>
      </x:c>
      <x:c r="C154" s="24" t="n">
        <x:v>73.95652632493717</x:v>
      </x:c>
      <x:c r="D154" s="24" t="n">
        <x:v>67.56616414641755</x:v>
      </x:c>
      <x:c r="E154" s="24" t="n">
        <x:v>68.16807609535503</x:v>
      </x:c>
      <x:c r="F154" s="24" t="n">
        <x:v>90.8310902371372</x:v>
      </x:c>
      <x:c r="G154" s="24" t="n">
        <x:v>71.69139556973954</x:v>
      </x:c>
      <x:c r="H154" s="24" t="n">
        <x:v>65.92042008424987</x:v>
      </x:c>
      <x:c r="I154" s="24" t="n">
        <x:v>71.1316368902358</x:v>
      </x:c>
      <x:c r="J154" s="24" t="n">
        <x:v>64.7754238339822</x:v>
      </x:c>
      <x:c r="K154" s="24" t="n">
        <x:v>71.79019309812475</x:v>
      </x:c>
      <x:c r="L154" s="24" t="n">
        <x:v>50</x:v>
      </x:c>
      <x:c r="M154" s="24" t="n">
        <x:v>70.54258393522232</x:v>
      </x:c>
      <x:c r="N154" s="24" t="n">
        <x:v>50.711251446821734</x:v>
      </x:c>
      <x:c r="O154" s="24" t="n">
        <x:v>66.95633349280035</x:v>
      </x:c>
      <x:c r="P154" s="24" t="n">
        <x:v>78.10587407024116</x:v>
      </x:c>
      <x:c r="Q154" s="24" t="n">
        <x:v>86.07974022014523</x:v>
      </x:c>
      <x:c r="R154" s="24" t="n">
        <x:v>65.97320619628039</x:v>
      </x:c>
      <x:c r="S154" s="24" t="n">
        <x:v>75.61933622464187</x:v>
      </x:c>
      <x:c r="T154" s="24" t="n">
        <x:v>62.98960650352848</x:v>
      </x:c>
      <x:c r="U154" s="24" t="n">
        <x:v>74.9744375345884</x:v>
      </x:c>
    </x:row>
    <x:row r="155">
      <x:c r="A155" s="24" t="n">
        <x:v>15.3</x:v>
      </x:c>
      <x:c r="B155" s="24" t="n">
        <x:v>66.31885028815246</x:v>
      </x:c>
      <x:c r="C155" s="24" t="n">
        <x:v>68.90200928637972</x:v>
      </x:c>
      <x:c r="D155" s="24" t="n">
        <x:v>68.3285863330269</x:v>
      </x:c>
      <x:c r="E155" s="24" t="n">
        <x:v>68.16807609535503</x:v>
      </x:c>
      <x:c r="F155" s="24" t="n">
        <x:v>90.8310902371372</x:v>
      </x:c>
      <x:c r="G155" s="24" t="n">
        <x:v>82.71544338958319</x:v>
      </x:c>
      <x:c r="H155" s="24" t="n">
        <x:v>60.476577022272075</x:v>
      </x:c>
      <x:c r="I155" s="24" t="n">
        <x:v>72.04897106609019</x:v>
      </x:c>
      <x:c r="J155" s="24" t="n">
        <x:v>64.83819987211524</x:v>
      </x:c>
      <x:c r="K155" s="24" t="n">
        <x:v>65.69595980384734</x:v>
      </x:c>
      <x:c r="L155" s="24" t="n">
        <x:v>50</x:v>
      </x:c>
      <x:c r="M155" s="24" t="n">
        <x:v>71.27214152353575</x:v>
      </x:c>
      <x:c r="N155" s="24" t="n">
        <x:v>54.26750868093016</x:v>
      </x:c>
      <x:c r="O155" s="24" t="n">
        <x:v>66.6417993274209</x:v>
      </x:c>
      <x:c r="P155" s="24" t="n">
        <x:v>72.7482348157032</x:v>
      </x:c>
      <x:c r="Q155" s="24" t="n">
        <x:v>82.76425620840466</x:v>
      </x:c>
      <x:c r="R155" s="24" t="n">
        <x:v>65.58403181144725</x:v>
      </x:c>
      <x:c r="S155" s="24" t="n">
        <x:v>65.69103820160706</x:v>
      </x:c>
      <x:c r="T155" s="24" t="n">
        <x:v>62.98960650352848</x:v>
      </x:c>
      <x:c r="U155" s="24" t="n">
        <x:v>76.3710421222116</x:v>
      </x:c>
    </x:row>
    <x:row r="156">
      <x:c r="A156" s="24" t="n">
        <x:v>15.4</x:v>
      </x:c>
      <x:c r="B156" s="24" t="n">
        <x:v>81.89982218168309</x:v>
      </x:c>
      <x:c r="C156" s="24" t="n">
        <x:v>62.523206067420475</x:v>
      </x:c>
      <x:c r="D156" s="24" t="n">
        <x:v>68.3285863330269</x:v>
      </x:c>
      <x:c r="E156" s="24" t="n">
        <x:v>69.83896292637363</x:v>
      </x:c>
      <x:c r="F156" s="24" t="n">
        <x:v>84.18486539377535</x:v>
      </x:c>
      <x:c r="G156" s="24" t="n">
        <x:v>82.71544338958319</x:v>
      </x:c>
      <x:c r="H156" s="24" t="n">
        <x:v>62.516240829218745</x:v>
      </x:c>
      <x:c r="I156" s="24" t="n">
        <x:v>70.36961864621048</x:v>
      </x:c>
      <x:c r="J156" s="24" t="n">
        <x:v>64.25489306121187</x:v>
      </x:c>
      <x:c r="K156" s="24" t="n">
        <x:v>57.42228813816225</x:v>
      </x:c>
      <x:c r="L156" s="24" t="n">
        <x:v>78.8242300481813</x:v>
      </x:c>
      <x:c r="M156" s="24" t="n">
        <x:v>71.27214152353575</x:v>
      </x:c>
      <x:c r="N156" s="24" t="n">
        <x:v>57.82376591503859</x:v>
      </x:c>
      <x:c r="O156" s="24" t="n">
        <x:v>68.55332495188284</x:v>
      </x:c>
      <x:c r="P156" s="24" t="n">
        <x:v>72.7482348157032</x:v>
      </x:c>
      <x:c r="Q156" s="24" t="n">
        <x:v>77.01531102252325</x:v>
      </x:c>
      <x:c r="R156" s="24" t="n">
        <x:v>65.1567345416246</x:v>
      </x:c>
      <x:c r="S156" s="24" t="n">
        <x:v>54.09145745282592</x:v>
      </x:c>
      <x:c r="T156" s="24" t="n">
        <x:v>78.50744412659654</x:v>
      </x:c>
      <x:c r="U156" s="24" t="n">
        <x:v>76.3710421222116</x:v>
      </x:c>
    </x:row>
    <x:row r="157">
      <x:c r="A157" s="24" t="n">
        <x:v>15.5</x:v>
      </x:c>
      <x:c r="B157" s="24" t="n">
        <x:v>81.89982218168309</x:v>
      </x:c>
      <x:c r="C157" s="24" t="n">
        <x:v>65.87632677108934</x:v>
      </x:c>
      <x:c r="D157" s="24" t="n">
        <x:v>68.52316556062264</x:v>
      </x:c>
      <x:c r="E157" s="24" t="n">
        <x:v>69.83896292637363</x:v>
      </x:c>
      <x:c r="F157" s="24" t="n">
        <x:v>76.40516566410565</x:v>
      </x:c>
      <x:c r="G157" s="24" t="n">
        <x:v>76.7216956594336</x:v>
      </x:c>
      <x:c r="H157" s="24" t="n">
        <x:v>64.55590463616542</x:v>
      </x:c>
      <x:c r="I157" s="24" t="n">
        <x:v>62.165881076674125</x:v>
      </x:c>
      <x:c r="J157" s="24" t="n">
        <x:v>63.74055975192263</x:v>
      </x:c>
      <x:c r="K157" s="24" t="n">
        <x:v>62.74912223288058</x:v>
      </x:c>
      <x:c r="L157" s="24" t="n">
        <x:v>81.70440162484071</x:v>
      </x:c>
      <x:c r="M157" s="24" t="n">
        <x:v>70.62068765796435</x:v>
      </x:c>
      <x:c r="N157" s="24" t="n">
        <x:v>60.668771702325344</x:v>
      </x:c>
      <x:c r="O157" s="24" t="n">
        <x:v>68.15429900786346</x:v>
      </x:c>
      <x:c r="P157" s="24" t="n">
        <x:v>70.349005528548</x:v>
      </x:c>
      <x:c r="Q157" s="24" t="n">
        <x:v>65.38687069202976</x:v>
      </x:c>
      <x:c r="R157" s="24" t="n">
        <x:v>67.13018444460253</x:v>
      </x:c>
      <x:c r="S157" s="24" t="n">
        <x:v>50</x:v>
      </x:c>
      <x:c r="T157" s="24" t="n">
        <x:v>79.21673482383277</x:v>
      </x:c>
      <x:c r="U157" s="24" t="n">
        <x:v>68.12048731947729</x:v>
      </x:c>
    </x:row>
    <x:row r="158">
      <x:c r="A158" s="24" t="n">
        <x:v>15.600000000000001</x:v>
      </x:c>
      <x:c r="B158" s="24" t="n">
        <x:v>78.4828980155232</x:v>
      </x:c>
      <x:c r="C158" s="24" t="n">
        <x:v>66.29867084972348</x:v>
      </x:c>
      <x:c r="D158" s="24" t="n">
        <x:v>68.52316556062264</x:v>
      </x:c>
      <x:c r="E158" s="24" t="n">
        <x:v>70.30188491494967</x:v>
      </x:c>
      <x:c r="F158" s="24" t="n">
        <x:v>75.37822823855812</x:v>
      </x:c>
      <x:c r="G158" s="24" t="n">
        <x:v>64.22295490640523</x:v>
      </x:c>
      <x:c r="H158" s="24" t="n">
        <x:v>65.77970292033343</x:v>
      </x:c>
      <x:c r="I158" s="24" t="n">
        <x:v>66.11955402519396</x:v>
      </x:c>
      <x:c r="J158" s="24" t="n">
        <x:v>64.78187769796875</x:v>
      </x:c>
      <x:c r="K158" s="24" t="n">
        <x:v>63.76435188239644</x:v>
      </x:c>
      <x:c r="L158" s="24" t="n">
        <x:v>81.7044016248407</x:v>
      </x:c>
      <x:c r="M158" s="24" t="n">
        <x:v>80.0325970939824</x:v>
      </x:c>
      <x:c r="N158" s="24" t="n">
        <x:v>77.46384494676681</x:v>
      </x:c>
      <x:c r="O158" s="24" t="n">
        <x:v>69.3009805161338</x:v>
      </x:c>
      <x:c r="P158" s="24" t="n">
        <x:v>70.1877514620657</x:v>
      </x:c>
      <x:c r="Q158" s="24" t="n">
        <x:v>50</x:v>
      </x:c>
      <x:c r="R158" s="24" t="n">
        <x:v>68.61866347895537</x:v>
      </x:c>
      <x:c r="S158" s="24" t="n">
        <x:v>50</x:v>
      </x:c>
      <x:c r="T158" s="24" t="n">
        <x:v>78.3689019855353</x:v>
      </x:c>
      <x:c r="U158" s="24" t="n">
        <x:v>64.88720908624512</x:v>
      </x:c>
    </x:row>
    <x:row r="159">
      <x:c r="A159" s="24" t="n">
        <x:v>15.700000000000001</x:v>
      </x:c>
      <x:c r="B159" s="24" t="n">
        <x:v>68.25259791546657</x:v>
      </x:c>
      <x:c r="C159" s="24" t="n">
        <x:v>67.76454220631328</x:v>
      </x:c>
      <x:c r="D159" s="24" t="n">
        <x:v>66.60193671967279</x:v>
      </x:c>
      <x:c r="E159" s="24" t="n">
        <x:v>76.57688360453108</x:v>
      </x:c>
      <x:c r="F159" s="24" t="n">
        <x:v>73.9272613414932</x:v>
      </x:c>
      <x:c r="G159" s="24" t="n">
        <x:v>53.50474931864532</x:v>
      </x:c>
      <x:c r="H159" s="24" t="n">
        <x:v>71.79145990281407</x:v>
      </x:c>
      <x:c r="I159" s="24" t="n">
        <x:v>67.11169988873789</x:v>
      </x:c>
      <x:c r="J159" s="24" t="n">
        <x:v>78.32054262489311</x:v>
      </x:c>
      <x:c r="K159" s="24" t="n">
        <x:v>63.76435188239644</x:v>
      </x:c>
      <x:c r="L159" s="24" t="n">
        <x:v>76.02378784374766</x:v>
      </x:c>
      <x:c r="M159" s="24" t="n">
        <x:v>80.0325970939824</x:v>
      </x:c>
      <x:c r="N159" s="24" t="n">
        <x:v>81.36486819688336</x:v>
      </x:c>
      <x:c r="O159" s="24" t="n">
        <x:v>69.3009805161338</x:v>
      </x:c>
      <x:c r="P159" s="24" t="n">
        <x:v>70.1877514620657</x:v>
      </x:c>
      <x:c r="Q159" s="24" t="n">
        <x:v>50</x:v>
      </x:c>
      <x:c r="R159" s="24" t="n">
        <x:v>68.61866347895537</x:v>
      </x:c>
      <x:c r="S159" s="24" t="n">
        <x:v>60.4929265963458</x:v>
      </x:c>
      <x:c r="T159" s="24" t="n">
        <x:v>70.48000311571572</x:v>
      </x:c>
      <x:c r="U159" s="24" t="n">
        <x:v>56.64971984124762</x:v>
      </x:c>
    </x:row>
    <x:row r="160">
      <x:c r="A160" s="24" t="n">
        <x:v>15.8</x:v>
      </x:c>
      <x:c r="B160" s="24" t="n">
        <x:v>61.502124874002384</x:v>
      </x:c>
      <x:c r="C160" s="24" t="n">
        <x:v>67.76454220631328</x:v>
      </x:c>
      <x:c r="D160" s="24" t="n">
        <x:v>64.36601588722608</x:v>
      </x:c>
      <x:c r="E160" s="24" t="n">
        <x:v>76.57688360453108</x:v>
      </x:c>
      <x:c r="F160" s="24" t="n">
        <x:v>70.94355516248362</x:v>
      </x:c>
      <x:c r="G160" s="24" t="n">
        <x:v>59.77216787150142</x:v>
      </x:c>
      <x:c r="H160" s="24" t="n">
        <x:v>72.58163747075591</x:v>
      </x:c>
      <x:c r="I160" s="24" t="n">
        <x:v>67.11169988873789</x:v>
      </x:c>
      <x:c r="J160" s="24" t="n">
        <x:v>82.71330482515319</x:v>
      </x:c>
      <x:c r="K160" s="24" t="n">
        <x:v>62.80025653911076</x:v>
      </x:c>
      <x:c r="L160" s="24" t="n">
        <x:v>72.62904051299286</x:v>
      </x:c>
      <x:c r="M160" s="24" t="n">
        <x:v>78.68972135110154</x:v>
      </x:c>
      <x:c r="N160" s="24" t="n">
        <x:v>83.88052563558496</x:v>
      </x:c>
      <x:c r="O160" s="24" t="n">
        <x:v>80.2928860776745</x:v>
      </x:c>
      <x:c r="P160" s="24" t="n">
        <x:v>70.02109711591055</x:v>
      </x:c>
      <x:c r="Q160" s="24" t="n">
        <x:v>50</x:v>
      </x:c>
      <x:c r="R160" s="24" t="n">
        <x:v>64.714748131196</x:v>
      </x:c>
      <x:c r="S160" s="24" t="n">
        <x:v>84.02672733215087</x:v>
      </x:c>
      <x:c r="T160" s="24" t="n">
        <x:v>60.90871198149986</x:v>
      </x:c>
      <x:c r="U160" s="24" t="n">
        <x:v>56.316339859158774</x:v>
      </x:c>
    </x:row>
    <x:row r="161">
      <x:c r="A161" s="24" t="n">
        <x:v>15.9</x:v>
      </x:c>
      <x:c r="B161" s="24" t="n">
        <x:v>61.502124874002384</x:v>
      </x:c>
      <x:c r="C161" s="24" t="n">
        <x:v>67.3977763055207</x:v>
      </x:c>
      <x:c r="D161" s="24" t="n">
        <x:v>78.32031260284829</x:v>
      </x:c>
      <x:c r="E161" s="24" t="n">
        <x:v>68.28543797448265</x:v>
      </x:c>
      <x:c r="F161" s="24" t="n">
        <x:v>66.01143467566484</x:v>
      </x:c>
      <x:c r="G161" s="24" t="n">
        <x:v>67.60644106257152</x:v>
      </x:c>
      <x:c r="H161" s="24" t="n">
        <x:v>70.13411775125388</x:v>
      </x:c>
      <x:c r="I161" s="24" t="n">
        <x:v>64.35879186370542</x:v>
      </x:c>
      <x:c r="J161" s="24" t="n">
        <x:v>82.71330482515319</x:v>
      </x:c>
      <x:c r="K161" s="24" t="n">
        <x:v>81.03031154682935</x:v>
      </x:c>
      <x:c r="L161" s="24" t="n">
        <x:v>68.46562962285583</x:v>
      </x:c>
      <x:c r="M161" s="24" t="n">
        <x:v>67.86189072480447</x:v>
      </x:c>
      <x:c r="N161" s="24" t="n">
        <x:v>83.88052563558496</x:v>
      </x:c>
      <x:c r="O161" s="24" t="n">
        <x:v>80.2928860776745</x:v>
      </x:c>
      <x:c r="P161" s="24" t="n">
        <x:v>71.51428827082273</x:v>
      </x:c>
      <x:c r="Q161" s="24" t="n">
        <x:v>81.34763714938609</x:v>
      </x:c>
      <x:c r="R161" s="24" t="n">
        <x:v>81.96277530130834</x:v>
      </x:c>
      <x:c r="S161" s="24" t="n">
        <x:v>86.94167426340107</x:v>
      </x:c>
      <x:c r="T161" s="24" t="n">
        <x:v>50</x:v>
      </x:c>
      <x:c r="U161" s="24" t="n">
        <x:v>66.86737213777687</x:v>
      </x:c>
    </x:row>
    <x:row r="162">
      <x:c r="A162" s="24" t="n">
        <x:v>16</x:v>
      </x:c>
      <x:c r="B162" s="24" t="n">
        <x:v>59.30623921272719</x:v>
      </x:c>
      <x:c r="C162" s="24" t="n">
        <x:v>67.56128471703127</x:v>
      </x:c>
      <x:c r="D162" s="24" t="n">
        <x:v>81.10178384082425</x:v>
      </x:c>
      <x:c r="E162" s="24" t="n">
        <x:v>54.96374134845935</x:v>
      </x:c>
      <x:c r="F162" s="24" t="n">
        <x:v>66.01143467566484</x:v>
      </x:c>
      <x:c r="G162" s="24" t="n">
        <x:v>67.60644106257152</x:v>
      </x:c>
      <x:c r="H162" s="24" t="n">
        <x:v>62.915143756746104</x:v>
      </x:c>
      <x:c r="I162" s="24" t="n">
        <x:v>64.35879186370542</x:v>
      </x:c>
      <x:c r="J162" s="24" t="n">
        <x:v>77.33994378425018</x:v>
      </x:c>
      <x:c r="K162" s="24" t="n">
        <x:v>84.18405916852785</x:v>
      </x:c>
      <x:c r="L162" s="24" t="n">
        <x:v>68.22445727461921</x:v>
      </x:c>
      <x:c r="M162" s="24" t="n">
        <x:v>50</x:v>
      </x:c>
      <x:c r="N162" s="24" t="n">
        <x:v>82.01441021967675</x:v>
      </x:c>
      <x:c r="O162" s="24" t="n">
        <x:v>77.78964635067521</x:v>
      </x:c>
      <x:c r="P162" s="24" t="n">
        <x:v>71.51428827082273</x:v>
      </x:c>
      <x:c r="Q162" s="24" t="n">
        <x:v>82.4596236657022</x:v>
      </x:c>
      <x:c r="R162" s="24" t="n">
        <x:v>81.96277530130834</x:v>
      </x:c>
      <x:c r="S162" s="24" t="n">
        <x:v>86.94167426340107</x:v>
      </x:c>
      <x:c r="T162" s="24" t="n">
        <x:v>53.59719458324723</x:v>
      </x:c>
      <x:c r="U162" s="24" t="n">
        <x:v>66.86737213777687</x:v>
      </x:c>
    </x:row>
    <x:row r="163">
      <x:c r="A163" s="24" t="n">
        <x:v>16.1</x:v>
      </x:c>
      <x:c r="B163" s="24" t="n">
        <x:v>50.37274233214426</x:v>
      </x:c>
      <x:c r="C163" s="24" t="n">
        <x:v>67.56128471703127</x:v>
      </x:c>
      <x:c r="D163" s="24" t="n">
        <x:v>81.10178384082425</x:v>
      </x:c>
      <x:c r="E163" s="24" t="n">
        <x:v>57.32300803102656</x:v>
      </x:c>
      <x:c r="F163" s="24" t="n">
        <x:v>72.20650033183647</x:v>
      </x:c>
      <x:c r="G163" s="24" t="n">
        <x:v>71.59999895105332</x:v>
      </x:c>
      <x:c r="H163" s="24" t="n">
        <x:v>71.5714769207296</x:v>
      </x:c>
      <x:c r="I163" s="24" t="n">
        <x:v>64.54782800270183</x:v>
      </x:c>
      <x:c r="J163" s="24" t="n">
        <x:v>68.01523322402409</x:v>
      </x:c>
      <x:c r="K163" s="24" t="n">
        <x:v>84.18405916852785</x:v>
      </x:c>
      <x:c r="L163" s="24" t="n">
        <x:v>67.17087587374606</x:v>
      </x:c>
      <x:c r="M163" s="24" t="n">
        <x:v>50</x:v>
      </x:c>
      <x:c r="N163" s="24" t="n">
        <x:v>73.2751742873362</x:v>
      </x:c>
      <x:c r="O163" s="24" t="n">
        <x:v>66.05805650163569</x:v>
      </x:c>
      <x:c r="P163" s="24" t="n">
        <x:v>71.31488500541813</x:v>
      </x:c>
      <x:c r="Q163" s="24" t="n">
        <x:v>82.4596236657022</x:v>
      </x:c>
      <x:c r="R163" s="24" t="n">
        <x:v>76.87756624056607</x:v>
      </x:c>
      <x:c r="S163" s="24" t="n">
        <x:v>81.25385988365709</x:v>
      </x:c>
      <x:c r="T163" s="24" t="n">
        <x:v>62.590181041365625</x:v>
      </x:c>
      <x:c r="U163" s="24" t="n">
        <x:v>66.23713481808062</x:v>
      </x:c>
    </x:row>
    <x:row r="164">
      <x:c r="A164" s="24" t="n">
        <x:v>16.2</x:v>
      </x:c>
      <x:c r="B164" s="24" t="n">
        <x:v>49.78120132302922</x:v>
      </x:c>
      <x:c r="C164" s="24" t="n">
        <x:v>67.76087944877843</x:v>
      </x:c>
      <x:c r="D164" s="24" t="n">
        <x:v>72.01930726541875</x:v>
      </x:c>
      <x:c r="E164" s="24" t="n">
        <x:v>60.272091384235445</x:v>
      </x:c>
      <x:c r="F164" s="24" t="n">
        <x:v>74.19849655615496</x:v>
      </x:c>
      <x:c r="G164" s="24" t="n">
        <x:v>73.70597012982788</x:v>
      </x:c>
      <x:c r="H164" s="24" t="n">
        <x:v>71.81192067862061</x:v>
      </x:c>
      <x:c r="I164" s="24" t="n">
        <x:v>66.98870775398908</x:v>
      </x:c>
      <x:c r="J164" s="24" t="n">
        <x:v>62.08823115492099</x:v>
      </x:c>
      <x:c r="K164" s="24" t="n">
        <x:v>76.43697374658959</x:v>
      </x:c>
      <x:c r="L164" s="24" t="n">
        <x:v>66.92021597577234</x:v>
      </x:c>
      <x:c r="M164" s="24" t="n">
        <x:v>50.29451613118232</x:v>
      </x:c>
      <x:c r="N164" s="24" t="n">
        <x:v>70.81521639728591</x:v>
      </x:c>
      <x:c r="O164" s="24" t="n">
        <x:v>50</x:v>
      </x:c>
      <x:c r="P164" s="24" t="n">
        <x:v>71.31488500541813</x:v>
      </x:c>
      <x:c r="Q164" s="24" t="n">
        <x:v>73.35009132299878</x:v>
      </x:c>
      <x:c r="R164" s="24" t="n">
        <x:v>61.68182947526419</x:v>
      </x:c>
      <x:c r="S164" s="24" t="n">
        <x:v>76.70687866093175</x:v>
      </x:c>
      <x:c r="T164" s="24" t="n">
        <x:v>67.68452481463032</x:v>
      </x:c>
      <x:c r="U164" s="24" t="n">
        <x:v>64.22584907442157</x:v>
      </x:c>
    </x:row>
    <x:row r="165">
      <x:c r="A165" s="24" t="n">
        <x:v>16.3</x:v>
      </x:c>
      <x:c r="B165" s="24" t="n">
        <x:v>55.32785382621937</x:v>
      </x:c>
      <x:c r="C165" s="24" t="n">
        <x:v>68.56181583229503</x:v>
      </x:c>
      <x:c r="D165" s="24" t="n">
        <x:v>63.855395965941284</x:v>
      </x:c>
      <x:c r="E165" s="24" t="n">
        <x:v>63.221174737444436</x:v>
      </x:c>
      <x:c r="F165" s="24" t="n">
        <x:v>74.19849655615496</x:v>
      </x:c>
      <x:c r="G165" s="24" t="n">
        <x:v>73.69487292906004</x:v>
      </x:c>
      <x:c r="H165" s="24" t="n">
        <x:v>71.83528173020012</x:v>
      </x:c>
      <x:c r="I165" s="24" t="n">
        <x:v>66.98870775398908</x:v>
      </x:c>
      <x:c r="J165" s="24" t="n">
        <x:v>61.01250303522767</x:v>
      </x:c>
      <x:c r="K165" s="24" t="n">
        <x:v>65.82955226882027</x:v>
      </x:c>
      <x:c r="L165" s="24" t="n">
        <x:v>67.09438060846564</x:v>
      </x:c>
      <x:c r="M165" s="24" t="n">
        <x:v>50.66266129516024</x:v>
      </x:c>
      <x:c r="N165" s="24" t="n">
        <x:v>70.59171447114959</x:v>
      </x:c>
      <x:c r="O165" s="24" t="n">
        <x:v>50</x:v>
      </x:c>
      <x:c r="P165" s="24" t="n">
        <x:v>69.57970745338592</x:v>
      </x:c>
      <x:c r="Q165" s="24" t="n">
        <x:v>72.51449869665737</x:v>
      </x:c>
      <x:c r="R165" s="24" t="n">
        <x:v>52.083140184923536</x:v>
      </x:c>
      <x:c r="S165" s="24" t="n">
        <x:v>73.3090987922418</x:v>
      </x:c>
      <x:c r="T165" s="24" t="n">
        <x:v>70.2433613459101</x:v>
      </x:c>
      <x:c r="U165" s="24" t="n">
        <x:v>63.944100299353664</x:v>
      </x:c>
    </x:row>
    <x:row r="166">
      <x:c r="A166" s="24" t="n">
        <x:v>16.400000000000002</x:v>
      </x:c>
      <x:c r="B166" s="24" t="n">
        <x:v>66.26053491809743</x:v>
      </x:c>
      <x:c r="C166" s="24" t="n">
        <x:v>68.56181583229501</x:v>
      </x:c>
      <x:c r="D166" s="24" t="n">
        <x:v>56.91911559040051</x:v>
      </x:c>
      <x:c r="E166" s="24" t="n">
        <x:v>66.17025809065342</x:v>
      </x:c>
      <x:c r="F166" s="24" t="n">
        <x:v>58.84951529051521</x:v>
      </x:c>
      <x:c r="G166" s="24" t="n">
        <x:v>65.9581500576656</x:v>
      </x:c>
      <x:c r="H166" s="24" t="n">
        <x:v>73.07067527470987</x:v>
      </x:c>
      <x:c r="I166" s="24" t="n">
        <x:v>82.79785084537757</x:v>
      </x:c>
      <x:c r="J166" s="24" t="n">
        <x:v>67.91390303104852</x:v>
      </x:c>
      <x:c r="K166" s="24" t="n">
        <x:v>59.357763187714035</x:v>
      </x:c>
      <x:c r="L166" s="24" t="n">
        <x:v>67.68922682388428</x:v>
      </x:c>
      <x:c r="M166" s="24" t="n">
        <x:v>50.73629032795582</x:v>
      </x:c>
      <x:c r="N166" s="24" t="n">
        <x:v>71.05064018775873</x:v>
      </x:c>
      <x:c r="O166" s="24" t="n">
        <x:v>50</x:v>
      </x:c>
      <x:c r="P166" s="24" t="n">
        <x:v>68.33624942732101</x:v>
      </x:c>
      <x:c r="Q166" s="24" t="n">
        <x:v>69.89574675802545</x:v>
      </x:c>
      <x:c r="R166" s="24" t="n">
        <x:v>50</x:v>
      </x:c>
      <x:c r="S166" s="24" t="n">
        <x:v>68.423668533337</x:v>
      </x:c>
      <x:c r="T166" s="24" t="n">
        <x:v>70.2433613459101</x:v>
      </x:c>
      <x:c r="U166" s="24" t="n">
        <x:v>66.71734847161662</x:v>
      </x:c>
    </x:row>
    <x:row r="167">
      <x:c r="A167" s="24" t="n">
        <x:v>16.5</x:v>
      </x:c>
      <x:c r="B167" s="24" t="n">
        <x:v>66.26053491809743</x:v>
      </x:c>
      <x:c r="C167" s="24" t="n">
        <x:v>68.0039879948856</x:v>
      </x:c>
      <x:c r="D167" s="24" t="n">
        <x:v>58.57014355221894</x:v>
      </x:c>
      <x:c r="E167" s="24" t="n">
        <x:v>66.7600747612952</x:v>
      </x:c>
      <x:c r="F167" s="24" t="n">
        <x:v>52.62734679463941</x:v>
      </x:c>
      <x:c r="G167" s="24" t="n">
        <x:v>65.01609664456598</x:v>
      </x:c>
      <x:c r="H167" s="24" t="n">
        <x:v>73.17291947535072</x:v>
      </x:c>
      <x:c r="I167" s="24" t="n">
        <x:v>82.79785084537757</x:v>
      </x:c>
      <x:c r="J167" s="24" t="n">
        <x:v>69.29418303021264</x:v>
      </x:c>
      <x:c r="K167" s="24" t="n">
        <x:v>61.12007052057575</x:v>
      </x:c>
      <x:c r="L167" s="24" t="n">
        <x:v>68.49291475105402</x:v>
      </x:c>
      <x:c r="M167" s="24" t="n">
        <x:v>72.9183565939651</x:v>
      </x:c>
      <x:c r="N167" s="24" t="n">
        <x:v>71.05064018775873</x:v>
      </x:c>
      <x:c r="O167" s="24" t="n">
        <x:v>75.6253660659595</x:v>
      </x:c>
      <x:c r="P167" s="24" t="n">
        <x:v>75.90511617177616</x:v>
      </x:c>
      <x:c r="Q167" s="24" t="n">
        <x:v>69.34258691187307</x:v>
      </x:c>
      <x:c r="R167" s="24" t="n">
        <x:v>52.39727170751265</x:v>
      </x:c>
      <x:c r="S167" s="24" t="n">
        <x:v>64.88538583956577</x:v>
      </x:c>
      <x:c r="T167" s="24" t="n">
        <x:v>69.69575621679923</x:v>
      </x:c>
      <x:c r="U167" s="24" t="n">
        <x:v>66.71734847161662</x:v>
      </x:c>
    </x:row>
    <x:row r="168">
      <x:c r="A168" s="24" t="n">
        <x:v>16.6</x:v>
      </x:c>
      <x:c r="B168" s="24" t="n">
        <x:v>61.415235909907466</x:v>
      </x:c>
      <x:c r="C168" s="24" t="n">
        <x:v>80.15041266696801</x:v>
      </x:c>
      <x:c r="D168" s="24" t="n">
        <x:v>60.22117151403742</x:v>
      </x:c>
      <x:c r="E168" s="24" t="n">
        <x:v>70.26806507949026</x:v>
      </x:c>
      <x:c r="F168" s="24" t="n">
        <x:v>68.82987617939649</x:v>
      </x:c>
      <x:c r="G168" s="24" t="n">
        <x:v>65.40754241865932</x:v>
      </x:c>
      <x:c r="H168" s="24" t="n">
        <x:v>73.15361400232742</x:v>
      </x:c>
      <x:c r="I168" s="24" t="n">
        <x:v>77.30362457377252</x:v>
      </x:c>
      <x:c r="J168" s="24" t="n">
        <x:v>67.68253364564886</x:v>
      </x:c>
      <x:c r="K168" s="24" t="n">
        <x:v>62.25565482625046</x:v>
      </x:c>
      <x:c r="L168" s="24" t="n">
        <x:v>68.4395818627139</x:v>
      </x:c>
      <x:c r="M168" s="24" t="n">
        <x:v>78.52408245092981</x:v>
      </x:c>
      <x:c r="N168" s="24" t="n">
        <x:v>70.07607922319899</x:v>
      </x:c>
      <x:c r="O168" s="24" t="n">
        <x:v>78.01538381409995</x:v>
      </x:c>
      <x:c r="P168" s="24" t="n">
        <x:v>76.88188066709341</x:v>
      </x:c>
      <x:c r="Q168" s="24" t="n">
        <x:v>69.32319483929858</x:v>
      </x:c>
      <x:c r="R168" s="24" t="n">
        <x:v>58.39045097629449</x:v>
      </x:c>
      <x:c r="S168" s="24" t="n">
        <x:v>64.88538583956577</x:v>
      </x:c>
      <x:c r="T168" s="24" t="n">
        <x:v>69.86770841247083</x:v>
      </x:c>
      <x:c r="U168" s="24" t="n">
        <x:v>80.92608289687703</x:v>
      </x:c>
    </x:row>
    <x:row r="169">
      <x:c r="A169" s="24" t="n">
        <x:v>16.7</x:v>
      </x:c>
      <x:c r="B169" s="24" t="n">
        <x:v>59.052350958052486</x:v>
      </x:c>
      <x:c r="C169" s="24" t="n">
        <x:v>80.81559417457026</x:v>
      </x:c>
      <x:c r="D169" s="24" t="n">
        <x:v>61.87219947585585</x:v>
      </x:c>
      <x:c r="E169" s="24" t="n">
        <x:v>74.94538550375005</x:v>
      </x:c>
      <x:c r="F169" s="24" t="n">
        <x:v>69.96079092306778</x:v>
      </x:c>
      <x:c r="G169" s="24" t="n">
        <x:v>67.09234366433964</x:v>
      </x:c>
      <x:c r="H169" s="24" t="n">
        <x:v>73.49890383539494</x:v>
      </x:c>
      <x:c r="I169" s="24" t="n">
        <x:v>69.9679994360377</x:v>
      </x:c>
      <x:c r="J169" s="24" t="n">
        <x:v>66.63898628591556</x:v>
      </x:c>
      <x:c r="K169" s="24" t="n">
        <x:v>67.93357635462303</x:v>
      </x:c>
      <x:c r="L169" s="24" t="n">
        <x:v>68.4395818627139</x:v>
      </x:c>
      <x:c r="M169" s="24" t="n">
        <x:v>78.52408245092981</x:v>
      </x:c>
      <x:c r="N169" s="24" t="n">
        <x:v>74.03801073018046</x:v>
      </x:c>
      <x:c r="O169" s="24" t="n">
        <x:v>78.01538381409995</x:v>
      </x:c>
      <x:c r="P169" s="24" t="n">
        <x:v>76.88188066709341</x:v>
      </x:c>
      <x:c r="Q169" s="24" t="n">
        <x:v>70.10792370059491</x:v>
      </x:c>
      <x:c r="R169" s="24" t="n">
        <x:v>64.38363024507612</x:v>
      </x:c>
      <x:c r="S169" s="24" t="n">
        <x:v>80.37191811971908</x:v>
      </x:c>
      <x:c r="T169" s="24" t="n">
        <x:v>84.62975710215355</x:v>
      </x:c>
      <x:c r="U169" s="24" t="n">
        <x:v>80.92608289687703</x:v>
      </x:c>
    </x:row>
    <x:row r="170">
      <x:c r="A170" s="24" t="n">
        <x:v>16.8</x:v>
      </x:c>
      <x:c r="B170" s="24" t="n">
        <x:v>57.38241650182631</x:v>
      </x:c>
      <x:c r="C170" s="24" t="n">
        <x:v>79.53386895116228</x:v>
      </x:c>
      <x:c r="D170" s="24" t="n">
        <x:v>63.52322743767434</x:v>
      </x:c>
      <x:c r="E170" s="24" t="n">
        <x:v>74.94538550375005</x:v>
      </x:c>
      <x:c r="F170" s="24" t="n">
        <x:v>69.96079092306778</x:v>
      </x:c>
      <x:c r="G170" s="24" t="n">
        <x:v>67.09234366433964</x:v>
      </x:c>
      <x:c r="H170" s="24" t="n">
        <x:v>73.49890383539494</x:v>
      </x:c>
      <x:c r="I170" s="24" t="n">
        <x:v>63.46726357670828</x:v>
      </x:c>
      <x:c r="J170" s="24" t="n">
        <x:v>68.26817696424145</x:v>
      </x:c>
      <x:c r="K170" s="24" t="n">
        <x:v>69.06916066029754</x:v>
      </x:c>
      <x:c r="L170" s="24" t="n">
        <x:v>67.15355604938344</x:v>
      </x:c>
      <x:c r="M170" s="24" t="n">
        <x:v>75.32546608709688</x:v>
      </x:c>
      <x:c r="N170" s="24" t="n">
        <x:v>78.37199273317779</x:v>
      </x:c>
      <x:c r="O170" s="24" t="n">
        <x:v>75.42195564188543</x:v>
      </x:c>
      <x:c r="P170" s="24" t="n">
        <x:v>67.03300576747242</x:v>
      </x:c>
      <x:c r="Q170" s="24" t="n">
        <x:v>70.48736344983381</x:v>
      </x:c>
      <x:c r="R170" s="24" t="n">
        <x:v>64.38363024507612</x:v>
      </x:c>
      <x:c r="S170" s="24" t="n">
        <x:v>81.03047885460089</x:v>
      </x:c>
      <x:c r="T170" s="24" t="n">
        <x:v>84.62975710215355</x:v>
      </x:c>
      <x:c r="U170" s="24" t="n">
        <x:v>76.0856696258451</x:v>
      </x:c>
    </x:row>
    <x:row r="171">
      <x:c r="A171" s="24" t="n">
        <x:v>16.900000000000002</x:v>
      </x:c>
      <x:c r="B171" s="24" t="n">
        <x:v>76.34473412046115</x:v>
      </x:c>
      <x:c r="C171" s="24" t="n">
        <x:v>66.55144632302205</x:v>
      </x:c>
      <x:c r="D171" s="24" t="n">
        <x:v>63.853433030038026</x:v>
      </x:c>
      <x:c r="E171" s="24" t="n">
        <x:v>70.22161673621025</x:v>
      </x:c>
      <x:c r="F171" s="24" t="n">
        <x:v>68.60864845943081</x:v>
      </x:c>
      <x:c r="G171" s="24" t="n">
        <x:v>66.0558409988349</x:v>
      </x:c>
      <x:c r="H171" s="24" t="n">
        <x:v>73.7484019872054</x:v>
      </x:c>
      <x:c r="I171" s="24" t="n">
        <x:v>58.583720637396226</x:v>
      </x:c>
      <x:c r="J171" s="24" t="n">
        <x:v>68.54337821327039</x:v>
      </x:c>
      <x:c r="K171" s="24" t="n">
        <x:v>67.00909947118855</x:v>
      </x:c>
      <x:c r="L171" s="24" t="n">
        <x:v>65.44068416421574</x:v>
      </x:c>
      <x:c r="M171" s="24" t="n">
        <x:v>72.30929721351961</x:v>
      </x:c>
      <x:c r="N171" s="24" t="n">
        <x:v>78.37199273317779</x:v>
      </x:c>
      <x:c r="O171" s="24" t="n">
        <x:v>73.12157092380629</x:v>
      </x:c>
      <x:c r="P171" s="24" t="n">
        <x:v>50.19051019197544</x:v>
      </x:c>
      <x:c r="Q171" s="24" t="n">
        <x:v>70.64439869152922</x:v>
      </x:c>
      <x:c r="R171" s="24" t="n">
        <x:v>61.600533362051905</x:v>
      </x:c>
      <x:c r="S171" s="24" t="n">
        <x:v>80.49321121000119</x:v>
      </x:c>
      <x:c r="T171" s="24" t="n">
        <x:v>82.60918453887143</x:v>
      </x:c>
      <x:c r="U171" s="24" t="n">
        <x:v>68.79952200296161</x:v>
      </x:c>
    </x:row>
    <x:row r="172">
      <x:c r="A172" s="24" t="n">
        <x:v>17</x:v>
      </x:c>
      <x:c r="B172" s="24" t="n">
        <x:v>76.34473412046115</x:v>
      </x:c>
      <x:c r="C172" s="24" t="n">
        <x:v>58.469463080257505</x:v>
      </x:c>
      <x:c r="D172" s="24" t="n">
        <x:v>56.440247020521966</x:v>
      </x:c>
      <x:c r="E172" s="24" t="n">
        <x:v>64.630938739548</x:v>
      </x:c>
      <x:c r="F172" s="24" t="n">
        <x:v>69.99381621724649</x:v>
      </x:c>
      <x:c r="G172" s="24" t="n">
        <x:v>69.17112917116651</x:v>
      </x:c>
      <x:c r="H172" s="24" t="n">
        <x:v>73.7484019872054</x:v>
      </x:c>
      <x:c r="I172" s="24" t="n">
        <x:v>58.71004989965056</x:v>
      </x:c>
      <x:c r="J172" s="24" t="n">
        <x:v>68.54337821327039</x:v>
      </x:c>
      <x:c r="K172" s="24" t="n">
        <x:v>49.267432166246735</x:v>
      </x:c>
      <x:c r="L172" s="24" t="n">
        <x:v>79.82015451935114</x:v>
      </x:c>
      <x:c r="M172" s="24" t="n">
        <x:v>70.26738506865657</x:v>
      </x:c>
      <x:c r="N172" s="24" t="n">
        <x:v>76.37514267889837</x:v>
      </x:c>
      <x:c r="O172" s="24" t="n">
        <x:v>71.36726660392947</x:v>
      </x:c>
      <x:c r="P172" s="24" t="n">
        <x:v>50</x:v>
      </x:c>
      <x:c r="Q172" s="24" t="n">
        <x:v>71.9535624582626</x:v>
      </x:c>
      <x:c r="R172" s="24" t="n">
        <x:v>64.99998881169572</x:v>
      </x:c>
      <x:c r="S172" s="24" t="n">
        <x:v>73.2658938731539</x:v>
      </x:c>
      <x:c r="T172" s="24" t="n">
        <x:v>75.98430748126313</x:v>
      </x:c>
      <x:c r="U172" s="24" t="n">
        <x:v>61.11457926553979</x:v>
      </x:c>
    </x:row>
    <x:row r="173">
      <x:c r="A173" s="24" t="n">
        <x:v>17.1</x:v>
      </x:c>
      <x:c r="B173" s="24" t="n">
        <x:v>74.48905753175012</x:v>
      </x:c>
      <x:c r="C173" s="24" t="n">
        <x:v>54.11827505606734</x:v>
      </x:c>
      <x:c r="D173" s="24" t="n">
        <x:v>68.86216630381637</x:v>
      </x:c>
      <x:c r="E173" s="24" t="n">
        <x:v>63.07722361025755</x:v>
      </x:c>
      <x:c r="F173" s="24" t="n">
        <x:v>70.1738864081638</x:v>
      </x:c>
      <x:c r="G173" s="24" t="n">
        <x:v>69.17112917116651</x:v>
      </x:c>
      <x:c r="H173" s="24" t="n">
        <x:v>72.76942564381675</x:v>
      </x:c>
      <x:c r="I173" s="24" t="n">
        <x:v>62.31201206797026</x:v>
      </x:c>
      <x:c r="J173" s="24" t="n">
        <x:v>67.1415394659272</x:v>
      </x:c>
      <x:c r="K173" s="24" t="n">
        <x:v>59.880665956973075</x:v>
      </x:c>
      <x:c r="L173" s="24" t="n">
        <x:v>80.66748683721306</x:v>
      </x:c>
      <x:c r="M173" s="24" t="n">
        <x:v>71.30630766015925</x:v>
      </x:c>
      <x:c r="N173" s="24" t="n">
        <x:v>72.27861773004854</x:v>
      </x:c>
      <x:c r="O173" s="24" t="n">
        <x:v>66.75434212356072</x:v>
      </x:c>
      <x:c r="P173" s="24" t="n">
        <x:v>50</x:v>
      </x:c>
      <x:c r="Q173" s="24" t="n">
        <x:v>71.9535624582626</x:v>
      </x:c>
      <x:c r="R173" s="24" t="n">
        <x:v>66.30564492010556</x:v>
      </x:c>
      <x:c r="S173" s="24" t="n">
        <x:v>65.67725645253105</x:v>
      </x:c>
      <x:c r="T173" s="24" t="n">
        <x:v>73.95081829375835</x:v>
      </x:c>
      <x:c r="U173" s="24" t="n">
        <x:v>59.91646665959334</x:v>
      </x:c>
    </x:row>
    <x:row r="174">
      <x:c r="A174" s="24" t="n">
        <x:v>17.2</x:v>
      </x:c>
      <x:c r="B174" s="24" t="n">
        <x:v>69.51342991039081</x:v>
      </x:c>
      <x:c r="C174" s="24" t="n">
        <x:v>54.801162748130395</x:v>
      </x:c>
      <x:c r="D174" s="24" t="n">
        <x:v>73.83093401713394</x:v>
      </x:c>
      <x:c r="E174" s="24" t="n">
        <x:v>65.50896956402579</x:v>
      </x:c>
      <x:c r="F174" s="24" t="n">
        <x:v>70.1738864081638</x:v>
      </x:c>
      <x:c r="G174" s="24" t="n">
        <x:v>68.44510230931542</x:v>
      </x:c>
      <x:c r="H174" s="24" t="n">
        <x:v>70.83247133999558</x:v>
      </x:c>
      <x:c r="I174" s="24" t="n">
        <x:v>68.31528234850275</x:v>
      </x:c>
      <x:c r="J174" s="24" t="n">
        <x:v>66.59101966446686</x:v>
      </x:c>
      <x:c r="K174" s="24" t="n">
        <x:v>60.77973163470391</x:v>
      </x:c>
      <x:c r="L174" s="24" t="n">
        <x:v>79.93350034489661</x:v>
      </x:c>
      <x:c r="M174" s="24" t="n">
        <x:v>71.30630766015925</x:v>
      </x:c>
      <x:c r="N174" s="24" t="n">
        <x:v>65.2799978308504</x:v>
      </x:c>
      <x:c r="O174" s="24" t="n">
        <x:v>66.03614710860765</x:v>
      </x:c>
      <x:c r="P174" s="24" t="n">
        <x:v>55.67211144329316</x:v>
      </x:c>
      <x:c r="Q174" s="24" t="n">
        <x:v>80.58440791300882</x:v>
      </x:c>
      <x:c r="R174" s="24" t="n">
        <x:v>66.02971936418024</x:v>
      </x:c>
      <x:c r="S174" s="24" t="n">
        <x:v>50</x:v>
      </x:c>
      <x:c r="T174" s="24" t="n">
        <x:v>70.41726401913039</x:v>
      </x:c>
      <x:c r="U174" s="24" t="n">
        <x:v>60.1790674471859</x:v>
      </x:c>
    </x:row>
    <x:row r="175">
      <x:c r="A175" s="24" t="n">
        <x:v>17.3</x:v>
      </x:c>
      <x:c r="B175" s="24" t="n">
        <x:v>66.39552385265975</x:v>
      </x:c>
      <x:c r="C175" s="24" t="n">
        <x:v>55.484050440193464</x:v>
      </x:c>
      <x:c r="D175" s="24" t="n">
        <x:v>73.83093401713394</x:v>
      </x:c>
      <x:c r="E175" s="24" t="n">
        <x:v>66.20346535024812</x:v>
      </x:c>
      <x:c r="F175" s="24" t="n">
        <x:v>68.03855048373644</x:v>
      </x:c>
      <x:c r="G175" s="24" t="n">
        <x:v>67.70154936395187</x:v>
      </x:c>
      <x:c r="H175" s="24" t="n">
        <x:v>81.06335461882819</x:v>
      </x:c>
      <x:c r="I175" s="24" t="n">
        <x:v>70.71659046071574</x:v>
      </x:c>
      <x:c r="J175" s="24" t="n">
        <x:v>65.03822372554359</x:v>
      </x:c>
      <x:c r="K175" s="24" t="n">
        <x:v>63.5455168681696</x:v>
      </x:c>
      <x:c r="L175" s="24" t="n">
        <x:v>70.75555586086296</x:v>
      </x:c>
      <x:c r="M175" s="24" t="n">
        <x:v>70.71366844730439</x:v>
      </x:c>
      <x:c r="N175" s="24" t="n">
        <x:v>64.51276156101595</x:v>
      </x:c>
      <x:c r="O175" s="24" t="n">
        <x:v>66.16821856717078</x:v>
      </x:c>
      <x:c r="P175" s="24" t="n">
        <x:v>59.075378309269254</x:v>
      </x:c>
      <x:c r="Q175" s="24" t="n">
        <x:v>80.85644694125104</x:v>
      </x:c>
      <x:c r="R175" s="24" t="n">
        <x:v>65.92612276421725</x:v>
      </x:c>
      <x:c r="S175" s="24" t="n">
        <x:v>50</x:v>
      </x:c>
      <x:c r="T175" s="24" t="n">
        <x:v>69.51255514430045</x:v>
      </x:c>
      <x:c r="U175" s="24" t="n">
        <x:v>58.594981030946386</x:v>
      </x:c>
    </x:row>
    <x:row r="176">
      <x:c r="A176" s="24" t="n">
        <x:v>17.400000000000002</x:v>
      </x:c>
      <x:c r="B176" s="24" t="n">
        <x:v>62.748948660776904</x:v>
      </x:c>
      <x:c r="C176" s="24" t="n">
        <x:v>60.84054531688975</x:v>
      </x:c>
      <x:c r="D176" s="24" t="n">
        <x:v>68.38053925574354</x:v>
      </x:c>
      <x:c r="E176" s="24" t="n">
        <x:v>66.38241166066773</x:v>
      </x:c>
      <x:c r="F176" s="24" t="n">
        <x:v>73.53320588740931</x:v>
      </x:c>
      <x:c r="G176" s="24" t="n">
        <x:v>67.02321455433878</x:v>
      </x:c>
      <x:c r="H176" s="24" t="n">
        <x:v>81.06335461882819</x:v>
      </x:c>
      <x:c r="I176" s="24" t="n">
        <x:v>70.71659046071558</x:v>
      </x:c>
      <x:c r="J176" s="24" t="n">
        <x:v>78.26232393933748</x:v>
      </x:c>
      <x:c r="K176" s="24" t="n">
        <x:v>64.48752693863256</x:v>
      </x:c>
      <x:c r="L176" s="24" t="n">
        <x:v>56.97401952467831</x:v>
      </x:c>
      <x:c r="M176" s="24" t="n">
        <x:v>70.52986925512838</x:v>
      </x:c>
      <x:c r="N176" s="24" t="n">
        <x:v>64.51276156101595</x:v>
      </x:c>
      <x:c r="O176" s="24" t="n">
        <x:v>67.78722763667119</x:v>
      </x:c>
      <x:c r="P176" s="24" t="n">
        <x:v>59.075378309271194</x:v>
      </x:c>
      <x:c r="Q176" s="24" t="n">
        <x:v>80.52431007826429</x:v>
      </x:c>
      <x:c r="R176" s="24" t="n">
        <x:v>65.77804648230942</x:v>
      </x:c>
      <x:c r="S176" s="24" t="n">
        <x:v>51.04214711795305</x:v>
      </x:c>
      <x:c r="T176" s="24" t="n">
        <x:v>76.00256422437229</x:v>
      </x:c>
      <x:c r="U176" s="24" t="n">
        <x:v>50</x:v>
      </x:c>
    </x:row>
    <x:row r="177">
      <x:c r="A177" s="24" t="n">
        <x:v>17.5</x:v>
      </x:c>
      <x:c r="B177" s="24" t="n">
        <x:v>63.042658619997894</x:v>
      </x:c>
      <x:c r="C177" s="24" t="n">
        <x:v>60.81994488006108</x:v>
      </x:c>
      <x:c r="D177" s="24" t="n">
        <x:v>66.07530044967147</x:v>
      </x:c>
      <x:c r="E177" s="24" t="n">
        <x:v>67.20844116109822</x:v>
      </x:c>
      <x:c r="F177" s="24" t="n">
        <x:v>73.53320588740931</x:v>
      </x:c>
      <x:c r="G177" s="24" t="n">
        <x:v>78.27611478483792</x:v>
      </x:c>
      <x:c r="H177" s="24" t="n">
        <x:v>77.73844083590797</x:v>
      </x:c>
      <x:c r="I177" s="24" t="n">
        <x:v>68.11268261284269</x:v>
      </x:c>
      <x:c r="J177" s="24" t="n">
        <x:v>78.26232393933748</x:v>
      </x:c>
      <x:c r="K177" s="24" t="n">
        <x:v>66.43979116441618</x:v>
      </x:c>
      <x:c r="L177" s="24" t="n">
        <x:v>50</x:v>
      </x:c>
      <x:c r="M177" s="24" t="n">
        <x:v>71.23332100012597</x:v>
      </x:c>
      <x:c r="N177" s="24" t="n">
        <x:v>65.29722282527915</x:v>
      </x:c>
      <x:c r="O177" s="24" t="n">
        <x:v>69.37353397467702</x:v>
      </x:c>
      <x:c r="P177" s="24" t="n">
        <x:v>79.89539955929058</x:v>
      </x:c>
      <x:c r="Q177" s="24" t="n">
        <x:v>70.7818743350476</x:v>
      </x:c>
      <x:c r="R177" s="24" t="n">
        <x:v>67.3175642461892</x:v>
      </x:c>
      <x:c r="S177" s="24" t="n">
        <x:v>65.33662194444476</x:v>
      </x:c>
      <x:c r="T177" s="24" t="n">
        <x:v>78.84416052618448</x:v>
      </x:c>
      <x:c r="U177" s="24" t="n">
        <x:v>62.410360419838426</x:v>
      </x:c>
    </x:row>
    <x:row r="178">
      <x:c r="A178" s="24" t="n">
        <x:v>17.6</x:v>
      </x:c>
      <x:c r="B178" s="24" t="n">
        <x:v>65.81261867238676</x:v>
      </x:c>
      <x:c r="C178" s="24" t="n">
        <x:v>51.595284178115094</x:v>
      </x:c>
      <x:c r="D178" s="24" t="n">
        <x:v>66.13523825933913</x:v>
      </x:c>
      <x:c r="E178" s="24" t="n">
        <x:v>67.20844116109822</x:v>
      </x:c>
      <x:c r="F178" s="24" t="n">
        <x:v>87.9881970710054</x:v>
      </x:c>
      <x:c r="G178" s="24" t="n">
        <x:v>78.27611478483792</x:v>
      </x:c>
      <x:c r="H178" s="24" t="n">
        <x:v>68.00042554987202</x:v>
      </x:c>
      <x:c r="I178" s="24" t="n">
        <x:v>65.96372100362275</x:v>
      </x:c>
      <x:c r="J178" s="24" t="n">
        <x:v>73.35101655933488</x:v>
      </x:c>
      <x:c r="K178" s="24" t="n">
        <x:v>84.5549428009562</x:v>
      </x:c>
      <x:c r="L178" s="24" t="n">
        <x:v>50</x:v>
      </x:c>
      <x:c r="M178" s="24" t="n">
        <x:v>71.23332100012597</x:v>
      </x:c>
      <x:c r="N178" s="24" t="n">
        <x:v>67.12066704057935</x:v>
      </x:c>
      <x:c r="O178" s="24" t="n">
        <x:v>80.23496619845196</x:v>
      </x:c>
      <x:c r="P178" s="24" t="n">
        <x:v>79.89539955929058</x:v>
      </x:c>
      <x:c r="Q178" s="24" t="n">
        <x:v>64.4148938266786</x:v>
      </x:c>
      <x:c r="R178" s="24" t="n">
        <x:v>67.3175642461892</x:v>
      </x:c>
      <x:c r="S178" s="24" t="n">
        <x:v>87.04615323801127</x:v>
      </x:c>
      <x:c r="T178" s="24" t="n">
        <x:v>78.84416052618448</x:v>
      </x:c>
      <x:c r="U178" s="24" t="n">
        <x:v>68.91964404342187</x:v>
      </x:c>
    </x:row>
    <x:row r="179">
      <x:c r="A179" s="24" t="n">
        <x:v>17.7</x:v>
      </x:c>
      <x:c r="B179" s="24" t="n">
        <x:v>66.43264900756601</x:v>
      </x:c>
      <x:c r="C179" s="24" t="n">
        <x:v>51.595284178115094</x:v>
      </x:c>
      <x:c r="D179" s="24" t="n">
        <x:v>67.39681920595626</x:v>
      </x:c>
      <x:c r="E179" s="24" t="n">
        <x:v>66.73718267790471</x:v>
      </x:c>
      <x:c r="F179" s="24" t="n">
        <x:v>87.9881970710054</x:v>
      </x:c>
      <x:c r="G179" s="24" t="n">
        <x:v>75.95497260214535</x:v>
      </x:c>
      <x:c r="H179" s="24" t="n">
        <x:v>51.451253924557435</x:v>
      </x:c>
      <x:c r="I179" s="24" t="n">
        <x:v>65.10413635993481</x:v>
      </x:c>
      <x:c r="J179" s="24" t="n">
        <x:v>69.35245988005966</x:v>
      </x:c>
      <x:c r="K179" s="24" t="n">
        <x:v>84.5549428009562</x:v>
      </x:c>
      <x:c r="L179" s="24" t="n">
        <x:v>50</x:v>
      </x:c>
      <x:c r="M179" s="24" t="n">
        <x:v>71.19303184432754</x:v>
      </x:c>
      <x:c r="N179" s="24" t="n">
        <x:v>67.12066704057935</x:v>
      </x:c>
      <x:c r="O179" s="24" t="n">
        <x:v>80.7281636161022</x:v>
      </x:c>
      <x:c r="P179" s="24" t="n">
        <x:v>74.69150657596101</x:v>
      </x:c>
      <x:c r="Q179" s="24" t="n">
        <x:v>57.99712754535993</x:v>
      </x:c>
      <x:c r="R179" s="24" t="n">
        <x:v>67.94354429202619</x:v>
      </x:c>
      <x:c r="S179" s="24" t="n">
        <x:v>87.04615323801127</x:v>
      </x:c>
      <x:c r="T179" s="24" t="n">
        <x:v>70.53056949052217</x:v>
      </x:c>
      <x:c r="U179" s="24" t="n">
        <x:v>76.42626534310207</x:v>
      </x:c>
    </x:row>
    <x:row r="180">
      <x:c r="A180" s="24" t="n">
        <x:v>17.8</x:v>
      </x:c>
      <x:c r="B180" s="24" t="n">
        <x:v>66.15194420243444</x:v>
      </x:c>
      <x:c r="C180" s="24" t="n">
        <x:v>74.69980277928786</x:v>
      </x:c>
      <x:c r="D180" s="24" t="n">
        <x:v>67.62920248757824</x:v>
      </x:c>
      <x:c r="E180" s="24" t="n">
        <x:v>66.91769095460856</x:v>
      </x:c>
      <x:c r="F180" s="24" t="n">
        <x:v>83.40901429608469</x:v>
      </x:c>
      <x:c r="G180" s="24" t="n">
        <x:v>61.71542733694714</x:v>
      </x:c>
      <x:c r="H180" s="24" t="n">
        <x:v>47.50917001791066</x:v>
      </x:c>
      <x:c r="I180" s="24" t="n">
        <x:v>65.09794198484738</x:v>
      </x:c>
      <x:c r="J180" s="24" t="n">
        <x:v>67.03605080415919</x:v>
      </x:c>
      <x:c r="K180" s="24" t="n">
        <x:v>79.84273464462947</x:v>
      </x:c>
      <x:c r="L180" s="24" t="n">
        <x:v>50</x:v>
      </x:c>
      <x:c r="M180" s="24" t="n">
        <x:v>70.17133235771665</x:v>
      </x:c>
      <x:c r="N180" s="24" t="n">
        <x:v>66.66457709502053</x:v>
      </x:c>
      <x:c r="O180" s="24" t="n">
        <x:v>80.02757304027774</x:v>
      </x:c>
      <x:c r="P180" s="24" t="n">
        <x:v>73.37254753904136</x:v>
      </x:c>
      <x:c r="Q180" s="24" t="n">
        <x:v>55.98953968339227</x:v>
      </x:c>
      <x:c r="R180" s="24" t="n">
        <x:v>84.8453703279372</x:v>
      </x:c>
      <x:c r="S180" s="24" t="n">
        <x:v>84.67391363248365</x:v>
      </x:c>
      <x:c r="T180" s="24" t="n">
        <x:v>57.512636875477824</x:v>
      </x:c>
      <x:c r="U180" s="24" t="n">
        <x:v>76.42626534310207</x:v>
      </x:c>
    </x:row>
    <x:row r="181">
      <x:c r="A181" s="24" t="n">
        <x:v>17.900000000000002</x:v>
      </x:c>
      <x:c r="B181" s="24" t="n">
        <x:v>65.31361886751529</x:v>
      </x:c>
      <x:c r="C181" s="24" t="n">
        <x:v>75.46658783310279</x:v>
      </x:c>
      <x:c r="D181" s="24" t="n">
        <x:v>67.20737009450055</x:v>
      </x:c>
      <x:c r="E181" s="24" t="n">
        <x:v>90.2856371330293</x:v>
      </x:c>
      <x:c r="F181" s="24" t="n">
        <x:v>75.3409476304462</x:v>
      </x:c>
      <x:c r="G181" s="24" t="n">
        <x:v>55.8841279517445</x:v>
      </x:c>
      <x:c r="H181" s="24" t="n">
        <x:v>56.8573352184275</x:v>
      </x:c>
      <x:c r="I181" s="24" t="n">
        <x:v>65.09794198484738</x:v>
      </x:c>
      <x:c r="J181" s="24" t="n">
        <x:v>64.7196417282588</x:v>
      </x:c>
      <x:c r="K181" s="24" t="n">
        <x:v>73.1023919242947</x:v>
      </x:c>
      <x:c r="L181" s="24" t="n">
        <x:v>62.48241352128979</x:v>
      </x:c>
      <x:c r="M181" s="24" t="n">
        <x:v>65.97749208601401</x:v>
      </x:c>
      <x:c r="N181" s="24" t="n">
        <x:v>76.23856188415544</x:v>
      </x:c>
      <x:c r="O181" s="24" t="n">
        <x:v>68.15926505717614</x:v>
      </x:c>
      <x:c r="P181" s="24" t="n">
        <x:v>70.4222477465717</x:v>
      </x:c>
      <x:c r="Q181" s="24" t="n">
        <x:v>58.27601917379943</x:v>
      </x:c>
      <x:c r="R181" s="24" t="n">
        <x:v>84.9611804183441</x:v>
      </x:c>
      <x:c r="S181" s="24" t="n">
        <x:v>77.86556971649928</x:v>
      </x:c>
      <x:c r="T181" s="24" t="n">
        <x:v>50</x:v>
      </x:c>
      <x:c r="U181" s="24" t="n">
        <x:v>73.63437154446645</x:v>
      </x:c>
    </x:row>
    <x:row r="182">
      <x:c r="A182" s="24" t="n">
        <x:v>18</x:v>
      </x:c>
      <x:c r="B182" s="24" t="n">
        <x:v>65.31361886751529</x:v>
      </x:c>
      <x:c r="C182" s="24" t="n">
        <x:v>74.47245227821467</x:v>
      </x:c>
      <x:c r="D182" s="24" t="n">
        <x:v>68.18398670160636</x:v>
      </x:c>
      <x:c r="E182" s="24" t="n">
        <x:v>90.2856371330293</x:v>
      </x:c>
      <x:c r="F182" s="24" t="n">
        <x:v>69.24645087970352</x:v>
      </x:c>
      <x:c r="G182" s="24" t="n">
        <x:v>59.84975900690957</x:v>
      </x:c>
      <x:c r="H182" s="24" t="n">
        <x:v>64.3358673788407</x:v>
      </x:c>
      <x:c r="I182" s="24" t="n">
        <x:v>64.14058551914515</x:v>
      </x:c>
      <x:c r="J182" s="24" t="n">
        <x:v>69.06101954962031</x:v>
      </x:c>
      <x:c r="K182" s="24" t="n">
        <x:v>69.62053391425229</x:v>
      </x:c>
      <x:c r="L182" s="24" t="n">
        <x:v>82.27024506648752</x:v>
      </x:c>
      <x:c r="M182" s="24" t="n">
        <x:v>77.63398823930387</x:v>
      </x:c>
      <x:c r="N182" s="24" t="n">
        <x:v>77.20437375465616</x:v>
      </x:c>
      <x:c r="O182" s="24" t="n">
        <x:v>50</x:v>
      </x:c>
      <x:c r="P182" s="24" t="n">
        <x:v>70.41326089682157</x:v>
      </x:c>
      <x:c r="Q182" s="24" t="n">
        <x:v>58.70042146508075</x:v>
      </x:c>
      <x:c r="R182" s="24" t="n">
        <x:v>83.3063893747929</x:v>
      </x:c>
      <x:c r="S182" s="24" t="n">
        <x:v>73.19638605764287</x:v>
      </x:c>
      <x:c r="T182" s="24" t="n">
        <x:v>50</x:v>
      </x:c>
      <x:c r="U182" s="24" t="n">
        <x:v>57.37697544214686</x:v>
      </x:c>
    </x:row>
    <x:row r="183">
      <x:c r="A183" s="24" t="n">
        <x:v>18.1</x:v>
      </x:c>
      <x:c r="B183" s="24" t="n">
        <x:v>64.89567716510425</x:v>
      </x:c>
      <x:c r="C183" s="24" t="n">
        <x:v>68.84068893531472</x:v>
      </x:c>
      <x:c r="D183" s="24" t="n">
        <x:v>68.18398670160636</x:v>
      </x:c>
      <x:c r="E183" s="24" t="n">
        <x:v>85.173261821018</x:v>
      </x:c>
      <x:c r="F183" s="24" t="n">
        <x:v>65.24250926398159</x:v>
      </x:c>
      <x:c r="G183" s="24" t="n">
        <x:v>63.81539006207479</x:v>
      </x:c>
      <x:c r="H183" s="24" t="n">
        <x:v>70.57563849896172</x:v>
      </x:c>
      <x:c r="I183" s="24" t="n">
        <x:v>63.67369581835554</x:v>
      </x:c>
      <x:c r="J183" s="24" t="n">
        <x:v>69.97086014562248</x:v>
      </x:c>
      <x:c r="K183" s="24" t="n">
        <x:v>66.28010137232768</x:v>
      </x:c>
      <x:c r="L183" s="24" t="n">
        <x:v>82.27024506648752</x:v>
      </x:c>
      <x:c r="M183" s="24" t="n">
        <x:v>78.66926795079324</x:v>
      </x:c>
      <x:c r="N183" s="24" t="n">
        <x:v>77.20437375465616</x:v>
      </x:c>
      <x:c r="O183" s="24" t="n">
        <x:v>50</x:v>
      </x:c>
      <x:c r="P183" s="24" t="n">
        <x:v>70.32757721830995</x:v>
      </x:c>
      <x:c r="Q183" s="24" t="n">
        <x:v>57.68705103554929</x:v>
      </x:c>
      <x:c r="R183" s="24" t="n">
        <x:v>72.63510261914438</x:v>
      </x:c>
      <x:c r="S183" s="24" t="n">
        <x:v>69.006934026616</x:v>
      </x:c>
      <x:c r="T183" s="24" t="n">
        <x:v>59.29526777866353</x:v>
      </x:c>
      <x:c r="U183" s="24" t="n">
        <x:v>50</x:v>
      </x:c>
    </x:row>
    <x:row r="184">
      <x:c r="A184" s="24" t="n">
        <x:v>18.2</x:v>
      </x:c>
      <x:c r="B184" s="24" t="n">
        <x:v>64.74776677135748</x:v>
      </x:c>
      <x:c r="C184" s="24" t="n">
        <x:v>62.48207364638191</x:v>
      </x:c>
      <x:c r="D184" s="24" t="n">
        <x:v>67.9901520431528</x:v>
      </x:c>
      <x:c r="E184" s="24" t="n">
        <x:v>77.15935391489361</x:v>
      </x:c>
      <x:c r="F184" s="24" t="n">
        <x:v>52.62734679463941</x:v>
      </x:c>
      <x:c r="G184" s="24" t="n">
        <x:v>66.19476869517383</x:v>
      </x:c>
      <x:c r="H184" s="24" t="n">
        <x:v>73.73923972174309</x:v>
      </x:c>
      <x:c r="I184" s="24" t="n">
        <x:v>65.82129063426319</x:v>
      </x:c>
      <x:c r="J184" s="24" t="n">
        <x:v>69.2616297664112</x:v>
      </x:c>
      <x:c r="K184" s="24" t="n">
        <x:v>71.05245562602983</x:v>
      </x:c>
      <x:c r="L184" s="24" t="n">
        <x:v>79.64654631725257</x:v>
      </x:c>
      <x:c r="M184" s="24" t="n">
        <x:v>78.66926795079324</x:v>
      </x:c>
      <x:c r="N184" s="24" t="n">
        <x:v>66.4866880909302</x:v>
      </x:c>
      <x:c r="O184" s="24" t="n">
        <x:v>50</x:v>
      </x:c>
      <x:c r="P184" s="24" t="n">
        <x:v>70.31261432723065</x:v>
      </x:c>
      <x:c r="Q184" s="24" t="n">
        <x:v>54.794768271580864</x:v>
      </x:c>
      <x:c r="R184" s="24" t="n">
        <x:v>66.28274868693548</x:v>
      </x:c>
      <x:c r="S184" s="24" t="n">
        <x:v>65.83017536413499</x:v>
      </x:c>
      <x:c r="T184" s="24" t="n">
        <x:v>67.1679501916132</x:v>
      </x:c>
      <x:c r="U184" s="24" t="n">
        <x:v>65.69151933813566</x:v>
      </x:c>
    </x:row>
    <x:row r="185">
      <x:c r="A185" s="24" t="n">
        <x:v>18.3</x:v>
      </x:c>
      <x:c r="B185" s="24" t="n">
        <x:v>64.74776677135748</x:v>
      </x:c>
      <x:c r="C185" s="24" t="n">
        <x:v>66.11189626394564</x:v>
      </x:c>
      <x:c r="D185" s="24" t="n">
        <x:v>67.9901520431528</x:v>
      </x:c>
      <x:c r="E185" s="24" t="n">
        <x:v>72.55068139715485</x:v>
      </x:c>
      <x:c r="F185" s="24" t="n">
        <x:v>63.35210152432517</x:v>
      </x:c>
      <x:c r="G185" s="24" t="n">
        <x:v>66.19476869517383</x:v>
      </x:c>
      <x:c r="H185" s="24" t="n">
        <x:v>73.73923972174309</x:v>
      </x:c>
      <x:c r="I185" s="24" t="n">
        <x:v>65.82129063426319</x:v>
      </x:c>
      <x:c r="J185" s="24" t="n">
        <x:v>69.61489966975756</x:v>
      </x:c>
      <x:c r="K185" s="24" t="n">
        <x:v>71.54390305005302</x:v>
      </x:c>
      <x:c r="L185" s="24" t="n">
        <x:v>72.09597976343892</x:v>
      </x:c>
      <x:c r="M185" s="24" t="n">
        <x:v>66.90237153244566</x:v>
      </x:c>
      <x:c r="N185" s="24" t="n">
        <x:v>50</x:v>
      </x:c>
      <x:c r="O185" s="24" t="n">
        <x:v>67.21648733311092</x:v>
      </x:c>
      <x:c r="P185" s="24" t="n">
        <x:v>70.75026413554598</x:v>
      </x:c>
      <x:c r="Q185" s="24" t="n">
        <x:v>54.95313005190467</x:v>
      </x:c>
      <x:c r="R185" s="24" t="n">
        <x:v>50</x:v>
      </x:c>
      <x:c r="S185" s="24" t="n">
        <x:v>66.02099482325187</x:v>
      </x:c>
      <x:c r="T185" s="24" t="n">
        <x:v>70.17771306546368</x:v>
      </x:c>
      <x:c r="U185" s="24" t="n">
        <x:v>68.68346948493792</x:v>
      </x:c>
    </x:row>
    <x:row r="186">
      <x:c r="A186" s="24" t="n">
        <x:v>18.400000000000002</x:v>
      </x:c>
      <x:c r="B186" s="24" t="n">
        <x:v>65.32403937385018</x:v>
      </x:c>
      <x:c r="C186" s="24" t="n">
        <x:v>66.11189626394565</x:v>
      </x:c>
      <x:c r="D186" s="24" t="n">
        <x:v>67.48240821670497</x:v>
      </x:c>
      <x:c r="E186" s="24" t="n">
        <x:v>67.93919081899138</x:v>
      </x:c>
      <x:c r="F186" s="24" t="n">
        <x:v>63.35210152432517</x:v>
      </x:c>
      <x:c r="G186" s="24" t="n">
        <x:v>72.42734119304146</x:v>
      </x:c>
      <x:c r="H186" s="24" t="n">
        <x:v>68.10801498040554</x:v>
      </x:c>
      <x:c r="I186" s="24" t="n">
        <x:v>64.57729185854762</x:v>
      </x:c>
      <x:c r="J186" s="24" t="n">
        <x:v>71.27200634620537</x:v>
      </x:c>
      <x:c r="K186" s="24" t="n">
        <x:v>71.4576488657768</x:v>
      </x:c>
      <x:c r="L186" s="24" t="n">
        <x:v>69.09628270682006</x:v>
      </x:c>
      <x:c r="M186" s="24" t="n">
        <x:v>50</x:v>
      </x:c>
      <x:c r="N186" s="24" t="n">
        <x:v>50</x:v>
      </x:c>
      <x:c r="O186" s="24" t="n">
        <x:v>81.12434111311111</x:v>
      </x:c>
      <x:c r="P186" s="24" t="n">
        <x:v>71.01114392551831</x:v>
      </x:c>
      <x:c r="Q186" s="24" t="n">
        <x:v>55.655208297922215</x:v>
      </x:c>
      <x:c r="R186" s="24" t="n">
        <x:v>50</x:v>
      </x:c>
      <x:c r="S186" s="24" t="n">
        <x:v>79.02812411449325</x:v>
      </x:c>
      <x:c r="T186" s="24" t="n">
        <x:v>70.29648449820526</x:v>
      </x:c>
      <x:c r="U186" s="24" t="n">
        <x:v>68.68346948493792</x:v>
      </x:c>
    </x:row>
    <x:row r="187">
      <x:c r="A187" s="24" t="n">
        <x:v>18.5</x:v>
      </x:c>
      <x:c r="B187" s="24" t="n">
        <x:v>65.99538219714856</x:v>
      </x:c>
      <x:c r="C187" s="24" t="n">
        <x:v>67.44227452049722</x:v>
      </x:c>
      <x:c r="D187" s="24" t="n">
        <x:v>67.51161644868678</x:v>
      </x:c>
      <x:c r="E187" s="24" t="n">
        <x:v>67.58852591881036</x:v>
      </x:c>
      <x:c r="F187" s="24" t="n">
        <x:v>70.19458786568444</x:v>
      </x:c>
      <x:c r="G187" s="24" t="n">
        <x:v>72.42734119304146</x:v>
      </x:c>
      <x:c r="H187" s="24" t="n">
        <x:v>68.3034852897893</x:v>
      </x:c>
      <x:c r="I187" s="24" t="n">
        <x:v>77.1908678022113</x:v>
      </x:c>
      <x:c r="J187" s="24" t="n">
        <x:v>71.27200634620537</x:v>
      </x:c>
      <x:c r="K187" s="24" t="n">
        <x:v>61.67544708839715</x:v>
      </x:c>
      <x:c r="L187" s="24" t="n">
        <x:v>65.79328579889331</x:v>
      </x:c>
      <x:c r="M187" s="24" t="n">
        <x:v>50</x:v>
      </x:c>
      <x:c r="N187" s="24" t="n">
        <x:v>50</x:v>
      </x:c>
      <x:c r="O187" s="24" t="n">
        <x:v>83.19053706618747</x:v>
      </x:c>
      <x:c r="P187" s="24" t="n">
        <x:v>71.01114392551831</x:v>
      </x:c>
      <x:c r="Q187" s="24" t="n">
        <x:v>55.655208297922215</x:v>
      </x:c>
      <x:c r="R187" s="24" t="n">
        <x:v>50</x:v>
      </x:c>
      <x:c r="S187" s="24" t="n">
        <x:v>81.48378386348757</x:v>
      </x:c>
      <x:c r="T187" s="24" t="n">
        <x:v>69.76368006170108</x:v>
      </x:c>
      <x:c r="U187" s="24" t="n">
        <x:v>65.04544842288948</x:v>
      </x:c>
    </x:row>
    <x:row r="188">
      <x:c r="A188" s="24" t="n">
        <x:v>18.6</x:v>
      </x:c>
      <x:c r="B188" s="24" t="n">
        <x:v>66.22521660932284</x:v>
      </x:c>
      <x:c r="C188" s="24" t="n">
        <x:v>67.89639765405505</x:v>
      </x:c>
      <x:c r="D188" s="24" t="n">
        <x:v>68.73895170332598</x:v>
      </x:c>
      <x:c r="E188" s="24" t="n">
        <x:v>66.95152447672862</x:v>
      </x:c>
      <x:c r="F188" s="24" t="n">
        <x:v>73.13563888133044</x:v>
      </x:c>
      <x:c r="G188" s="24" t="n">
        <x:v>68.25816643559318</x:v>
      </x:c>
      <x:c r="H188" s="24" t="n">
        <x:v>74.1835234902419</x:v>
      </x:c>
      <x:c r="I188" s="24" t="n">
        <x:v>77.46881781268374</x:v>
      </x:c>
      <x:c r="J188" s="24" t="n">
        <x:v>69.26224475969104</x:v>
      </x:c>
      <x:c r="K188" s="24" t="n">
        <x:v>61.201490107668434</x:v>
      </x:c>
      <x:c r="L188" s="24" t="n">
        <x:v>66.72001503536934</x:v>
      </x:c>
      <x:c r="M188" s="24" t="n">
        <x:v>50</x:v>
      </x:c>
      <x:c r="N188" s="24" t="n">
        <x:v>50</x:v>
      </x:c>
      <x:c r="O188" s="24" t="n">
        <x:v>84.02026081370757</x:v>
      </x:c>
      <x:c r="P188" s="24" t="n">
        <x:v>77.20391854429786</x:v>
      </x:c>
      <x:c r="Q188" s="24" t="n">
        <x:v>57.41939030364249</x:v>
      </x:c>
      <x:c r="R188" s="24" t="n">
        <x:v>73.76917670954002</x:v>
      </x:c>
      <x:c r="S188" s="24" t="n">
        <x:v>81.48378386348757</x:v>
      </x:c>
      <x:c r="T188" s="24" t="n">
        <x:v>67.70444398530442</x:v>
      </x:c>
      <x:c r="U188" s="24" t="n">
        <x:v>65.04544842288948</x:v>
      </x:c>
    </x:row>
    <x:row r="189">
      <x:c r="A189" s="24" t="n">
        <x:v>18.7</x:v>
      </x:c>
      <x:c r="B189" s="24" t="n">
        <x:v>66.77500705588204</x:v>
      </x:c>
      <x:c r="C189" s="24" t="n">
        <x:v>73.52384980511775</x:v>
      </x:c>
      <x:c r="D189" s="24" t="n">
        <x:v>68.73895170332598</x:v>
      </x:c>
      <x:c r="E189" s="24" t="n">
        <x:v>60.44181262461549</x:v>
      </x:c>
      <x:c r="F189" s="24" t="n">
        <x:v>73.13563888133044</x:v>
      </x:c>
      <x:c r="G189" s="24" t="n">
        <x:v>64.99048674161212</x:v>
      </x:c>
      <x:c r="H189" s="24" t="n">
        <x:v>74.1835234902419</x:v>
      </x:c>
      <x:c r="I189" s="24" t="n">
        <x:v>74.23480331992029</x:v>
      </x:c>
      <x:c r="J189" s="24" t="n">
        <x:v>67.91760304895689</x:v>
      </x:c>
      <x:c r="K189" s="24" t="n">
        <x:v>65.11025592581848</x:v>
      </x:c>
      <x:c r="L189" s="24" t="n">
        <x:v>68.28046719660033</x:v>
      </x:c>
      <x:c r="M189" s="24" t="n">
        <x:v>50</x:v>
      </x:c>
      <x:c r="N189" s="24" t="n">
        <x:v>68.22516027293575</x:v>
      </x:c>
      <x:c r="O189" s="24" t="n">
        <x:v>83.26574678448948</x:v>
      </x:c>
      <x:c r="P189" s="24" t="n">
        <x:v>82.61740366415106</x:v>
      </x:c>
      <x:c r="Q189" s="24" t="n">
        <x:v>59.57328064870271</x:v>
      </x:c>
      <x:c r="R189" s="24" t="n">
        <x:v>81.80979530781345</x:v>
      </x:c>
      <x:c r="S189" s="24" t="n">
        <x:v>74.51359552099659</x:v>
      </x:c>
      <x:c r="T189" s="24" t="n">
        <x:v>66.77091257439221</x:v>
      </x:c>
      <x:c r="U189" s="24" t="n">
        <x:v>64.96803201825514</x:v>
      </x:c>
    </x:row>
    <x:row r="190">
      <x:c r="A190" s="24" t="n">
        <x:v>18.8</x:v>
      </x:c>
      <x:c r="B190" s="24" t="n">
        <x:v>66.58498134057484</x:v>
      </x:c>
      <x:c r="C190" s="24" t="n">
        <x:v>73.52384980511775</x:v>
      </x:c>
      <x:c r="D190" s="24" t="n">
        <x:v>65.47867979670346</x:v>
      </x:c>
      <x:c r="E190" s="24" t="n">
        <x:v>49.331608997128484</x:v>
      </x:c>
      <x:c r="F190" s="24" t="n">
        <x:v>64.67156441823047</x:v>
      </x:c>
      <x:c r="G190" s="24" t="n">
        <x:v>66.39851826671868</x:v>
      </x:c>
      <x:c r="H190" s="24" t="n">
        <x:v>73.48959606956403</x:v>
      </x:c>
      <x:c r="I190" s="24" t="n">
        <x:v>67.35507066372412</x:v>
      </x:c>
      <x:c r="J190" s="24" t="n">
        <x:v>69.27701239878763</x:v>
      </x:c>
      <x:c r="K190" s="24" t="n">
        <x:v>65.11025592581848</x:v>
      </x:c>
      <x:c r="L190" s="24" t="n">
        <x:v>68.34883999867802</x:v>
      </x:c>
      <x:c r="M190" s="24" t="n">
        <x:v>53.682371500764624</x:v>
      </x:c>
      <x:c r="N190" s="24" t="n">
        <x:v>68.59049984155924</x:v>
      </x:c>
      <x:c r="O190" s="24" t="n">
        <x:v>73.59399488759082</x:v>
      </x:c>
      <x:c r="P190" s="24" t="n">
        <x:v>82.61740366415106</x:v>
      </x:c>
      <x:c r="Q190" s="24" t="n">
        <x:v>59.57328064870271</x:v>
      </x:c>
      <x:c r="R190" s="24" t="n">
        <x:v>81.80979530781345</x:v>
      </x:c>
      <x:c r="S190" s="24" t="n">
        <x:v>66.28068689934338</x:v>
      </x:c>
      <x:c r="T190" s="24" t="n">
        <x:v>80.28623161732088</x:v>
      </x:c>
      <x:c r="U190" s="24" t="n">
        <x:v>65.54551604489954</x:v>
      </x:c>
    </x:row>
    <x:row r="191">
      <x:c r="A191" s="24" t="n">
        <x:v>18.900000000000002</x:v>
      </x:c>
      <x:c r="B191" s="24" t="n">
        <x:v>64.69502702084488</x:v>
      </x:c>
      <x:c r="C191" s="24" t="n">
        <x:v>69.53749772841496</x:v>
      </x:c>
      <x:c r="D191" s="24" t="n">
        <x:v>84.43619365714109</x:v>
      </x:c>
      <x:c r="E191" s="24" t="n">
        <x:v>62.32249260391291</x:v>
      </x:c>
      <x:c r="F191" s="24" t="n">
        <x:v>52.62734679464163</x:v>
      </x:c>
      <x:c r="G191" s="24" t="n">
        <x:v>66.39851826671868</x:v>
      </x:c>
      <x:c r="H191" s="24" t="n">
        <x:v>74.01312363294095</x:v>
      </x:c>
      <x:c r="I191" s="24" t="n">
        <x:v>65.39397379156169</x:v>
      </x:c>
      <x:c r="J191" s="24"/>
      <x:c r="K191" s="24" t="n">
        <x:v>64.52442065030611</x:v>
      </x:c>
      <x:c r="L191" s="24" t="n">
        <x:v>68.35566510018269</x:v>
      </x:c>
      <x:c r="M191" s="24" t="n">
        <x:v>80.41550501251092</x:v>
      </x:c>
      <x:c r="N191" s="24" t="n">
        <x:v>67.46504466015146</x:v>
      </x:c>
      <x:c r="O191" s="24" t="n">
        <x:v>71.55188378952766</x:v>
      </x:c>
      <x:c r="P191" s="24" t="n">
        <x:v>76.66572240757293</x:v>
      </x:c>
      <x:c r="Q191" s="24" t="n">
        <x:v>57.056700867380776</x:v>
      </x:c>
      <x:c r="R191" s="24" t="n">
        <x:v>76.80037813480058</x:v>
      </x:c>
      <x:c r="S191" s="24" t="n">
        <x:v>56.22846557494904</x:v>
      </x:c>
      <x:c r="T191" s="24" t="n">
        <x:v>81.21267743240735</x:v>
      </x:c>
      <x:c r="U191" s="24" t="n">
        <x:v>68.52218372047642</x:v>
      </x:c>
    </x:row>
    <x:row r="192">
      <x:c r="A192" s="24" t="n">
        <x:v>19</x:v>
      </x:c>
      <x:c r="B192" s="24" t="n">
        <x:v>60.68950409277312</x:v>
      </x:c>
      <x:c r="C192" s="24" t="n">
        <x:v>69.53749772841496</x:v>
      </x:c>
      <x:c r="D192" s="24" t="n">
        <x:v>84.43619365714109</x:v>
      </x:c>
      <x:c r="E192" s="24" t="n">
        <x:v>74.71466956068005</x:v>
      </x:c>
      <x:c r="F192" s="24" t="n">
        <x:v>68.73949060483147</x:v>
      </x:c>
      <x:c r="G192" s="24" t="n">
        <x:v>67.99434250667949</x:v>
      </x:c>
      <x:c r="H192" s="24" t="n">
        <x:v>74.85633451509474</x:v>
      </x:c>
      <x:c r="I192" s="24" t="n">
        <x:v>63.432876919399334</x:v>
      </x:c>
      <x:c r="J192" s="24"/>
      <x:c r="K192" s="24" t="n">
        <x:v>60.809031089386025</x:v>
      </x:c>
      <x:c r="L192" s="24" t="n">
        <x:v>68.3969037306339</x:v>
      </x:c>
      <x:c r="M192" s="24" t="n">
        <x:v>80.41550501251092</x:v>
      </x:c>
      <x:c r="N192" s="24" t="n">
        <x:v>65.69720936370142</x:v>
      </x:c>
      <x:c r="O192" s="24" t="n">
        <x:v>70.634548248582</x:v>
      </x:c>
      <x:c r="P192" s="24" t="n">
        <x:v>67.9404238904556</x:v>
      </x:c>
      <x:c r="Q192" s="24" t="n">
        <x:v>55.642631777403786</x:v>
      </x:c>
      <x:c r="R192" s="24" t="n">
        <x:v>73.33430012856672</x:v>
      </x:c>
      <x:c r="S192" s="24" t="n">
        <x:v>50</x:v>
      </x:c>
      <x:c r="T192" s="24" t="n">
        <x:v>80.73952182263417</x:v>
      </x:c>
      <x:c r="U192" s="24" t="n">
        <x:v>77.24139893457576</x:v>
      </x:c>
    </x:row>
    <x:row r="193">
      <x:c r="A193" s="24" t="n">
        <x:v>19.1</x:v>
      </x:c>
      <x:c r="B193" s="24" t="n">
        <x:v>67.17381364668046</x:v>
      </x:c>
      <x:c r="C193" s="24" t="n">
        <x:v>69.911685569339</x:v>
      </x:c>
      <x:c r="D193" s="24" t="n">
        <x:v>80.41231312001065</x:v>
      </x:c>
      <x:c r="E193" s="24" t="n">
        <x:v>74.71466956068005</x:v>
      </x:c>
      <x:c r="F193" s="24" t="n">
        <x:v>68.73949060483147</x:v>
      </x:c>
      <x:c r="G193" s="24" t="n">
        <x:v>68.16078229111181</x:v>
      </x:c>
      <x:c r="H193" s="24" t="n">
        <x:v>74.85633451509474</x:v>
      </x:c>
      <x:c r="I193" s="24" t="n">
        <x:v>61.471780047236905</x:v>
      </x:c>
      <x:c r="J193" s="24"/>
      <x:c r="K193" s="24" t="n">
        <x:v>83.79462334540682</x:v>
      </x:c>
      <x:c r="L193" s="24" t="n">
        <x:v>68.17845553577546</x:v>
      </x:c>
      <x:c r="M193" s="24" t="n">
        <x:v>75.98385900459267</x:v>
      </x:c>
      <x:c r="N193" s="24" t="n">
        <x:v>65.72756291233719</x:v>
      </x:c>
      <x:c r="O193" s="24" t="n">
        <x:v>70.25156992967484</x:v>
      </x:c>
      <x:c r="P193" s="24" t="n">
        <x:v>50</x:v>
      </x:c>
      <x:c r="Q193" s="24" t="n">
        <x:v>54.45042421670525</x:v>
      </x:c>
      <x:c r="R193" s="24" t="n">
        <x:v>67.6059626251336</x:v>
      </x:c>
      <x:c r="S193" s="24" t="n">
        <x:v>61.08366364675982</x:v>
      </x:c>
      <x:c r="T193" s="24" t="n">
        <x:v>70.79297185824436</x:v>
      </x:c>
      <x:c r="U193" s="24" t="n">
        <x:v>82.27638802085659</x:v>
      </x:c>
    </x:row>
    <x:row r="194">
      <x:c r="A194" s="24" t="n">
        <x:v>19.200000000000003</x:v>
      </x:c>
      <x:c r="B194" s="24" t="n">
        <x:v>80.87988382004687</x:v>
      </x:c>
      <x:c r="C194" s="24" t="n">
        <x:v>72.12261945083442</x:v>
      </x:c>
      <x:c r="D194" s="24" t="n">
        <x:v>71.75816210896029</x:v>
      </x:c>
      <x:c r="E194" s="24" t="n">
        <x:v>67.1061747048503</x:v>
      </x:c>
      <x:c r="F194" s="24" t="n">
        <x:v>69.84129945739758</x:v>
      </x:c>
      <x:c r="G194" s="24" t="n">
        <x:v>68.16078229111181</x:v>
      </x:c>
      <x:c r="H194" s="24" t="n">
        <x:v>74.08597849156818</x:v>
      </x:c>
      <x:c r="I194" s="24" t="n">
        <x:v>60.687341298372175</x:v>
      </x:c>
      <x:c r="J194" s="24"/>
      <x:c r="K194" s="24" t="n">
        <x:v>83.79462334540682</x:v>
      </x:c>
      <x:c r="L194" s="24" t="n">
        <x:v>67.41168367306766</x:v>
      </x:c>
      <x:c r="M194" s="24" t="n">
        <x:v>72.15137164599494</x:v>
      </x:c>
      <x:c r="N194" s="24" t="n">
        <x:v>66.10601108162291</x:v>
      </x:c>
      <x:c r="O194" s="24" t="n">
        <x:v>69.35162831611017</x:v>
      </x:c>
      <x:c r="P194" s="24" t="n">
        <x:v>50</x:v>
      </x:c>
      <x:c r="Q194" s="24" t="n">
        <x:v>56.58412173920662</x:v>
      </x:c>
      <x:c r="R194" s="24" t="n">
        <x:v>67.57737762619402</x:v>
      </x:c>
      <x:c r="S194" s="24" t="n">
        <x:v>65.90662228955262</x:v>
      </x:c>
      <x:c r="T194" s="24" t="n">
        <x:v>65.94872368526845</x:v>
      </x:c>
      <x:c r="U194" s="24" t="n">
        <x:v>81.6305450679234</x:v>
      </x:c>
    </x:row>
    <x:row r="195">
      <x:c r="A195" s="24" t="n">
        <x:v>19.3</x:v>
      </x:c>
      <x:c r="B195" s="24" t="n">
        <x:v>80.87988382004687</x:v>
      </x:c>
      <x:c r="C195" s="24" t="n">
        <x:v>72.12261945083442</x:v>
      </x:c>
      <x:c r="D195" s="24" t="n">
        <x:v>64.77487137996053</x:v>
      </x:c>
      <x:c r="E195" s="24" t="n">
        <x:v>49.331608997128484</x:v>
      </x:c>
      <x:c r="F195" s="24" t="n">
        <x:v>69.84129945739758</x:v>
      </x:c>
      <x:c r="G195" s="24" t="n">
        <x:v>67.4779485654305</x:v>
      </x:c>
      <x:c r="H195" s="24" t="n">
        <x:v>75.77423400693264</x:v>
      </x:c>
      <x:c r="I195" s="24" t="n">
        <x:v>66.64531555959387</x:v>
      </x:c>
      <x:c r="J195" s="24"/>
      <x:c r="K195" s="24" t="n">
        <x:v>80.58362257220102</x:v>
      </x:c>
      <x:c r="L195" s="24" t="n">
        <x:v>67.41168367306766</x:v>
      </x:c>
      <x:c r="M195" s="24" t="n">
        <x:v>70.99064108984113</x:v>
      </x:c>
      <x:c r="N195" s="24" t="n">
        <x:v>66.47372779578781</x:v>
      </x:c>
      <x:c r="O195" s="24" t="n">
        <x:v>69.4638128335003</x:v>
      </x:c>
      <x:c r="P195" s="24" t="n">
        <x:v>50</x:v>
      </x:c>
      <x:c r="Q195" s="24" t="n">
        <x:v>59.74697378539452</x:v>
      </x:c>
      <x:c r="R195" s="24" t="n">
        <x:v>67.57737762619402</x:v>
      </x:c>
      <x:c r="S195" s="24" t="n">
        <x:v>67.85455165021497</x:v>
      </x:c>
      <x:c r="T195" s="24" t="n">
        <x:v>61.43902314861546</x:v>
      </x:c>
      <x:c r="U195" s="24" t="n">
        <x:v>73.15772878675637</x:v>
      </x:c>
    </x:row>
    <x:row r="196">
      <x:c r="A196" s="24" t="n">
        <x:v>19.400000000000002</x:v>
      </x:c>
      <x:c r="B196" s="24" t="n">
        <x:v>70.64028962783539</x:v>
      </x:c>
      <x:c r="C196" s="24" t="n">
        <x:v>70.08641395676499</x:v>
      </x:c>
      <x:c r="D196" s="24" t="n">
        <x:v>52.82200565841262</x:v>
      </x:c>
      <x:c r="E196" s="24" t="n">
        <x:v>49.331608997129884</x:v>
      </x:c>
      <x:c r="F196" s="24" t="n">
        <x:v>67.92746384923146</x:v>
      </x:c>
      <x:c r="G196" s="24" t="n">
        <x:v>67.7923601577063</x:v>
      </x:c>
      <x:c r="H196" s="24" t="n">
        <x:v>75.77423400693264</x:v>
      </x:c>
      <x:c r="I196" s="24" t="n">
        <x:v>70.22010011632688</x:v>
      </x:c>
      <x:c r="J196" s="24"/>
      <x:c r="K196" s="24" t="n">
        <x:v>71.17545558149057</x:v>
      </x:c>
      <x:c r="L196" s="24" t="n">
        <x:v>59.32072565173825</x:v>
      </x:c>
      <x:c r="M196" s="24" t="n">
        <x:v>70.6789343574773</x:v>
      </x:c>
      <x:c r="N196" s="24" t="n">
        <x:v>67.6274218559682</x:v>
      </x:c>
      <x:c r="O196" s="24" t="n">
        <x:v>80.76985542959692</x:v>
      </x:c>
      <x:c r="P196" s="24" t="n">
        <x:v>50</x:v>
      </x:c>
      <x:c r="Q196" s="24" t="n">
        <x:v>59.74697378539446</x:v>
      </x:c>
      <x:c r="R196" s="24" t="n">
        <x:v>66.88179987109065</x:v>
      </x:c>
      <x:c r="S196" s="24" t="n">
        <x:v>71.0721187573682</x:v>
      </x:c>
      <x:c r="T196" s="24" t="n">
        <x:v>50.00000000000003</x:v>
      </x:c>
      <x:c r="U196" s="24" t="n">
        <x:v>71.53545818370081</x:v>
      </x:c>
    </x:row>
    <x:row r="197">
      <x:c r="A197" s="24" t="n">
        <x:v>19.5</x:v>
      </x:c>
      <x:c r="B197" s="24" t="n">
        <x:v>61.179984290390614</x:v>
      </x:c>
      <x:c r="C197" s="24" t="n">
        <x:v>71.9458087535215</x:v>
      </x:c>
      <x:c r="D197" s="24" t="n">
        <x:v>54.9732417828805</x:v>
      </x:c>
      <x:c r="E197" s="24" t="n">
        <x:v>63.59361761659132</x:v>
      </x:c>
      <x:c r="F197" s="24" t="n">
        <x:v>70.01652197157114</x:v>
      </x:c>
      <x:c r="G197" s="24" t="n">
        <x:v>69.22737248185874</x:v>
      </x:c>
      <x:c r="H197" s="24" t="n">
        <x:v>72.28602550893926</x:v>
      </x:c>
      <x:c r="I197" s="24" t="n">
        <x:v>70.22010011632688</x:v>
      </x:c>
      <x:c r="J197" s="24"/>
      <x:c r="K197" s="24" t="n">
        <x:v>64.85174090159079</x:v>
      </x:c>
      <x:c r="L197" s="24" t="n">
        <x:v>57.14145485279275</x:v>
      </x:c>
      <x:c r="M197" s="24" t="n">
        <x:v>70.74799175009197</x:v>
      </x:c>
      <x:c r="N197" s="24" t="n">
        <x:v>67.80301995522088</x:v>
      </x:c>
      <x:c r="O197" s="24" t="n">
        <x:v>80.76985542959692</x:v>
      </x:c>
      <x:c r="P197" s="24" t="n">
        <x:v>50</x:v>
      </x:c>
      <x:c r="Q197" s="24" t="n">
        <x:v>57.97862704129935</x:v>
      </x:c>
      <x:c r="R197" s="24" t="n">
        <x:v>67.2304831404011</x:v>
      </x:c>
      <x:c r="S197" s="24" t="n">
        <x:v>71.0721187573682</x:v>
      </x:c>
      <x:c r="T197" s="24" t="n">
        <x:v>50.73892654000021</x:v>
      </x:c>
      <x:c r="U197" s="24" t="n">
        <x:v>65.82906061921572</x:v>
      </x:c>
    </x:row>
    <x:row r="198">
      <x:c r="A198" s="24" t="n">
        <x:v>19.6</x:v>
      </x:c>
      <x:c r="B198" s="24" t="n">
        <x:v>52.14069807637027</x:v>
      </x:c>
      <x:c r="C198" s="24" t="n">
        <x:v>74.61268749948971</x:v>
      </x:c>
      <x:c r="D198" s="24" t="n">
        <x:v>57.12447790734845</x:v>
      </x:c>
      <x:c r="E198" s="24" t="n">
        <x:v>64.76683995928455</x:v>
      </x:c>
      <x:c r="F198" s="24" t="n">
        <x:v>70.71234850196356</x:v>
      </x:c>
      <x:c r="G198" s="24" t="n">
        <x:v>69.22737248185874</x:v>
      </x:c>
      <x:c r="H198" s="24" t="n">
        <x:v>71.80920344671523</x:v>
      </x:c>
      <x:c r="I198" s="24" t="n">
        <x:v>68.41939667706217</x:v>
      </x:c>
      <x:c r="J198" s="24"/>
      <x:c r="K198" s="24" t="n">
        <x:v>64.493565062509</x:v>
      </x:c>
      <x:c r="L198" s="24" t="n">
        <x:v>77.18121320704485</x:v>
      </x:c>
      <x:c r="M198" s="24" t="n">
        <x:v>70.74799175009197</x:v>
      </x:c>
      <x:c r="N198" s="24" t="n">
        <x:v>68.05464005045702</x:v>
      </x:c>
      <x:c r="O198" s="24" t="n">
        <x:v>79.48611780935434</x:v>
      </x:c>
      <x:c r="P198" s="24" t="n">
        <x:v>79.87496247742435</x:v>
      </x:c>
      <x:c r="Q198" s="24" t="n">
        <x:v>58.15719958006291</x:v>
      </x:c>
      <x:c r="R198" s="24" t="n">
        <x:v>67.39589224792732</x:v>
      </x:c>
      <x:c r="S198" s="24" t="n">
        <x:v>84.96433208279316</x:v>
      </x:c>
      <x:c r="T198" s="24" t="n">
        <x:v>51.33006777200035</x:v>
      </x:c>
      <x:c r="U198" s="24" t="n">
        <x:v>63.62257153454344</x:v>
      </x:c>
    </x:row>
    <x:row r="199">
      <x:c r="A199" s="24" t="n">
        <x:v>19.700000000000003</x:v>
      </x:c>
      <x:c r="B199" s="24" t="n">
        <x:v>56.44023947466066</x:v>
      </x:c>
      <x:c r="C199" s="24" t="n">
        <x:v>74.61268749948971</x:v>
      </x:c>
      <x:c r="D199" s="24" t="n">
        <x:v>59.275714031816406</x:v>
      </x:c>
      <x:c r="E199" s="24" t="n">
        <x:v>66.48199094694307</x:v>
      </x:c>
      <x:c r="F199" s="24" t="n">
        <x:v>70.71234850196342</x:v>
      </x:c>
      <x:c r="G199" s="24" t="n">
        <x:v>73.99544152106947</x:v>
      </x:c>
      <x:c r="H199" s="24" t="n">
        <x:v>68.26957426459359</x:v>
      </x:c>
      <x:c r="I199" s="24" t="n">
        <x:v>66.57735007456881</x:v>
      </x:c>
      <x:c r="J199" s="24"/>
      <x:c r="K199" s="24" t="n">
        <x:v>64.493565062509</x:v>
      </x:c>
      <x:c r="L199" s="24" t="n">
        <x:v>80.76204250841744</x:v>
      </x:c>
      <x:c r="M199" s="24" t="n">
        <x:v>70.62084600839822</x:v>
      </x:c>
      <x:c r="N199" s="24" t="n">
        <x:v>68.62109117252245</x:v>
      </x:c>
      <x:c r="O199" s="24" t="n">
        <x:v>73.29257096772218</x:v>
      </x:c>
      <x:c r="P199" s="24" t="n">
        <x:v>80.613587786731</x:v>
      </x:c>
      <x:c r="Q199" s="24" t="n">
        <x:v>58.33577211882647</x:v>
      </x:c>
      <x:c r="R199" s="24" t="n">
        <x:v>67.39589224792732</x:v>
      </x:c>
      <x:c r="S199" s="24" t="n">
        <x:v>85.6157960723751</x:v>
      </x:c>
      <x:c r="T199" s="24" t="n">
        <x:v>74.03574298907452</x:v>
      </x:c>
      <x:c r="U199" s="24" t="n">
        <x:v>50</x:v>
      </x:c>
    </x:row>
    <x:row r="200">
      <x:c r="A200" s="24" t="n">
        <x:v>19.8</x:v>
      </x:c>
      <x:c r="B200" s="24" t="n">
        <x:v>56.44023947466066</x:v>
      </x:c>
      <x:c r="C200" s="24" t="n">
        <x:v>67.56563883269902</x:v>
      </x:c>
      <x:c r="D200" s="24" t="n">
        <x:v>60.56645570649713</x:v>
      </x:c>
      <x:c r="E200" s="24" t="n">
        <x:v>67.3005658228467</x:v>
      </x:c>
      <x:c r="F200" s="24" t="n">
        <x:v>69.25632304199414</x:v>
      </x:c>
      <x:c r="G200" s="24" t="n">
        <x:v>77.01892812221072</x:v>
      </x:c>
      <x:c r="H200" s="24" t="n">
        <x:v>73.07588139382094</x:v>
      </x:c>
      <x:c r="I200" s="24" t="n">
        <x:v>65.90436162341715</x:v>
      </x:c>
      <x:c r="J200" s="24"/>
      <x:c r="K200" s="24" t="n">
        <x:v>64.2324992294705</x:v>
      </x:c>
      <x:c r="L200" s="24" t="n">
        <x:v>80.76204250841744</x:v>
      </x:c>
      <x:c r="M200" s="24" t="n">
        <x:v>70.99258328822474</x:v>
      </x:c>
      <x:c r="N200" s="24" t="n">
        <x:v>68.62109117252245</x:v>
      </x:c>
      <x:c r="O200" s="24" t="n">
        <x:v>67.68556602709643</x:v>
      </x:c>
      <x:c r="P200" s="24" t="n">
        <x:v>84.68552731936316</x:v>
      </x:c>
      <x:c r="Q200" s="24" t="n">
        <x:v>58.514344657590016</x:v>
      </x:c>
      <x:c r="R200" s="24" t="n">
        <x:v>79.63188536206016</x:v>
      </x:c>
      <x:c r="S200" s="24" t="n">
        <x:v>85.39638569606032</x:v>
      </x:c>
      <x:c r="T200" s="24" t="n">
        <x:v>74.03574298907452</x:v>
      </x:c>
      <x:c r="U200" s="24" t="n">
        <x:v>50</x:v>
      </x:c>
    </x:row>
    <x:row r="201">
      <x:c r="A201" s="24" t="n">
        <x:v>19.900000000000002</x:v>
      </x:c>
      <x:c r="B201" s="24" t="n">
        <x:v>58.587549605114276</x:v>
      </x:c>
      <x:c r="C201" s="24" t="n">
        <x:v>58.1972205751577</x:v>
      </x:c>
      <x:c r="D201" s="24" t="n">
        <x:v>67.34859292739155</x:v>
      </x:c>
      <x:c r="E201" s="24" t="n">
        <x:v>68.37539033572912</x:v>
      </x:c>
      <x:c r="F201" s="24" t="n">
        <x:v>69.86659518113322</x:v>
      </x:c>
      <x:c r="G201" s="24" t="n">
        <x:v>77.01892812221053</x:v>
      </x:c>
      <x:c r="H201" s="24" t="n">
        <x:v>79.6984495017172</x:v>
      </x:c>
      <x:c r="I201" s="24" t="n">
        <x:v>65.90436162341715</x:v>
      </x:c>
      <x:c r="J201" s="24"/>
      <x:c r="K201" s="24" t="n">
        <x:v>69.97298471290132</x:v>
      </x:c>
      <x:c r="L201" s="24" t="n">
        <x:v>74.1141494810512</x:v>
      </x:c>
      <x:c r="M201" s="24" t="n">
        <x:v>71.41492444194438</x:v>
      </x:c>
      <x:c r="N201" s="24" t="n">
        <x:v>66.44101135773884</x:v>
      </x:c>
      <x:c r="O201" s="24" t="n">
        <x:v>66.03377515556795</x:v>
      </x:c>
      <x:c r="P201" s="24" t="n">
        <x:v>84.68552731936316</x:v>
      </x:c>
      <x:c r="Q201" s="24" t="n">
        <x:v>58.657202688600876</x:v>
      </x:c>
      <x:c r="R201" s="24" t="n">
        <x:v>80.94740767891292</x:v>
      </x:c>
      <x:c r="S201" s="24" t="n">
        <x:v>77.67969793714565</x:v>
      </x:c>
      <x:c r="T201" s="24" t="n">
        <x:v>73.77393207224371</x:v>
      </x:c>
      <x:c r="U201" s="24" t="n">
        <x:v>62.80530072475636</x:v>
      </x:c>
    </x:row>
    <x:row r="202">
      <x:c r="A202" s="24" t="n">
        <x:v>20</x:v>
      </x:c>
      <x:c r="B202" s="24" t="n">
        <x:v>58.587549605114276</x:v>
      </x:c>
      <x:c r="C202" s="24" t="n">
        <x:v>55.78867004980226</x:v>
      </x:c>
      <x:c r="D202" s="24" t="n">
        <x:v>74.13073014828566</x:v>
      </x:c>
      <x:c r="E202" s="24" t="n">
        <x:v>68.37539033572912</x:v>
      </x:c>
      <x:c r="F202" s="24" t="n">
        <x:v>85.72055805661708</x:v>
      </x:c>
      <x:c r="G202" s="24" t="n">
        <x:v>64.19075340222926</x:v>
      </x:c>
      <x:c r="H202" s="24" t="n">
        <x:v>79.29072406871254</x:v>
      </x:c>
      <x:c r="I202" s="24" t="n">
        <x:v>64.49132903468384</x:v>
      </x:c>
      <x:c r="J202" s="24"/>
      <x:c r="K202" s="24" t="n">
        <x:v>69.97298471290132</x:v>
      </x:c>
      <x:c r="L202" s="24" t="n">
        <x:v>66.21937208194412</x:v>
      </x:c>
      <x:c r="M202" s="24" t="n">
        <x:v>71.49496512856743</x:v>
      </x:c>
      <x:c r="N202" s="24" t="n">
        <x:v>73.13481157626556</x:v>
      </x:c>
      <x:c r="O202" s="24" t="n">
        <x:v>66.03377515556795</x:v>
      </x:c>
      <x:c r="P202" s="24" t="n">
        <x:v>80.33094431980749</x:v>
      </x:c>
      <x:c r="Q202" s="24" t="n">
        <x:v>58.7232565487242</x:v>
      </x:c>
      <x:c r="R202" s="24" t="n">
        <x:v>80.94740767891292</x:v>
      </x:c>
      <x:c r="S202" s="24" t="n">
        <x:v>71.02845377495763</x:v>
      </x:c>
      <x:c r="T202" s="24" t="n">
        <x:v>65.60289730317501</x:v>
      </x:c>
      <x:c r="U202" s="24" t="n">
        <x:v>64.8471283555178</x:v>
      </x:c>
    </x:row>
    <x:row r="203">
      <x:c r="A203" s="24" t="n">
        <x:v>20.1</x:v>
      </x:c>
      <x:c r="B203" s="24" t="n">
        <x:v>63.59845856482361</x:v>
      </x:c>
      <x:c r="C203" s="24" t="n">
        <x:v>55.78867004980226</x:v>
      </x:c>
      <x:c r="D203" s="24" t="n">
        <x:v>74.13073014828566</x:v>
      </x:c>
      <x:c r="E203" s="24" t="n">
        <x:v>68.69223486349622</x:v>
      </x:c>
      <x:c r="F203" s="24" t="n">
        <x:v>86.56272365429524</x:v>
      </x:c>
      <x:c r="G203" s="24" t="n">
        <x:v>55.37864160318357</x:v>
      </x:c>
      <x:c r="H203" s="24" t="n">
        <x:v>69.38834759008621</x:v>
      </x:c>
      <x:c r="I203" s="24" t="n">
        <x:v>65.13917527711374</x:v>
      </x:c>
      <x:c r="J203" s="24"/>
      <x:c r="K203" s="24" t="n">
        <x:v>55.073032927168995</x:v>
      </x:c>
      <x:c r="L203" s="24" t="n">
        <x:v>52.60163198379014</x:v>
      </x:c>
      <x:c r="M203" s="24" t="n">
        <x:v>71.49496512856743</x:v>
      </x:c>
      <x:c r="N203" s="24" t="n">
        <x:v>78.48985175108693</x:v>
      </x:c>
      <x:c r="O203" s="24" t="n">
        <x:v>63.468483885128535</x:v>
      </x:c>
      <x:c r="P203" s="24" t="n">
        <x:v>71.2713938857945</x:v>
      </x:c>
      <x:c r="Q203" s="24" t="n">
        <x:v>58.02668946475079</x:v>
      </x:c>
      <x:c r="R203" s="24" t="n">
        <x:v>71.08024972429956</x:v>
      </x:c>
      <x:c r="S203" s="24" t="n">
        <x:v>64.4664717607188</x:v>
      </x:c>
      <x:c r="T203" s="24" t="n">
        <x:v>61.19072456203598</x:v>
      </x:c>
      <x:c r="U203" s="24" t="n">
        <x:v>74.09840025401218</x:v>
      </x:c>
    </x:row>
    <x:row r="204">
      <x:c r="A204" s="24" t="n">
        <x:v>20.200000000000003</x:v>
      </x:c>
      <x:c r="B204" s="24" t="n">
        <x:v>63.81888196571782</x:v>
      </x:c>
      <x:c r="C204" s="24" t="n">
        <x:v>51.595284178115094</x:v>
      </x:c>
      <x:c r="D204" s="24" t="n">
        <x:v>71.90675010992103</x:v>
      </x:c>
      <x:c r="E204" s="24" t="n">
        <x:v>69.75493348920727</x:v>
      </x:c>
      <x:c r="F204" s="24" t="n">
        <x:v>86.47224658170961</x:v>
      </x:c>
      <x:c r="G204" s="24" t="n">
        <x:v>60.063372314528955</x:v>
      </x:c>
      <x:c r="H204" s="24" t="n">
        <x:v>60.934182196776746</x:v>
      </x:c>
      <x:c r="I204" s="24" t="n">
        <x:v>65.13917527711374</x:v>
      </x:c>
      <x:c r="J204" s="24"/>
      <x:c r="K204" s="24" t="n">
        <x:v>56.52800742656023</x:v>
      </x:c>
      <x:c r="L204" s="24" t="n">
        <x:v>50</x:v>
      </x:c>
      <x:c r="M204" s="24" t="n">
        <x:v>71.05442149840512</x:v>
      </x:c>
      <x:c r="N204" s="24" t="n">
        <x:v>78.48985175108693</x:v>
      </x:c>
      <x:c r="O204" s="24" t="n">
        <x:v>65.45470280070194</x:v>
      </x:c>
      <x:c r="P204" s="24" t="n">
        <x:v>70.71794642173883</x:v>
      </x:c>
      <x:c r="Q204" s="24"/>
      <x:c r="R204" s="24" t="n">
        <x:v>59.516593586709995</x:v>
      </x:c>
      <x:c r="S204" s="24" t="n">
        <x:v>61.773762317414125</x:v>
      </x:c>
      <x:c r="T204" s="24" t="n">
        <x:v>54.80539619736148</x:v>
      </x:c>
      <x:c r="U204" s="24" t="n">
        <x:v>74.09840025401218</x:v>
      </x:c>
    </x:row>
    <x:row r="205">
      <x:c r="A205" s="24" t="n">
        <x:v>20.3</x:v>
      </x:c>
      <x:c r="B205" s="24" t="n">
        <x:v>61.18988393765145</x:v>
      </x:c>
      <x:c r="C205" s="24" t="n">
        <x:v>51.595284178115094</x:v>
      </x:c>
      <x:c r="D205" s="24" t="n">
        <x:v>68.02980788288967</x:v>
      </x:c>
      <x:c r="E205" s="24" t="n">
        <x:v>84.71277141114001</x:v>
      </x:c>
      <x:c r="F205" s="24" t="n">
        <x:v>76.5208592398641</x:v>
      </x:c>
      <x:c r="G205" s="24" t="n">
        <x:v>64.74810302587417</x:v>
      </x:c>
      <x:c r="H205" s="24" t="n">
        <x:v>62.88275933857756</x:v>
      </x:c>
      <x:c r="I205" s="24" t="n">
        <x:v>64.87498723117649</x:v>
      </x:c>
      <x:c r="J205" s="24"/>
      <x:c r="K205" s="24" t="n">
        <x:v>60.869962424986454</x:v>
      </x:c>
      <x:c r="L205" s="24" t="n">
        <x:v>50</x:v>
      </x:c>
      <x:c r="M205" s="24" t="n">
        <x:v>68.16800904144735</x:v>
      </x:c>
      <x:c r="N205" s="24" t="n">
        <x:v>71.61155306449491</x:v>
      </x:c>
      <x:c r="O205" s="24" t="n">
        <x:v>65.48652000323825</x:v>
      </x:c>
      <x:c r="P205" s="24" t="n">
        <x:v>70.71794642173883</x:v>
      </x:c>
      <x:c r="Q205" s="24"/>
      <x:c r="R205" s="24" t="n">
        <x:v>50</x:v>
      </x:c>
      <x:c r="S205" s="24" t="n">
        <x:v>57.70540937040735</x:v>
      </x:c>
      <x:c r="T205" s="24" t="n">
        <x:v>60.970439053271534</x:v>
      </x:c>
      <x:c r="U205" s="24" t="n">
        <x:v>73.53295841377133</x:v>
      </x:c>
    </x:row>
    <x:row r="206">
      <x:c r="A206" s="24" t="n">
        <x:v>20.400000000000002</x:v>
      </x:c>
      <x:c r="B206" s="24" t="n">
        <x:v>54.278445329778435</x:v>
      </x:c>
      <x:c r="C206" s="24" t="n">
        <x:v>60.360628620425466</x:v>
      </x:c>
      <x:c r="D206" s="24" t="n">
        <x:v>63.071948745497785</x:v>
      </x:c>
      <x:c r="E206" s="24" t="n">
        <x:v>85.18908007278635</x:v>
      </x:c>
      <x:c r="F206" s="24" t="n">
        <x:v>69.65438761273671</x:v>
      </x:c>
      <x:c r="G206" s="24" t="n">
        <x:v>69.4328337372194</x:v>
      </x:c>
      <x:c r="H206" s="24" t="n">
        <x:v>64.83133648037844</x:v>
      </x:c>
      <x:c r="I206" s="24" t="n">
        <x:v>64.87498723117649</x:v>
      </x:c>
      <x:c r="J206" s="24"/>
      <x:c r="K206" s="24" t="n">
        <x:v>64.61153568890859</x:v>
      </x:c>
      <x:c r="L206" s="24" t="n">
        <x:v>50</x:v>
      </x:c>
      <x:c r="M206" s="24" t="n">
        <x:v>70.28805070896064</x:v>
      </x:c>
      <x:c r="N206" s="24" t="n">
        <x:v>56.56222355489312</x:v>
      </x:c>
      <x:c r="O206" s="24" t="n">
        <x:v>72.24787691670402</x:v>
      </x:c>
      <x:c r="P206" s="24" t="n">
        <x:v>70.1263799301816</x:v>
      </x:c>
      <x:c r="Q206" s="24"/>
      <x:c r="R206" s="24" t="n">
        <x:v>51.53364664213529</x:v>
      </x:c>
      <x:c r="S206" s="24" t="n">
        <x:v>50</x:v>
      </x:c>
      <x:c r="T206" s="24" t="n">
        <x:v>66.56955695284668</x:v>
      </x:c>
      <x:c r="U206" s="24" t="n">
        <x:v>61.378155699318626</x:v>
      </x:c>
    </x:row>
    <x:row r="207">
      <x:c r="A207" s="24" t="n">
        <x:v>20.5</x:v>
      </x:c>
      <x:c r="B207" s="24" t="n">
        <x:v>52.82767792685759</x:v>
      </x:c>
      <x:c r="C207" s="24" t="n">
        <x:v>60.360628620425466</x:v>
      </x:c>
      <x:c r="D207" s="24" t="n">
        <x:v>66.01557287854217</x:v>
      </x:c>
      <x:c r="E207" s="24" t="n">
        <x:v>84.81182425880068</x:v>
      </x:c>
      <x:c r="F207" s="24" t="n">
        <x:v>65.4141857790046</x:v>
      </x:c>
      <x:c r="G207" s="24" t="n">
        <x:v>69.4328337372194</x:v>
      </x:c>
      <x:c r="H207" s="24" t="n">
        <x:v>66.77991362217925</x:v>
      </x:c>
      <x:c r="I207" s="24" t="n">
        <x:v>64.85154650393861</x:v>
      </x:c>
      <x:c r="J207" s="24"/>
      <x:c r="K207" s="24" t="n">
        <x:v>64.61153568890859</x:v>
      </x:c>
      <x:c r="L207" s="24" t="n">
        <x:v>58.75722423836112</x:v>
      </x:c>
      <x:c r="M207" s="24" t="n">
        <x:v>79.14024117151855</x:v>
      </x:c>
      <x:c r="N207" s="24" t="n">
        <x:v>50</x:v>
      </x:c>
      <x:c r="O207" s="24" t="n">
        <x:v>77.18967119347656</x:v>
      </x:c>
      <x:c r="P207" s="24" t="n">
        <x:v>70.1263799301816</x:v>
      </x:c>
      <x:c r="Q207" s="24"/>
      <x:c r="R207" s="24" t="n">
        <x:v>55.36776324747316</x:v>
      </x:c>
      <x:c r="S207" s="24" t="n">
        <x:v>72.43504532744109</x:v>
      </x:c>
      <x:c r="T207" s="24" t="n">
        <x:v>69.08756970761945</x:v>
      </x:c>
      <x:c r="U207" s="24" t="n">
        <x:v>57.69120807927118</x:v>
      </x:c>
    </x:row>
    <x:row r="208">
      <x:c r="A208" s="24" t="n">
        <x:v>20.6</x:v>
      </x:c>
      <x:c r="B208" s="24" t="n">
        <x:v>52.82767792685759</x:v>
      </x:c>
      <x:c r="C208" s="24" t="n">
        <x:v>58.62246802677548</x:v>
      </x:c>
      <x:c r="D208" s="24" t="n">
        <x:v>66.6071111781367</x:v>
      </x:c>
      <x:c r="E208" s="24" t="n">
        <x:v>74.3416080859034</x:v>
      </x:c>
      <x:c r="F208" s="24" t="n">
        <x:v>55.06228556126882</x:v>
      </x:c>
      <x:c r="G208" s="24" t="n">
        <x:v>73.3914664701158</x:v>
      </x:c>
      <x:c r="H208" s="24" t="n">
        <x:v>67.55934447889958</x:v>
      </x:c>
      <x:c r="I208" s="24" t="n">
        <x:v>63.87221345948379</x:v>
      </x:c>
      <x:c r="J208" s="24"/>
      <x:c r="K208" s="24" t="n">
        <x:v>62.06030924366742</x:v>
      </x:c>
      <x:c r="L208" s="24" t="n">
        <x:v>80.28298389767797</x:v>
      </x:c>
      <x:c r="M208" s="24" t="n">
        <x:v>79.14024117151855</x:v>
      </x:c>
      <x:c r="N208" s="24" t="n">
        <x:v>50</x:v>
      </x:c>
      <x:c r="O208" s="24" t="n">
        <x:v>77.18967119347656</x:v>
      </x:c>
      <x:c r="P208" s="24" t="n">
        <x:v>69.44854222195103</x:v>
      </x:c>
      <x:c r="Q208" s="24"/>
      <x:c r="R208" s="24" t="n">
        <x:v>59.20187985281117</x:v>
      </x:c>
      <x:c r="S208" s="24" t="n">
        <x:v>77.79947078426397</x:v>
      </x:c>
      <x:c r="T208" s="24" t="n">
        <x:v>70.58298473039873</x:v>
      </x:c>
      <x:c r="U208" s="24" t="n">
        <x:v>55.494876160827616</x:v>
      </x:c>
    </x:row>
    <x:row r="209">
      <x:c r="A209" s="24" t="n">
        <x:v>20.700000000000003</x:v>
      </x:c>
      <x:c r="B209" s="24" t="n">
        <x:v>72.57831798097573</x:v>
      </x:c>
      <x:c r="C209" s="24" t="n">
        <x:v>58.622468026775856</x:v>
      </x:c>
      <x:c r="D209" s="24" t="n">
        <x:v>66.60711117813662</x:v>
      </x:c>
      <x:c r="E209" s="24" t="n">
        <x:v>67.66226329576145</x:v>
      </x:c>
      <x:c r="F209" s="24" t="n">
        <x:v>59.26440150942432</x:v>
      </x:c>
      <x:c r="G209" s="24" t="n">
        <x:v>73.92857187502813</x:v>
      </x:c>
      <x:c r="H209" s="24" t="n">
        <x:v>72.75297734693783</x:v>
      </x:c>
      <x:c r="I209" s="24" t="n">
        <x:v>75.93897704861439</x:v>
      </x:c>
      <x:c r="J209" s="24"/>
      <x:c r="K209" s="24" t="n">
        <x:v>82.94036772595827</x:v>
      </x:c>
      <x:c r="L209" s="24" t="n">
        <x:v>80.42632562345584</x:v>
      </x:c>
      <x:c r="M209" s="24" t="n">
        <x:v>71.36537628778183</x:v>
      </x:c>
      <x:c r="N209" s="24" t="n">
        <x:v>50</x:v>
      </x:c>
      <x:c r="O209" s="24" t="n">
        <x:v>67.84682564900622</x:v>
      </x:c>
      <x:c r="P209" s="24" t="n">
        <x:v>69.44854222195089</x:v>
      </x:c>
      <x:c r="Q209" s="24"/>
      <x:c r="R209" s="24" t="n">
        <x:v>63.03599645814918</x:v>
      </x:c>
      <x:c r="S209" s="24" t="n">
        <x:v>77.79947078426397</x:v>
      </x:c>
      <x:c r="T209" s="24" t="n">
        <x:v>70.71989425093822</x:v>
      </x:c>
      <x:c r="U209" s="24" t="n">
        <x:v>63.779551817702334</x:v>
      </x:c>
    </x:row>
    <x:row r="210">
      <x:c r="A210" s="24" t="n">
        <x:v>20.8</x:v>
      </x:c>
      <x:c r="B210" s="24" t="n">
        <x:v>76.52844599179852</x:v>
      </x:c>
      <x:c r="C210" s="24" t="n">
        <x:v>75.52756598419401</x:v>
      </x:c>
      <x:c r="D210" s="24" t="n">
        <x:v>65.3793156475048</x:v>
      </x:c>
      <x:c r="E210" s="24" t="n">
        <x:v>58.46576116624395</x:v>
      </x:c>
      <x:c r="F210" s="24" t="n">
        <x:v>63.84581481777927</x:v>
      </x:c>
      <x:c r="G210" s="24" t="n">
        <x:v>73.26755187057327</x:v>
      </x:c>
      <x:c r="H210" s="24" t="n">
        <x:v>72.75297734693783</x:v>
      </x:c>
      <x:c r="I210" s="24" t="n">
        <x:v>76.7499405320293</x:v>
      </x:c>
      <x:c r="J210" s="24"/>
      <x:c r="K210" s="24" t="n">
        <x:v>83.66662636224433</x:v>
      </x:c>
      <x:c r="L210" s="24" t="n">
        <x:v>79.79086433177324</x:v>
      </x:c>
      <x:c r="M210" s="24" t="n">
        <x:v>50</x:v>
      </x:c>
      <x:c r="N210" s="24" t="n">
        <x:v>61.81349863214933</x:v>
      </x:c>
      <x:c r="O210" s="24" t="n">
        <x:v>50</x:v>
      </x:c>
      <x:c r="P210" s="24" t="n">
        <x:v>79.88164295537847</x:v>
      </x:c>
      <x:c r="Q210" s="24"/>
      <x:c r="R210" s="24" t="n">
        <x:v>65.74746642854223</x:v>
      </x:c>
      <x:c r="S210" s="24" t="n">
        <x:v>73.24079184769326</x:v>
      </x:c>
      <x:c r="T210" s="24" t="n">
        <x:v>70.08844654821189</x:v>
      </x:c>
      <x:c r="U210" s="24" t="n">
        <x:v>64.04423165036951</x:v>
      </x:c>
    </x:row>
    <x:row r="211">
      <x:c r="A211" s="24" t="n">
        <x:v>20.900000000000002</x:v>
      </x:c>
      <x:c r="B211" s="24" t="n">
        <x:v>75.8908317619392</x:v>
      </x:c>
      <x:c r="C211" s="24" t="n">
        <x:v>75.52756598419401</x:v>
      </x:c>
      <x:c r="D211" s="24" t="n">
        <x:v>66.30993445538593</x:v>
      </x:c>
      <x:c r="E211" s="24" t="n">
        <x:v>63.072505470856406</x:v>
      </x:c>
      <x:c r="F211" s="24" t="n">
        <x:v>63.84581481777887</x:v>
      </x:c>
      <x:c r="G211" s="24" t="n">
        <x:v>61.329843580038315</x:v>
      </x:c>
      <x:c r="H211" s="24" t="n">
        <x:v>70.63176404459183</x:v>
      </x:c>
      <x:c r="I211" s="24" t="n">
        <x:v>76.05944254545027</x:v>
      </x:c>
      <x:c r="J211" s="24"/>
      <x:c r="K211" s="24" t="n">
        <x:v>81.7434643563422</x:v>
      </x:c>
      <x:c r="L211" s="24" t="n">
        <x:v>74.56602228101187</x:v>
      </x:c>
      <x:c r="M211" s="24" t="n">
        <x:v>50</x:v>
      </x:c>
      <x:c r="N211" s="24" t="n">
        <x:v>65.56190210309744</x:v>
      </x:c>
      <x:c r="O211" s="24" t="n">
        <x:v>50</x:v>
      </x:c>
      <x:c r="P211" s="24" t="n">
        <x:v>81.41873649260128</x:v>
      </x:c>
      <x:c r="Q211" s="24"/>
      <x:c r="R211" s="24" t="n">
        <x:v>65.74746642854223</x:v>
      </x:c>
      <x:c r="S211" s="24" t="n">
        <x:v>64.58917954305028</x:v>
      </x:c>
      <x:c r="T211" s="24" t="n">
        <x:v>70.05748968568</x:v>
      </x:c>
      <x:c r="U211" s="24" t="n">
        <x:v>65.7871946397416</x:v>
      </x:c>
    </x:row>
    <x:row r="212">
      <x:c r="A212" s="24" t="n">
        <x:v>21</x:v>
      </x:c>
      <x:c r="B212" s="24" t="n">
        <x:v>71.44753708468345</x:v>
      </x:c>
      <x:c r="C212" s="24" t="n">
        <x:v>74.16988261391809</x:v>
      </x:c>
      <x:c r="D212" s="24" t="n">
        <x:v>66.30993445538593</x:v>
      </x:c>
      <x:c r="E212" s="24" t="n">
        <x:v>65.18787983798103</x:v>
      </x:c>
      <x:c r="F212" s="24" t="n">
        <x:v>52.62734679463941</x:v>
      </x:c>
      <x:c r="G212" s="24" t="n">
        <x:v>66.42348519028684</x:v>
      </x:c>
      <x:c r="H212" s="24" t="n">
        <x:v>63.44583431731297</x:v>
      </x:c>
      <x:c r="I212" s="24" t="n">
        <x:v>67.60574959268565</x:v>
      </x:c>
      <x:c r="J212" s="24"/>
      <x:c r="K212" s="24" t="n">
        <x:v>74.32765689872042</x:v>
      </x:c>
      <x:c r="L212" s="24" t="n">
        <x:v>70.31160273621028</x:v>
      </x:c>
      <x:c r="M212" s="24" t="n">
        <x:v>50</x:v>
      </x:c>
      <x:c r="N212" s="24" t="n">
        <x:v>65.56190210309744</x:v>
      </x:c>
      <x:c r="O212" s="24" t="n">
        <x:v>50</x:v>
      </x:c>
      <x:c r="P212" s="24" t="n">
        <x:v>81.41873649260128</x:v>
      </x:c>
      <x:c r="Q212" s="24"/>
      <x:c r="R212" s="24" t="n">
        <x:v>65.70425935137284</x:v>
      </x:c>
      <x:c r="S212" s="24" t="n">
        <x:v>57.938049704135025</x:v>
      </x:c>
      <x:c r="T212" s="24" t="n">
        <x:v>70.71279890623873</x:v>
      </x:c>
      <x:c r="U212" s="24" t="n">
        <x:v>66.71261037621869</x:v>
      </x:c>
    </x:row>
    <x:row r="213">
      <x:c r="A213" s="24" t="n">
        <x:v>21.1</x:v>
      </x:c>
      <x:c r="B213" s="24" t="n">
        <x:v>66.06390442536811</x:v>
      </x:c>
      <x:c r="C213" s="24" t="n">
        <x:v>68.83356652287124</x:v>
      </x:c>
      <x:c r="D213" s="24" t="n">
        <x:v>66.71604904510272</x:v>
      </x:c>
      <x:c r="E213" s="24" t="n">
        <x:v>65.18787983798103</x:v>
      </x:c>
      <x:c r="F213" s="24" t="n">
        <x:v>73.86572701639508</x:v>
      </x:c>
      <x:c r="G213" s="24" t="n">
        <x:v>66.61233447142521</x:v>
      </x:c>
      <x:c r="H213" s="24" t="n">
        <x:v>70.86690695681264</x:v>
      </x:c>
      <x:c r="I213" s="24" t="n">
        <x:v>66.01885894405532</x:v>
      </x:c>
      <x:c r="J213" s="24"/>
      <x:c r="K213" s="24" t="n">
        <x:v>66.86750821934434</x:v>
      </x:c>
      <x:c r="L213" s="24" t="n">
        <x:v>68.5544762643651</x:v>
      </x:c>
      <x:c r="M213" s="24" t="n">
        <x:v>52.39555871207748</x:v>
      </x:c>
      <x:c r="N213" s="24" t="n">
        <x:v>67.06511979088367</x:v>
      </x:c>
      <x:c r="O213" s="24" t="n">
        <x:v>50</x:v>
      </x:c>
      <x:c r="P213" s="24" t="n">
        <x:v>76.09712086154921</x:v>
      </x:c>
      <x:c r="Q213" s="24"/>
      <x:c r="R213" s="24" t="n">
        <x:v>66.33856952697226</x:v>
      </x:c>
      <x:c r="S213" s="24" t="n">
        <x:v>50</x:v>
      </x:c>
      <x:c r="T213" s="24" t="n">
        <x:v>81.82872448416447</x:v>
      </x:c>
      <x:c r="U213" s="24" t="n">
        <x:v>66.43874690288413</x:v>
      </x:c>
    </x:row>
    <x:row r="214">
      <x:c r="A214" s="24" t="n">
        <x:v>21.200000000000003</x:v>
      </x:c>
      <x:c r="B214" s="24" t="n">
        <x:v>64.79136926738701</x:v>
      </x:c>
      <x:c r="C214" s="24" t="n">
        <x:v>65.11587462872178</x:v>
      </x:c>
      <x:c r="D214" s="24" t="n">
        <x:v>67.28096214864821</x:v>
      </x:c>
      <x:c r="E214" s="24" t="n">
        <x:v>49.331608997128484</x:v>
      </x:c>
      <x:c r="F214" s="24" t="n">
        <x:v>73.86572701639508</x:v>
      </x:c>
      <x:c r="G214" s="24" t="n">
        <x:v>66.61233447142524</x:v>
      </x:c>
      <x:c r="H214" s="24" t="n">
        <x:v>72.9600940378127</x:v>
      </x:c>
      <x:c r="I214" s="24" t="n">
        <x:v>64.43196829542498</x:v>
      </x:c>
      <x:c r="J214" s="24"/>
      <x:c r="K214" s="24" t="n">
        <x:v>65.27598961104471</x:v>
      </x:c>
      <x:c r="L214" s="24" t="n">
        <x:v>67.56967488207036</x:v>
      </x:c>
      <x:c r="M214" s="24" t="n">
        <x:v>56.38815656553986</x:v>
      </x:c>
      <x:c r="N214" s="24" t="n">
        <x:v>67.6550418216671</x:v>
      </x:c>
      <x:c r="O214" s="24" t="n">
        <x:v>77.85029710120747</x:v>
      </x:c>
      <x:c r="P214" s="24" t="n">
        <x:v>69.90585496079945</x:v>
      </x:c>
      <x:c r="Q214" s="24"/>
      <x:c r="R214" s="24" t="n">
        <x:v>66.6071745738859</x:v>
      </x:c>
      <x:c r="S214" s="24" t="n">
        <x:v>62.01594810045647</x:v>
      </x:c>
      <x:c r="T214" s="24" t="n">
        <x:v>84.54913933597561</x:v>
      </x:c>
      <x:c r="U214" s="24" t="n">
        <x:v>66.43874690288413</x:v>
      </x:c>
    </x:row>
    <x:row r="215">
      <x:c r="A215" s="24" t="n">
        <x:v>21.3</x:v>
      </x:c>
      <x:c r="B215" s="24" t="n">
        <x:v>64.94941814194249</x:v>
      </x:c>
      <x:c r="C215" s="24" t="n">
        <x:v>65.91760884444761</x:v>
      </x:c>
      <x:c r="D215" s="24" t="n">
        <x:v>67.28096214864821</x:v>
      </x:c>
      <x:c r="E215" s="24" t="n">
        <x:v>74.25465641053168</x:v>
      </x:c>
      <x:c r="F215" s="24" t="n">
        <x:v>67.42441544831655</x:v>
      </x:c>
      <x:c r="G215" s="24" t="n">
        <x:v>67.3230449688009</x:v>
      </x:c>
      <x:c r="H215" s="24" t="n">
        <x:v>72.9600940378127</x:v>
      </x:c>
      <x:c r="I215" s="24" t="n">
        <x:v>62.84507764679469</x:v>
      </x:c>
      <x:c r="J215" s="24"/>
      <x:c r="K215" s="24" t="n">
        <x:v>65.04004505627535</x:v>
      </x:c>
      <x:c r="L215" s="24" t="n">
        <x:v>65.60624814607165</x:v>
      </x:c>
      <x:c r="M215" s="24" t="n">
        <x:v>79.27353404232692</x:v>
      </x:c>
      <x:c r="N215" s="24" t="n">
        <x:v>67.6550418216671</x:v>
      </x:c>
      <x:c r="O215" s="24" t="n">
        <x:v>77.85029710120747</x:v>
      </x:c>
      <x:c r="P215" s="24" t="n">
        <x:v>67.56619509109053</x:v>
      </x:c>
      <x:c r="Q215" s="24"/>
      <x:c r="R215" s="24" t="n">
        <x:v>66.70430589926775</x:v>
      </x:c>
      <x:c r="S215" s="24" t="n">
        <x:v>65.20320965835671</x:v>
      </x:c>
      <x:c r="T215" s="24" t="n">
        <x:v>84.54913933597561</x:v>
      </x:c>
      <x:c r="U215" s="24" t="n">
        <x:v>66.20453807977105</x:v>
      </x:c>
    </x:row>
    <x:row r="216">
      <x:c r="A216" s="24" t="n">
        <x:v>21.400000000000002</x:v>
      </x:c>
      <x:c r="B216" s="24" t="n">
        <x:v>66.30900718000743</x:v>
      </x:c>
      <x:c r="C216" s="24" t="n">
        <x:v>69.48225068167861</x:v>
      </x:c>
      <x:c r="D216" s="24" t="n">
        <x:v>66.91474908684334</x:v>
      </x:c>
      <x:c r="E216" s="24" t="n">
        <x:v>74.82243621859214</x:v>
      </x:c>
      <x:c r="F216" s="24" t="n">
        <x:v>57.05844235262103</x:v>
      </x:c>
      <x:c r="G216" s="24" t="n">
        <x:v>67.32304496880093</x:v>
      </x:c>
      <x:c r="H216" s="24" t="n">
        <x:v>73.3841910528786</x:v>
      </x:c>
      <x:c r="I216" s="24" t="n">
        <x:v>61.89294325761652</x:v>
      </x:c>
      <x:c r="J216" s="24"/>
      <x:c r="K216" s="24" t="n">
        <x:v>62.86537494571907</x:v>
      </x:c>
      <x:c r="L216" s="24" t="n">
        <x:v>66.58517654048356</x:v>
      </x:c>
      <x:c r="M216" s="24" t="n">
        <x:v>79.90774668965504</x:v>
      </x:c>
      <x:c r="N216" s="24" t="n">
        <x:v>68.30251155655516</x:v>
      </x:c>
      <x:c r="O216" s="24" t="n">
        <x:v>76.60643451390136</x:v>
      </x:c>
      <x:c r="P216" s="24" t="n">
        <x:v>65.90397257138218</x:v>
      </x:c>
      <x:c r="Q216" s="24"/>
      <x:c r="R216" s="24" t="n">
        <x:v>66.70430589926775</x:v>
      </x:c>
      <x:c r="S216" s="24" t="n">
        <x:v>70.40451968737108</x:v>
      </x:c>
      <x:c r="T216" s="24" t="n">
        <x:v>79.14660112949308</x:v>
      </x:c>
      <x:c r="U216" s="24" t="n">
        <x:v>75.31424494895225</x:v>
      </x:c>
    </x:row>
    <x:row r="217">
      <x:c r="A217" s="24" t="n">
        <x:v>21.5</x:v>
      </x:c>
      <x:c r="B217" s="24" t="n">
        <x:v>66.5809249876204</x:v>
      </x:c>
      <x:c r="C217" s="24" t="n">
        <x:v>69.48225068167861</x:v>
      </x:c>
      <x:c r="D217" s="24" t="n">
        <x:v>66.91474908684334</x:v>
      </x:c>
      <x:c r="E217" s="24" t="n">
        <x:v>74.47161032779377</x:v>
      </x:c>
      <x:c r="F217" s="24" t="n">
        <x:v>66.96059690315383</x:v>
      </x:c>
      <x:c r="G217" s="24" t="n">
        <x:v>67.48500538990264</x:v>
      </x:c>
      <x:c r="H217" s="24" t="n">
        <x:v>74.7838667767086</x:v>
      </x:c>
      <x:c r="I217" s="24" t="n">
        <x:v>68.46400089855027</x:v>
      </x:c>
      <x:c r="J217" s="24"/>
      <x:c r="K217" s="24" t="n">
        <x:v>71.70855902878372</x:v>
      </x:c>
      <x:c r="L217" s="24" t="n">
        <x:v>68.21651206522803</x:v>
      </x:c>
      <x:c r="M217" s="24" t="n">
        <x:v>79.37239301761228</x:v>
      </x:c>
      <x:c r="N217" s="24" t="n">
        <x:v>68.30251155655516</x:v>
      </x:c>
      <x:c r="O217" s="24" t="n">
        <x:v>74.09894543615658</x:v>
      </x:c>
      <x:c r="P217" s="24" t="n">
        <x:v>68.38992497805197</x:v>
      </x:c>
      <x:c r="Q217" s="24"/>
      <x:c r="R217" s="24" t="n">
        <x:v>66.8332724229185</x:v>
      </x:c>
      <x:c r="S217" s="24" t="n">
        <x:v>70.40451968737108</x:v>
      </x:c>
      <x:c r="T217" s="24" t="n">
        <x:v>75.11066168034866</x:v>
      </x:c>
      <x:c r="U217" s="24" t="n">
        <x:v>80.78006907046077</x:v>
      </x:c>
    </x:row>
    <x:row r="218">
      <x:c r="A218" s="24" t="n">
        <x:v>21.6</x:v>
      </x:c>
      <x:c r="B218" s="24" t="n">
        <x:v>65.56006566103761</x:v>
      </x:c>
      <x:c r="C218" s="24" t="n">
        <x:v>69.17552589677663</x:v>
      </x:c>
      <x:c r="D218" s="24" t="n">
        <x:v>66.3917276520236</x:v>
      </x:c>
      <x:c r="E218" s="24" t="n">
        <x:v>55.91996877115809</x:v>
      </x:c>
      <x:c r="F218" s="24" t="n">
        <x:v>69.15359477231044</x:v>
      </x:c>
      <x:c r="G218" s="24" t="n">
        <x:v>66.90288206056852</x:v>
      </x:c>
      <x:c r="H218" s="24" t="n">
        <x:v>74.7838667767086</x:v>
      </x:c>
      <x:c r="I218" s="24" t="n">
        <x:v>68.46400089855027</x:v>
      </x:c>
      <x:c r="J218" s="24"/>
      <x:c r="K218" s="24" t="n">
        <x:v>71.70855902878372</x:v>
      </x:c>
      <x:c r="L218" s="24" t="n">
        <x:v>69.86835312726105</x:v>
      </x:c>
      <x:c r="M218" s="24" t="n">
        <x:v>71.56418868264164</x:v>
      </x:c>
      <x:c r="N218" s="24" t="n">
        <x:v>68.97499894277884</x:v>
      </x:c>
      <x:c r="O218" s="24" t="n">
        <x:v>68.04187871735158</x:v>
      </x:c>
      <x:c r="P218" s="24" t="n">
        <x:v>68.38992497805197</x:v>
      </x:c>
      <x:c r="Q218" s="24"/>
      <x:c r="R218" s="24" t="n">
        <x:v>66.8332724229185</x:v>
      </x:c>
      <x:c r="S218" s="24" t="n">
        <x:v>84.33181409068612</x:v>
      </x:c>
      <x:c r="T218" s="24" t="n">
        <x:v>72.42790098375445</x:v>
      </x:c>
      <x:c r="U218" s="24" t="n">
        <x:v>80.78006907046077</x:v>
      </x:c>
    </x:row>
    <x:row r="219">
      <x:c r="A219" s="24" t="n">
        <x:v>21.700000000000003</x:v>
      </x:c>
      <x:c r="B219" s="24" t="n">
        <x:v>67.27602173472258</x:v>
      </x:c>
      <x:c r="C219" s="24" t="n">
        <x:v>69.73244160515264</x:v>
      </x:c>
      <x:c r="D219" s="24" t="n">
        <x:v>65.75733707690404</x:v>
      </x:c>
      <x:c r="E219" s="24" t="n">
        <x:v>59.13491371058225</x:v>
      </x:c>
      <x:c r="F219" s="24" t="n">
        <x:v>69.15359477231044</x:v>
      </x:c>
      <x:c r="G219" s="24" t="n">
        <x:v>68.51774705279601</x:v>
      </x:c>
      <x:c r="H219" s="24" t="n">
        <x:v>72.8579399460341</x:v>
      </x:c>
      <x:c r="I219" s="24" t="n">
        <x:v>67.16755484835384</x:v>
      </x:c>
      <x:c r="J219" s="24"/>
      <x:c r="K219" s="24" t="n">
        <x:v>56.93838706728565</x:v>
      </x:c>
      <x:c r="L219" s="24" t="n">
        <x:v>69.86835312726105</x:v>
      </x:c>
      <x:c r="M219" s="24" t="n">
        <x:v>71.33467313146939</x:v>
      </x:c>
      <x:c r="N219" s="24" t="n">
        <x:v>68.76400655617633</x:v>
      </x:c>
      <x:c r="O219" s="24" t="n">
        <x:v>65.90443981113985</x:v>
      </x:c>
      <x:c r="P219" s="24" t="n">
        <x:v>67.03883087726518</x:v>
      </x:c>
      <x:c r="Q219" s="24"/>
      <x:c r="R219" s="24" t="n">
        <x:v>68.4219422280961</x:v>
      </x:c>
      <x:c r="S219" s="24" t="n">
        <x:v>86.43877062772529</x:v>
      </x:c>
      <x:c r="T219" s="24" t="n">
        <x:v>71.22360996578243</x:v>
      </x:c>
      <x:c r="U219" s="24" t="n">
        <x:v>70.8156425415374</x:v>
      </x:c>
    </x:row>
    <x:row r="220">
      <x:c r="A220" s="24" t="n">
        <x:v>21.8</x:v>
      </x:c>
      <x:c r="B220" s="24" t="n">
        <x:v>67.27602173472258</x:v>
      </x:c>
      <x:c r="C220" s="24" t="n">
        <x:v>70.05267188643128</x:v>
      </x:c>
      <x:c r="D220" s="24" t="n">
        <x:v>60.646275632651594</x:v>
      </x:c>
      <x:c r="E220" s="24" t="n">
        <x:v>66.6221557784927</x:v>
      </x:c>
      <x:c r="F220" s="24" t="n">
        <x:v>68.39926512398199</x:v>
      </x:c>
      <x:c r="G220" s="24" t="n">
        <x:v>68.51774705279601</x:v>
      </x:c>
      <x:c r="H220" s="24" t="n">
        <x:v>72.8579399460341</x:v>
      </x:c>
      <x:c r="I220" s="24" t="n">
        <x:v>63.70603674112027</x:v>
      </x:c>
      <x:c r="J220" s="24"/>
      <x:c r="K220" s="24" t="n">
        <x:v>59.460535236888106</x:v>
      </x:c>
      <x:c r="L220" s="24" t="n">
        <x:v>69.79079473167171</x:v>
      </x:c>
      <x:c r="M220" s="24" t="n">
        <x:v>71.2682640234808</x:v>
      </x:c>
      <x:c r="N220" s="24" t="n">
        <x:v>68.76400655617633</x:v>
      </x:c>
      <x:c r="O220" s="24" t="n">
        <x:v>65.49520320975029</x:v>
      </x:c>
      <x:c r="P220" s="24" t="n">
        <x:v>67.99207847891394</x:v>
      </x:c>
      <x:c r="Q220" s="24"/>
      <x:c r="R220" s="24" t="n">
        <x:v>68.53714778405856</x:v>
      </x:c>
      <x:c r="S220" s="24" t="n">
        <x:v>86.43877062772529</x:v>
      </x:c>
      <x:c r="T220" s="24" t="n">
        <x:v>67.88956758158608</x:v>
      </x:c>
      <x:c r="U220" s="24" t="n">
        <x:v>68.45538080085252</x:v>
      </x:c>
    </x:row>
    <x:row r="221">
      <x:c r="A221" s="24" t="n">
        <x:v>21.900000000000002</x:v>
      </x:c>
      <x:c r="B221" s="24" t="n">
        <x:v>66.13571269431327</x:v>
      </x:c>
      <x:c r="C221" s="24" t="n">
        <x:v>69.966699224344</x:v>
      </x:c>
      <x:c r="D221" s="24" t="n">
        <x:v>78.2098802356642</x:v>
      </x:c>
      <x:c r="E221" s="24" t="n">
        <x:v>66.96748486150732</x:v>
      </x:c>
      <x:c r="F221" s="24" t="n">
        <x:v>68.66580009909404</x:v>
      </x:c>
      <x:c r="G221" s="24" t="n">
        <x:v>70.0005710629639</x:v>
      </x:c>
      <x:c r="H221" s="24" t="n">
        <x:v>73.0256035909859</x:v>
      </x:c>
      <x:c r="I221" s="24" t="n">
        <x:v>62.484967521347556</x:v>
      </x:c>
      <x:c r="J221" s="24"/>
      <x:c r="K221" s="24" t="n">
        <x:v>63.16318725542534</x:v>
      </x:c>
      <x:c r="L221" s="24" t="n">
        <x:v>69.04839022241534</x:v>
      </x:c>
      <x:c r="M221" s="24" t="n">
        <x:v>71.0969776861959</x:v>
      </x:c>
      <x:c r="N221" s="24" t="n">
        <x:v>69.21841765403668</x:v>
      </x:c>
      <x:c r="O221" s="24" t="n">
        <x:v>65.49520320975012</x:v>
      </x:c>
      <x:c r="P221" s="24" t="n">
        <x:v>68.25098746880784</x:v>
      </x:c>
      <x:c r="Q221" s="24"/>
      <x:c r="R221" s="24" t="n">
        <x:v>76.48601141324069</x:v>
      </x:c>
      <x:c r="S221" s="24" t="n">
        <x:v>80.26139148532776</x:v>
      </x:c>
      <x:c r="T221" s="24" t="n">
        <x:v>78.09498045974196</x:v>
      </x:c>
      <x:c r="U221" s="24" t="n">
        <x:v>64.96483728276328</x:v>
      </x:c>
    </x:row>
    <x:row r="222">
      <x:c r="A222" s="24" t="n">
        <x:v>22</x:v>
      </x:c>
      <x:c r="B222" s="24" t="n">
        <x:v>66.0838265310175</x:v>
      </x:c>
      <x:c r="C222" s="24" t="n">
        <x:v>67.66493336583844</x:v>
      </x:c>
      <x:c r="D222" s="24" t="n">
        <x:v>79.30737779284722</x:v>
      </x:c>
      <x:c r="E222" s="24" t="n">
        <x:v>67.96808872096658</x:v>
      </x:c>
      <x:c r="F222" s="24" t="n">
        <x:v>68.66580009909404</x:v>
      </x:c>
      <x:c r="G222" s="24" t="n">
        <x:v>77.1396873108757</x:v>
      </x:c>
      <x:c r="H222" s="24" t="n">
        <x:v>72.18572400023234</x:v>
      </x:c>
      <x:c r="I222" s="24" t="n">
        <x:v>65.21977341330481</x:v>
      </x:c>
      <x:c r="J222" s="24"/>
      <x:c r="K222" s="24" t="n">
        <x:v>63.16318725542534</x:v>
      </x:c>
      <x:c r="L222" s="24" t="n">
        <x:v>66.44291853022075</x:v>
      </x:c>
      <x:c r="M222" s="24" t="n">
        <x:v>72.23791127869767</x:v>
      </x:c>
      <x:c r="N222" s="24" t="n">
        <x:v>69.75325637529778</x:v>
      </x:c>
      <x:c r="O222" s="24" t="n">
        <x:v>64.16395488384028</x:v>
      </x:c>
      <x:c r="P222" s="24" t="n">
        <x:v>67.24236645945022</x:v>
      </x:c>
      <x:c r="Q222" s="24"/>
      <x:c r="R222" s="24" t="n">
        <x:v>81.43513501969257</x:v>
      </x:c>
      <x:c r="S222" s="24" t="n">
        <x:v>76.76845845420478</x:v>
      </x:c>
      <x:c r="T222" s="24" t="n">
        <x:v>78.09498045974196</x:v>
      </x:c>
      <x:c r="U222" s="24" t="n">
        <x:v>64.96483728276328</x:v>
      </x:c>
    </x:row>
    <x:row r="223">
      <x:c r="A223" s="24" t="n">
        <x:v>22.1</x:v>
      </x:c>
      <x:c r="B223" s="24" t="n">
        <x:v>92.33906109628758</x:v>
      </x:c>
      <x:c r="C223" s="24" t="n">
        <x:v>91.55589752504582</x:v>
      </x:c>
      <x:c r="D223" s="24" t="n">
        <x:v>79.30737779284722</x:v>
      </x:c>
      <x:c r="E223" s="24" t="n">
        <x:v>67.96808872096658</x:v>
      </x:c>
      <x:c r="F223" s="24" t="n">
        <x:v>68.71511454638242</x:v>
      </x:c>
      <x:c r="G223" s="24" t="n">
        <x:v>77.1396873108757</x:v>
      </x:c>
      <x:c r="H223" s="24" t="n">
        <x:v>76.40481873382134</x:v>
      </x:c>
      <x:c r="I223" s="24" t="n">
        <x:v>65.21977341330481</x:v>
      </x:c>
      <x:c r="J223" s="24"/>
      <x:c r="K223" s="24" t="n">
        <x:v>60.94392173241906</x:v>
      </x:c>
      <x:c r="L223" s="24" t="n">
        <x:v>64.4098420347302</x:v>
      </x:c>
      <x:c r="M223" s="24" t="n">
        <x:v>72.23791127869767</x:v>
      </x:c>
      <x:c r="N223" s="24" t="n">
        <x:v>72.42744998160332</x:v>
      </x:c>
      <x:c r="O223" s="24" t="n">
        <x:v>66.06149163387587</x:v>
      </x:c>
      <x:c r="P223" s="24" t="n">
        <x:v>79.0801156581558</x:v>
      </x:c>
      <x:c r="Q223" s="24"/>
      <x:c r="R223" s="24" t="n">
        <x:v>81.43513501969257</x:v>
      </x:c>
      <x:c r="S223" s="24" t="n">
        <x:v>71.61221299194398</x:v>
      </x:c>
      <x:c r="T223" s="24" t="n">
        <x:v>75.56941658986318</x:v>
      </x:c>
      <x:c r="U223" s="24" t="n">
        <x:v>50</x:v>
      </x:c>
    </x:row>
    <x:row r="224">
      <x:c r="A224" s="24" t="n">
        <x:v>22.200000000000003</x:v>
      </x:c>
      <x:c r="B224" s="24" t="n">
        <x:v>92.33906109628758</x:v>
      </x:c>
      <x:c r="C224" s="24" t="n">
        <x:v>91.55589752504582</x:v>
      </x:c>
      <x:c r="D224" s="24" t="n">
        <x:v>70.58061610889571</x:v>
      </x:c>
      <x:c r="E224" s="24" t="n">
        <x:v>66.90708030401085</x:v>
      </x:c>
      <x:c r="F224" s="24" t="n">
        <x:v>70.51631039227986</x:v>
      </x:c>
      <x:c r="G224" s="24" t="n">
        <x:v>67.89401964914958</x:v>
      </x:c>
      <x:c r="H224" s="24" t="n">
        <x:v>82.7627114750702</x:v>
      </x:c>
      <x:c r="I224" s="24" t="n">
        <x:v>65.31021103976788</x:v>
      </x:c>
      <x:c r="J224" s="24"/>
      <x:c r="K224" s="24" t="n">
        <x:v>81.80958617095628</x:v>
      </x:c>
      <x:c r="L224" s="24" t="n">
        <x:v>59.94516920405252</x:v>
      </x:c>
      <x:c r="M224" s="24" t="n">
        <x:v>71.3540656705938</x:v>
      </x:c>
      <x:c r="N224" s="24" t="n">
        <x:v>75.10164358790887</x:v>
      </x:c>
      <x:c r="O224" s="24" t="n">
        <x:v>72.9345636419224</x:v>
      </x:c>
      <x:c r="P224" s="24" t="n">
        <x:v>79.0801156581558</x:v>
      </x:c>
      <x:c r="Q224" s="24"/>
      <x:c r="R224" s="24" t="n">
        <x:v>75.01614984573729</x:v>
      </x:c>
      <x:c r="S224" s="24" t="n">
        <x:v>69.93598366292215</x:v>
      </x:c>
      <x:c r="T224" s="24" t="n">
        <x:v>50</x:v>
      </x:c>
      <x:c r="U224" s="24" t="n">
        <x:v>50</x:v>
      </x:c>
    </x:row>
    <x:row r="225">
      <x:c r="A225" s="24" t="n">
        <x:v>22.3</x:v>
      </x:c>
      <x:c r="B225" s="24" t="n">
        <x:v>86.67573349651724</x:v>
      </x:c>
      <x:c r="C225" s="24" t="n">
        <x:v>86.54411360313424</x:v>
      </x:c>
      <x:c r="D225" s="24" t="n">
        <x:v>59.13299175726425</x:v>
      </x:c>
      <x:c r="E225" s="24" t="n">
        <x:v>68.65620622277153</x:v>
      </x:c>
      <x:c r="F225" s="24" t="n">
        <x:v>70.51631039227986</x:v>
      </x:c>
      <x:c r="G225" s="24" t="n">
        <x:v>53.50474931864532</x:v>
      </x:c>
      <x:c r="H225" s="24" t="n">
        <x:v>82.7627114750702</x:v>
      </x:c>
      <x:c r="I225" s="24" t="n">
        <x:v>65.01552368216045</x:v>
      </x:c>
      <x:c r="J225" s="24"/>
      <x:c r="K225" s="24" t="n">
        <x:v>83.6976609747236</x:v>
      </x:c>
      <x:c r="L225" s="24" t="n">
        <x:v>80.62602583748104</x:v>
      </x:c>
      <x:c r="M225" s="24" t="n">
        <x:v>71.62072716048816</x:v>
      </x:c>
      <x:c r="N225" s="24" t="n">
        <x:v>77.77583719421432</x:v>
      </x:c>
      <x:c r="O225" s="24" t="n">
        <x:v>79.2180842559994</x:v>
      </x:c>
      <x:c r="P225" s="24" t="n">
        <x:v>76.75835078558629</x:v>
      </x:c>
      <x:c r="Q225" s="24"/>
      <x:c r="R225" s="24" t="n">
        <x:v>64.35961198323606</x:v>
      </x:c>
      <x:c r="S225" s="24" t="n">
        <x:v>67.50589580793333</x:v>
      </x:c>
      <x:c r="T225" s="24" t="n">
        <x:v>50</x:v>
      </x:c>
      <x:c r="U225" s="24" t="n">
        <x:v>50</x:v>
      </x:c>
    </x:row>
    <x:row r="226">
      <x:c r="A226" s="24" t="n">
        <x:v>22.400000000000002</x:v>
      </x:c>
      <x:c r="B226" s="24" t="n">
        <x:v>78.44377691082734</x:v>
      </x:c>
      <x:c r="C226" s="24" t="n">
        <x:v>77.9142943461551</x:v>
      </x:c>
      <x:c r="D226" s="24" t="n">
        <x:v>55.6715028218112</x:v>
      </x:c>
      <x:c r="E226" s="24" t="n">
        <x:v>68.65620622277153</x:v>
      </x:c>
      <x:c r="F226" s="24" t="n">
        <x:v>70.27210998812261</x:v>
      </x:c>
      <x:c r="G226" s="24" t="n">
        <x:v>53.50474931864532</x:v>
      </x:c>
      <x:c r="H226" s="24" t="n">
        <x:v>73.7594319419553</x:v>
      </x:c>
      <x:c r="I226" s="24" t="n">
        <x:v>65.26540602589874</x:v>
      </x:c>
      <x:c r="J226" s="24"/>
      <x:c r="K226" s="24" t="n">
        <x:v>83.69766097472319</x:v>
      </x:c>
      <x:c r="L226" s="24" t="n">
        <x:v>80.62602583748104</x:v>
      </x:c>
      <x:c r="M226" s="24" t="n">
        <x:v>71.54811547750883</x:v>
      </x:c>
      <x:c r="N226" s="24" t="n">
        <x:v>77.77583719421432</x:v>
      </x:c>
      <x:c r="O226" s="24" t="n">
        <x:v>79.2180842559994</x:v>
      </x:c>
      <x:c r="P226" s="24" t="n">
        <x:v>65.15743797924603</x:v>
      </x:c>
      <x:c r="Q226" s="24"/>
      <x:c r="R226" s="24" t="n">
        <x:v>50</x:v>
      </x:c>
      <x:c r="S226" s="24" t="n">
        <x:v>67.46472290406447</x:v>
      </x:c>
      <x:c r="T226" s="24" t="n">
        <x:v>50</x:v>
      </x:c>
      <x:c r="U226" s="24" t="n">
        <x:v>62.602126362337074</x:v>
      </x:c>
    </x:row>
    <x:row r="227">
      <x:c r="A227" s="24" t="n">
        <x:v>22.5</x:v>
      </x:c>
      <x:c r="B227" s="24" t="n">
        <x:v>73.99924040266572</x:v>
      </x:c>
      <x:c r="C227" s="24" t="n">
        <x:v>74.9241790031362</x:v>
      </x:c>
      <x:c r="D227" s="24" t="n">
        <x:v>54.40124031317448</x:v>
      </x:c>
      <x:c r="E227" s="24" t="n">
        <x:v>68.62087685139724</x:v>
      </x:c>
      <x:c r="F227" s="24" t="n">
        <x:v>86.74441078104394</x:v>
      </x:c>
      <x:c r="G227" s="24" t="n">
        <x:v>53.50474931864532</x:v>
      </x:c>
      <x:c r="H227" s="24" t="n">
        <x:v>65.23419963241062</x:v>
      </x:c>
      <x:c r="I227" s="24" t="n">
        <x:v>66.23712886475413</x:v>
      </x:c>
      <x:c r="J227" s="24"/>
      <x:c r="K227" s="24" t="n">
        <x:v>73.81253959116344</x:v>
      </x:c>
      <x:c r="L227" s="24" t="n">
        <x:v>76.02448051824128</x:v>
      </x:c>
      <x:c r="M227" s="24" t="n">
        <x:v>71.12846026741583</x:v>
      </x:c>
      <x:c r="N227" s="24" t="n">
        <x:v>73.30976473722157</x:v>
      </x:c>
      <x:c r="O227" s="24" t="n">
        <x:v>72.10978886069131</x:v>
      </x:c>
      <x:c r="P227" s="24" t="n">
        <x:v>50</x:v>
      </x:c>
      <x:c r="Q227" s="24"/>
      <x:c r="R227" s="24" t="n">
        <x:v>50</x:v>
      </x:c>
      <x:c r="S227" s="24" t="n">
        <x:v>81.62335545346346</x:v>
      </x:c>
      <x:c r="T227" s="24" t="n">
        <x:v>50</x:v>
      </x:c>
      <x:c r="U227" s="24" t="n">
        <x:v>74.08801145020206</x:v>
      </x:c>
    </x:row>
    <x:row r="228">
      <x:c r="A228" s="24" t="n">
        <x:v>22.6</x:v>
      </x:c>
      <x:c r="B228" s="24" t="n">
        <x:v>72.36747894650252</x:v>
      </x:c>
      <x:c r="C228" s="24" t="n">
        <x:v>74.35074063782295</x:v>
      </x:c>
      <x:c r="D228" s="24" t="n">
        <x:v>57.750376779267114</x:v>
      </x:c>
      <x:c r="E228" s="24" t="n">
        <x:v>71.67107703574419</x:v>
      </x:c>
      <x:c r="F228" s="24" t="n">
        <x:v>89.93586188951963</x:v>
      </x:c>
      <x:c r="G228" s="24" t="n">
        <x:v>62.386843440582616</x:v>
      </x:c>
      <x:c r="H228" s="24" t="n">
        <x:v>47.50917001791066</x:v>
      </x:c>
      <x:c r="I228" s="24" t="n">
        <x:v>66.10866032027947</x:v>
      </x:c>
      <x:c r="J228" s="24"/>
      <x:c r="K228" s="24" t="n">
        <x:v>67.2541701918948</x:v>
      </x:c>
      <x:c r="L228" s="24" t="n">
        <x:v>67.46117303438518</x:v>
      </x:c>
      <x:c r="M228" s="24" t="n">
        <x:v>71.12846026741583</x:v>
      </x:c>
      <x:c r="N228" s="24" t="n">
        <x:v>61.03651794566731</x:v>
      </x:c>
      <x:c r="O228" s="24" t="n">
        <x:v>57.30742361170988</x:v>
      </x:c>
      <x:c r="P228" s="24" t="n">
        <x:v>50</x:v>
      </x:c>
      <x:c r="Q228" s="24"/>
      <x:c r="R228" s="24" t="n">
        <x:v>50</x:v>
      </x:c>
      <x:c r="S228" s="24" t="n">
        <x:v>81.62335545346346</x:v>
      </x:c>
      <x:c r="T228" s="24" t="n">
        <x:v>50</x:v>
      </x:c>
      <x:c r="U228" s="24" t="n">
        <x:v>76.0609086623831</x:v>
      </x:c>
    </x:row>
    <x:row r="229">
      <x:c r="A229" s="24" t="n">
        <x:v>22.700000000000003</x:v>
      </x:c>
      <x:c r="B229" s="24" t="n">
        <x:v>70.91796078639172</x:v>
      </x:c>
      <x:c r="C229" s="24" t="n">
        <x:v>66.2774328372107</x:v>
      </x:c>
      <x:c r="D229" s="24" t="n">
        <x:v>61.099513245359745</x:v>
      </x:c>
      <x:c r="E229" s="24" t="n">
        <x:v>73.25793305996592</x:v>
      </x:c>
      <x:c r="F229" s="24" t="n">
        <x:v>89.93586188951963</x:v>
      </x:c>
      <x:c r="G229" s="24" t="n">
        <x:v>65.9396810893574</x:v>
      </x:c>
      <x:c r="H229" s="24" t="n">
        <x:v>55.019867007134366</x:v>
      </x:c>
      <x:c r="I229" s="24" t="n">
        <x:v>65.87505759826638</x:v>
      </x:c>
      <x:c r="J229" s="24"/>
      <x:c r="K229" s="24" t="n">
        <x:v>64.11146987849187</x:v>
      </x:c>
      <x:c r="L229" s="24" t="n">
        <x:v>61.40451630260548</x:v>
      </x:c>
      <x:c r="M229" s="24" t="n">
        <x:v>69.57727232486012</x:v>
      </x:c>
      <x:c r="N229" s="24" t="n">
        <x:v>50</x:v>
      </x:c>
      <x:c r="O229" s="24" t="n">
        <x:v>50</x:v>
      </x:c>
      <x:c r="P229" s="24" t="n">
        <x:v>50</x:v>
      </x:c>
      <x:c r="Q229" s="24"/>
      <x:c r="R229" s="24" t="n">
        <x:v>80.45485806978789</x:v>
      </x:c>
      <x:c r="S229" s="24" t="n">
        <x:v>78.19960555883188</x:v>
      </x:c>
      <x:c r="T229" s="24" t="n">
        <x:v>65.97886381176126</x:v>
      </x:c>
      <x:c r="U229" s="24" t="n">
        <x:v>76.06090866238289</x:v>
      </x:c>
    </x:row>
    <x:row r="230">
      <x:c r="A230" s="24" t="n">
        <x:v>22.8</x:v>
      </x:c>
      <x:c r="B230" s="24" t="n">
        <x:v>67.92481577013281</x:v>
      </x:c>
      <x:c r="C230" s="24" t="n">
        <x:v>66.2774328372107</x:v>
      </x:c>
      <x:c r="D230" s="24" t="n">
        <x:v>63.10899512501525</x:v>
      </x:c>
      <x:c r="E230" s="24" t="n">
        <x:v>80.4106047416266</x:v>
      </x:c>
      <x:c r="F230" s="24" t="n">
        <x:v>80.00741805304924</x:v>
      </x:c>
      <x:c r="G230" s="24" t="n">
        <x:v>70.69531646148715</x:v>
      </x:c>
      <x:c r="H230" s="24" t="n">
        <x:v>62.5305639963578</x:v>
      </x:c>
      <x:c r="I230" s="24" t="n">
        <x:v>62.644599608005876</x:v>
      </x:c>
      <x:c r="J230" s="24"/>
      <x:c r="K230" s="24" t="n">
        <x:v>63.38605553369503</x:v>
      </x:c>
      <x:c r="L230" s="24" t="n">
        <x:v>50.98269261885198</x:v>
      </x:c>
      <x:c r="M230" s="24" t="n">
        <x:v>66.89415743546598</x:v>
      </x:c>
      <x:c r="N230" s="24" t="n">
        <x:v>50</x:v>
      </x:c>
      <x:c r="O230" s="24" t="n">
        <x:v>50</x:v>
      </x:c>
      <x:c r="P230" s="24" t="n">
        <x:v>50</x:v>
      </x:c>
      <x:c r="Q230" s="24"/>
      <x:c r="R230" s="24" t="n">
        <x:v>80.68536164115785</x:v>
      </x:c>
      <x:c r="S230" s="24" t="n">
        <x:v>68.8824052675297</x:v>
      </x:c>
      <x:c r="T230" s="24" t="n">
        <x:v>67.13857548627355</x:v>
      </x:c>
      <x:c r="U230" s="24" t="n">
        <x:v>65.32289265923762</x:v>
      </x:c>
    </x:row>
    <x:row r="231">
      <x:c r="A231" s="24" t="n">
        <x:v>22.900000000000002</x:v>
      </x:c>
      <x:c r="B231" s="24" t="n">
        <x:v>64.53733870528234</x:v>
      </x:c>
      <x:c r="C231" s="24" t="n">
        <x:v>61.79392517840128</x:v>
      </x:c>
      <x:c r="D231" s="24" t="n">
        <x:v>63.108995125015575</x:v>
      </x:c>
      <x:c r="E231" s="24" t="n">
        <x:v>80.4106047416266</x:v>
      </x:c>
      <x:c r="F231" s="24" t="n">
        <x:v>74.05953885744081</x:v>
      </x:c>
      <x:c r="G231" s="24" t="n">
        <x:v>73.03173281623691</x:v>
      </x:c>
      <x:c r="H231" s="24" t="n">
        <x:v>65.53484279204717</x:v>
      </x:c>
      <x:c r="I231" s="24" t="n">
        <x:v>71.33245138269386</x:v>
      </x:c>
      <x:c r="J231" s="24"/>
      <x:c r="K231" s="24" t="n">
        <x:v>62.394913976705766</x:v>
      </x:c>
      <x:c r="L231" s="24" t="n">
        <x:v>53.43942416598202</x:v>
      </x:c>
      <x:c r="M231" s="24" t="n">
        <x:v>79.2875536462474</x:v>
      </x:c>
      <x:c r="N231" s="24" t="n">
        <x:v>50</x:v>
      </x:c>
      <x:c r="O231" s="24" t="n">
        <x:v>73.46016133788818</x:v>
      </x:c>
      <x:c r="P231" s="24" t="n">
        <x:v>75.28948117771736</x:v>
      </x:c>
      <x:c r="Q231" s="24"/>
      <x:c r="R231" s="24" t="n">
        <x:v>78.97224149099993</x:v>
      </x:c>
      <x:c r="S231" s="24" t="n">
        <x:v>60.98771846466557</x:v>
      </x:c>
      <x:c r="T231" s="24" t="n">
        <x:v>67.13857548627355</x:v>
      </x:c>
      <x:c r="U231" s="24" t="n">
        <x:v>63.643091826539916</x:v>
      </x:c>
    </x:row>
    <x:row r="232">
      <x:c r="A232" s="24" t="n">
        <x:v>23</x:v>
      </x:c>
      <x:c r="B232" s="24" t="n">
        <x:v>60.84738836225208</x:v>
      </x:c>
      <x:c r="C232" s="24" t="n">
        <x:v>61.79392517840128</x:v>
      </x:c>
      <x:c r="D232" s="24" t="n">
        <x:v>72.33035240573123</x:v>
      </x:c>
      <x:c r="E232" s="24" t="n">
        <x:v>71.87982327764726</x:v>
      </x:c>
      <x:c r="F232" s="24" t="n">
        <x:v>72.33937765964319</x:v>
      </x:c>
      <x:c r="G232" s="24" t="n">
        <x:v>73.03173281623691</x:v>
      </x:c>
      <x:c r="H232" s="24" t="n">
        <x:v>73.1831473936893</x:v>
      </x:c>
      <x:c r="I232" s="24" t="n">
        <x:v>74.32358872437396</x:v>
      </x:c>
      <x:c r="J232" s="24"/>
      <x:c r="K232" s="24" t="n">
        <x:v>69.10306868026404</x:v>
      </x:c>
      <x:c r="L232" s="24" t="n">
        <x:v>55.89615571311197</x:v>
      </x:c>
      <x:c r="M232" s="24" t="n">
        <x:v>79.2875536462474</x:v>
      </x:c>
      <x:c r="N232" s="24" t="n">
        <x:v>50</x:v>
      </x:c>
      <x:c r="O232" s="24" t="n">
        <x:v>74.85809147501372</x:v>
      </x:c>
      <x:c r="P232" s="24" t="n">
        <x:v>79.53055906404019</x:v>
      </x:c>
      <x:c r="Q232" s="24"/>
      <x:c r="R232" s="24" t="n">
        <x:v>70.84576749228526</x:v>
      </x:c>
      <x:c r="S232" s="24" t="n">
        <x:v>50</x:v>
      </x:c>
      <x:c r="T232" s="24" t="n">
        <x:v>66.36239852113528</x:v>
      </x:c>
      <x:c r="U232" s="24" t="n">
        <x:v>63.643091826539916</x:v>
      </x:c>
    </x:row>
    <x:row r="233">
      <x:c r="A233" s="24" t="n">
        <x:v>23.1</x:v>
      </x:c>
      <x:c r="B233" s="24" t="n">
        <x:v>65.82999318147567</x:v>
      </x:c>
      <x:c r="C233" s="24" t="n">
        <x:v>51.595284178115094</x:v>
      </x:c>
      <x:c r="D233" s="24" t="n">
        <x:v>76.0188953180175</x:v>
      </x:c>
      <x:c r="E233" s="24" t="n">
        <x:v>65.79583176541016</x:v>
      </x:c>
      <x:c r="F233" s="24" t="n">
        <x:v>70.27445840845361</x:v>
      </x:c>
      <x:c r="G233" s="24" t="n">
        <x:v>64.13884635827372</x:v>
      </x:c>
      <x:c r="H233" s="24" t="n">
        <x:v>74.45384409595685</x:v>
      </x:c>
      <x:c r="I233" s="24" t="n">
        <x:v>74.32358872437396</x:v>
      </x:c>
      <x:c r="J233" s="24"/>
      <x:c r="K233" s="24" t="n">
        <x:v>70.4446996209757</x:v>
      </x:c>
      <x:c r="L233" s="24" t="n">
        <x:v>58.352887260242014</x:v>
      </x:c>
      <x:c r="M233" s="24" t="n">
        <x:v>75.80951369374078</x:v>
      </x:c>
      <x:c r="N233" s="24" t="n">
        <x:v>68.91750240262087</x:v>
      </x:c>
      <x:c r="O233" s="24" t="n">
        <x:v>74.83194101224822</x:v>
      </x:c>
      <x:c r="P233" s="24" t="n">
        <x:v>79.53055906404019</x:v>
      </x:c>
      <x:c r="Q233" s="24"/>
      <x:c r="R233" s="24" t="n">
        <x:v>70.84576749228526</x:v>
      </x:c>
      <x:c r="S233" s="24" t="n">
        <x:v>55.752292595546734</x:v>
      </x:c>
      <x:c r="T233" s="24" t="n">
        <x:v>67.99977170533617</x:v>
      </x:c>
      <x:c r="U233" s="24" t="n">
        <x:v>62.972066650176416</x:v>
      </x:c>
    </x:row>
    <x:row r="234">
      <x:c r="A234" s="24" t="n">
        <x:v>23.200000000000003</x:v>
      </x:c>
      <x:c r="B234" s="24" t="n">
        <x:v>65.82999318147559</x:v>
      </x:c>
      <x:c r="C234" s="24" t="n">
        <x:v>60.11628107068608</x:v>
      </x:c>
      <x:c r="D234" s="24" t="n">
        <x:v>75.86529760211589</x:v>
      </x:c>
      <x:c r="E234" s="24" t="n">
        <x:v>59.09194479438671</x:v>
      </x:c>
      <x:c r="F234" s="24" t="n">
        <x:v>65.7577045383559</x:v>
      </x:c>
      <x:c r="G234" s="24" t="n">
        <x:v>66.74600397186664</x:v>
      </x:c>
      <x:c r="H234" s="24" t="n">
        <x:v>72.8609122107986</x:v>
      </x:c>
      <x:c r="I234" s="24" t="n">
        <x:v>68.58218297580702</x:v>
      </x:c>
      <x:c r="J234" s="24"/>
      <x:c r="K234" s="24" t="n">
        <x:v>68.75814536131432</x:v>
      </x:c>
      <x:c r="L234" s="24" t="n">
        <x:v>58.844233569668006</x:v>
      </x:c>
      <x:c r="M234" s="24" t="n">
        <x:v>61.678166865676346</x:v>
      </x:c>
      <x:c r="N234" s="24" t="n">
        <x:v>68.91750240262087</x:v>
      </x:c>
      <x:c r="O234" s="24" t="n">
        <x:v>69.67468322495873</x:v>
      </x:c>
      <x:c r="P234" s="24" t="n">
        <x:v>73.2401218314885</x:v>
      </x:c>
      <x:c r="Q234" s="24"/>
      <x:c r="R234" s="24" t="n">
        <x:v>67.13289683028964</x:v>
      </x:c>
      <x:c r="S234" s="24" t="n">
        <x:v>65.46203999594795</x:v>
      </x:c>
      <x:c r="T234" s="24" t="n">
        <x:v>67.99977170533617</x:v>
      </x:c>
      <x:c r="U234" s="24" t="n">
        <x:v>60.94547367957388</x:v>
      </x:c>
    </x:row>
    <x:row r="235">
      <x:c r="A235" s="24" t="n">
        <x:v>23.3</x:v>
      </x:c>
      <x:c r="B235" s="24" t="n">
        <x:v>61.743955686294804</x:v>
      </x:c>
      <x:c r="C235" s="24" t="n">
        <x:v>75.41467686212235</x:v>
      </x:c>
      <x:c r="D235" s="24" t="n">
        <x:v>71.01490462952465</x:v>
      </x:c>
      <x:c r="E235" s="24" t="n">
        <x:v>49.331608997128484</x:v>
      </x:c>
      <x:c r="F235" s="24" t="n">
        <x:v>67.3272631595847</x:v>
      </x:c>
      <x:c r="G235" s="24" t="n">
        <x:v>67.73405105534158</x:v>
      </x:c>
      <x:c r="H235" s="24" t="n">
        <x:v>65.32111766948783</x:v>
      </x:c>
      <x:c r="I235" s="24" t="n">
        <x:v>66.85130891694347</x:v>
      </x:c>
      <x:c r="J235" s="24"/>
      <x:c r="K235" s="24" t="n">
        <x:v>64.66058212518993</x:v>
      </x:c>
      <x:c r="L235" s="24" t="n">
        <x:v>79.75720786218243</x:v>
      </x:c>
      <x:c r="M235" s="24" t="n">
        <x:v>50.831479962583415</x:v>
      </x:c>
      <x:c r="N235" s="24" t="n">
        <x:v>66.42325690269091</x:v>
      </x:c>
      <x:c r="O235" s="24" t="n">
        <x:v>68.63975094873209</x:v>
      </x:c>
      <x:c r="P235" s="24" t="n">
        <x:v>73.2401218314885</x:v>
      </x:c>
      <x:c r="Q235" s="24"/>
      <x:c r="R235" s="24" t="n">
        <x:v>65.55582738572622</x:v>
      </x:c>
      <x:c r="S235" s="24" t="n">
        <x:v>69.39803804999065</x:v>
      </x:c>
      <x:c r="T235" s="24" t="n">
        <x:v>67.442980511516</x:v>
      </x:c>
      <x:c r="U235" s="24" t="n">
        <x:v>63.61586860534163</x:v>
      </x:c>
    </x:row>
    <x:row r="236">
      <x:c r="A236" s="24" t="n">
        <x:v>23.400000000000002</x:v>
      </x:c>
      <x:c r="B236" s="24" t="n">
        <x:v>52.31265339012033</x:v>
      </x:c>
      <x:c r="C236" s="24" t="n">
        <x:v>75.41467686212235</x:v>
      </x:c>
      <x:c r="D236" s="24" t="n">
        <x:v>63.57610294420325</x:v>
      </x:c>
      <x:c r="E236" s="24" t="n">
        <x:v>49.33160899712984</x:v>
      </x:c>
      <x:c r="F236" s="24" t="n">
        <x:v>65.2010746701447</x:v>
      </x:c>
      <x:c r="G236" s="24" t="n">
        <x:v>67.73405105534158</x:v>
      </x:c>
      <x:c r="H236" s="24" t="n">
        <x:v>70.44335136020439</x:v>
      </x:c>
      <x:c r="I236" s="24" t="n">
        <x:v>65.12043485807985</x:v>
      </x:c>
      <x:c r="J236" s="24"/>
      <x:c r="K236" s="24" t="n">
        <x:v>60.563018889065546</x:v>
      </x:c>
      <x:c r="L236" s="24" t="n">
        <x:v>82.3497622463445</x:v>
      </x:c>
      <x:c r="M236" s="24" t="n">
        <x:v>52.21727990022241</x:v>
      </x:c>
      <x:c r="N236" s="24" t="n">
        <x:v>68.54941446421968</x:v>
      </x:c>
      <x:c r="O236" s="24" t="n">
        <x:v>66.55957807663981</x:v>
      </x:c>
      <x:c r="P236" s="24" t="n">
        <x:v>70.35370770347113</x:v>
      </x:c>
      <x:c r="Q236" s="24"/>
      <x:c r="R236" s="24" t="n">
        <x:v>66.14566364519669</x:v>
      </x:c>
      <x:c r="S236" s="24" t="n">
        <x:v>69.72251260476938</x:v>
      </x:c>
      <x:c r="T236" s="24" t="n">
        <x:v>68.51966078553394</x:v>
      </x:c>
      <x:c r="U236" s="24" t="n">
        <x:v>63.61586860534163</x:v>
      </x:c>
    </x:row>
    <x:row r="237">
      <x:c r="A237" s="24" t="n">
        <x:v>23.5</x:v>
      </x:c>
      <x:c r="B237" s="24" t="n">
        <x:v>76.41117893570096</x:v>
      </x:c>
      <x:c r="C237" s="24" t="n">
        <x:v>72.19951294408625</x:v>
      </x:c>
      <x:c r="D237" s="24" t="n">
        <x:v>62.89932351534967</x:v>
      </x:c>
      <x:c r="E237" s="24" t="n">
        <x:v>64.61463044805032</x:v>
      </x:c>
      <x:c r="F237" s="24" t="n">
        <x:v>70.34610982443404</x:v>
      </x:c>
      <x:c r="G237" s="24" t="n">
        <x:v>67.20531255824486</x:v>
      </x:c>
      <x:c r="H237" s="24" t="n">
        <x:v>71.25493419990141</x:v>
      </x:c>
      <x:c r="I237" s="24" t="n">
        <x:v>63.3895607992163</x:v>
      </x:c>
      <x:c r="J237" s="24"/>
      <x:c r="K237" s="24" t="n">
        <x:v>60.563018889065546</x:v>
      </x:c>
      <x:c r="L237" s="24" t="n">
        <x:v>82.3497622463445</x:v>
      </x:c>
      <x:c r="M237" s="24" t="n">
        <x:v>53.60307983786136</x:v>
      </x:c>
      <x:c r="N237" s="24" t="n">
        <x:v>68.54941446421968</x:v>
      </x:c>
      <x:c r="O237" s="24" t="n">
        <x:v>64.12525952284534</x:v>
      </x:c>
      <x:c r="P237" s="24" t="n">
        <x:v>67.73979079952633</x:v>
      </x:c>
      <x:c r="Q237" s="24"/>
      <x:c r="R237" s="24" t="n">
        <x:v>66.14566364519669</x:v>
      </x:c>
      <x:c r="S237" s="24" t="n">
        <x:v>71.99298205899166</x:v>
      </x:c>
      <x:c r="T237" s="24" t="n">
        <x:v>84.40200162025783</x:v>
      </x:c>
      <x:c r="U237" s="24" t="n">
        <x:v>63.17140234775326</x:v>
      </x:c>
    </x:row>
    <x:row r="238">
      <x:c r="A238" s="24" t="n">
        <x:v>23.6</x:v>
      </x:c>
      <x:c r="B238" s="24" t="n">
        <x:v>76.41117893570096</x:v>
      </x:c>
      <x:c r="C238" s="24" t="n">
        <x:v>66.56674728944807</x:v>
      </x:c>
      <x:c r="D238" s="24" t="n">
        <x:v>65.37882949809638</x:v>
      </x:c>
      <x:c r="E238" s="24" t="n">
        <x:v>64.61463044805032</x:v>
      </x:c>
      <x:c r="F238" s="24" t="n">
        <x:v>70.86768560757804</x:v>
      </x:c>
      <x:c r="G238" s="24" t="n">
        <x:v>67.20531255824486</x:v>
      </x:c>
      <x:c r="H238" s="24" t="n">
        <x:v>72.99345376398621</x:v>
      </x:c>
      <x:c r="I238" s="24" t="n">
        <x:v>62.00486155212546</x:v>
      </x:c>
      <x:c r="J238" s="24"/>
      <x:c r="K238" s="24" t="n">
        <x:v>60.53427664324008</x:v>
      </x:c>
      <x:c r="L238" s="24" t="n">
        <x:v>77.16556635716549</x:v>
      </x:c>
      <x:c r="M238" s="24" t="n">
        <x:v>54.98887977550035</x:v>
      </x:c>
      <x:c r="N238" s="24" t="n">
        <x:v>68.84684549163832</x:v>
      </x:c>
      <x:c r="O238" s="24" t="n">
        <x:v>63.97555045055715</x:v>
      </x:c>
      <x:c r="P238" s="24" t="n">
        <x:v>67.73979079952633</x:v>
      </x:c>
      <x:c r="Q238" s="24"/>
      <x:c r="R238" s="24" t="n">
        <x:v>67.15529113557147</x:v>
      </x:c>
      <x:c r="S238" s="24" t="n">
        <x:v>71.99298205899166</x:v>
      </x:c>
      <x:c r="T238" s="24" t="n">
        <x:v>84.40200162025783</x:v>
      </x:c>
      <x:c r="U238" s="24" t="n">
        <x:v>64.00154019586454</x:v>
      </x:c>
    </x:row>
    <x:row r="239">
      <x:c r="A239" s="24" t="n">
        <x:v>23.700000000000003</x:v>
      </x:c>
      <x:c r="B239" s="24" t="n">
        <x:v>75.5427345945545</x:v>
      </x:c>
      <x:c r="C239" s="24" t="n">
        <x:v>63.40231986868934</x:v>
      </x:c>
      <x:c r="D239" s="24" t="n">
        <x:v>66.47261251651032</x:v>
      </x:c>
      <x:c r="E239" s="24" t="n">
        <x:v>71.2612591672715</x:v>
      </x:c>
      <x:c r="F239" s="24" t="n">
        <x:v>69.62123998333712</x:v>
      </x:c>
      <x:c r="G239" s="24" t="n">
        <x:v>68.9719085391032</x:v>
      </x:c>
      <x:c r="H239" s="24" t="n">
        <x:v>73.60951842168055</x:v>
      </x:c>
      <x:c r="I239" s="24" t="n">
        <x:v>68.03136484752413</x:v>
      </x:c>
      <x:c r="J239" s="24"/>
      <x:c r="K239" s="24" t="n">
        <x:v>62.43900458830413</x:v>
      </x:c>
      <x:c r="L239" s="24" t="n">
        <x:v>75.88811813699749</x:v>
      </x:c>
      <x:c r="M239" s="24" t="n">
        <x:v>75.11299094638653</x:v>
      </x:c>
      <x:c r="N239" s="24" t="n">
        <x:v>69.60977635989366</x:v>
      </x:c>
      <x:c r="O239" s="24" t="n">
        <x:v>64.96623853918868</x:v>
      </x:c>
      <x:c r="P239" s="24" t="n">
        <x:v>68.92963670141349</x:v>
      </x:c>
      <x:c r="Q239" s="24"/>
      <x:c r="R239" s="24" t="n">
        <x:v>67.57472171137061</x:v>
      </x:c>
      <x:c r="S239" s="24" t="n">
        <x:v>76.29143020230534</x:v>
      </x:c>
      <x:c r="T239" s="24" t="n">
        <x:v>81.33034696727098</x:v>
      </x:c>
      <x:c r="U239" s="24" t="n">
        <x:v>65.5076758772172</x:v>
      </x:c>
    </x:row>
    <x:row r="240">
      <x:c r="A240" s="24" t="n">
        <x:v>23.8</x:v>
      </x:c>
      <x:c r="B240" s="24" t="n">
        <x:v>68.7594385335454</x:v>
      </x:c>
      <x:c r="C240" s="24" t="n">
        <x:v>68.99038534380901</x:v>
      </x:c>
      <x:c r="D240" s="24" t="n">
        <x:v>66.47261251651032</x:v>
      </x:c>
      <x:c r="E240" s="24" t="n">
        <x:v>74.04449361243128</x:v>
      </x:c>
      <x:c r="F240" s="24" t="n">
        <x:v>62.354024531757105</x:v>
      </x:c>
      <x:c r="G240" s="24" t="n">
        <x:v>69.00749236627732</x:v>
      </x:c>
      <x:c r="H240" s="24" t="n">
        <x:v>73.90929290649993</x:v>
      </x:c>
      <x:c r="I240" s="24" t="n">
        <x:v>69.10714927864123</x:v>
      </x:c>
      <x:c r="J240" s="24"/>
      <x:c r="K240" s="24" t="n">
        <x:v>80.0979703002869</x:v>
      </x:c>
      <x:c r="L240" s="24" t="n">
        <x:v>71.60598089820145</x:v>
      </x:c>
      <x:c r="M240" s="24" t="n">
        <x:v>80.175382379541</x:v>
      </x:c>
      <x:c r="N240" s="24" t="n">
        <x:v>69.60977635989366</x:v>
      </x:c>
      <x:c r="O240" s="24" t="n">
        <x:v>66.02852273387177</x:v>
      </x:c>
      <x:c r="P240" s="24" t="n">
        <x:v>69.17641762960882</x:v>
      </x:c>
      <x:c r="Q240" s="24"/>
      <x:c r="R240" s="24" t="n">
        <x:v>67.2006210351444</x:v>
      </x:c>
      <x:c r="S240" s="24" t="n">
        <x:v>85.28435422439048</x:v>
      </x:c>
      <x:c r="T240" s="24" t="n">
        <x:v>76.34703684098464</x:v>
      </x:c>
      <x:c r="U240" s="24" t="n">
        <x:v>70.77999378087443</x:v>
      </x:c>
    </x:row>
    <x:row r="241">
      <x:c r="A241" s="24" t="n">
        <x:v>23.900000000000002</x:v>
      </x:c>
      <x:c r="B241" s="24" t="n">
        <x:v>64.19410745703263</x:v>
      </x:c>
      <x:c r="C241" s="24" t="n">
        <x:v>68.99038534380901</x:v>
      </x:c>
      <x:c r="D241" s="24" t="n">
        <x:v>67.03207768117635</x:v>
      </x:c>
      <x:c r="E241" s="24" t="n">
        <x:v>74.04449361243128</x:v>
      </x:c>
      <x:c r="F241" s="24" t="n">
        <x:v>52.62734679464078</x:v>
      </x:c>
      <x:c r="G241" s="24" t="n">
        <x:v>69.6678811636713</x:v>
      </x:c>
      <x:c r="H241" s="24" t="n">
        <x:v>74.19093007823244</x:v>
      </x:c>
      <x:c r="I241" s="24" t="n">
        <x:v>68.41293457584398</x:v>
      </x:c>
      <x:c r="J241" s="24"/>
      <x:c r="K241" s="24" t="n">
        <x:v>83.72517721539981</x:v>
      </x:c>
      <x:c r="L241" s="24" t="n">
        <x:v>69.84780563120627</x:v>
      </x:c>
      <x:c r="M241" s="24" t="n">
        <x:v>80.175382379541</x:v>
      </x:c>
      <x:c r="N241" s="24" t="n">
        <x:v>70.71626985028081</x:v>
      </x:c>
      <x:c r="O241" s="24" t="n">
        <x:v>66.10965035751443</x:v>
      </x:c>
      <x:c r="P241" s="24" t="n">
        <x:v>69.17641762960882</x:v>
      </x:c>
      <x:c r="Q241" s="24"/>
      <x:c r="R241" s="24" t="n">
        <x:v>65.17239769327574</x:v>
      </x:c>
      <x:c r="S241" s="24" t="n">
        <x:v>85.28435422439048</x:v>
      </x:c>
      <x:c r="T241" s="24" t="n">
        <x:v>73.93446458144697</x:v>
      </x:c>
      <x:c r="U241" s="24" t="n">
        <x:v>79.56719028696932</x:v>
      </x:c>
    </x:row>
    <x:row r="242">
      <x:c r="A242" s="24" t="n">
        <x:v>24</x:v>
      </x:c>
      <x:c r="B242" s="24" t="n">
        <x:v>63.55236572758537</x:v>
      </x:c>
      <x:c r="C242" s="24" t="n">
        <x:v>68.96625130337895</x:v>
      </x:c>
      <x:c r="D242" s="24" t="n">
        <x:v>66.80501809716584</x:v>
      </x:c>
      <x:c r="E242" s="24" t="n">
        <x:v>68.2560912795065</x:v>
      </x:c>
      <x:c r="F242" s="24" t="n">
        <x:v>66.62996397045288</x:v>
      </x:c>
      <x:c r="G242" s="24" t="n">
        <x:v>70.17314949402197</x:v>
      </x:c>
      <x:c r="H242" s="24" t="n">
        <x:v>75.28336200424553</x:v>
      </x:c>
      <x:c r="I242" s="24" t="n">
        <x:v>49.79448597678282</x:v>
      </x:c>
      <x:c r="J242" s="24"/>
      <x:c r="K242" s="24" t="n">
        <x:v>83.72517721539981</x:v>
      </x:c>
      <x:c r="L242" s="24" t="n">
        <x:v>67.96197549020287</x:v>
      </x:c>
      <x:c r="M242" s="24" t="n">
        <x:v>74.90118564644406</x:v>
      </x:c>
      <x:c r="N242" s="24" t="n">
        <x:v>71.21809360346914</x:v>
      </x:c>
      <x:c r="O242" s="24" t="n">
        <x:v>65.74889568122828</x:v>
      </x:c>
      <x:c r="P242" s="24" t="n">
        <x:v>69.25538192458136</x:v>
      </x:c>
      <x:c r="Q242" s="24"/>
      <x:c r="R242" s="24" t="n">
        <x:v>63.4991411226347</x:v>
      </x:c>
      <x:c r="S242" s="24" t="n">
        <x:v>79.20011429144884</x:v>
      </x:c>
      <x:c r="T242" s="24" t="n">
        <x:v>71.499900902938</x:v>
      </x:c>
      <x:c r="U242" s="24" t="n">
        <x:v>79.56719028696932</x:v>
      </x:c>
    </x:row>
    <x:row r="243">
      <x:c r="A243" s="24" t="n">
        <x:v>24.1</x:v>
      </x:c>
      <x:c r="B243" s="24" t="n">
        <x:v>63.55236572758537</x:v>
      </x:c>
      <x:c r="C243" s="24" t="n">
        <x:v>68.96625130337895</x:v>
      </x:c>
      <x:c r="D243" s="24" t="n">
        <x:v>67.73308849478899</x:v>
      </x:c>
      <x:c r="E243" s="24" t="n">
        <x:v>63.318824268682576</x:v>
      </x:c>
      <x:c r="F243" s="24" t="n">
        <x:v>67.65503232824308</x:v>
      </x:c>
      <x:c r="G243" s="24" t="n">
        <x:v>84.40883026948632</x:v>
      </x:c>
      <x:c r="H243" s="24" t="n">
        <x:v>75.28336200424553</x:v>
      </x:c>
      <x:c r="I243" s="24" t="n">
        <x:v>65.52403886792234</x:v>
      </x:c>
      <x:c r="J243" s="24"/>
      <x:c r="K243" s="24" t="n">
        <x:v>77.81585490098796</x:v>
      </x:c>
      <x:c r="L243" s="24" t="n">
        <x:v>67.63165322094129</x:v>
      </x:c>
      <x:c r="M243" s="24" t="n">
        <x:v>73.20141919186817</x:v>
      </x:c>
      <x:c r="N243" s="24" t="n">
        <x:v>71.45758193348335</x:v>
      </x:c>
      <x:c r="O243" s="24" t="n">
        <x:v>78.50992595946084</x:v>
      </x:c>
      <x:c r="P243" s="24" t="n">
        <x:v>69.3422126907291</x:v>
      </x:c>
      <x:c r="Q243" s="24"/>
      <x:c r="R243" s="24" t="n">
        <x:v>78.19865645706503</x:v>
      </x:c>
      <x:c r="S243" s="24" t="n">
        <x:v>73.88873662991978</x:v>
      </x:c>
      <x:c r="T243" s="24" t="n">
        <x:v>70.10044888727906</x:v>
      </x:c>
      <x:c r="U243" s="24" t="n">
        <x:v>75.19523887875165</x:v>
      </x:c>
    </x:row>
    <x:row r="244">
      <x:c r="A244" s="24" t="n">
        <x:v>24.200000000000003</x:v>
      </x:c>
      <x:c r="B244" s="24" t="n">
        <x:v>58.570215036422454</x:v>
      </x:c>
      <x:c r="C244" s="24" t="n">
        <x:v>69.4408316895084</x:v>
      </x:c>
      <x:c r="D244" s="24" t="n">
        <x:v>67.73308849478899</x:v>
      </x:c>
      <x:c r="E244" s="24" t="n">
        <x:v>64.42421917083377</x:v>
      </x:c>
      <x:c r="F244" s="24" t="n">
        <x:v>68.92254596687116</x:v>
      </x:c>
      <x:c r="G244" s="24" t="n">
        <x:v>84.40883026948632</x:v>
      </x:c>
      <x:c r="H244" s="24" t="n">
        <x:v>74.07711300462648</x:v>
      </x:c>
      <x:c r="I244" s="24" t="n">
        <x:v>66.78317834977358</x:v>
      </x:c>
      <x:c r="J244" s="24"/>
      <x:c r="K244" s="24" t="n">
        <x:v>68.86475173435831</x:v>
      </x:c>
      <x:c r="L244" s="24" t="n">
        <x:v>68.04407068489806</x:v>
      </x:c>
      <x:c r="M244" s="24" t="n">
        <x:v>72.27740082788837</x:v>
      </x:c>
      <x:c r="N244" s="24" t="n">
        <x:v>71.32383267392824</x:v>
      </x:c>
      <x:c r="O244" s="24" t="n">
        <x:v>78.50992595946084</x:v>
      </x:c>
      <x:c r="P244" s="24" t="n">
        <x:v>78.8467903796004</x:v>
      </x:c>
      <x:c r="Q244" s="24"/>
      <x:c r="R244" s="24" t="n">
        <x:v>78.19865645706503</x:v>
      </x:c>
      <x:c r="S244" s="24" t="n">
        <x:v>69.061884320558</x:v>
      </x:c>
      <x:c r="T244" s="24" t="n">
        <x:v>76.98955446684585</x:v>
      </x:c>
      <x:c r="U244" s="24" t="n">
        <x:v>69.18064737395946</x:v>
      </x:c>
    </x:row>
    <x:row r="245">
      <x:c r="A245" s="24" t="n">
        <x:v>24.3</x:v>
      </x:c>
      <x:c r="B245" s="24" t="n">
        <x:v>64.01410801358672</x:v>
      </x:c>
      <x:c r="C245" s="24" t="n">
        <x:v>69.4408316895084</x:v>
      </x:c>
      <x:c r="D245" s="24" t="n">
        <x:v>67.36861369524867</x:v>
      </x:c>
      <x:c r="E245" s="24" t="n">
        <x:v>66.05478885944905</x:v>
      </x:c>
      <x:c r="F245" s="24" t="n">
        <x:v>70.8463277958785</x:v>
      </x:c>
      <x:c r="G245" s="24" t="n">
        <x:v>79.28088899465115</x:v>
      </x:c>
      <x:c r="H245" s="24" t="n">
        <x:v>73.63897616654002</x:v>
      </x:c>
      <x:c r="I245" s="24" t="n">
        <x:v>66.65647360418943</x:v>
      </x:c>
      <x:c r="J245" s="24"/>
      <x:c r="K245" s="24" t="n">
        <x:v>67.13053500191354</x:v>
      </x:c>
      <x:c r="L245" s="24" t="n">
        <x:v>69.25212277614254</x:v>
      </x:c>
      <x:c r="M245" s="24" t="n">
        <x:v>71.96372574480027</x:v>
      </x:c>
      <x:c r="N245" s="24" t="n">
        <x:v>69.29626632814244</x:v>
      </x:c>
      <x:c r="O245" s="24" t="n">
        <x:v>74.81324831603082</x:v>
      </x:c>
      <x:c r="P245" s="24" t="n">
        <x:v>80.53706656249605</x:v>
      </x:c>
      <x:c r="Q245" s="24"/>
      <x:c r="R245" s="24" t="n">
        <x:v>74.14583585476393</x:v>
      </x:c>
      <x:c r="S245" s="24" t="n">
        <x:v>66.59644769795457</x:v>
      </x:c>
      <x:c r="T245" s="24" t="n">
        <x:v>77.98491874966814</x:v>
      </x:c>
      <x:c r="U245" s="24" t="n">
        <x:v>65.52602749755337</x:v>
      </x:c>
    </x:row>
    <x:row r="246">
      <x:c r="A246" s="24" t="n">
        <x:v>24.400000000000002</x:v>
      </x:c>
      <x:c r="B246" s="24" t="n">
        <x:v>64.01410801358672</x:v>
      </x:c>
      <x:c r="C246" s="24" t="n">
        <x:v>69.29166229002018</x:v>
      </x:c>
      <x:c r="D246" s="24" t="n">
        <x:v>67.35557499567035</x:v>
      </x:c>
      <x:c r="E246" s="24" t="n">
        <x:v>68.85223894321304</x:v>
      </x:c>
      <x:c r="F246" s="24" t="n">
        <x:v>70.8463277958785</x:v>
      </x:c>
      <x:c r="G246" s="24" t="n">
        <x:v>70.66569481383061</x:v>
      </x:c>
      <x:c r="H246" s="24" t="n">
        <x:v>72.25935356789697</x:v>
      </x:c>
      <x:c r="I246" s="24" t="n">
        <x:v>64.80007369139145</x:v>
      </x:c>
      <x:c r="J246" s="24"/>
      <x:c r="K246" s="24" t="n">
        <x:v>67.13053500191349</x:v>
      </x:c>
      <x:c r="L246" s="24" t="n">
        <x:v>69.55970665568456</x:v>
      </x:c>
      <x:c r="M246" s="24" t="n">
        <x:v>71.25779153533432</x:v>
      </x:c>
      <x:c r="N246" s="24" t="n">
        <x:v>70.88878749727193</x:v>
      </x:c>
      <x:c r="O246" s="24" t="n">
        <x:v>65.03934242679456</x:v>
      </x:c>
      <x:c r="P246" s="24" t="n">
        <x:v>80.53706656249588</x:v>
      </x:c>
      <x:c r="Q246" s="24"/>
      <x:c r="R246" s="24" t="n">
        <x:v>61.77399854921933</x:v>
      </x:c>
      <x:c r="S246" s="24" t="n">
        <x:v>65.17839533068866</x:v>
      </x:c>
      <x:c r="T246" s="24" t="n">
        <x:v>77.984918749668</x:v>
      </x:c>
      <x:c r="U246" s="24" t="n">
        <x:v>61.59527272540348</x:v>
      </x:c>
    </x:row>
    <x:row r="247">
      <x:c r="A247" s="24" t="n">
        <x:v>24.5</x:v>
      </x:c>
      <x:c r="B247" s="24" t="n">
        <x:v>61.68416842317352</x:v>
      </x:c>
      <x:c r="C247" s="24" t="n">
        <x:v>69.85476026796381</x:v>
      </x:c>
      <x:c r="D247" s="24" t="n">
        <x:v>68.41810065020194</x:v>
      </x:c>
      <x:c r="E247" s="24" t="n">
        <x:v>69.8192099840127</x:v>
      </x:c>
      <x:c r="F247" s="24" t="n">
        <x:v>70.76372559514483</x:v>
      </x:c>
      <x:c r="G247" s="24" t="n">
        <x:v>65.40097327865226</x:v>
      </x:c>
      <x:c r="H247" s="24" t="n">
        <x:v>70.72044765872724</x:v>
      </x:c>
      <x:c r="I247" s="24" t="n">
        <x:v>64.95905528001249</x:v>
      </x:c>
      <x:c r="J247" s="24"/>
      <x:c r="K247" s="24" t="n">
        <x:v>66.77175502697256</x:v>
      </x:c>
      <x:c r="L247" s="24" t="n">
        <x:v>69.60589881910356</x:v>
      </x:c>
      <x:c r="M247" s="24" t="n">
        <x:v>71.04194019265056</x:v>
      </x:c>
      <x:c r="N247" s="24" t="n">
        <x:v>77.9269157422123</x:v>
      </x:c>
      <x:c r="O247" s="24" t="n">
        <x:v>50</x:v>
      </x:c>
      <x:c r="P247" s="24" t="n">
        <x:v>72.5604817858424</x:v>
      </x:c>
      <x:c r="Q247" s="24"/>
      <x:c r="R247" s="24" t="n">
        <x:v>50.33995434891614</x:v>
      </x:c>
      <x:c r="S247" s="24"/>
      <x:c r="T247" s="24" t="n">
        <x:v>71.20983372249474</x:v>
      </x:c>
      <x:c r="U247" s="24" t="n">
        <x:v>50</x:v>
      </x:c>
    </x:row>
    <x:row r="248">
      <x:c r="A248" s="24" t="n">
        <x:v>24.6</x:v>
      </x:c>
      <x:c r="B248" s="24" t="n">
        <x:v>65.42907040384239</x:v>
      </x:c>
      <x:c r="C248" s="24" t="n">
        <x:v>70.22452893131853</x:v>
      </x:c>
      <x:c r="D248" s="24" t="n">
        <x:v>68.41810065020194</x:v>
      </x:c>
      <x:c r="E248" s="24" t="n">
        <x:v>70.00208884676051</x:v>
      </x:c>
      <x:c r="F248" s="24" t="n">
        <x:v>70.66539861518436</x:v>
      </x:c>
      <x:c r="G248" s="24"/>
      <x:c r="H248" s="24" t="n">
        <x:v>80.11806569616569</x:v>
      </x:c>
      <x:c r="I248" s="24" t="n">
        <x:v>65.13689985694533</x:v>
      </x:c>
      <x:c r="J248" s="24"/>
      <x:c r="K248" s="24" t="n">
        <x:v>69.2624655548926</x:v>
      </x:c>
      <x:c r="L248" s="24" t="n">
        <x:v>69.60589881910356</x:v>
      </x:c>
      <x:c r="M248" s="24" t="n">
        <x:v>71.04194019265056</x:v>
      </x:c>
      <x:c r="N248" s="24" t="n">
        <x:v>78.68784729710214</x:v>
      </x:c>
      <x:c r="O248" s="24" t="n">
        <x:v>50</x:v>
      </x:c>
      <x:c r="P248" s="24" t="n">
        <x:v>50</x:v>
      </x:c>
      <x:c r="Q248" s="24"/>
      <x:c r="R248" s="24" t="n">
        <x:v>51.189840221206516</x:v>
      </x:c>
      <x:c r="S248" s="24"/>
      <x:c r="T248" s="24" t="n">
        <x:v>67.73754847240762</x:v>
      </x:c>
      <x:c r="U248" s="24" t="n">
        <x:v>50</x:v>
      </x:c>
    </x:row>
    <x:row r="249">
      <x:c r="A249" s="24" t="n">
        <x:v>24.700000000000003</x:v>
      </x:c>
      <x:c r="B249" s="24" t="n">
        <x:v>65.42907040384239</x:v>
      </x:c>
      <x:c r="C249" s="24" t="n">
        <x:v>70.22452893131853</x:v>
      </x:c>
      <x:c r="D249" s="24" t="n">
        <x:v>66.31005076598592</x:v>
      </x:c>
      <x:c r="E249" s="24" t="n">
        <x:v>69.93358129137445</x:v>
      </x:c>
      <x:c r="F249" s="24" t="n">
        <x:v>71.20425135751762</x:v>
      </x:c>
      <x:c r="G249" s="24"/>
      <x:c r="H249" s="24" t="n">
        <x:v>80.11806569616569</x:v>
      </x:c>
      <x:c r="I249" s="24" t="n">
        <x:v>65.60097797850693</x:v>
      </x:c>
      <x:c r="J249" s="24"/>
      <x:c r="K249" s="24" t="n">
        <x:v>69.37822008822194</x:v>
      </x:c>
      <x:c r="L249" s="24" t="n">
        <x:v>66.15950753544878</x:v>
      </x:c>
      <x:c r="M249" s="24" t="n">
        <x:v>71.1711712472974</x:v>
      </x:c>
      <x:c r="N249" s="24" t="n">
        <x:v>78.17358937802986</x:v>
      </x:c>
      <x:c r="O249" s="24" t="n">
        <x:v>50</x:v>
      </x:c>
      <x:c r="P249" s="24" t="n">
        <x:v>50</x:v>
      </x:c>
      <x:c r="Q249" s="24"/>
      <x:c r="R249" s="24" t="n">
        <x:v>52.039726093496895</x:v>
      </x:c>
      <x:c r="S249" s="24"/>
      <x:c r="T249" s="24"/>
      <x:c r="U249" s="24" t="n">
        <x:v>50</x:v>
      </x:c>
    </x:row>
    <x:row r="250">
      <x:c r="A250" s="24" t="n">
        <x:v>24.8</x:v>
      </x:c>
      <x:c r="B250" s="24" t="n">
        <x:v>61.92622083847034</x:v>
      </x:c>
      <x:c r="C250" s="24" t="n">
        <x:v>84.47397669844624</x:v>
      </x:c>
      <x:c r="D250" s="24" t="n">
        <x:v>62.13988662545457</x:v>
      </x:c>
      <x:c r="E250" s="24" t="n">
        <x:v>68.80840377808795</x:v>
      </x:c>
      <x:c r="F250" s="24" t="n">
        <x:v>71.80498690121394</x:v>
      </x:c>
      <x:c r="G250" s="24"/>
      <x:c r="H250" s="24" t="n">
        <x:v>76.30475762459511</x:v>
      </x:c>
      <x:c r="I250" s="24" t="n">
        <x:v>66.33464507239577</x:v>
      </x:c>
      <x:c r="J250" s="24"/>
      <x:c r="K250" s="24" t="n">
        <x:v>68.0273206521284</x:v>
      </x:c>
      <x:c r="L250" s="24" t="n">
        <x:v>66.15950753544878</x:v>
      </x:c>
      <x:c r="M250" s="24" t="n">
        <x:v>72.36552036169475</x:v>
      </x:c>
      <x:c r="N250" s="24" t="n">
        <x:v>67.11277878601058</x:v>
      </x:c>
      <x:c r="O250" s="24" t="n">
        <x:v>76.06382325137484</x:v>
      </x:c>
      <x:c r="P250" s="24" t="n">
        <x:v>50</x:v>
      </x:c>
      <x:c r="Q250" s="24"/>
      <x:c r="R250" s="24" t="n">
        <x:v>74.89687137810768</x:v>
      </x:c>
      <x:c r="S250" s="24"/>
      <x:c r="T250" s="24"/>
      <x:c r="U250" s="24" t="n">
        <x:v>61.880580866278734</x:v>
      </x:c>
    </x:row>
    <x:row r="251">
      <x:c r="A251" s="24" t="n">
        <x:v>24.900000000000002</x:v>
      </x:c>
      <x:c r="B251" s="24" t="n">
        <x:v>62.64406877611884</x:v>
      </x:c>
      <x:c r="C251" s="24" t="n">
        <x:v>84.8490148702174</x:v>
      </x:c>
      <x:c r="D251" s="24" t="n">
        <x:v>68.85600142597953</x:v>
      </x:c>
      <x:c r="E251" s="24" t="n">
        <x:v>69.10389993434957</x:v>
      </x:c>
      <x:c r="F251" s="24" t="n">
        <x:v>71.80498690121394</x:v>
      </x:c>
      <x:c r="G251" s="24"/>
      <x:c r="H251" s="24" t="n">
        <x:v>68.34707636884583</x:v>
      </x:c>
      <x:c r="I251" s="24" t="n">
        <x:v>65.36926710846137</x:v>
      </x:c>
      <x:c r="J251" s="24"/>
      <x:c r="K251" s="24" t="n">
        <x:v>63.07291913498911</x:v>
      </x:c>
      <x:c r="L251" s="24" t="n">
        <x:v>64.3858525324144</x:v>
      </x:c>
      <x:c r="M251" s="24" t="n">
        <x:v>72.36552036169475</x:v>
      </x:c>
      <x:c r="N251" s="24" t="n">
        <x:v>50</x:v>
      </x:c>
      <x:c r="O251" s="24" t="n">
        <x:v>79.49298915664207</x:v>
      </x:c>
      <x:c r="P251" s="24" t="n">
        <x:v>50</x:v>
      </x:c>
      <x:c r="Q251" s="24"/>
      <x:c r="R251" s="24" t="n">
        <x:v>77.57778768371946</x:v>
      </x:c>
      <x:c r="S251" s="24"/>
      <x:c r="T251" s="24"/>
      <x:c r="U251" s="24" t="n">
        <x:v>68.40741786313485</x:v>
      </x:c>
    </x:row>
    <x:row r="252">
      <x:c r="A252" s="24" t="n">
        <x:v>25</x:v>
      </x:c>
      <x:c r="B252" s="24" t="n">
        <x:v>62.64406877611884</x:v>
      </x:c>
      <x:c r="C252" s="24" t="n">
        <x:v>84.05415332104607</x:v>
      </x:c>
      <x:c r="D252" s="24" t="n">
        <x:v>79.8141514389484</x:v>
      </x:c>
      <x:c r="E252" s="24" t="n">
        <x:v>69.10389993434957</x:v>
      </x:c>
      <x:c r="F252" s="24" t="n">
        <x:v>69.55544645861215</x:v>
      </x:c>
      <x:c r="G252" s="24"/>
      <x:c r="H252" s="24" t="n">
        <x:v>67.64961692574703</x:v>
      </x:c>
      <x:c r="I252" s="24" t="n">
        <x:v>61.88337942569561</x:v>
      </x:c>
      <x:c r="J252" s="24"/>
      <x:c r="K252" s="24" t="n">
        <x:v>66.05400558438943</x:v>
      </x:c>
      <x:c r="L252" s="24" t="n">
        <x:v>64.3858525324144</x:v>
      </x:c>
      <x:c r="M252" s="24" t="n">
        <x:v>70.35190818117313</x:v>
      </x:c>
      <x:c r="N252" s="24" t="n">
        <x:v>50</x:v>
      </x:c>
      <x:c r="O252" s="24" t="n">
        <x:v>79.49298915664207</x:v>
      </x:c>
      <x:c r="P252" s="24" t="n">
        <x:v>50</x:v>
      </x:c>
      <x:c r="Q252" s="24"/>
      <x:c r="R252" s="24" t="n">
        <x:v>77.57778768371946</x:v>
      </x:c>
      <x:c r="S252" s="24"/>
      <x:c r="T252" s="24"/>
      <x:c r="U252" s="24" t="n">
        <x:v>75.3810714054192</x:v>
      </x:c>
    </x:row>
    <x:row r="253">
      <x:c r="A253" s="24" t="n">
        <x:v>25.1</x:v>
      </x:c>
      <x:c r="B253" s="24" t="n">
        <x:v>65.00329528963361</x:v>
      </x:c>
      <x:c r="C253" s="24" t="n">
        <x:v>72.21154455137048</x:v>
      </x:c>
      <x:c r="D253" s="24" t="n">
        <x:v>79.8141514389484</x:v>
      </x:c>
      <x:c r="E253" s="24" t="n">
        <x:v>68.66667403959768</x:v>
      </x:c>
      <x:c r="F253" s="24" t="n">
        <x:v>65.12992023829588</x:v>
      </x:c>
      <x:c r="G253" s="24"/>
      <x:c r="H253" s="24" t="n">
        <x:v>66.95215748264819</x:v>
      </x:c>
      <x:c r="I253" s="24" t="n">
        <x:v>60.83446121055971</x:v>
      </x:c>
      <x:c r="J253" s="24"/>
      <x:c r="K253" s="24" t="n">
        <x:v>66.05400558438943</x:v>
      </x:c>
      <x:c r="L253" s="24" t="n">
        <x:v>78.18572752407113</x:v>
      </x:c>
      <x:c r="M253" s="24" t="n">
        <x:v>79.290494088508</x:v>
      </x:c>
      <x:c r="N253" s="24" t="n">
        <x:v>50</x:v>
      </x:c>
      <x:c r="O253" s="24" t="n">
        <x:v>76.78530541939301</x:v>
      </x:c>
      <x:c r="P253" s="24" t="n">
        <x:v>79.35412493760909</x:v>
      </x:c>
      <x:c r="Q253" s="24"/>
      <x:c r="R253" s="24" t="n">
        <x:v>69.3746819874481</x:v>
      </x:c>
      <x:c r="S253" s="24"/>
      <x:c r="T253" s="24"/>
      <x:c r="U253" s="24" t="n">
        <x:v>75.3810714054192</x:v>
      </x:c>
    </x:row>
    <x:row r="254">
      <x:c r="A254" s="24" t="n">
        <x:v>25.200000000000003</x:v>
      </x:c>
      <x:c r="B254" s="24" t="n">
        <x:v>90.68804972678416</x:v>
      </x:c>
      <x:c r="C254" s="24" t="n">
        <x:v>67.42087848892602</x:v>
      </x:c>
      <x:c r="D254" s="24" t="n">
        <x:v>73.58167687291385</x:v>
      </x:c>
      <x:c r="E254" s="24" t="n">
        <x:v>69.10595397960486</x:v>
      </x:c>
      <x:c r="F254" s="24" t="n">
        <x:v>83.30846297747595</x:v>
      </x:c>
      <x:c r="G254" s="24"/>
      <x:c r="H254" s="24" t="n">
        <x:v>66.25469803954935</x:v>
      </x:c>
      <x:c r="I254" s="24" t="n">
        <x:v>59.703618303446746</x:v>
      </x:c>
      <x:c r="J254" s="24"/>
      <x:c r="K254" s="24" t="n">
        <x:v>67.3358510474572</x:v>
      </x:c>
      <x:c r="L254" s="24" t="n">
        <x:v>78.89611786413953</x:v>
      </x:c>
      <x:c r="M254" s="24" t="n">
        <x:v>80.295790563837</x:v>
      </x:c>
      <x:c r="N254" s="24" t="n">
        <x:v>63.92070598526352</x:v>
      </x:c>
      <x:c r="O254" s="24" t="n">
        <x:v>74.24782016833956</x:v>
      </x:c>
      <x:c r="P254" s="24" t="n">
        <x:v>79.35412493760909</x:v>
      </x:c>
      <x:c r="Q254" s="24"/>
      <x:c r="R254" s="24" t="n">
        <x:v>69.3746819874481</x:v>
      </x:c>
      <x:c r="S254" s="24"/>
      <x:c r="T254" s="24"/>
      <x:c r="U254" s="24" t="n">
        <x:v>68.28127377917264</x:v>
      </x:c>
    </x:row>
    <x:row r="255">
      <x:c r="A255" s="24" t="n">
        <x:v>25.3</x:v>
      </x:c>
      <x:c r="B255" s="24" t="n">
        <x:v>91.94507822789876</x:v>
      </x:c>
      <x:c r="C255" s="24" t="n">
        <x:v>65.27185928271724</x:v>
      </x:c>
      <x:c r="D255" s="24" t="n">
        <x:v>64.66964729182536</x:v>
      </x:c>
      <x:c r="E255" s="24" t="n">
        <x:v>77.03556845931097</x:v>
      </x:c>
      <x:c r="F255" s="24" t="n">
        <x:v>83.30846297747595</x:v>
      </x:c>
      <x:c r="G255" s="24"/>
      <x:c r="H255" s="24" t="n">
        <x:v>65.6967304850703</x:v>
      </x:c>
      <x:c r="I255" s="24" t="n">
        <x:v>75.31060689128108</x:v>
      </x:c>
      <x:c r="J255" s="24"/>
      <x:c r="K255" s="24" t="n">
        <x:v>67.3358510474572</x:v>
      </x:c>
      <x:c r="L255" s="24" t="n">
        <x:v>78.68338442992555</x:v>
      </x:c>
      <x:c r="M255" s="24" t="n">
        <x:v>80.13964383374714</x:v>
      </x:c>
      <x:c r="N255" s="24" t="n">
        <x:v>78.80209748909004</x:v>
      </x:c>
      <x:c r="O255" s="24" t="n">
        <x:v>67.7767127329454</x:v>
      </x:c>
      <x:c r="P255" s="24" t="n">
        <x:v>73.42761816471568</x:v>
      </x:c>
      <x:c r="Q255" s="24"/>
      <x:c r="R255" s="24" t="n">
        <x:v>66.50816294127111</x:v>
      </x:c>
      <x:c r="S255" s="24"/>
      <x:c r="T255" s="24"/>
      <x:c r="U255" s="24" t="n">
        <x:v>62.039106086090555</x:v>
      </x:c>
    </x:row>
    <x:row r="256">
      <x:c r="A256" s="24" t="n">
        <x:v>25.400000000000002</x:v>
      </x:c>
      <x:c r="B256" s="24" t="n">
        <x:v>91.94507822789832</x:v>
      </x:c>
      <x:c r="C256" s="24" t="n">
        <x:v>51.595284178115094</x:v>
      </x:c>
      <x:c r="D256" s="24" t="n">
        <x:v>54.597041725953154</x:v>
      </x:c>
      <x:c r="E256" s="24" t="n">
        <x:v>77.03556845931097</x:v>
      </x:c>
      <x:c r="F256" s="24" t="n">
        <x:v>78.6587046272447</x:v>
      </x:c>
      <x:c r="G256" s="24"/>
      <x:c r="H256" s="24" t="n">
        <x:v>70.52934054262829</x:v>
      </x:c>
      <x:c r="I256" s="24" t="n">
        <x:v>75.31060689128108</x:v>
      </x:c>
      <x:c r="J256" s="24"/>
      <x:c r="K256" s="24" t="n">
        <x:v>83.55862069023556</x:v>
      </x:c>
      <x:c r="L256" s="24" t="n">
        <x:v>69.46518934339583</x:v>
      </x:c>
      <x:c r="M256" s="24" t="n">
        <x:v>69.66083994138944</x:v>
      </x:c>
      <x:c r="N256" s="24" t="n">
        <x:v>78.80209748909004</x:v>
      </x:c>
      <x:c r="O256" s="24" t="n">
        <x:v>67.24724985211978</x:v>
      </x:c>
      <x:c r="P256" s="24" t="n">
        <x:v>73.42761816471568</x:v>
      </x:c>
      <x:c r="Q256" s="24"/>
      <x:c r="R256" s="24" t="n">
        <x:v>66.56638485496512</x:v>
      </x:c>
      <x:c r="S256" s="24"/>
      <x:c r="T256" s="24"/>
      <x:c r="U256" s="24" t="n">
        <x:v>62.45078313838181</x:v>
      </x:c>
    </x:row>
    <x:row r="257">
      <x:c r="A257" s="24" t="n">
        <x:v>25.5</x:v>
      </x:c>
      <x:c r="B257" s="24" t="n">
        <x:v>81.38827879371439</x:v>
      </x:c>
      <x:c r="C257" s="24" t="n">
        <x:v>51.595284178115094</x:v>
      </x:c>
      <x:c r="D257" s="24" t="n">
        <x:v>54.73500311272822</x:v>
      </x:c>
      <x:c r="E257" s="24" t="n">
        <x:v>72.17992595089885</x:v>
      </x:c>
      <x:c r="F257" s="24" t="n">
        <x:v>68.85403964419305</x:v>
      </x:c>
      <x:c r="G257" s="24"/>
      <x:c r="H257" s="24" t="n">
        <x:v>73.01034287373034</x:v>
      </x:c>
      <x:c r="I257" s="24" t="n">
        <x:v>67.38916806058864</x:v>
      </x:c>
      <x:c r="J257" s="24"/>
      <x:c r="K257" s="24" t="n">
        <x:v>83.55862069023556</x:v>
      </x:c>
      <x:c r="L257" s="24" t="n">
        <x:v>54.03391839562049</x:v>
      </x:c>
      <x:c r="M257" s="24" t="n">
        <x:v>50</x:v>
      </x:c>
      <x:c r="N257" s="24" t="n">
        <x:v>74.41418448288049</x:v>
      </x:c>
      <x:c r="O257" s="24" t="n">
        <x:v>66.89215078131095</x:v>
      </x:c>
      <x:c r="P257" s="24" t="n">
        <x:v>71.64708782509061</x:v>
      </x:c>
      <x:c r="Q257" s="24"/>
      <x:c r="R257" s="24" t="n">
        <x:v>66.56638485496512</x:v>
      </x:c>
      <x:c r="S257" s="24"/>
      <x:c r="T257" s="24"/>
      <x:c r="U257" s="24" t="n">
        <x:v>62.45078313838181</x:v>
      </x:c>
    </x:row>
    <x:row r="258">
      <x:c r="A258" s="24" t="n">
        <x:v>25.6</x:v>
      </x:c>
      <x:c r="B258" s="24" t="n">
        <x:v>76.21885210729579</x:v>
      </x:c>
      <x:c r="C258" s="24" t="n">
        <x:v>51.595284178115094</x:v>
      </x:c>
      <x:c r="D258" s="24" t="n">
        <x:v>56.15066893982669</x:v>
      </x:c>
      <x:c r="E258" s="24" t="n">
        <x:v>63.493076692151845</x:v>
      </x:c>
      <x:c r="F258" s="24" t="n">
        <x:v>62.02790627752215</x:v>
      </x:c>
      <x:c r="G258" s="24"/>
      <x:c r="H258" s="24" t="n">
        <x:v>73.01034287373034</x:v>
      </x:c>
      <x:c r="I258" s="24" t="n">
        <x:v>53.555400689975464</x:v>
      </x:c>
      <x:c r="J258" s="24"/>
      <x:c r="K258" s="24" t="n">
        <x:v>79.22955704521667</x:v>
      </x:c>
      <x:c r="L258" s="24" t="n">
        <x:v>50.544522748159565</x:v>
      </x:c>
      <x:c r="M258" s="24" t="n">
        <x:v>50</x:v>
      </x:c>
      <x:c r="N258" s="24" t="n">
        <x:v>72.23510724251375</x:v>
      </x:c>
      <x:c r="O258" s="24" t="n">
        <x:v>66.24095774561835</x:v>
      </x:c>
      <x:c r="P258" s="24" t="n">
        <x:v>70.30221607239365</x:v>
      </x:c>
      <x:c r="Q258" s="24"/>
      <x:c r="R258" s="24" t="n">
        <x:v>66.64974418972085</x:v>
      </x:c>
      <x:c r="S258" s="24"/>
      <x:c r="T258" s="24"/>
      <x:c r="U258" s="24" t="n">
        <x:v>61.22488261444687</x:v>
      </x:c>
    </x:row>
    <x:row r="259">
      <x:c r="A259" s="24" t="n">
        <x:v>25.700000000000003</x:v>
      </x:c>
      <x:c r="B259" s="24" t="n">
        <x:v>72.4207381386405</x:v>
      </x:c>
      <x:c r="C259" s="24" t="n">
        <x:v>51.595284178115094</x:v>
      </x:c>
      <x:c r="D259" s="24" t="n">
        <x:v>58.51011198499074</x:v>
      </x:c>
      <x:c r="E259" s="24" t="n">
        <x:v>56.41234284464004</x:v>
      </x:c>
      <x:c r="F259" s="24" t="n">
        <x:v>52.62734679463941</x:v>
      </x:c>
      <x:c r="G259" s="24"/>
      <x:c r="H259" s="24" t="n">
        <x:v>64.90580681679592</x:v>
      </x:c>
      <x:c r="I259" s="24" t="n">
        <x:v>45.56881161460947</x:v>
      </x:c>
      <x:c r="J259" s="24"/>
      <x:c r="K259" s="24" t="n">
        <x:v>70.04456156809186</x:v>
      </x:c>
      <x:c r="L259" s="24" t="n">
        <x:v>53.267136488957</x:v>
      </x:c>
      <x:c r="M259" s="24" t="n">
        <x:v>50</x:v>
      </x:c>
      <x:c r="N259" s="24" t="n">
        <x:v>70.17773002912044</x:v>
      </x:c>
      <x:c r="O259" s="24" t="n">
        <x:v>66.90946150722435</x:v>
      </x:c>
      <x:c r="P259" s="24" t="n">
        <x:v>70.2784173253651</x:v>
      </x:c>
      <x:c r="Q259" s="24"/>
      <x:c r="R259" s="24" t="n">
        <x:v>66.649744189721</x:v>
      </x:c>
      <x:c r="S259" s="24"/>
      <x:c r="T259" s="24"/>
      <x:c r="U259" s="24" t="n">
        <x:v>62.716586416852365</x:v>
      </x:c>
    </x:row>
    <x:row r="260">
      <x:c r="A260" s="24" t="n">
        <x:v>25.8</x:v>
      </x:c>
      <x:c r="B260" s="24" t="n">
        <x:v>70.89643837474553</x:v>
      </x:c>
      <x:c r="C260" s="24" t="n">
        <x:v>51.595284178115094</x:v>
      </x:c>
      <x:c r="D260" s="24" t="n">
        <x:v>60.90951360711863</x:v>
      </x:c>
      <x:c r="E260" s="24" t="n">
        <x:v>49.331608997128484</x:v>
      </x:c>
      <x:c r="F260" s="24" t="n">
        <x:v>52.62734679463941</x:v>
      </x:c>
      <x:c r="G260" s="24"/>
      <x:c r="H260" s="24" t="n">
        <x:v>67.58323285495294</x:v>
      </x:c>
      <x:c r="I260" s="24" t="n">
        <x:v>45.56881161460947</x:v>
      </x:c>
      <x:c r="J260" s="24"/>
      <x:c r="K260" s="24" t="n">
        <x:v>67.73565565891512</x:v>
      </x:c>
      <x:c r="L260" s="24" t="n">
        <x:v>55.98975022975434</x:v>
      </x:c>
      <x:c r="M260" s="24" t="n">
        <x:v>50</x:v>
      </x:c>
      <x:c r="N260" s="24" t="n">
        <x:v>70.17773002912044</x:v>
      </x:c>
      <x:c r="O260" s="24" t="n">
        <x:v>67.60659430943775</x:v>
      </x:c>
      <x:c r="P260" s="24" t="n">
        <x:v>70.2784173253651</x:v>
      </x:c>
      <x:c r="Q260" s="24"/>
      <x:c r="R260" s="24" t="n">
        <x:v>68.68943109909875</x:v>
      </x:c>
      <x:c r="S260" s="24"/>
      <x:c r="T260" s="24"/>
      <x:c r="U260" s="24" t="n">
        <x:v>62.95618163693287</x:v>
      </x:c>
    </x:row>
    <x:row r="261">
      <x:c r="A261" s="24" t="n">
        <x:v>25.900000000000002</x:v>
      </x:c>
      <x:c r="B261" s="24" t="n">
        <x:v>69.47531040144116</x:v>
      </x:c>
      <x:c r="C261" s="24" t="n">
        <x:v>76.18654331837128</x:v>
      </x:c>
      <x:c r="D261" s="24" t="n">
        <x:v>61.93320797911204</x:v>
      </x:c>
      <x:c r="E261" s="24" t="n">
        <x:v>55.84401327435641</x:v>
      </x:c>
      <x:c r="F261" s="24" t="n">
        <x:v>65.16209136876495</x:v>
      </x:c>
      <x:c r="G261" s="24"/>
      <x:c r="H261" s="24" t="n">
        <x:v>71.46330742324744</x:v>
      </x:c>
      <x:c r="I261" s="24" t="n">
        <x:v>61.33850906888138</x:v>
      </x:c>
      <x:c r="J261" s="24"/>
      <x:c r="K261" s="24"/>
      <x:c r="L261" s="24" t="n">
        <x:v>58.71236397055178</x:v>
      </x:c>
      <x:c r="M261" s="24" t="n">
        <x:v>50.000000000003816</x:v>
      </x:c>
      <x:c r="N261" s="24" t="n">
        <x:v>70.71324034608033</x:v>
      </x:c>
      <x:c r="O261" s="24" t="n">
        <x:v>67.60659430943775</x:v>
      </x:c>
      <x:c r="P261" s="24" t="n">
        <x:v>70.68951918280925</x:v>
      </x:c>
      <x:c r="Q261" s="24"/>
      <x:c r="R261" s="24" t="n">
        <x:v>68.6894310990987</x:v>
      </x:c>
      <x:c r="S261" s="24"/>
      <x:c r="T261" s="24"/>
      <x:c r="U261" s="24" t="n">
        <x:v>63.144032391532036</x:v>
      </x:c>
    </x:row>
    <x:row r="262">
      <x:c r="A262" s="24" t="n">
        <x:v>26</x:v>
      </x:c>
      <x:c r="B262" s="24" t="n">
        <x:v>67.41014993363453</x:v>
      </x:c>
      <x:c r="C262" s="24" t="n">
        <x:v>77.74072765195292</x:v>
      </x:c>
      <x:c r="D262" s="24" t="n">
        <x:v>64.41020896598138</x:v>
      </x:c>
      <x:c r="E262" s="24" t="n">
        <x:v>62.356417551584116</x:v>
      </x:c>
      <x:c r="F262" s="24" t="n">
        <x:v>65.3364649632226</x:v>
      </x:c>
      <x:c r="G262" s="24"/>
      <x:c r="H262" s="24" t="n">
        <x:v>72.78812993953402</x:v>
      </x:c>
      <x:c r="I262" s="24" t="n">
        <x:v>64.32984555912664</x:v>
      </x:c>
      <x:c r="J262" s="24"/>
      <x:c r="K262" s="24"/>
      <x:c r="L262" s="24" t="n">
        <x:v>60.890454963189654</x:v>
      </x:c>
      <x:c r="M262" s="24" t="n">
        <x:v>79.36807292524543</x:v>
      </x:c>
      <x:c r="N262" s="24" t="n">
        <x:v>70.71324034608033</x:v>
      </x:c>
      <x:c r="O262" s="24" t="n">
        <x:v>76.71269869076593</x:v>
      </x:c>
      <x:c r="P262" s="24" t="n">
        <x:v>71.03512827140715</x:v>
      </x:c>
      <x:c r="Q262" s="24"/>
      <x:c r="R262" s="24" t="n">
        <x:v>66.09642944374764</x:v>
      </x:c>
      <x:c r="S262" s="24"/>
      <x:c r="T262" s="24"/>
      <x:c r="U262" s="24" t="n">
        <x:v>63.144032391532036</x:v>
      </x:c>
    </x:row>
    <x:row r="263">
      <x:c r="A263" s="24" t="n">
        <x:v>26.1</x:v>
      </x:c>
      <x:c r="B263" s="24" t="n">
        <x:v>68.34385470494938</x:v>
      </x:c>
      <x:c r="C263" s="24" t="n">
        <x:v>77.16494827136398</x:v>
      </x:c>
      <x:c r="D263" s="24" t="n">
        <x:v>70.60271143315494</x:v>
      </x:c>
      <x:c r="E263" s="24" t="n">
        <x:v>64.96137926247519</x:v>
      </x:c>
      <x:c r="F263" s="24" t="n">
        <x:v>68.50803516208488</x:v>
      </x:c>
      <x:c r="G263" s="24"/>
      <x:c r="H263" s="24" t="n">
        <x:v>73.41454650899136</x:v>
      </x:c>
      <x:c r="I263" s="24" t="n">
        <x:v>68.08317399920475</x:v>
      </x:c>
      <x:c r="J263" s="24"/>
      <x:c r="K263" s="24"/>
      <x:c r="L263" s="24" t="n">
        <x:v>80.32366820549667</x:v>
      </x:c>
      <x:c r="M263" s="24" t="n">
        <x:v>79.36807292524543</x:v>
      </x:c>
      <x:c r="N263" s="24" t="n">
        <x:v>70.03191406217594</x:v>
      </x:c>
      <x:c r="O263" s="24" t="n">
        <x:v>77.47280099558172</x:v>
      </x:c>
      <x:c r="P263" s="24" t="n">
        <x:v>71.03512827140715</x:v>
      </x:c>
      <x:c r="Q263" s="24"/>
      <x:c r="R263" s="24" t="n">
        <x:v>65.95533778664299</x:v>
      </x:c>
      <x:c r="S263" s="24"/>
      <x:c r="T263" s="24"/>
      <x:c r="U263" s="24" t="n">
        <x:v>63.18403058255112</x:v>
      </x:c>
    </x:row>
    <x:row r="264">
      <x:c r="A264" s="24" t="n">
        <x:v>26.200000000000003</x:v>
      </x:c>
      <x:c r="B264" s="24" t="n">
        <x:v>68.34385470494938</x:v>
      </x:c>
      <x:c r="C264" s="24" t="n">
        <x:v>68.5043591696935</x:v>
      </x:c>
      <x:c r="D264" s="24" t="n">
        <x:v>74.31821291345895</x:v>
      </x:c>
      <x:c r="E264" s="24" t="n">
        <x:v>68.65363547911751</x:v>
      </x:c>
      <x:c r="F264" s="24" t="n">
        <x:v>73.26539046037789</x:v>
      </x:c>
      <x:c r="G264" s="24"/>
      <x:c r="H264" s="24" t="n">
        <x:v>74.54272843314519</x:v>
      </x:c>
      <x:c r="I264" s="24" t="n">
        <x:v>68.08317399920467</x:v>
      </x:c>
      <x:c r="J264" s="24"/>
      <x:c r="K264" s="24"/>
      <x:c r="L264" s="24" t="n">
        <x:v>80.32366820549667</x:v>
      </x:c>
      <x:c r="M264" s="24" t="n">
        <x:v>75.70952427306264</x:v>
      </x:c>
      <x:c r="N264" s="24" t="n">
        <x:v>70.54513345764727</x:v>
      </x:c>
      <x:c r="O264" s="24" t="n">
        <x:v>76.60133908600716</x:v>
      </x:c>
      <x:c r="P264" s="24" t="n">
        <x:v>69.65871742940287</x:v>
      </x:c>
      <x:c r="Q264" s="24"/>
      <x:c r="R264" s="24" t="n">
        <x:v>60.86034121858476</x:v>
      </x:c>
      <x:c r="S264" s="24"/>
      <x:c r="T264" s="24"/>
      <x:c r="U264" s="24" t="n">
        <x:v>71.1049201928529</x:v>
      </x:c>
    </x:row>
    <x:row r="265">
      <x:c r="A265" s="24" t="n">
        <x:v>26.3</x:v>
      </x:c>
      <x:c r="B265" s="24" t="n">
        <x:v>63.6200250296245</x:v>
      </x:c>
      <x:c r="C265" s="24" t="n">
        <x:v>64.48813735831327</x:v>
      </x:c>
      <x:c r="D265" s="24" t="n">
        <x:v>74.31821291345895</x:v>
      </x:c>
      <x:c r="E265" s="24" t="n">
        <x:v>74.8073958401877</x:v>
      </x:c>
      <x:c r="F265" s="24" t="n">
        <x:v>73.26539046037789</x:v>
      </x:c>
      <x:c r="G265" s="24"/>
      <x:c r="H265" s="24" t="n">
        <x:v>74.54272843314519</x:v>
      </x:c>
      <x:c r="I265" s="24" t="n">
        <x:v>59.614724532462475</x:v>
      </x:c>
      <x:c r="J265" s="24"/>
      <x:c r="K265" s="24"/>
      <x:c r="L265" s="24" t="n">
        <x:v>77.06613630675416</x:v>
      </x:c>
      <x:c r="M265" s="24" t="n">
        <x:v>73.74460623278638</x:v>
      </x:c>
      <x:c r="N265" s="24" t="n">
        <x:v>71.29081189390344</x:v>
      </x:c>
      <x:c r="O265" s="24" t="n">
        <x:v>64.03256428512177</x:v>
      </x:c>
      <x:c r="P265" s="24" t="n">
        <x:v>69.60287464830316</x:v>
      </x:c>
      <x:c r="Q265" s="24"/>
      <x:c r="R265" s="24" t="n">
        <x:v>76.43736603116417</x:v>
      </x:c>
      <x:c r="S265" s="24"/>
      <x:c r="T265" s="24"/>
      <x:c r="U265" s="24" t="n">
        <x:v>79.4732915608696</x:v>
      </x:c>
    </x:row>
    <x:row r="266">
      <x:c r="A266" s="24" t="n">
        <x:v>26.400000000000002</x:v>
      </x:c>
      <x:c r="B266" s="24" t="n">
        <x:v>63.28199784747485</x:v>
      </x:c>
      <x:c r="C266" s="24" t="n">
        <x:v>68.46234924120841</x:v>
      </x:c>
      <x:c r="D266" s="24" t="n">
        <x:v>69.84151669029197</x:v>
      </x:c>
      <x:c r="E266" s="24" t="n">
        <x:v>74.8073958401877</x:v>
      </x:c>
      <x:c r="F266" s="24" t="n">
        <x:v>62.636691204464135</x:v>
      </x:c>
      <x:c r="G266" s="24"/>
      <x:c r="H266" s="24" t="n">
        <x:v>74.25709610358938</x:v>
      </x:c>
      <x:c r="I266" s="24" t="n">
        <x:v>63.16343556090348</x:v>
      </x:c>
      <x:c r="J266" s="24"/>
      <x:c r="K266" s="24"/>
      <x:c r="L266" s="24" t="n">
        <x:v>73.06084373256043</x:v>
      </x:c>
      <x:c r="M266" s="24" t="n">
        <x:v>72.0355721811331</x:v>
      </x:c>
      <x:c r="N266" s="24" t="n">
        <x:v>70.67806669466569</x:v>
      </x:c>
      <x:c r="O266" s="24" t="n">
        <x:v>50</x:v>
      </x:c>
      <x:c r="P266" s="24" t="n">
        <x:v>75.0555418585884</x:v>
      </x:c>
      <x:c r="Q266" s="24"/>
      <x:c r="R266" s="24" t="n">
        <x:v>76.96152135704651</x:v>
      </x:c>
      <x:c r="S266" s="24"/>
      <x:c r="T266" s="24"/>
      <x:c r="U266" s="24" t="n">
        <x:v>81.14696583447294</x:v>
      </x:c>
    </x:row>
    <x:row r="267">
      <x:c r="A267" s="24" t="n">
        <x:v>26.5</x:v>
      </x:c>
      <x:c r="B267" s="24" t="n">
        <x:v>62.507180519569836</x:v>
      </x:c>
      <x:c r="C267" s="24" t="n">
        <x:v>69.34962960286623</x:v>
      </x:c>
      <x:c r="D267" s="24" t="n">
        <x:v>64.00909699243753</x:v>
      </x:c>
      <x:c r="E267" s="24" t="n">
        <x:v>72.34278843903923</x:v>
      </x:c>
      <x:c r="F267" s="24" t="n">
        <x:v>57.967481349602615</x:v>
      </x:c>
      <x:c r="G267" s="24"/>
      <x:c r="H267" s="24" t="n">
        <x:v>74.94457940075955</x:v>
      </x:c>
      <x:c r="I267" s="24" t="n">
        <x:v>66.43529276604444</x:v>
      </x:c>
      <x:c r="J267" s="24"/>
      <x:c r="K267" s="24"/>
      <x:c r="L267" s="24" t="n">
        <x:v>69.63451923420774</x:v>
      </x:c>
      <x:c r="M267" s="24" t="n">
        <x:v>70.64775524275684</x:v>
      </x:c>
      <x:c r="N267" s="24" t="n">
        <x:v>72.43400832992677</x:v>
      </x:c>
      <x:c r="O267" s="24" t="n">
        <x:v>50</x:v>
      </x:c>
      <x:c r="P267" s="24" t="n">
        <x:v>78.83204391726115</x:v>
      </x:c>
      <x:c r="Q267" s="24"/>
      <x:c r="R267" s="24" t="n">
        <x:v>75.61779371963672</x:v>
      </x:c>
      <x:c r="S267" s="24"/>
      <x:c r="T267" s="24"/>
      <x:c r="U267" s="24" t="n">
        <x:v>79.91382834869817</x:v>
      </x:c>
    </x:row>
    <x:row r="268">
      <x:c r="A268" s="24" t="n">
        <x:v>26.6</x:v>
      </x:c>
      <x:c r="B268" s="24" t="n">
        <x:v>73.90885911600267</x:v>
      </x:c>
      <x:c r="C268" s="24" t="n">
        <x:v>71.19295603313837</x:v>
      </x:c>
      <x:c r="D268" s="24" t="n">
        <x:v>64.42584726824367</x:v>
      </x:c>
      <x:c r="E268" s="24" t="n">
        <x:v>64.28963650040276</x:v>
      </x:c>
      <x:c r="F268" s="24" t="n">
        <x:v>64.94167074291063</x:v>
      </x:c>
      <x:c r="G268" s="24"/>
      <x:c r="H268" s="24" t="n">
        <x:v>74.94457940075955</x:v>
      </x:c>
      <x:c r="I268" s="24" t="n">
        <x:v>66.43529276604444</x:v>
      </x:c>
      <x:c r="J268" s="24"/>
      <x:c r="K268" s="24"/>
      <x:c r="L268" s="24" t="n">
        <x:v>68.55901260063625</x:v>
      </x:c>
      <x:c r="M268" s="24" t="n">
        <x:v>72.14046516843355</x:v>
      </x:c>
      <x:c r="N268" s="24" t="n">
        <x:v>77.40306171948757</x:v>
      </x:c>
      <x:c r="O268" s="24" t="n">
        <x:v>50</x:v>
      </x:c>
      <x:c r="P268" s="24" t="n">
        <x:v>78.83204391726115</x:v>
      </x:c>
      <x:c r="Q268" s="24"/>
      <x:c r="R268" s="24" t="n">
        <x:v>64.48304392884096</x:v>
      </x:c>
      <x:c r="S268" s="24"/>
      <x:c r="T268" s="24"/>
      <x:c r="U268" s="24" t="n">
        <x:v>70.26237872128917</x:v>
      </x:c>
    </x:row>
    <x:row r="269">
      <x:c r="A269" s="24" t="n">
        <x:v>26.700000000000003</x:v>
      </x:c>
      <x:c r="B269" s="24" t="n">
        <x:v>75.6942150971941</x:v>
      </x:c>
      <x:c r="C269" s="24" t="n">
        <x:v>71.19295603313837</x:v>
      </x:c>
      <x:c r="D269" s="24" t="n">
        <x:v>66.80561871936378</x:v>
      </x:c>
      <x:c r="E269" s="24" t="n">
        <x:v>63.65460811112429</x:v>
      </x:c>
      <x:c r="F269" s="24" t="n">
        <x:v>68.46962779377576</x:v>
      </x:c>
      <x:c r="G269" s="24"/>
      <x:c r="H269" s="24" t="n">
        <x:v>73.9746021543145</x:v>
      </x:c>
      <x:c r="I269" s="24" t="n">
        <x:v>64.97753864033572</x:v>
      </x:c>
      <x:c r="J269" s="24"/>
      <x:c r="K269" s="24"/>
      <x:c r="L269" s="24" t="n">
        <x:v>68.55901260063625</x:v>
      </x:c>
      <x:c r="M269" s="24" t="n">
        <x:v>72.14046516843355</x:v>
      </x:c>
      <x:c r="N269" s="24" t="n">
        <x:v>79.6332050288948</x:v>
      </x:c>
      <x:c r="O269" s="24" t="n">
        <x:v>50.00000000000447</x:v>
      </x:c>
      <x:c r="P269" s="24" t="n">
        <x:v>70.55112824770323</x:v>
      </x:c>
      <x:c r="Q269" s="24"/>
      <x:c r="R269" s="24" t="n">
        <x:v>50.6249444276433</x:v>
      </x:c>
      <x:c r="S269" s="24"/>
      <x:c r="T269" s="24"/>
      <x:c r="U269" s="24" t="n">
        <x:v>68.76971880193447</x:v>
      </x:c>
    </x:row>
    <x:row r="270">
      <x:c r="A270" s="24" t="n">
        <x:v>26.8</x:v>
      </x:c>
      <x:c r="B270" s="24" t="n">
        <x:v>75.6942150971941</x:v>
      </x:c>
      <x:c r="C270" s="24" t="n">
        <x:v>71.21254186888432</x:v>
      </x:c>
      <x:c r="D270" s="24" t="n">
        <x:v>67.7789513792128</x:v>
      </x:c>
      <x:c r="E270" s="24" t="n">
        <x:v>67.42280789812366</x:v>
      </x:c>
      <x:c r="F270" s="24" t="n">
        <x:v>70.9202561229094</x:v>
      </x:c>
      <x:c r="G270" s="24"/>
      <x:c r="H270" s="24" t="n">
        <x:v>72.14714754681928</x:v>
      </x:c>
      <x:c r="I270" s="24" t="n">
        <x:v>65.11755958023004</x:v>
      </x:c>
      <x:c r="J270" s="24"/>
      <x:c r="K270" s="24"/>
      <x:c r="L270" s="24" t="n">
        <x:v>67.25325166725491</x:v>
      </x:c>
      <x:c r="M270" s="24" t="n">
        <x:v>71.41065073262563</x:v>
      </x:c>
      <x:c r="N270" s="24" t="n">
        <x:v>79.6332050288948</x:v>
      </x:c>
      <x:c r="O270" s="24" t="n">
        <x:v>78.9201740661043</x:v>
      </x:c>
      <x:c r="P270" s="24" t="n">
        <x:v>50</x:v>
      </x:c>
      <x:c r="Q270" s="24"/>
      <x:c r="R270" s="24" t="n">
        <x:v>53.74966656585923</x:v>
      </x:c>
      <x:c r="S270" s="24"/>
      <x:c r="T270" s="24"/>
      <x:c r="U270" s="24" t="n">
        <x:v>55.67288910920321</x:v>
      </x:c>
    </x:row>
    <x:row r="271">
      <x:c r="A271" s="24" t="n">
        <x:v>26.900000000000002</x:v>
      </x:c>
      <x:c r="B271" s="24" t="n">
        <x:v>72.88980153029179</x:v>
      </x:c>
      <x:c r="C271" s="24" t="n">
        <x:v>71.51224364228125</x:v>
      </x:c>
      <x:c r="D271" s="24" t="n">
        <x:v>67.70087995266927</x:v>
      </x:c>
      <x:c r="E271" s="24" t="n">
        <x:v>67.42280789812366</x:v>
      </x:c>
      <x:c r="F271" s="24" t="n">
        <x:v>70.9202561229094</x:v>
      </x:c>
      <x:c r="G271" s="24"/>
      <x:c r="H271" s="24" t="n">
        <x:v>70.78087867568124</x:v>
      </x:c>
      <x:c r="I271" s="24" t="n">
        <x:v>65.8184906203609</x:v>
      </x:c>
      <x:c r="J271" s="24"/>
      <x:c r="K271" s="24"/>
      <x:c r="L271" s="24" t="n">
        <x:v>67.60546419533114</x:v>
      </x:c>
      <x:c r="M271" s="24" t="n">
        <x:v>71.53146286059265</x:v>
      </x:c>
      <x:c r="N271" s="24" t="n">
        <x:v>71.45539830649827</x:v>
      </x:c>
      <x:c r="O271" s="24" t="n">
        <x:v>82.59382964798723</x:v>
      </x:c>
      <x:c r="P271" s="24" t="n">
        <x:v>50</x:v>
      </x:c>
      <x:c r="Q271" s="24"/>
      <x:c r="R271" s="24" t="n">
        <x:v>56.87438870407527</x:v>
      </x:c>
      <x:c r="S271" s="24"/>
      <x:c r="T271" s="24"/>
      <x:c r="U271" s="24" t="n">
        <x:v>50</x:v>
      </x:c>
    </x:row>
    <x:row r="272">
      <x:c r="A272" s="24" t="n">
        <x:v>27</x:v>
      </x:c>
      <x:c r="B272" s="24" t="n">
        <x:v>67.34608772944831</x:v>
      </x:c>
      <x:c r="C272" s="24" t="n">
        <x:v>71.51224364228125</x:v>
      </x:c>
      <x:c r="D272" s="24" t="n">
        <x:v>67.70087995266927</x:v>
      </x:c>
      <x:c r="E272" s="24" t="n">
        <x:v>66.11405376181753</x:v>
      </x:c>
      <x:c r="F272" s="24" t="n">
        <x:v>70.40750950311397</x:v>
      </x:c>
      <x:c r="G272" s="24"/>
      <x:c r="H272" s="24" t="n">
        <x:v>79.1317664799086</x:v>
      </x:c>
      <x:c r="I272" s="24" t="n">
        <x:v>66.86222031372355</x:v>
      </x:c>
      <x:c r="J272" s="24"/>
      <x:c r="K272" s="24"/>
      <x:c r="L272" s="24" t="n">
        <x:v>67.83809686007197</x:v>
      </x:c>
      <x:c r="M272" s="24" t="n">
        <x:v>71.53146286059265</x:v>
      </x:c>
      <x:c r="N272" s="24" t="n">
        <x:v>54.239138054681035</x:v>
      </x:c>
      <x:c r="O272" s="24" t="n">
        <x:v>83.66050982094039</x:v>
      </x:c>
      <x:c r="P272" s="24" t="n">
        <x:v>50</x:v>
      </x:c>
      <x:c r="Q272" s="24"/>
      <x:c r="R272" s="24" t="n">
        <x:v>61.09175516067905</x:v>
      </x:c>
      <x:c r="S272" s="24"/>
      <x:c r="T272" s="24"/>
      <x:c r="U272" s="24" t="n">
        <x:v>50</x:v>
      </x:c>
    </x:row>
    <x:row r="273">
      <x:c r="A273" s="24" t="n">
        <x:v>27.1</x:v>
      </x:c>
      <x:c r="B273" s="24" t="n">
        <x:v>63.999237295839734</x:v>
      </x:c>
      <x:c r="C273" s="24" t="n">
        <x:v>70.96664397556764</x:v>
      </x:c>
      <x:c r="D273" s="24" t="n">
        <x:v>65.93515995836228</x:v>
      </x:c>
      <x:c r="E273" s="24" t="n">
        <x:v>67.64347903585931</x:v>
      </x:c>
      <x:c r="F273" s="24" t="n">
        <x:v>69.71716939722438</x:v>
      </x:c>
      <x:c r="G273" s="24"/>
      <x:c r="H273" s="24" t="n">
        <x:v>80.02085102999018</x:v>
      </x:c>
      <x:c r="I273" s="24" t="n">
        <x:v>67.2302762046855</x:v>
      </x:c>
      <x:c r="J273" s="24"/>
      <x:c r="K273" s="24"/>
      <x:c r="L273" s="24" t="n">
        <x:v>68.57159915085424</x:v>
      </x:c>
      <x:c r="M273" s="24" t="n">
        <x:v>71.13106239205588</x:v>
      </x:c>
      <x:c r="N273" s="24" t="n">
        <x:v>50</x:v>
      </x:c>
      <x:c r="O273" s="24" t="n">
        <x:v>83.66050982094039</x:v>
      </x:c>
      <x:c r="P273" s="24" t="n">
        <x:v>50</x:v>
      </x:c>
      <x:c r="Q273" s="24"/>
      <x:c r="R273" s="24" t="n">
        <x:v>77.19300852312</x:v>
      </x:c>
      <x:c r="S273" s="24"/>
      <x:c r="T273" s="24"/>
      <x:c r="U273" s="24" t="n">
        <x:v>50</x:v>
      </x:c>
    </x:row>
    <x:row r="274">
      <x:c r="A274" s="24" t="n">
        <x:v>27.200000000000003</x:v>
      </x:c>
      <x:c r="B274" s="24" t="n">
        <x:v>64.98982733399436</x:v>
      </x:c>
      <x:c r="C274" s="24" t="n">
        <x:v>70.96664397556765</x:v>
      </x:c>
      <x:c r="D274" s="24" t="n">
        <x:v>67.6514296695602</x:v>
      </x:c>
      <x:c r="E274" s="24" t="n">
        <x:v>67.64347903585931</x:v>
      </x:c>
      <x:c r="F274" s="24" t="n">
        <x:v>70.18920975683763</x:v>
      </x:c>
      <x:c r="G274" s="24"/>
      <x:c r="H274" s="24" t="n">
        <x:v>79.27010904791071</x:v>
      </x:c>
      <x:c r="I274" s="24" t="n">
        <x:v>66.3122225836545</x:v>
      </x:c>
      <x:c r="J274" s="24"/>
      <x:c r="K274" s="24"/>
      <x:c r="L274" s="24" t="n">
        <x:v>70.58746207657738</x:v>
      </x:c>
      <x:c r="M274" s="24" t="n">
        <x:v>77.60074871356802</x:v>
      </x:c>
      <x:c r="N274" s="24" t="n">
        <x:v>50</x:v>
      </x:c>
      <x:c r="O274" s="24" t="n">
        <x:v>75.6835489129956</x:v>
      </x:c>
      <x:c r="P274" s="24" t="n">
        <x:v>50</x:v>
      </x:c>
      <x:c r="Q274" s="24"/>
      <x:c r="R274" s="24" t="n">
        <x:v>77.19300852312</x:v>
      </x:c>
      <x:c r="S274" s="24"/>
      <x:c r="T274" s="24"/>
      <x:c r="U274" s="24" t="n">
        <x:v>58.041132281879854</x:v>
      </x:c>
    </x:row>
    <x:row r="275">
      <x:c r="A275" s="24" t="n">
        <x:v>27.3</x:v>
      </x:c>
      <x:c r="B275" s="24" t="n">
        <x:v>61.81584222652248</x:v>
      </x:c>
      <x:c r="C275" s="24" t="n">
        <x:v>71.60566600052644</x:v>
      </x:c>
      <x:c r="D275" s="24" t="n">
        <x:v>67.6514296695602</x:v>
      </x:c>
      <x:c r="E275" s="24" t="n">
        <x:v>65.48708725974463</x:v>
      </x:c>
      <x:c r="F275" s="24" t="n">
        <x:v>69.72111917925452</x:v>
      </x:c>
      <x:c r="G275" s="24"/>
      <x:c r="H275" s="24" t="n">
        <x:v>68.60451384620727</x:v>
      </x:c>
      <x:c r="I275" s="24" t="n">
        <x:v>63.5554491018527</x:v>
      </x:c>
      <x:c r="J275" s="24"/>
      <x:c r="K275" s="24"/>
      <x:c r="L275" s="24" t="n">
        <x:v>70.58746207657738</x:v>
      </x:c>
      <x:c r="M275" s="24" t="n">
        <x:v>83.51673693299112</x:v>
      </x:c>
      <x:c r="N275" s="24" t="n">
        <x:v>50</x:v>
      </x:c>
      <x:c r="O275" s="24" t="n">
        <x:v>70.41083849170752</x:v>
      </x:c>
      <x:c r="P275" s="24" t="n">
        <x:v>78.65092984174677</x:v>
      </x:c>
      <x:c r="Q275" s="24"/>
      <x:c r="R275" s="24" t="n">
        <x:v>70.99569733506873</x:v>
      </x:c>
      <x:c r="S275" s="24"/>
      <x:c r="T275" s="24"/>
      <x:c r="U275" s="24" t="n">
        <x:v>61.49393003659196</x:v>
      </x:c>
    </x:row>
    <x:row r="276">
      <x:c r="A276" s="24" t="n">
        <x:v>27.400000000000002</x:v>
      </x:c>
      <x:c r="B276" s="24" t="n">
        <x:v>62.93733786748006</x:v>
      </x:c>
      <x:c r="C276" s="24" t="n">
        <x:v>71.60566600052643</x:v>
      </x:c>
      <x:c r="D276" s="24" t="n">
        <x:v>66.76621062307025</x:v>
      </x:c>
      <x:c r="E276" s="24" t="n">
        <x:v>65.89612926955105</x:v>
      </x:c>
      <x:c r="F276" s="24" t="n">
        <x:v>69.64741692127711</x:v>
      </x:c>
      <x:c r="G276" s="24"/>
      <x:c r="H276" s="24" t="n">
        <x:v>55.49447641776585</x:v>
      </x:c>
      <x:c r="I276" s="24" t="n">
        <x:v>62.39351133498229</x:v>
      </x:c>
      <x:c r="J276" s="24"/>
      <x:c r="K276" s="24"/>
      <x:c r="L276" s="24" t="n">
        <x:v>69.6775043804155</x:v>
      </x:c>
      <x:c r="M276" s="24" t="n">
        <x:v>83.51673693299112</x:v>
      </x:c>
      <x:c r="N276" s="24" t="n">
        <x:v>56.970346049796134</x:v>
      </x:c>
      <x:c r="O276" s="24" t="n">
        <x:v>70.07372856854863</x:v>
      </x:c>
      <x:c r="P276" s="24" t="n">
        <x:v>78.9241943150663</x:v>
      </x:c>
      <x:c r="Q276" s="24"/>
      <x:c r="R276" s="24" t="n">
        <x:v>68.8511316358313</x:v>
      </x:c>
      <x:c r="S276" s="24"/>
      <x:c r="T276" s="24"/>
      <x:c r="U276" s="24" t="n">
        <x:v>75.05328204691145</x:v>
      </x:c>
    </x:row>
    <x:row r="277">
      <x:c r="A277" s="24" t="n">
        <x:v>27.5</x:v>
      </x:c>
      <x:c r="B277" s="24" t="n">
        <x:v>63.7006802298249</x:v>
      </x:c>
      <x:c r="C277" s="24" t="n">
        <x:v>78.63973892735206</x:v>
      </x:c>
      <x:c r="D277" s="24" t="n">
        <x:v>67.15415390694382</x:v>
      </x:c>
      <x:c r="E277" s="24" t="n">
        <x:v>69.78001852500152</x:v>
      </x:c>
      <x:c r="F277" s="24" t="n">
        <x:v>69.7824382129497</x:v>
      </x:c>
      <x:c r="G277" s="24"/>
      <x:c r="H277" s="24" t="n">
        <x:v>58.536430665516576</x:v>
      </x:c>
      <x:c r="I277" s="24" t="n">
        <x:v>60.24665018470667</x:v>
      </x:c>
      <x:c r="J277" s="24"/>
      <x:c r="K277" s="24"/>
      <x:c r="L277" s="24" t="n">
        <x:v>67.7139269697105</x:v>
      </x:c>
      <x:c r="M277" s="24" t="n">
        <x:v>76.36021136510722</x:v>
      </x:c>
      <x:c r="N277" s="24" t="n">
        <x:v>79.18229117010713</x:v>
      </x:c>
      <x:c r="O277" s="24" t="n">
        <x:v>69.7540481246959</x:v>
      </x:c>
      <x:c r="P277" s="24" t="n">
        <x:v>76.86792677247428</x:v>
      </x:c>
      <x:c r="Q277" s="24"/>
      <x:c r="R277" s="24" t="n">
        <x:v>67.24389525079441</x:v>
      </x:c>
      <x:c r="S277" s="24"/>
      <x:c r="T277" s="24"/>
      <x:c r="U277" s="24" t="n">
        <x:v>75.05328204691145</x:v>
      </x:c>
    </x:row>
    <x:row r="278">
      <x:c r="A278" s="24" t="n">
        <x:v>27.6</x:v>
      </x:c>
      <x:c r="B278" s="24" t="n">
        <x:v>63.7006802298249</x:v>
      </x:c>
      <x:c r="C278" s="24" t="n">
        <x:v>83.02079925861324</x:v>
      </x:c>
      <x:c r="D278" s="24" t="n">
        <x:v>66.92973714647081</x:v>
      </x:c>
      <x:c r="E278" s="24" t="n">
        <x:v>84.55929088239125</x:v>
      </x:c>
      <x:c r="F278" s="24" t="n">
        <x:v>69.7824382129497</x:v>
      </x:c>
      <x:c r="G278" s="24"/>
      <x:c r="H278" s="24" t="n">
        <x:v>61.5783849132674</x:v>
      </x:c>
      <x:c r="I278" s="24" t="n">
        <x:v>75.07823526545141</x:v>
      </x:c>
      <x:c r="J278" s="24"/>
      <x:c r="K278" s="24"/>
      <x:c r="L278" s="24" t="n">
        <x:v>64.46213547913284</x:v>
      </x:c>
      <x:c r="M278" s="24" t="n">
        <x:v>65.51816254723745</x:v>
      </x:c>
      <x:c r="N278" s="24" t="n">
        <x:v>80.20168688768292</x:v>
      </x:c>
      <x:c r="O278" s="24" t="n">
        <x:v>69.57733355852415</x:v>
      </x:c>
      <x:c r="P278" s="24" t="n">
        <x:v>70.21239732375584</x:v>
      </x:c>
      <x:c r="Q278" s="24"/>
      <x:c r="R278" s="24" t="n">
        <x:v>67.24389525079441</x:v>
      </x:c>
      <x:c r="S278" s="24"/>
      <x:c r="T278" s="24"/>
      <x:c r="U278" s="24" t="n">
        <x:v>71.99363987059692</x:v>
      </x:c>
    </x:row>
    <x:row r="279">
      <x:c r="A279" s="24" t="n">
        <x:v>27.700000000000003</x:v>
      </x:c>
      <x:c r="B279" s="24" t="n">
        <x:v>65.06034008093181</x:v>
      </x:c>
      <x:c r="C279" s="24" t="n">
        <x:v>83.02079925861324</x:v>
      </x:c>
      <x:c r="D279" s="24" t="n">
        <x:v>66.58034935442002</x:v>
      </x:c>
      <x:c r="E279" s="24" t="n">
        <x:v>85.0338797080245</x:v>
      </x:c>
      <x:c r="F279" s="24" t="n">
        <x:v>66.12672705592121</x:v>
      </x:c>
      <x:c r="G279" s="24"/>
      <x:c r="H279" s="24" t="n">
        <x:v>64.62033916101824</x:v>
      </x:c>
      <x:c r="I279" s="24" t="n">
        <x:v>75.1064193631106</x:v>
      </x:c>
      <x:c r="J279" s="24"/>
      <x:c r="K279" s="24"/>
      <x:c r="L279" s="24" t="n">
        <x:v>75.41706262942633</x:v>
      </x:c>
      <x:c r="M279" s="24" t="n">
        <x:v>50</x:v>
      </x:c>
      <x:c r="N279" s="24" t="n">
        <x:v>82.45663939662249</x:v>
      </x:c>
      <x:c r="O279" s="24" t="n">
        <x:v>69.85061247100006</x:v>
      </x:c>
      <x:c r="P279" s="24" t="n">
        <x:v>70.16230306755396</x:v>
      </x:c>
      <x:c r="Q279" s="24"/>
      <x:c r="R279" s="24" t="n">
        <x:v>66.1980139326353</x:v>
      </x:c>
      <x:c r="S279" s="24"/>
      <x:c r="T279" s="24"/>
      <x:c r="U279" s="24" t="n">
        <x:v>63.37967887529926</x:v>
      </x:c>
    </x:row>
    <x:row r="280">
      <x:c r="A280" s="24" t="n">
        <x:v>27.8</x:v>
      </x:c>
      <x:c r="B280" s="24" t="n">
        <x:v>65.73639925222543</x:v>
      </x:c>
      <x:c r="C280" s="24" t="n">
        <x:v>74.73141565158511</x:v>
      </x:c>
      <x:c r="D280" s="24" t="n">
        <x:v>66.58034935442002</x:v>
      </x:c>
      <x:c r="E280" s="24" t="n">
        <x:v>84.31809613928766</x:v>
      </x:c>
      <x:c r="F280" s="24" t="n">
        <x:v>81.78893871085205</x:v>
      </x:c>
      <x:c r="G280" s="24"/>
      <x:c r="H280" s="24" t="n">
        <x:v>65.22873001056827</x:v>
      </x:c>
      <x:c r="I280" s="24" t="n">
        <x:v>71.82323346721681</x:v>
      </x:c>
      <x:c r="J280" s="24"/>
      <x:c r="K280" s="24"/>
      <x:c r="L280" s="24" t="n">
        <x:v>80.44659013964299</x:v>
      </x:c>
      <x:c r="M280" s="24" t="n">
        <x:v>50</x:v>
      </x:c>
      <x:c r="N280" s="24" t="n">
        <x:v>82.45663939662249</x:v>
      </x:c>
      <x:c r="O280" s="24" t="n">
        <x:v>80.99962178730343</x:v>
      </x:c>
      <x:c r="P280" s="24" t="n">
        <x:v>69.99800652050416</x:v>
      </x:c>
      <x:c r="Q280" s="24"/>
      <x:c r="R280" s="24" t="n">
        <x:v>66.19194862016043</x:v>
      </x:c>
      <x:c r="S280" s="24"/>
      <x:c r="T280" s="24"/>
      <x:c r="U280" s="24" t="n">
        <x:v>61.496227863914086</x:v>
      </x:c>
    </x:row>
    <x:row r="281">
      <x:c r="A281" s="24" t="n">
        <x:v>27.900000000000002</x:v>
      </x:c>
      <x:c r="B281" s="24" t="n">
        <x:v>63.76181975556023</x:v>
      </x:c>
      <x:c r="C281" s="24" t="n">
        <x:v>64.20166003741596</x:v>
      </x:c>
      <x:c r="D281" s="24" t="n">
        <x:v>83.47413171204796</x:v>
      </x:c>
      <x:c r="E281" s="24" t="n">
        <x:v>76.40345137808158</x:v>
      </x:c>
      <x:c r="F281" s="24" t="n">
        <x:v>82.46219930474462</x:v>
      </x:c>
      <x:c r="G281" s="24"/>
      <x:c r="H281" s="24" t="n">
        <x:v>73.92641261964351</x:v>
      </x:c>
      <x:c r="I281" s="24" t="n">
        <x:v>57.645006529872724</x:v>
      </x:c>
      <x:c r="J281" s="24"/>
      <x:c r="K281" s="24"/>
      <x:c r="L281" s="24" t="n">
        <x:v>80.44659013964299</x:v>
      </x:c>
      <x:c r="M281" s="24" t="n">
        <x:v>50</x:v>
      </x:c>
      <x:c r="N281" s="24" t="n">
        <x:v>75.32167886176087</x:v>
      </x:c>
      <x:c r="O281" s="24" t="n">
        <x:v>80.99962178730343</x:v>
      </x:c>
      <x:c r="P281" s="24" t="n">
        <x:v>69.99800652050402</x:v>
      </x:c>
      <x:c r="Q281" s="24"/>
      <x:c r="R281" s="24" t="n">
        <x:v>66.27311165018908</x:v>
      </x:c>
      <x:c r="S281" s="24"/>
      <x:c r="T281" s="24"/>
      <x:c r="U281" s="24" t="n">
        <x:v>61.49622786391403</x:v>
      </x:c>
    </x:row>
    <x:row r="282">
      <x:c r="A282" s="24" t="n">
        <x:v>28</x:v>
      </x:c>
      <x:c r="B282" s="24" t="n">
        <x:v>65.94923125557831</x:v>
      </x:c>
      <x:c r="C282" s="24" t="n">
        <x:v>51.595284178115094</x:v>
      </x:c>
      <x:c r="D282" s="24" t="n">
        <x:v>84.13107196669908</x:v>
      </x:c>
      <x:c r="E282" s="24" t="n">
        <x:v>68.61980567197756</x:v>
      </x:c>
      <x:c r="F282" s="24" t="n">
        <x:v>81.90089731303487</x:v>
      </x:c>
      <x:c r="G282" s="24"/>
      <x:c r="H282" s="24" t="n">
        <x:v>73.92641261964351</x:v>
      </x:c>
      <x:c r="I282" s="24" t="n">
        <x:v>50.33517476290626</x:v>
      </x:c>
      <x:c r="J282" s="24"/>
      <x:c r="K282" s="24"/>
      <x:c r="L282" s="24" t="n">
        <x:v>73.96421705302261</x:v>
      </x:c>
      <x:c r="M282" s="24" t="n">
        <x:v>50</x:v>
      </x:c>
      <x:c r="N282" s="24" t="n">
        <x:v>72.15391416619246</x:v>
      </x:c>
      <x:c r="O282" s="24" t="n">
        <x:v>80.37069795408058</x:v>
      </x:c>
      <x:c r="P282" s="24" t="n">
        <x:v>70.0243855462665</x:v>
      </x:c>
      <x:c r="Q282" s="24"/>
      <x:c r="R282" s="24" t="n">
        <x:v>68.2818929838933</x:v>
      </x:c>
      <x:c r="S282" s="24"/>
      <x:c r="T282" s="24"/>
      <x:c r="U282" s="24" t="n">
        <x:v>53.780633843731124</x:v>
      </x:c>
    </x:row>
    <x:row r="283">
      <x:c r="A283" s="24" t="n">
        <x:v>28.1</x:v>
      </x:c>
      <x:c r="B283" s="24" t="n">
        <x:v>65.94923125557831</x:v>
      </x:c>
      <x:c r="C283" s="24" t="n">
        <x:v>51.595284178115094</x:v>
      </x:c>
      <x:c r="D283" s="24" t="n">
        <x:v>82.35818695508836</x:v>
      </x:c>
      <x:c r="E283" s="24" t="n">
        <x:v>63.9036583800316</x:v>
      </x:c>
      <x:c r="F283" s="24" t="n">
        <x:v>71.84771754185758</x:v>
      </x:c>
      <x:c r="G283" s="24"/>
      <x:c r="H283" s="24" t="n">
        <x:v>70.39945756627529</x:v>
      </x:c>
      <x:c r="I283" s="24" t="n">
        <x:v>45.56881161460947</x:v>
      </x:c>
      <x:c r="J283" s="24"/>
      <x:c r="K283" s="24"/>
      <x:c r="L283" s="24" t="n">
        <x:v>64.3083641867237</x:v>
      </x:c>
      <x:c r="M283" s="24" t="n">
        <x:v>54.53298617796797</x:v>
      </x:c>
      <x:c r="N283" s="24" t="n">
        <x:v>71.38297405693653</x:v>
      </x:c>
      <x:c r="O283" s="24" t="n">
        <x:v>73.47139899682331</x:v>
      </x:c>
      <x:c r="P283" s="24" t="n">
        <x:v>70.0243855462665</x:v>
      </x:c>
      <x:c r="Q283" s="24"/>
      <x:c r="R283" s="24" t="n">
        <x:v>68.2818929838933</x:v>
      </x:c>
      <x:c r="S283" s="24"/>
      <x:c r="T283" s="24"/>
      <x:c r="U283" s="24" t="n">
        <x:v>60.34812706345096</x:v>
      </x:c>
    </x:row>
    <x:row r="284">
      <x:c r="A284" s="24" t="n">
        <x:v>28.200000000000003</x:v>
      </x:c>
      <x:c r="B284" s="24" t="n">
        <x:v>64.95610539139999</x:v>
      </x:c>
      <x:c r="C284" s="24" t="n">
        <x:v>51.595284178115094</x:v>
      </x:c>
      <x:c r="D284" s="24" t="n">
        <x:v>72.58260674344943</x:v>
      </x:c>
      <x:c r="E284" s="24" t="n">
        <x:v>65.05480701224688</x:v>
      </x:c>
      <x:c r="F284" s="24" t="n">
        <x:v>63.462364044333505</x:v>
      </x:c>
      <x:c r="G284" s="24"/>
      <x:c r="H284" s="24" t="n">
        <x:v>65.03348958094051</x:v>
      </x:c>
      <x:c r="I284" s="24" t="n">
        <x:v>61.32370302182616</x:v>
      </x:c>
      <x:c r="J284" s="24"/>
      <x:c r="K284" s="24"/>
      <x:c r="L284" s="24" t="n">
        <x:v>54.50617449004259</x:v>
      </x:c>
      <x:c r="M284" s="24" t="n">
        <x:v>81.07576219152276</x:v>
      </x:c>
      <x:c r="N284" s="24" t="n">
        <x:v>71.02396075185581</x:v>
      </x:c>
      <x:c r="O284" s="24" t="n">
        <x:v>67.14187959007047</x:v>
      </x:c>
      <x:c r="P284" s="24" t="n">
        <x:v>70.11457158751486</x:v>
      </x:c>
      <x:c r="Q284" s="24"/>
      <x:c r="R284" s="24" t="n">
        <x:v>67.05651905627437</x:v>
      </x:c>
      <x:c r="S284" s="24"/>
      <x:c r="T284" s="24"/>
      <x:c r="U284" s="24" t="n">
        <x:v>65.51038484260171</x:v>
      </x:c>
    </x:row>
    <x:row r="285">
      <x:c r="A285" s="24" t="n">
        <x:v>28.3</x:v>
      </x:c>
      <x:c r="B285" s="24" t="n">
        <x:v>63.702054492561636</x:v>
      </x:c>
      <x:c r="C285" s="24" t="n">
        <x:v>51.595284178115094</x:v>
      </x:c>
      <x:c r="D285" s="24" t="n">
        <x:v>64.02505819941531</x:v>
      </x:c>
      <x:c r="E285" s="24" t="n">
        <x:v>65.16688918626781</x:v>
      </x:c>
      <x:c r="F285" s="24" t="n">
        <x:v>62.94061001462678</x:v>
      </x:c>
      <x:c r="G285" s="24"/>
      <x:c r="H285" s="24" t="n">
        <x:v>72.11065806750145</x:v>
      </x:c>
      <x:c r="I285" s="24" t="n">
        <x:v>63.19615759988004</x:v>
      </x:c>
      <x:c r="J285" s="24"/>
      <x:c r="K285" s="24"/>
      <x:c r="L285" s="24" t="n">
        <x:v>51.68981543376597</x:v>
      </x:c>
      <x:c r="M285" s="24" t="n">
        <x:v>82.15553194866686</x:v>
      </x:c>
      <x:c r="N285" s="24" t="n">
        <x:v>71.02396075185581</x:v>
      </x:c>
      <x:c r="O285" s="24" t="n">
        <x:v>65.03478405489881</x:v>
      </x:c>
      <x:c r="P285" s="24" t="n">
        <x:v>70.11457158751486</x:v>
      </x:c>
      <x:c r="Q285" s="24"/>
      <x:c r="R285" s="24" t="n">
        <x:v>65.41556992916547</x:v>
      </x:c>
      <x:c r="S285" s="24"/>
      <x:c r="T285" s="24"/>
      <x:c r="U285" s="24" t="n">
        <x:v>65.76799776183447</x:v>
      </x:c>
    </x:row>
    <x:row r="286">
      <x:c r="A286" s="24" t="n">
        <x:v>28.400000000000002</x:v>
      </x:c>
      <x:c r="B286" s="24" t="n">
        <x:v>68.48014723620845</x:v>
      </x:c>
      <x:c r="C286" s="24" t="n">
        <x:v>58.758835332062105</x:v>
      </x:c>
      <x:c r="D286" s="24" t="n">
        <x:v>54.572981199653576</x:v>
      </x:c>
      <x:c r="E286" s="24" t="n">
        <x:v>64.88349373660286</x:v>
      </x:c>
      <x:c r="F286" s="24" t="n">
        <x:v>63.42701119247631</x:v>
      </x:c>
      <x:c r="G286" s="24"/>
      <x:c r="H286" s="24" t="n">
        <x:v>73.82279819734808</x:v>
      </x:c>
      <x:c r="I286" s="24" t="n">
        <x:v>68.40780809741159</x:v>
      </x:c>
      <x:c r="J286" s="24"/>
      <x:c r="K286" s="24"/>
      <x:c r="L286" s="24" t="n">
        <x:v>50.672715337095966</x:v>
      </x:c>
      <x:c r="M286" s="24" t="n">
        <x:v>81.4160111978886</x:v>
      </x:c>
      <x:c r="N286" s="24" t="n">
        <x:v>71.05653875331019</x:v>
      </x:c>
      <x:c r="O286" s="24" t="n">
        <x:v>62.06419751157449</x:v>
      </x:c>
      <x:c r="P286" s="24" t="n">
        <x:v>70.29295616808848</x:v>
      </x:c>
      <x:c r="Q286" s="24"/>
      <x:c r="R286" s="24" t="n">
        <x:v>64.30061014392767</x:v>
      </x:c>
      <x:c r="S286" s="24"/>
      <x:c r="T286" s="24"/>
      <x:c r="U286" s="24" t="n">
        <x:v>65.17496087211526</x:v>
      </x:c>
    </x:row>
    <x:row r="287">
      <x:c r="A287" s="24" t="n">
        <x:v>28.5</x:v>
      </x:c>
      <x:c r="B287" s="24" t="n">
        <x:v>91.73069511875426</x:v>
      </x:c>
      <x:c r="C287" s="24" t="n">
        <x:v>60.163883150461864</x:v>
      </x:c>
      <x:c r="D287" s="24" t="n">
        <x:v>53.01496493812886</x:v>
      </x:c>
      <x:c r="E287" s="24" t="n">
        <x:v>49.331608997128484</x:v>
      </x:c>
      <x:c r="F287" s="24" t="n">
        <x:v>63.91341237032582</x:v>
      </x:c>
      <x:c r="G287" s="24"/>
      <x:c r="H287" s="24" t="n">
        <x:v>73.82279819734808</x:v>
      </x:c>
      <x:c r="I287" s="24" t="n">
        <x:v>68.40780809741159</x:v>
      </x:c>
      <x:c r="J287" s="24"/>
      <x:c r="K287" s="24"/>
      <x:c r="L287" s="24" t="n">
        <x:v>54.036292022575196</x:v>
      </x:c>
      <x:c r="M287" s="24" t="n">
        <x:v>75.31445401708618</x:v>
      </x:c>
      <x:c r="N287" s="24" t="n">
        <x:v>71.67183525417998</x:v>
      </x:c>
      <x:c r="O287" s="24" t="n">
        <x:v>62.61592256537831</x:v>
      </x:c>
      <x:c r="P287" s="24" t="n">
        <x:v>70.29295616808848</x:v>
      </x:c>
      <x:c r="Q287" s="24"/>
      <x:c r="R287" s="24" t="n">
        <x:v>73.54522468486822</x:v>
      </x:c>
      <x:c r="S287" s="24"/>
      <x:c r="T287" s="24"/>
      <x:c r="U287" s="24" t="n">
        <x:v>63.85024353942566</x:v>
      </x:c>
    </x:row>
    <x:row r="288">
      <x:c r="A288" s="24" t="n">
        <x:v>28.6</x:v>
      </x:c>
      <x:c r="B288" s="24" t="n">
        <x:v>91.73069511875426</x:v>
      </x:c>
      <x:c r="C288" s="24" t="n">
        <x:v>59.2453121778424</x:v>
      </x:c>
      <x:c r="D288" s="24" t="n">
        <x:v>54.660989087584916</x:v>
      </x:c>
      <x:c r="E288" s="24" t="n">
        <x:v>75.05861392228148</x:v>
      </x:c>
      <x:c r="F288" s="24" t="n">
        <x:v>64.30253331260543</x:v>
      </x:c>
      <x:c r="G288" s="24"/>
      <x:c r="H288" s="24" t="n">
        <x:v>72.77794889258087</x:v>
      </x:c>
      <x:c r="I288" s="24" t="n">
        <x:v>63.34140408108563</x:v>
      </x:c>
      <x:c r="J288" s="24"/>
      <x:c r="K288" s="24"/>
      <x:c r="L288" s="24" t="n">
        <x:v>57.39986870805454</x:v>
      </x:c>
      <x:c r="M288" s="24" t="n">
        <x:v>75.04537168408696</x:v>
      </x:c>
      <x:c r="N288" s="24" t="n">
        <x:v>78.26775783898914</x:v>
      </x:c>
      <x:c r="O288" s="24" t="n">
        <x:v>65.32537934945154</x:v>
      </x:c>
      <x:c r="P288" s="24" t="n">
        <x:v>68.25172586319646</x:v>
      </x:c>
      <x:c r="Q288" s="24"/>
      <x:c r="R288" s="24" t="n">
        <x:v>75.88665717319203</x:v>
      </x:c>
      <x:c r="S288" s="24"/>
      <x:c r="T288" s="24"/>
      <x:c r="U288" s="24" t="n">
        <x:v>65.68527514341841</x:v>
      </x:c>
    </x:row>
    <x:row r="289">
      <x:c r="A289" s="24" t="n">
        <x:v>28.700000000000003</x:v>
      </x:c>
      <x:c r="B289" s="24" t="n">
        <x:v>85.22754424993516</x:v>
      </x:c>
      <x:c r="C289" s="24" t="n">
        <x:v>75.30130960500222</x:v>
      </x:c>
      <x:c r="D289" s="24" t="n">
        <x:v>60.334065722749486</x:v>
      </x:c>
      <x:c r="E289" s="24" t="n">
        <x:v>75.05861392228148</x:v>
      </x:c>
      <x:c r="F289" s="24" t="n">
        <x:v>64.3025333126057</x:v>
      </x:c>
      <x:c r="G289" s="24"/>
      <x:c r="H289" s="24" t="n">
        <x:v>73.19319875727771</x:v>
      </x:c>
      <x:c r="I289" s="24" t="n">
        <x:v>57.26068351525258</x:v>
      </x:c>
      <x:c r="J289" s="24"/>
      <x:c r="K289" s="24"/>
      <x:c r="L289" s="24" t="n">
        <x:v>81.0542036193211</x:v>
      </x:c>
      <x:c r="M289" s="24" t="n">
        <x:v>71.53231289572452</x:v>
      </x:c>
      <x:c r="N289" s="24" t="n">
        <x:v>79.17157808487245</x:v>
      </x:c>
      <x:c r="O289" s="24" t="n">
        <x:v>65.32537934945154</x:v>
      </x:c>
      <x:c r="P289" s="24" t="n">
        <x:v>67.38280318265694</x:v>
      </x:c>
      <x:c r="Q289" s="24"/>
      <x:c r="R289" s="24" t="n">
        <x:v>75.88665717319198</x:v>
      </x:c>
      <x:c r="S289" s="24"/>
      <x:c r="T289" s="24"/>
      <x:c r="U289" s="24" t="n">
        <x:v>75.97992774798519</x:v>
      </x:c>
    </x:row>
    <x:row r="290">
      <x:c r="A290" s="24" t="n">
        <x:v>28.8</x:v>
      </x:c>
      <x:c r="B290" s="24" t="n">
        <x:v>77.5190582559684</x:v>
      </x:c>
      <x:c r="C290" s="24" t="n">
        <x:v>77.69340702243022</x:v>
      </x:c>
      <x:c r="D290" s="24" t="n">
        <x:v>63.7379117038481</x:v>
      </x:c>
      <x:c r="E290" s="24" t="n">
        <x:v>74.09391438544074</x:v>
      </x:c>
      <x:c r="F290" s="24" t="n">
        <x:v>71.79984711678709</x:v>
      </x:c>
      <x:c r="G290" s="24"/>
      <x:c r="H290" s="24" t="n">
        <x:v>73.19319875727771</x:v>
      </x:c>
      <x:c r="I290" s="24" t="n">
        <x:v>64.19940572779095</x:v>
      </x:c>
      <x:c r="J290" s="24"/>
      <x:c r="K290" s="24"/>
      <x:c r="L290" s="24" t="n">
        <x:v>81.85936483513174</x:v>
      </x:c>
      <x:c r="M290" s="24" t="n">
        <x:v>72.2827734437286</x:v>
      </x:c>
      <x:c r="N290" s="24" t="n">
        <x:v>79.01991771055648</x:v>
      </x:c>
      <x:c r="O290" s="24" t="n">
        <x:v>72.52554059041421</x:v>
      </x:c>
      <x:c r="P290" s="24" t="n">
        <x:v>77.38335637198244</x:v>
      </x:c>
      <x:c r="Q290" s="24"/>
      <x:c r="R290" s="24" t="n">
        <x:v>67.41490883073672</x:v>
      </x:c>
      <x:c r="S290" s="24"/>
      <x:c r="T290" s="24"/>
      <x:c r="U290" s="24" t="n">
        <x:v>82.15671931072502</x:v>
      </x:c>
    </x:row>
    <x:row r="291">
      <x:c r="A291" s="24" t="n">
        <x:v>28.900000000000002</x:v>
      </x:c>
      <x:c r="B291" s="24" t="n">
        <x:v>74.90295861899986</x:v>
      </x:c>
      <x:c r="C291" s="24" t="n">
        <x:v>77.6934070224302</x:v>
      </x:c>
      <x:c r="D291" s="24" t="n">
        <x:v>66.32080697583065</x:v>
      </x:c>
      <x:c r="E291" s="24" t="n">
        <x:v>53.26358652799438</x:v>
      </x:c>
      <x:c r="F291" s="24" t="n">
        <x:v>71.79984711678709</x:v>
      </x:c>
      <x:c r="G291" s="24"/>
      <x:c r="H291" s="24" t="n">
        <x:v>72.99314495159871</x:v>
      </x:c>
      <x:c r="I291" s="24" t="n">
        <x:v>66.73540952842447</x:v>
      </x:c>
      <x:c r="J291" s="24"/>
      <x:c r="K291" s="24"/>
      <x:c r="L291" s="24" t="n">
        <x:v>80.95759120304916</x:v>
      </x:c>
      <x:c r="M291" s="24" t="n">
        <x:v>72.2827734437286</x:v>
      </x:c>
      <x:c r="N291" s="24" t="n">
        <x:v>74.14628727187929</x:v>
      </x:c>
      <x:c r="O291" s="24" t="n">
        <x:v>77.34427630721919</x:v>
      </x:c>
      <x:c r="P291" s="24" t="n">
        <x:v>77.38335637198244</x:v>
      </x:c>
      <x:c r="Q291" s="24"/>
      <x:c r="R291" s="24" t="n">
        <x:v>55.309806457116316</x:v>
      </x:c>
      <x:c r="S291" s="24"/>
      <x:c r="T291" s="24"/>
      <x:c r="U291" s="24" t="n">
        <x:v>82.15671931072491</x:v>
      </x:c>
    </x:row>
    <x:row r="292">
      <x:c r="A292" s="24" t="n">
        <x:v>29</x:v>
      </x:c>
      <x:c r="B292" s="24" t="n">
        <x:v>74.0345015790496</x:v>
      </x:c>
      <x:c r="C292" s="24" t="n">
        <x:v>72.0947341834521</x:v>
      </x:c>
      <x:c r="D292" s="24" t="n">
        <x:v>70.62563242913464</x:v>
      </x:c>
      <x:c r="E292" s="24" t="n">
        <x:v>59.02885973200237</x:v>
      </x:c>
      <x:c r="F292" s="24" t="n">
        <x:v>66.52353193997817</x:v>
      </x:c>
      <x:c r="G292" s="24"/>
      <x:c r="H292" s="24" t="n">
        <x:v>74.95687444246957</x:v>
      </x:c>
      <x:c r="I292" s="24" t="n">
        <x:v>66.51647563072697</x:v>
      </x:c>
      <x:c r="J292" s="24"/>
      <x:c r="K292" s="24"/>
      <x:c r="L292" s="24" t="n">
        <x:v>74.20977653589101</x:v>
      </x:c>
      <x:c r="M292" s="24" t="n">
        <x:v>71.85358581484773</x:v>
      </x:c>
      <x:c r="N292" s="24" t="n">
        <x:v>71.05126683869871</x:v>
      </x:c>
      <x:c r="O292" s="24" t="n">
        <x:v>77.34427630721919</x:v>
      </x:c>
      <x:c r="P292" s="24" t="n">
        <x:v>72.51029917543269</x:v>
      </x:c>
      <x:c r="Q292" s="24"/>
      <x:c r="R292" s="24" t="n">
        <x:v>50</x:v>
      </x:c>
      <x:c r="S292" s="24"/>
      <x:c r="T292" s="24"/>
      <x:c r="U292" s="24" t="n">
        <x:v>73.99655015884163</x:v>
      </x:c>
    </x:row>
    <x:row r="293">
      <x:c r="A293" s="24" t="n">
        <x:v>29.1</x:v>
      </x:c>
      <x:c r="B293" s="24" t="n">
        <x:v>72.32871928763277</x:v>
      </x:c>
      <x:c r="C293" s="24" t="n">
        <x:v>68.48000513085361</x:v>
      </x:c>
      <x:c r="D293" s="24" t="n">
        <x:v>74.06949279177783</x:v>
      </x:c>
      <x:c r="E293" s="24" t="n">
        <x:v>63.77058439357562</x:v>
      </x:c>
      <x:c r="F293" s="24" t="n">
        <x:v>54.99950954684388</x:v>
      </x:c>
      <x:c r="G293" s="24"/>
      <x:c r="H293" s="24" t="n">
        <x:v>74.95687444246957</x:v>
      </x:c>
      <x:c r="I293" s="24" t="n">
        <x:v>66.51647563072697</x:v>
      </x:c>
      <x:c r="J293" s="24"/>
      <x:c r="K293" s="24"/>
      <x:c r="L293" s="24" t="n">
        <x:v>71.66654049066575</x:v>
      </x:c>
      <x:c r="M293" s="24" t="n">
        <x:v>72.06920727213797</x:v>
      </x:c>
      <x:c r="N293" s="24" t="n">
        <x:v>66.02805822611232</x:v>
      </x:c>
      <x:c r="O293" s="24" t="n">
        <x:v>68.54425607711828</x:v>
      </x:c>
      <x:c r="P293" s="24" t="n">
        <x:v>65.0673938044067</x:v>
      </x:c>
      <x:c r="Q293" s="24"/>
      <x:c r="R293" s="24" t="n">
        <x:v>50</x:v>
      </x:c>
      <x:c r="S293" s="24"/>
      <x:c r="T293" s="24"/>
      <x:c r="U293" s="24" t="n">
        <x:v>67.69692305331148</x:v>
      </x:c>
    </x:row>
    <x:row r="294">
      <x:c r="A294" s="24" t="n">
        <x:v>29.200000000000003</x:v>
      </x:c>
      <x:c r="B294" s="24" t="n">
        <x:v>69.1516277847427</x:v>
      </x:c>
      <x:c r="C294" s="24" t="n">
        <x:v>69.7392950900975</x:v>
      </x:c>
      <x:c r="D294" s="24" t="n">
        <x:v>74.06949279177783</x:v>
      </x:c>
      <x:c r="E294" s="24" t="n">
        <x:v>64.7110132940798</x:v>
      </x:c>
      <x:c r="F294" s="24" t="n">
        <x:v>63.47750202213726</x:v>
      </x:c>
      <x:c r="G294" s="24"/>
      <x:c r="H294" s="24" t="n">
        <x:v>73.76669204735828</x:v>
      </x:c>
      <x:c r="I294" s="24" t="n">
        <x:v>65.54154213521522</x:v>
      </x:c>
      <x:c r="J294" s="24"/>
      <x:c r="K294" s="24"/>
      <x:c r="L294" s="24" t="n">
        <x:v>69.11086076790338</x:v>
      </x:c>
      <x:c r="M294" s="24" t="n">
        <x:v>72.60807001628393</x:v>
      </x:c>
      <x:c r="N294" s="24" t="n">
        <x:v>66.08347801274687</x:v>
      </x:c>
      <x:c r="O294" s="24" t="n">
        <x:v>50</x:v>
      </x:c>
      <x:c r="P294" s="24" t="n">
        <x:v>50.160919695722214</x:v>
      </x:c>
      <x:c r="Q294" s="24"/>
      <x:c r="R294" s="24" t="n">
        <x:v>62.45779508027614</x:v>
      </x:c>
      <x:c r="S294" s="24"/>
      <x:c r="T294" s="24"/>
      <x:c r="U294" s="24" t="n">
        <x:v>61.715877687563385</x:v>
      </x:c>
    </x:row>
    <x:row r="295">
      <x:c r="A295" s="24" t="n">
        <x:v>29.3</x:v>
      </x:c>
      <x:c r="B295" s="24" t="n">
        <x:v>69.01569877860365</x:v>
      </x:c>
      <x:c r="C295" s="24" t="n">
        <x:v>72.05047028350336</x:v>
      </x:c>
      <x:c r="D295" s="24" t="n">
        <x:v>72.01415043321116</x:v>
      </x:c>
      <x:c r="E295" s="24" t="n">
        <x:v>66.27689183601233</x:v>
      </x:c>
      <x:c r="F295" s="24" t="n">
        <x:v>66.82009240907715</x:v>
      </x:c>
      <x:c r="G295" s="24"/>
      <x:c r="H295" s="24" t="n">
        <x:v>71.7606759700486</x:v>
      </x:c>
      <x:c r="I295" s="24" t="n">
        <x:v>66.60332571731249</x:v>
      </x:c>
      <x:c r="J295" s="24"/>
      <x:c r="K295" s="24"/>
      <x:c r="L295" s="24" t="n">
        <x:v>66.6342434152589</x:v>
      </x:c>
      <x:c r="M295" s="24" t="n">
        <x:v>72.60807001628393</x:v>
      </x:c>
      <x:c r="N295" s="24" t="n">
        <x:v>66.49115124422958</x:v>
      </x:c>
      <x:c r="O295" s="24" t="n">
        <x:v>50</x:v>
      </x:c>
      <x:c r="P295" s="24" t="n">
        <x:v>50.96551817433312</x:v>
      </x:c>
      <x:c r="Q295" s="24"/>
      <x:c r="R295" s="24" t="n">
        <x:v>76.49783646889523</x:v>
      </x:c>
      <x:c r="S295" s="24"/>
      <x:c r="T295" s="24"/>
      <x:c r="U295" s="24" t="n">
        <x:v>52.30764557949422</x:v>
      </x:c>
    </x:row>
    <x:row r="296">
      <x:c r="A296" s="24" t="n">
        <x:v>29.400000000000002</x:v>
      </x:c>
      <x:c r="B296" s="24" t="n">
        <x:v>69.8448143474632</x:v>
      </x:c>
      <x:c r="C296" s="24" t="n">
        <x:v>72.05047028350336</x:v>
      </x:c>
      <x:c r="D296" s="24" t="n">
        <x:v>65.3680806038978</x:v>
      </x:c>
      <x:c r="E296" s="24" t="n">
        <x:v>67.51020906750284</x:v>
      </x:c>
      <x:c r="F296" s="24" t="n">
        <x:v>67.96910412884398</x:v>
      </x:c>
      <x:c r="G296" s="24"/>
      <x:c r="H296" s="24" t="n">
        <x:v>67.67778616737019</x:v>
      </x:c>
      <x:c r="I296" s="24" t="n">
        <x:v>67.09110510119694</x:v>
      </x:c>
      <x:c r="J296" s="24"/>
      <x:c r="K296" s="24"/>
      <x:c r="L296" s="24" t="n">
        <x:v>67.64335026492304</x:v>
      </x:c>
      <x:c r="M296" s="24" t="n">
        <x:v>71.09600093580251</x:v>
      </x:c>
      <x:c r="N296" s="24" t="n">
        <x:v>67.92910206107074</x:v>
      </x:c>
      <x:c r="O296" s="24" t="n">
        <x:v>50</x:v>
      </x:c>
      <x:c r="P296" s="24" t="n">
        <x:v>51.77011665294406</x:v>
      </x:c>
      <x:c r="Q296" s="24"/>
      <x:c r="R296" s="24" t="n">
        <x:v>76.49783646889523</x:v>
      </x:c>
      <x:c r="S296" s="24"/>
      <x:c r="T296" s="24"/>
      <x:c r="U296" s="24" t="n">
        <x:v>57.18595697219354</x:v>
      </x:c>
    </x:row>
    <x:row r="297">
      <x:c r="A297" s="24" t="n">
        <x:v>29.5</x:v>
      </x:c>
      <x:c r="B297" s="24" t="n">
        <x:v>67.89231689918341</x:v>
      </x:c>
      <x:c r="C297" s="24" t="n">
        <x:v>72.01285350691063</x:v>
      </x:c>
      <x:c r="D297" s="24" t="n">
        <x:v>63.001156440064385</x:v>
      </x:c>
      <x:c r="E297" s="24" t="n">
        <x:v>68.11131051544473</x:v>
      </x:c>
      <x:c r="F297" s="24" t="n">
        <x:v>67.96910412884398</x:v>
      </x:c>
      <x:c r="G297" s="24"/>
      <x:c r="H297" s="24" t="n">
        <x:v>76.63143009371429</x:v>
      </x:c>
      <x:c r="I297" s="24" t="n">
        <x:v>80.0308497265221</x:v>
      </x:c>
      <x:c r="J297" s="24"/>
      <x:c r="K297" s="24"/>
      <x:c r="L297" s="24" t="n">
        <x:v>69.06327284293037</x:v>
      </x:c>
      <x:c r="M297" s="24" t="n">
        <x:v>70.68154970676632</x:v>
      </x:c>
      <x:c r="N297" s="24" t="n">
        <x:v>68.36789342228552</x:v>
      </x:c>
      <x:c r="O297" s="24" t="n">
        <x:v>50</x:v>
      </x:c>
      <x:c r="P297" s="24" t="n">
        <x:v>52.57471513155497</x:v>
      </x:c>
      <x:c r="Q297" s="24"/>
      <x:c r="R297" s="24" t="n">
        <x:v>72.90709643701943</x:v>
      </x:c>
      <x:c r="S297" s="24"/>
      <x:c r="T297" s="24"/>
      <x:c r="U297" s="24" t="n">
        <x:v>57.18595697219354</x:v>
      </x:c>
    </x:row>
    <x:row r="298">
      <x:c r="A298" s="24" t="n">
        <x:v>29.6</x:v>
      </x:c>
      <x:c r="B298" s="24" t="n">
        <x:v>66.93733702846717</x:v>
      </x:c>
      <x:c r="C298" s="24" t="n">
        <x:v>73.0934706491347</x:v>
      </x:c>
      <x:c r="D298" s="24" t="n">
        <x:v>65.4698074535811</x:v>
      </x:c>
      <x:c r="E298" s="24" t="n">
        <x:v>68.11131051544473</x:v>
      </x:c>
      <x:c r="F298" s="24" t="n">
        <x:v>69.15039520298586</x:v>
      </x:c>
      <x:c r="G298" s="24"/>
      <x:c r="H298" s="24" t="n">
        <x:v>80.54063533739257</x:v>
      </x:c>
      <x:c r="I298" s="24" t="n">
        <x:v>83.12888848339584</x:v>
      </x:c>
      <x:c r="J298" s="24"/>
      <x:c r="K298" s="24"/>
      <x:c r="L298" s="24" t="n">
        <x:v>70.08932263663388</x:v>
      </x:c>
      <x:c r="M298" s="24" t="n">
        <x:v>80.05107587257355</x:v>
      </x:c>
      <x:c r="N298" s="24" t="n">
        <x:v>68.36789342228552</x:v>
      </x:c>
      <x:c r="O298" s="24" t="n">
        <x:v>76.37737402183136</x:v>
      </x:c>
      <x:c r="P298" s="24" t="n">
        <x:v>76.31967072942163</x:v>
      </x:c>
      <x:c r="Q298" s="24"/>
      <x:c r="R298" s="24" t="n">
        <x:v>69.71071523619113</x:v>
      </x:c>
      <x:c r="S298" s="24"/>
      <x:c r="T298" s="24"/>
      <x:c r="U298" s="24" t="n">
        <x:v>51.80667276050272</x:v>
      </x:c>
    </x:row>
    <x:row r="299">
      <x:c r="A299" s="24" t="n">
        <x:v>29.700000000000003</x:v>
      </x:c>
      <x:c r="B299" s="24" t="n">
        <x:v>65.24888119650738</x:v>
      </x:c>
      <x:c r="C299" s="24" t="n">
        <x:v>73.4775382985352</x:v>
      </x:c>
      <x:c r="D299" s="24" t="n">
        <x:v>66.42487787500173</x:v>
      </x:c>
      <x:c r="E299" s="24" t="n">
        <x:v>67.68243091114672</x:v>
      </x:c>
      <x:c r="F299" s="24" t="n">
        <x:v>71.13473715785389</x:v>
      </x:c>
      <x:c r="G299" s="24"/>
      <x:c r="H299" s="24" t="n">
        <x:v>80.54063533739257</x:v>
      </x:c>
      <x:c r="I299" s="24" t="n">
        <x:v>83.1288884833958</x:v>
      </x:c>
      <x:c r="J299" s="24"/>
      <x:c r="K299" s="24"/>
      <x:c r="L299" s="24" t="n">
        <x:v>70.08932263663387</x:v>
      </x:c>
      <x:c r="M299" s="24" t="n">
        <x:v>80.05107587257355</x:v>
      </x:c>
      <x:c r="N299" s="24" t="n">
        <x:v>66.43555033321574</x:v>
      </x:c>
      <x:c r="O299" s="24" t="n">
        <x:v>76.92038643779979</x:v>
      </x:c>
      <x:c r="P299" s="24" t="n">
        <x:v>78.67018381442476</x:v>
      </x:c>
      <x:c r="Q299" s="24"/>
      <x:c r="R299" s="24" t="n">
        <x:v>67.10492563679658</x:v>
      </x:c>
      <x:c r="S299" s="24"/>
      <x:c r="T299" s="24"/>
      <x:c r="U299" s="24" t="n">
        <x:v>65.1465640560306</x:v>
      </x:c>
    </x:row>
    <x:row r="300">
      <x:c r="A300" s="24" t="n">
        <x:v>29.8</x:v>
      </x:c>
      <x:c r="B300" s="24" t="n">
        <x:v>73.25094856014172</x:v>
      </x:c>
      <x:c r="C300" s="24" t="n">
        <x:v>73.61231023336646</x:v>
      </x:c>
      <x:c r="D300" s="24" t="n">
        <x:v>66.51602724901922</x:v>
      </x:c>
      <x:c r="E300" s="24" t="n">
        <x:v>67.68243091114672</x:v>
      </x:c>
      <x:c r="F300" s="24" t="n">
        <x:v>71.13473715785389</x:v>
      </x:c>
      <x:c r="G300" s="24"/>
      <x:c r="H300" s="24" t="n">
        <x:v>70.66015219419668</x:v>
      </x:c>
      <x:c r="I300" s="24" t="n">
        <x:v>73.2131244379303</x:v>
      </x:c>
      <x:c r="J300" s="24"/>
      <x:c r="K300" s="24"/>
      <x:c r="L300" s="24" t="n">
        <x:v>69.72637501990688</x:v>
      </x:c>
      <x:c r="M300" s="24" t="n">
        <x:v>75.1489733690232</x:v>
      </x:c>
      <x:c r="N300" s="24" t="n">
        <x:v>78.54964615042387</x:v>
      </x:c>
      <x:c r="O300" s="24" t="n">
        <x:v>75.9218418788096</x:v>
      </x:c>
      <x:c r="P300" s="24" t="n">
        <x:v>78.67018381442476</x:v>
      </x:c>
      <x:c r="Q300" s="24"/>
      <x:c r="R300" s="24" t="n">
        <x:v>65.38913741743846</x:v>
      </x:c>
      <x:c r="S300" s="24"/>
      <x:c r="T300" s="24"/>
      <x:c r="U300" s="24" t="n">
        <x:v>72.52648622910432</x:v>
      </x:c>
    </x:row>
    <x:row r="301">
      <x:c r="A301" s="24" t="n">
        <x:v>29.900000000000002</x:v>
      </x:c>
      <x:c r="B301" s="24" t="n">
        <x:v>77.09543832380685</x:v>
      </x:c>
      <x:c r="C301" s="24" t="n">
        <x:v>73.61231023336643</x:v>
      </x:c>
      <x:c r="D301" s="24" t="n">
        <x:v>67.05284183234598</x:v>
      </x:c>
      <x:c r="E301" s="24" t="n">
        <x:v>81.59975063633017</x:v>
      </x:c>
      <x:c r="F301" s="24" t="n">
        <x:v>70.63432920437694</x:v>
      </x:c>
      <x:c r="G301" s="24"/>
      <x:c r="H301" s="24" t="n">
        <x:v>63.35279940446371</x:v>
      </x:c>
      <x:c r="I301" s="24" t="n">
        <x:v>68.60369650916498</x:v>
      </x:c>
      <x:c r="J301" s="24"/>
      <x:c r="K301" s="24"/>
      <x:c r="L301" s="24" t="n">
        <x:v>68.89368519510533</x:v>
      </x:c>
      <x:c r="M301" s="24" t="n">
        <x:v>59.37889543599141</x:v>
      </x:c>
      <x:c r="N301" s="24" t="n">
        <x:v>78.54964615042387</x:v>
      </x:c>
      <x:c r="O301" s="24" t="n">
        <x:v>72.6471703818915</x:v>
      </x:c>
      <x:c r="P301" s="24" t="n">
        <x:v>71.86012281602461</x:v>
      </x:c>
      <x:c r="Q301" s="24"/>
      <x:c r="R301" s="24" t="n">
        <x:v>65.38913741743832</x:v>
      </x:c>
      <x:c r="S301" s="24"/>
      <x:c r="T301" s="24"/>
      <x:c r="U301" s="24" t="n">
        <x:v>73.54276876332241</x:v>
      </x:c>
    </x:row>
    <x:row r="302">
      <x:c r="A302" s="24" t="n">
        <x:v>30</x:v>
      </x:c>
      <x:c r="B302" s="24" t="n">
        <x:v>77.09543832380685</x:v>
      </x:c>
      <x:c r="C302" s="24" t="n">
        <x:v>72.28057520273188</x:v>
      </x:c>
      <x:c r="D302" s="24" t="n">
        <x:v>67.09665706078071</x:v>
      </x:c>
      <x:c r="E302" s="24" t="n">
        <x:v>84.39740870724141</x:v>
      </x:c>
      <x:c r="F302" s="24" t="n">
        <x:v>70.02458217445013</x:v>
      </x:c>
      <x:c r="G302" s="24"/>
      <x:c r="H302" s="24" t="n">
        <x:v>64.01001565173452</x:v>
      </x:c>
      <x:c r="I302" s="24" t="n">
        <x:v>58.47764772864198</x:v>
      </x:c>
      <x:c r="J302" s="24"/>
      <x:c r="K302" s="24"/>
      <x:c r="L302" s="24" t="n">
        <x:v>68.89368519510533</x:v>
      </x:c>
      <x:c r="M302" s="24" t="n">
        <x:v>50</x:v>
      </x:c>
      <x:c r="N302" s="24" t="n">
        <x:v>74.25946455335041</x:v>
      </x:c>
      <x:c r="O302" s="24" t="n">
        <x:v>68.89367133956881</x:v>
      </x:c>
      <x:c r="P302" s="24" t="n">
        <x:v>71.86012281602461</x:v>
      </x:c>
      <x:c r="Q302" s="24"/>
      <x:c r="R302" s="24" t="n">
        <x:v>64.61384177585342</x:v>
      </x:c>
      <x:c r="S302" s="24"/>
      <x:c r="T302" s="24"/>
      <x:c r="U302" s="24" t="n">
        <x:v>72.89868464156385</x:v>
      </x:c>
    </x:row>
    <x:row r="303">
      <x:c r="A303" s="24" t="n">
        <x:v>30.1</x:v>
      </x:c>
      <x:c r="B303" s="24" t="n">
        <x:v>74.67223320096613</x:v>
      </x:c>
      <x:c r="C303" s="24" t="n">
        <x:v>73.8430501344948</x:v>
      </x:c>
      <x:c r="D303" s="24" t="n">
        <x:v>67.09665706078071</x:v>
      </x:c>
      <x:c r="E303" s="24" t="n">
        <x:v>84.39740870724141</x:v>
      </x:c>
      <x:c r="F303" s="24" t="n">
        <x:v>70.07427694648604</x:v>
      </x:c>
      <x:c r="G303" s="24"/>
      <x:c r="H303" s="24" t="n">
        <x:v>64.66723189900534</x:v>
      </x:c>
      <x:c r="I303" s="24" t="n">
        <x:v>62.8162946019152</x:v>
      </x:c>
      <x:c r="J303" s="24"/>
      <x:c r="K303" s="24"/>
      <x:c r="L303" s="24" t="n">
        <x:v>66.63864797260528</x:v>
      </x:c>
      <x:c r="M303" s="24" t="n">
        <x:v>50</x:v>
      </x:c>
      <x:c r="N303" s="24" t="n">
        <x:v>63.871755365851</x:v>
      </x:c>
      <x:c r="O303" s="24" t="n">
        <x:v>66.08680822171914</x:v>
      </x:c>
      <x:c r="P303" s="24" t="n">
        <x:v>69.0962560010039</x:v>
      </x:c>
      <x:c r="Q303" s="24"/>
      <x:c r="R303" s="24" t="n">
        <x:v>65.1335115818159</x:v>
      </x:c>
      <x:c r="S303" s="24"/>
      <x:c r="T303" s="24"/>
      <x:c r="U303" s="24" t="n">
        <x:v>64.22625306990503</x:v>
      </x:c>
    </x:row>
    <x:row r="304">
      <x:c r="A304" s="24" t="n">
        <x:v>30.200000000000003</x:v>
      </x:c>
      <x:c r="B304" s="24" t="n">
        <x:v>68.02918152195868</x:v>
      </x:c>
      <x:c r="C304" s="24" t="n">
        <x:v>73.8430501344948</x:v>
      </x:c>
      <x:c r="D304" s="24" t="n">
        <x:v>67.87245766228412</x:v>
      </x:c>
      <x:c r="E304" s="24" t="n">
        <x:v>75.66109160226605</x:v>
      </x:c>
      <x:c r="F304" s="24" t="n">
        <x:v>69.76756982640754</x:v>
      </x:c>
      <x:c r="G304" s="24"/>
      <x:c r="H304" s="24" t="n">
        <x:v>65.32444814627618</x:v>
      </x:c>
      <x:c r="I304" s="24" t="n">
        <x:v>64.29688727119992</x:v>
      </x:c>
      <x:c r="J304" s="24"/>
      <x:c r="K304" s="24"/>
      <x:c r="L304" s="24" t="n">
        <x:v>65.17740819372419</x:v>
      </x:c>
      <x:c r="M304" s="24" t="n">
        <x:v>50</x:v>
      </x:c>
      <x:c r="N304" s="24" t="n">
        <x:v>50</x:v>
      </x:c>
      <x:c r="O304" s="24" t="n">
        <x:v>65.32573874814051</x:v>
      </x:c>
      <x:c r="P304" s="24" t="n">
        <x:v>69.0962560010039</x:v>
      </x:c>
      <x:c r="Q304" s="24"/>
      <x:c r="R304" s="24" t="n">
        <x:v>65.70610948193534</x:v>
      </x:c>
      <x:c r="S304" s="24"/>
      <x:c r="T304" s="24"/>
      <x:c r="U304" s="24" t="n">
        <x:v>63.46971052017722</x:v>
      </x:c>
    </x:row>
    <x:row r="305">
      <x:c r="A305" s="24" t="n">
        <x:v>30.3</x:v>
      </x:c>
      <x:c r="B305" s="24" t="n">
        <x:v>57.26001365079564</x:v>
      </x:c>
      <x:c r="C305" s="24" t="n">
        <x:v>73.63700647427704</x:v>
      </x:c>
      <x:c r="D305" s="24" t="n">
        <x:v>67.87245766228412</x:v>
      </x:c>
      <x:c r="E305" s="24" t="n">
        <x:v>68.09416895722299</x:v>
      </x:c>
      <x:c r="F305" s="24" t="n">
        <x:v>66.16592425552366</x:v>
      </x:c>
      <x:c r="G305" s="24"/>
      <x:c r="H305" s="24" t="n">
        <x:v>65.71877789463866</x:v>
      </x:c>
      <x:c r="I305" s="24" t="n">
        <x:v>70.61317262880603</x:v>
      </x:c>
      <x:c r="J305" s="24"/>
      <x:c r="K305" s="24"/>
      <x:c r="L305" s="24" t="n">
        <x:v>63.666233329627815</x:v>
      </x:c>
      <x:c r="M305" s="24" t="n">
        <x:v>50</x:v>
      </x:c>
      <x:c r="N305" s="24" t="n">
        <x:v>50</x:v>
      </x:c>
      <x:c r="O305" s="24" t="n">
        <x:v>65.26000776072239</x:v>
      </x:c>
      <x:c r="P305" s="24" t="n">
        <x:v>68.98730842455862</x:v>
      </x:c>
      <x:c r="Q305" s="24"/>
      <x:c r="R305" s="24" t="n">
        <x:v>66.59878559916879</x:v>
      </x:c>
      <x:c r="S305" s="24"/>
      <x:c r="T305" s="24"/>
      <x:c r="U305" s="24" t="n">
        <x:v>64.67993916630562</x:v>
      </x:c>
    </x:row>
    <x:row r="306">
      <x:c r="A306" s="24" t="n">
        <x:v>30.400000000000002</x:v>
      </x:c>
      <x:c r="B306" s="24" t="n">
        <x:v>60.18060734260277</x:v>
      </x:c>
      <x:c r="C306" s="24" t="n">
        <x:v>83.0928782278448</x:v>
      </x:c>
      <x:c r="D306" s="24" t="n">
        <x:v>66.9632750635632</x:v>
      </x:c>
      <x:c r="E306" s="24" t="n">
        <x:v>61.60567508259151</x:v>
      </x:c>
      <x:c r="F306" s="24" t="n">
        <x:v>64.60653819097428</x:v>
      </x:c>
      <x:c r="G306" s="24"/>
      <x:c r="H306" s="24" t="n">
        <x:v>73.81724816129126</x:v>
      </x:c>
      <x:c r="I306" s="24" t="n">
        <x:v>70.61317262880603</x:v>
      </x:c>
      <x:c r="J306" s="24"/>
      <x:c r="K306" s="24"/>
      <x:c r="L306" s="24" t="n">
        <x:v>80.56351914002458</x:v>
      </x:c>
      <x:c r="M306" s="24" t="n">
        <x:v>75.08260754075738</x:v>
      </x:c>
      <x:c r="N306" s="24" t="n">
        <x:v>50</x:v>
      </x:c>
      <x:c r="O306" s="24" t="n">
        <x:v>65.62883558911597</x:v>
      </x:c>
      <x:c r="P306" s="24" t="n">
        <x:v>69.29683396085863</x:v>
      </x:c>
      <x:c r="Q306" s="24"/>
      <x:c r="R306" s="24" t="n">
        <x:v>66.43211747337068</x:v>
      </x:c>
      <x:c r="S306" s="24"/>
      <x:c r="T306" s="24"/>
      <x:c r="U306" s="24" t="n">
        <x:v>64.67993916630562</x:v>
      </x:c>
    </x:row>
    <x:row r="307">
      <x:c r="A307" s="24" t="n">
        <x:v>30.5</x:v>
      </x:c>
      <x:c r="B307" s="24" t="n">
        <x:v>64.8370978935464</x:v>
      </x:c>
      <x:c r="C307" s="24" t="n">
        <x:v>83.0928782278448</x:v>
      </x:c>
      <x:c r="D307" s="24" t="n">
        <x:v>67.91172324475376</x:v>
      </x:c>
      <x:c r="E307" s="24" t="n">
        <x:v>54.69044254086705</x:v>
      </x:c>
      <x:c r="F307" s="24" t="n">
        <x:v>76.69051021928782</x:v>
      </x:c>
      <x:c r="G307" s="24"/>
      <x:c r="H307" s="24" t="n">
        <x:v>74.15079041543552</x:v>
      </x:c>
      <x:c r="I307" s="24" t="n">
        <x:v>68.33916530106148</x:v>
      </x:c>
      <x:c r="J307" s="24"/>
      <x:c r="K307" s="24"/>
      <x:c r="L307" s="24" t="n">
        <x:v>80.56351914002458</x:v>
      </x:c>
      <x:c r="M307" s="24" t="n">
        <x:v>78.38730384473028</x:v>
      </x:c>
      <x:c r="N307" s="24" t="n">
        <x:v>50</x:v>
      </x:c>
      <x:c r="O307" s="24" t="n">
        <x:v>65.62883558911597</x:v>
      </x:c>
      <x:c r="P307" s="24" t="n">
        <x:v>69.29683396085863</x:v>
      </x:c>
      <x:c r="Q307" s="24"/>
      <x:c r="R307" s="24" t="n">
        <x:v>81.86701123760307</x:v>
      </x:c>
      <x:c r="S307" s="24"/>
      <x:c r="T307" s="24"/>
      <x:c r="U307" s="24" t="n">
        <x:v>62.57667067239609</x:v>
      </x:c>
    </x:row>
    <x:row r="308">
      <x:c r="A308" s="24" t="n">
        <x:v>30.6</x:v>
      </x:c>
      <x:c r="B308" s="24" t="n">
        <x:v>64.8370978935464</x:v>
      </x:c>
      <x:c r="C308" s="24" t="n">
        <x:v>78.37074493409429</x:v>
      </x:c>
      <x:c r="D308" s="24" t="n">
        <x:v>68.19521017043249</x:v>
      </x:c>
      <x:c r="E308" s="24" t="n">
        <x:v>64.23013151216014</x:v>
      </x:c>
      <x:c r="F308" s="24" t="n">
        <x:v>80.18382225892846</x:v>
      </x:c>
      <x:c r="G308" s="24"/>
      <x:c r="H308" s="24" t="n">
        <x:v>72.69742712757157</x:v>
      </x:c>
      <x:c r="I308" s="24" t="n">
        <x:v>45.56881161460947</x:v>
      </x:c>
      <x:c r="J308" s="24"/>
      <x:c r="K308" s="24"/>
      <x:c r="L308" s="24" t="n">
        <x:v>77.02755188190632</x:v>
      </x:c>
      <x:c r="M308" s="24" t="n">
        <x:v>78.38730384473028</x:v>
      </x:c>
      <x:c r="N308" s="24" t="n">
        <x:v>50.64035403877847</x:v>
      </x:c>
      <x:c r="O308" s="24" t="n">
        <x:v>66.6020901007401</x:v>
      </x:c>
      <x:c r="P308" s="24" t="n">
        <x:v>68.92633813911175</x:v>
      </x:c>
      <x:c r="Q308" s="24"/>
      <x:c r="R308" s="24" t="n">
        <x:v>81.86701123760307</x:v>
      </x:c>
      <x:c r="S308" s="24"/>
      <x:c r="T308" s="24"/>
      <x:c r="U308" s="24" t="n">
        <x:v>59.80272363984042</x:v>
      </x:c>
    </x:row>
    <x:row r="309">
      <x:c r="A309" s="24" t="n">
        <x:v>30.700000000000003</x:v>
      </x:c>
      <x:c r="B309" s="24" t="n">
        <x:v>64.41429778200998</x:v>
      </x:c>
      <x:c r="C309" s="24" t="n">
        <x:v>68.11676262440044</x:v>
      </x:c>
      <x:c r="D309" s="24" t="n">
        <x:v>67.89154882966949</x:v>
      </x:c>
      <x:c r="E309" s="24" t="n">
        <x:v>64.23013151216014</x:v>
      </x:c>
      <x:c r="F309" s="24" t="n">
        <x:v>80.18382225892846</x:v>
      </x:c>
      <x:c r="G309" s="24"/>
      <x:c r="H309" s="24" t="n">
        <x:v>60.83594480459465</x:v>
      </x:c>
      <x:c r="I309" s="24" t="n">
        <x:v>67.41187122561544</x:v>
      </x:c>
      <x:c r="J309" s="24"/>
      <x:c r="K309" s="24"/>
      <x:c r="L309" s="24" t="n">
        <x:v>67.22497337078873</x:v>
      </x:c>
      <x:c r="M309" s="24" t="n">
        <x:v>73.30698627676152</x:v>
      </x:c>
      <x:c r="N309" s="24" t="n">
        <x:v>69.09656895216311</x:v>
      </x:c>
      <x:c r="O309" s="24" t="n">
        <x:v>78.97942889509531</x:v>
      </x:c>
      <x:c r="P309" s="24" t="n">
        <x:v>69.49110019051885</x:v>
      </x:c>
      <x:c r="Q309" s="24"/>
      <x:c r="R309" s="24" t="n">
        <x:v>77.54702834183111</x:v>
      </x:c>
      <x:c r="S309" s="24"/>
      <x:c r="T309" s="24"/>
      <x:c r="U309" s="24" t="n">
        <x:v>58.24495442957366</x:v>
      </x:c>
    </x:row>
    <x:row r="310">
      <x:c r="A310" s="24" t="n">
        <x:v>30.8</x:v>
      </x:c>
      <x:c r="B310" s="24" t="n">
        <x:v>58.526980632122914</x:v>
      </x:c>
      <x:c r="C310" s="24" t="n">
        <x:v>57.49821603500898</x:v>
      </x:c>
      <x:c r="D310" s="24" t="n">
        <x:v>65.77199538182713</x:v>
      </x:c>
      <x:c r="E310" s="24" t="n">
        <x:v>67.88096444400333</x:v>
      </x:c>
      <x:c r="F310" s="24" t="n">
        <x:v>70.19402612464962</x:v>
      </x:c>
      <x:c r="G310" s="24"/>
      <x:c r="H310" s="24" t="n">
        <x:v>68.27365589145998</x:v>
      </x:c>
      <x:c r="I310" s="24" t="n">
        <x:v>67.41187122561544</x:v>
      </x:c>
      <x:c r="J310" s="24"/>
      <x:c r="K310" s="24"/>
      <x:c r="L310" s="24" t="n">
        <x:v>59.303503384580736</x:v>
      </x:c>
      <x:c r="M310" s="24" t="n">
        <x:v>72.8274035504338</x:v>
      </x:c>
      <x:c r="N310" s="24" t="n">
        <x:v>69.09656895216311</x:v>
      </x:c>
      <x:c r="O310" s="24" t="n">
        <x:v>78.97942889509531</x:v>
      </x:c>
      <x:c r="P310" s="24" t="n">
        <x:v>69.49110019051885</x:v>
      </x:c>
      <x:c r="Q310" s="24"/>
      <x:c r="R310" s="24" t="n">
        <x:v>67.12248445971623</x:v>
      </x:c>
      <x:c r="S310" s="24"/>
      <x:c r="T310" s="24"/>
      <x:c r="U310" s="24" t="n">
        <x:v>56.68718521930745</x:v>
      </x:c>
    </x:row>
    <x:row r="311">
      <x:c r="A311" s="24" t="n">
        <x:v>30.900000000000002</x:v>
      </x:c>
      <x:c r="B311" s="24" t="n">
        <x:v>64.78907553842501</x:v>
      </x:c>
      <x:c r="C311" s="24" t="n">
        <x:v>59.764344461230365</x:v>
      </x:c>
      <x:c r="D311" s="24" t="n">
        <x:v>79.06124803159501</x:v>
      </x:c>
      <x:c r="E311" s="24" t="n">
        <x:v>74.0060328910992</x:v>
      </x:c>
      <x:c r="F311" s="24" t="n">
        <x:v>66.49641942448375</x:v>
      </x:c>
      <x:c r="G311" s="24"/>
      <x:c r="H311" s="24" t="n">
        <x:v>71.69556030332316</x:v>
      </x:c>
      <x:c r="I311" s="24" t="n">
        <x:v>65.37323848336898</x:v>
      </x:c>
      <x:c r="J311" s="24"/>
      <x:c r="K311" s="24"/>
      <x:c r="L311" s="24" t="n">
        <x:v>54.128274181317835</x:v>
      </x:c>
      <x:c r="M311" s="24" t="n">
        <x:v>71.51334851972523</x:v>
      </x:c>
      <x:c r="N311" s="24" t="n">
        <x:v>65.84931675491563</x:v>
      </x:c>
      <x:c r="O311" s="24" t="n">
        <x:v>74.46972314620317</x:v>
      </x:c>
      <x:c r="P311" s="24" t="n">
        <x:v>68.53364021004704</x:v>
      </x:c>
      <x:c r="Q311" s="24"/>
      <x:c r="R311" s="24" t="n">
        <x:v>50</x:v>
      </x:c>
      <x:c r="S311" s="24"/>
      <x:c r="T311" s="24"/>
      <x:c r="U311" s="24" t="n">
        <x:v>63.73021312248099</x:v>
      </x:c>
    </x:row>
    <x:row r="312">
      <x:c r="A312" s="24" t="n">
        <x:v>31</x:v>
      </x:c>
      <x:c r="B312" s="24" t="n">
        <x:v>64.78907553842501</x:v>
      </x:c>
      <x:c r="C312" s="24" t="n">
        <x:v>59.76318024297626</x:v>
      </x:c>
      <x:c r="D312" s="24" t="n">
        <x:v>82.15379391689059</x:v>
      </x:c>
      <x:c r="E312" s="24" t="n">
        <x:v>75.57382865085803</x:v>
      </x:c>
      <x:c r="F312" s="24" t="n">
        <x:v>65.8830768861533</x:v>
      </x:c>
      <x:c r="G312" s="24"/>
      <x:c r="H312" s="24" t="n">
        <x:v>71.69556030332316</x:v>
      </x:c>
      <x:c r="I312" s="24" t="n">
        <x:v>65.30257606745982</x:v>
      </x:c>
      <x:c r="J312" s="24"/>
      <x:c r="K312" s="24"/>
      <x:c r="L312" s="24" t="n">
        <x:v>54.70945960439145</x:v>
      </x:c>
      <x:c r="M312" s="24" t="n">
        <x:v>72.23633066578462</x:v>
      </x:c>
      <x:c r="N312" s="24" t="n">
        <x:v>66.07822129962277</x:v>
      </x:c>
      <x:c r="O312" s="24" t="n">
        <x:v>65.80820447927752</x:v>
      </x:c>
      <x:c r="P312" s="24" t="n">
        <x:v>65.7659862461315</x:v>
      </x:c>
      <x:c r="Q312" s="24"/>
      <x:c r="R312" s="24" t="n">
        <x:v>50</x:v>
      </x:c>
      <x:c r="S312" s="24"/>
      <x:c r="T312" s="24"/>
      <x:c r="U312" s="24" t="n">
        <x:v>72.32503873125518</x:v>
      </x:c>
    </x:row>
    <x:row r="313">
      <x:c r="A313" s="24" t="n">
        <x:v>31.1</x:v>
      </x:c>
      <x:c r="B313" s="24" t="n">
        <x:v>63.37938628989642</x:v>
      </x:c>
      <x:c r="C313" s="24" t="n">
        <x:v>58.160945412001546</x:v>
      </x:c>
      <x:c r="D313" s="24" t="n">
        <x:v>82.15379391689059</x:v>
      </x:c>
      <x:c r="E313" s="24" t="n">
        <x:v>75.57382865085803</x:v>
      </x:c>
      <x:c r="F313" s="24" t="n">
        <x:v>65.26973434782283</x:v>
      </x:c>
      <x:c r="G313" s="24"/>
      <x:c r="H313" s="24" t="n">
        <x:v>72.06250683615107</x:v>
      </x:c>
      <x:c r="I313" s="24" t="n">
        <x:v>63.95921086376879</x:v>
      </x:c>
      <x:c r="J313" s="24"/>
      <x:c r="K313" s="24"/>
      <x:c r="L313" s="24" t="n">
        <x:v>55.29064502746508</x:v>
      </x:c>
      <x:c r="M313" s="24" t="n">
        <x:v>72.23633066578462</x:v>
      </x:c>
      <x:c r="N313" s="24" t="n">
        <x:v>67.05878626790508</x:v>
      </x:c>
      <x:c r="O313" s="24" t="n">
        <x:v>50</x:v>
      </x:c>
      <x:c r="P313" s="24" t="n">
        <x:v>77.0930842410776</x:v>
      </x:c>
      <x:c r="Q313" s="24"/>
      <x:c r="R313" s="24" t="n">
        <x:v>50</x:v>
      </x:c>
      <x:c r="S313" s="24"/>
      <x:c r="T313" s="24"/>
      <x:c r="U313" s="24" t="n">
        <x:v>82.00061284466918</x:v>
      </x:c>
    </x:row>
    <x:row r="314">
      <x:c r="A314" s="24" t="n">
        <x:v>31.200000000000003</x:v>
      </x:c>
      <x:c r="B314" s="24" t="n">
        <x:v>63.37938628989642</x:v>
      </x:c>
      <x:c r="C314" s="24" t="n">
        <x:v>56.95926928877056</x:v>
      </x:c>
      <x:c r="D314" s="24" t="n">
        <x:v>73.40568286346226</x:v>
      </x:c>
      <x:c r="E314" s="24" t="n">
        <x:v>63.12502096771729</x:v>
      </x:c>
      <x:c r="F314" s="24" t="n">
        <x:v>64.65639180949236</x:v>
      </x:c>
      <x:c r="G314" s="24"/>
      <x:c r="H314" s="24" t="n">
        <x:v>73.54973158325352</x:v>
      </x:c>
      <x:c r="I314" s="24" t="n">
        <x:v>65.44975553091021</x:v>
      </x:c>
      <x:c r="J314" s="24"/>
      <x:c r="K314" s="24"/>
      <x:c r="L314" s="24" t="n">
        <x:v>55.871830450538695</x:v>
      </x:c>
      <x:c r="M314" s="24" t="n">
        <x:v>72.85343003460422</x:v>
      </x:c>
      <x:c r="N314" s="24" t="n">
        <x:v>67.43903876257836</x:v>
      </x:c>
      <x:c r="O314" s="24" t="n">
        <x:v>50</x:v>
      </x:c>
      <x:c r="P314" s="24" t="n">
        <x:v>77.4376534622782</x:v>
      </x:c>
      <x:c r="Q314" s="24"/>
      <x:c r="R314" s="24" t="n">
        <x:v>78.99515335216125</x:v>
      </x:c>
      <x:c r="S314" s="24"/>
      <x:c r="T314" s="24"/>
      <x:c r="U314" s="24" t="n">
        <x:v>82.00061284466918</x:v>
      </x:c>
    </x:row>
    <x:row r="315">
      <x:c r="A315" s="24" t="n">
        <x:v>31.3</x:v>
      </x:c>
      <x:c r="B315" s="24" t="n">
        <x:v>62.096306216435266</x:v>
      </x:c>
      <x:c r="C315" s="24" t="n">
        <x:v>56.95926928877056</x:v>
      </x:c>
      <x:c r="D315" s="24" t="n">
        <x:v>65.68654581910297</x:v>
      </x:c>
      <x:c r="E315" s="24" t="n">
        <x:v>58.85151216260591</x:v>
      </x:c>
      <x:c r="F315" s="24" t="n">
        <x:v>64.04304927116192</x:v>
      </x:c>
      <x:c r="G315" s="24"/>
      <x:c r="H315" s="24" t="n">
        <x:v>73.54973158325352</x:v>
      </x:c>
      <x:c r="I315" s="24" t="n">
        <x:v>68.02074592614207</x:v>
      </x:c>
      <x:c r="J315" s="24"/>
      <x:c r="K315" s="24"/>
      <x:c r="L315" s="24" t="n">
        <x:v>55.871830450538695</x:v>
      </x:c>
      <x:c r="M315" s="24" t="n">
        <x:v>72.85343003460422</x:v>
      </x:c>
      <x:c r="N315" s="24" t="n">
        <x:v>67.61090168229661</x:v>
      </x:c>
      <x:c r="O315" s="24" t="n">
        <x:v>50</x:v>
      </x:c>
      <x:c r="P315" s="24" t="n">
        <x:v>76.4248698359439</x:v>
      </x:c>
      <x:c r="Q315" s="24"/>
      <x:c r="R315" s="24" t="n">
        <x:v>79.73972284991771</x:v>
      </x:c>
      <x:c r="S315" s="24"/>
      <x:c r="T315" s="24"/>
      <x:c r="U315" s="24" t="n">
        <x:v>77.19746721595047</x:v>
      </x:c>
    </x:row>
    <x:row r="316">
      <x:c r="A316" s="24" t="n">
        <x:v>31.400000000000002</x:v>
      </x:c>
      <x:c r="B316" s="24" t="n">
        <x:v>61.83329588279863</x:v>
      </x:c>
      <x:c r="C316" s="24" t="n">
        <x:v>51.595284178115094</x:v>
      </x:c>
      <x:c r="D316" s="24" t="n">
        <x:v>55.967520860865015</x:v>
      </x:c>
      <x:c r="E316" s="24" t="n">
        <x:v>66.27480907666384</x:v>
      </x:c>
      <x:c r="F316" s="24" t="n">
        <x:v>63.79771225582973</x:v>
      </x:c>
      <x:c r="G316" s="24"/>
      <x:c r="H316" s="24" t="n">
        <x:v>72.76493537251562</x:v>
      </x:c>
      <x:c r="I316" s="24" t="n">
        <x:v>68.49107571535684</x:v>
      </x:c>
      <x:c r="J316" s="24"/>
      <x:c r="K316" s="24"/>
      <x:c r="L316" s="24" t="n">
        <x:v>66.50948464208255</x:v>
      </x:c>
      <x:c r="M316" s="24" t="n">
        <x:v>71.87632187479655</x:v>
      </x:c>
      <x:c r="N316" s="24" t="n">
        <x:v>68.10804088922195</x:v>
      </x:c>
      <x:c r="O316" s="24" t="n">
        <x:v>76.68820924920227</x:v>
      </x:c>
      <x:c r="P316" s="24" t="n">
        <x:v>67.2168838062346</x:v>
      </x:c>
      <x:c r="Q316" s="24"/>
      <x:c r="R316" s="24" t="n">
        <x:v>79.73972284991737</x:v>
      </x:c>
      <x:c r="S316" s="24"/>
      <x:c r="T316" s="24"/>
      <x:c r="U316" s="24" t="n">
        <x:v>67.84000331645052</x:v>
      </x:c>
    </x:row>
    <x:row r="317">
      <x:c r="A317" s="24" t="n">
        <x:v>31.5</x:v>
      </x:c>
      <x:c r="B317" s="24" t="n">
        <x:v>61.83329588279863</x:v>
      </x:c>
      <x:c r="C317" s="24" t="n">
        <x:v>51.595284178115094</x:v>
      </x:c>
      <x:c r="D317" s="24" t="n">
        <x:v>52.39175843351897</x:v>
      </x:c>
      <x:c r="E317" s="24" t="n">
        <x:v>66.27480907666384</x:v>
      </x:c>
      <x:c r="F317" s="24" t="n">
        <x:v>68.71149902824469</x:v>
      </x:c>
      <x:c r="G317" s="24"/>
      <x:c r="H317" s="24" t="n">
        <x:v>73.54826328393789</x:v>
      </x:c>
      <x:c r="I317" s="24" t="n">
        <x:v>84.60733643747784</x:v>
      </x:c>
      <x:c r="J317" s="24"/>
      <x:c r="K317" s="24"/>
      <x:c r="L317" s="24" t="n">
        <x:v>72.46317427035804</x:v>
      </x:c>
      <x:c r="M317" s="24" t="n">
        <x:v>71.91119231063942</x:v>
      </x:c>
      <x:c r="N317" s="24" t="n">
        <x:v>68.10804088922195</x:v>
      </x:c>
      <x:c r="O317" s="24" t="n">
        <x:v>78.94370912290859</x:v>
      </x:c>
      <x:c r="P317" s="24" t="n">
        <x:v>50</x:v>
      </x:c>
      <x:c r="Q317" s="24"/>
      <x:c r="R317" s="24" t="n">
        <x:v>72.07721479567414</x:v>
      </x:c>
      <x:c r="S317" s="24"/>
      <x:c r="T317" s="24"/>
      <x:c r="U317" s="24" t="n">
        <x:v>57.82468547974034</x:v>
      </x:c>
    </x:row>
    <x:row r="318">
      <x:c r="A318" s="24" t="n">
        <x:v>31.6</x:v>
      </x:c>
      <x:c r="B318" s="24" t="n">
        <x:v>61.53932037056364</x:v>
      </x:c>
      <x:c r="C318" s="24" t="n">
        <x:v>77.84702728788574</x:v>
      </x:c>
      <x:c r="D318" s="24" t="n">
        <x:v>57.398409155478724</x:v>
      </x:c>
      <x:c r="E318" s="24" t="n">
        <x:v>66.48026667999807</x:v>
      </x:c>
      <x:c r="F318" s="24" t="n">
        <x:v>71.98735687652133</x:v>
      </x:c>
      <x:c r="G318" s="24"/>
      <x:c r="H318" s="24" t="n">
        <x:v>73.9750216903369</x:v>
      </x:c>
      <x:c r="I318" s="24" t="n">
        <x:v>84.60733643747784</x:v>
      </x:c>
      <x:c r="J318" s="24"/>
      <x:c r="K318" s="24"/>
      <x:c r="L318" s="24" t="n">
        <x:v>72.46317427035804</x:v>
      </x:c>
      <x:c r="M318" s="24" t="n">
        <x:v>71.91119231063942</x:v>
      </x:c>
      <x:c r="N318" s="24" t="n">
        <x:v>68.71473471265513</x:v>
      </x:c>
      <x:c r="O318" s="24" t="n">
        <x:v>78.94370912290859</x:v>
      </x:c>
      <x:c r="P318" s="24" t="n">
        <x:v>50</x:v>
      </x:c>
      <x:c r="Q318" s="24"/>
      <x:c r="R318" s="24" t="n">
        <x:v>72.07721479567414</x:v>
      </x:c>
      <x:c r="S318" s="24"/>
      <x:c r="T318" s="24"/>
      <x:c r="U318" s="24" t="n">
        <x:v>53.207931968507665</x:v>
      </x:c>
    </x:row>
    <x:row r="319">
      <x:c r="A319" s="24" t="n">
        <x:v>31.700000000000003</x:v>
      </x:c>
      <x:c r="B319" s="24" t="n">
        <x:v>91.28319662702098</x:v>
      </x:c>
      <x:c r="C319" s="24" t="n">
        <x:v>77.84702728788574</x:v>
      </x:c>
      <x:c r="D319" s="24" t="n">
        <x:v>62.405059877438475</x:v>
      </x:c>
      <x:c r="E319" s="24" t="n">
        <x:v>67.41614448113918</x:v>
      </x:c>
      <x:c r="F319" s="24" t="n">
        <x:v>71.5153265527231</x:v>
      </x:c>
      <x:c r="G319" s="24"/>
      <x:c r="H319" s="24" t="n">
        <x:v>73.97502169033677</x:v>
      </x:c>
      <x:c r="I319" s="24" t="n">
        <x:v>77.0319200413878</x:v>
      </x:c>
      <x:c r="J319" s="24"/>
      <x:c r="K319" s="24"/>
      <x:c r="L319" s="24" t="n">
        <x:v>68.75342733263584</x:v>
      </x:c>
      <x:c r="M319" s="24" t="n">
        <x:v>70.97795910753258</x:v>
      </x:c>
      <x:c r="N319" s="24" t="n">
        <x:v>69.34768796731029</x:v>
      </x:c>
      <x:c r="O319" s="24" t="n">
        <x:v>74.86411852101729</x:v>
      </x:c>
      <x:c r="P319" s="24" t="n">
        <x:v>50</x:v>
      </x:c>
      <x:c r="Q319" s="24"/>
      <x:c r="R319" s="24" t="n">
        <x:v>65.92622195919243</x:v>
      </x:c>
      <x:c r="S319" s="24"/>
      <x:c r="T319" s="24"/>
      <x:c r="U319" s="24" t="n">
        <x:v>50.43787986176816</x:v>
      </x:c>
    </x:row>
    <x:row r="320">
      <x:c r="A320" s="24" t="n">
        <x:v>31.8</x:v>
      </x:c>
      <x:c r="B320" s="24" t="n">
        <x:v>92.02712759719714</x:v>
      </x:c>
      <x:c r="C320" s="24" t="n">
        <x:v>76.53125600071769</x:v>
      </x:c>
      <x:c r="D320" s="24" t="n">
        <x:v>66.41038045500613</x:v>
      </x:c>
      <x:c r="E320" s="24" t="n">
        <x:v>67.85775887760148</x:v>
      </x:c>
      <x:c r="F320" s="24" t="n">
        <x:v>64.0730899693781</x:v>
      </x:c>
      <x:c r="G320" s="24"/>
      <x:c r="H320" s="24" t="n">
        <x:v>71.05241129004153</x:v>
      </x:c>
      <x:c r="I320" s="24" t="n">
        <x:v>71.56522368061844</x:v>
      </x:c>
      <x:c r="J320" s="24"/>
      <x:c r="K320" s="24"/>
      <x:c r="L320" s="24" t="n">
        <x:v>68.75342733263584</x:v>
      </x:c>
      <x:c r="M320" s="24" t="n">
        <x:v>79.56399116613916</x:v>
      </x:c>
      <x:c r="N320" s="24" t="n">
        <x:v>80.96252601708757</x:v>
      </x:c>
      <x:c r="O320" s="24" t="n">
        <x:v>71.33312475417021</x:v>
      </x:c>
      <x:c r="P320" s="24" t="n">
        <x:v>50</x:v>
      </x:c>
      <x:c r="Q320" s="24"/>
      <x:c r="R320" s="24" t="n">
        <x:v>65.89533653471872</x:v>
      </x:c>
      <x:c r="S320" s="24"/>
      <x:c r="T320" s="24"/>
      <x:c r="U320" s="24" t="n">
        <x:v>51.535256629724934</x:v>
      </x:c>
    </x:row>
    <x:row r="321">
      <x:c r="A321" s="24" t="n">
        <x:v>31.900000000000002</x:v>
      </x:c>
      <x:c r="B321" s="24" t="n">
        <x:v>90.48577191144939</x:v>
      </x:c>
      <x:c r="C321" s="24" t="n">
        <x:v>70.24351100679962</x:v>
      </x:c>
      <x:c r="D321" s="24" t="n">
        <x:v>66.41038045500613</x:v>
      </x:c>
      <x:c r="E321" s="24" t="n">
        <x:v>68.13931878260519</x:v>
      </x:c>
      <x:c r="F321" s="24" t="n">
        <x:v>63.85947047942375</x:v>
      </x:c>
      <x:c r="G321" s="24"/>
      <x:c r="H321" s="24" t="n">
        <x:v>82.18894853398196</x:v>
      </x:c>
      <x:c r="I321" s="24" t="n">
        <x:v>62.758959259503655</x:v>
      </x:c>
      <x:c r="J321" s="24"/>
      <x:c r="K321" s="24"/>
      <x:c r="L321" s="24" t="n">
        <x:v>68.07718090566159</x:v>
      </x:c>
      <x:c r="M321" s="24" t="n">
        <x:v>79.93859030310493</x:v>
      </x:c>
      <x:c r="N321" s="24" t="n">
        <x:v>81.59107171647659</x:v>
      </x:c>
      <x:c r="O321" s="24" t="n">
        <x:v>67.69110598349157</x:v>
      </x:c>
      <x:c r="P321" s="24" t="n">
        <x:v>58.02867290895778</x:v>
      </x:c>
      <x:c r="Q321" s="24"/>
      <x:c r="R321" s="24" t="n">
        <x:v>65.25310848539783</x:v>
      </x:c>
      <x:c r="S321" s="24"/>
      <x:c r="T321" s="24"/>
      <x:c r="U321" s="24" t="n">
        <x:v>57.67628314862466</x:v>
      </x:c>
    </x:row>
    <x:row r="322">
      <x:c r="A322" s="24" t="n">
        <x:v>32</x:v>
      </x:c>
      <x:c r="B322" s="24" t="n">
        <x:v>78.94748604388224</x:v>
      </x:c>
      <x:c r="C322" s="24" t="n">
        <x:v>63.73076989172483</x:v>
      </x:c>
      <x:c r="D322" s="24" t="n">
        <x:v>68.38693845420255</x:v>
      </x:c>
      <x:c r="E322" s="24" t="n">
        <x:v>69.31563398870568</x:v>
      </x:c>
      <x:c r="F322" s="24" t="n">
        <x:v>66.8672928762702</x:v>
      </x:c>
      <x:c r="G322" s="24"/>
      <x:c r="H322" s="24" t="n">
        <x:v>82.18894853398196</x:v>
      </x:c>
      <x:c r="I322" s="24" t="n">
        <x:v>59.58508942864904</x:v>
      </x:c>
      <x:c r="J322" s="24"/>
      <x:c r="K322" s="24"/>
      <x:c r="L322" s="24" t="n">
        <x:v>65.93281247093171</x:v>
      </x:c>
      <x:c r="M322" s="24" t="n">
        <x:v>78.50323715867151</x:v>
      </x:c>
      <x:c r="N322" s="24" t="n">
        <x:v>81.09909201002317</x:v>
      </x:c>
      <x:c r="O322" s="24" t="n">
        <x:v>65.82170012902864</x:v>
      </x:c>
      <x:c r="P322" s="24" t="n">
        <x:v>77.47680774203738</x:v>
      </x:c>
      <x:c r="Q322" s="24"/>
      <x:c r="R322" s="24" t="n">
        <x:v>64.14952721406739</x:v>
      </x:c>
      <x:c r="S322" s="24"/>
      <x:c r="T322" s="24"/>
      <x:c r="U322" s="24" t="n">
        <x:v>66.27956859402897</x:v>
      </x:c>
    </x:row>
    <x:row r="323">
      <x:c r="A323" s="24" t="n">
        <x:v>32.1</x:v>
      </x:c>
      <x:c r="B323" s="24" t="n">
        <x:v>75.34397816903544</x:v>
      </x:c>
      <x:c r="C323" s="24" t="n">
        <x:v>65.61856329225802</x:v>
      </x:c>
      <x:c r="D323" s="24" t="n">
        <x:v>70.85763595319817</x:v>
      </x:c>
      <x:c r="E323" s="24" t="n">
        <x:v>69.46879680205777</x:v>
      </x:c>
      <x:c r="F323" s="24" t="n">
        <x:v>69.62118922943634</x:v>
      </x:c>
      <x:c r="G323" s="24"/>
      <x:c r="H323" s="24" t="n">
        <x:v>77.447211013377</x:v>
      </x:c>
      <x:c r="I323" s="24" t="n">
        <x:v>59.974240819966056</x:v>
      </x:c>
      <x:c r="J323" s="24"/>
      <x:c r="K323" s="24"/>
      <x:c r="L323" s="24" t="n">
        <x:v>67.75038694408195</x:v>
      </x:c>
      <x:c r="M323" s="24" t="n">
        <x:v>67.08772786827397</x:v>
      </x:c>
      <x:c r="N323" s="24" t="n">
        <x:v>71.5353260608333</x:v>
      </x:c>
      <x:c r="O323" s="24" t="n">
        <x:v>65.25707614377937</x:v>
      </x:c>
      <x:c r="P323" s="24" t="n">
        <x:v>77.47680774203738</x:v>
      </x:c>
      <x:c r="Q323" s="24"/>
      <x:c r="R323" s="24" t="n">
        <x:v>66.67665981531938</x:v>
      </x:c>
      <x:c r="S323" s="24"/>
      <x:c r="T323" s="24"/>
      <x:c r="U323" s="24" t="n">
        <x:v>66.47996518276334</x:v>
      </x:c>
    </x:row>
    <x:row r="324">
      <x:c r="A324" s="24" t="n">
        <x:v>32.2</x:v>
      </x:c>
      <x:c r="B324" s="24" t="n">
        <x:v>74.02071831120023</x:v>
      </x:c>
      <x:c r="C324" s="24" t="n">
        <x:v>69.84066614488049</x:v>
      </x:c>
      <x:c r="D324" s="24" t="n">
        <x:v>71.84591495279638</x:v>
      </x:c>
      <x:c r="E324" s="24" t="n">
        <x:v>71.35692884922831</x:v>
      </x:c>
      <x:c r="F324" s="24" t="n">
        <x:v>69.62118922943634</x:v>
      </x:c>
      <x:c r="G324" s="24"/>
      <x:c r="H324" s="24" t="n">
        <x:v>68.92696972135658</x:v>
      </x:c>
      <x:c r="I324" s="24" t="n">
        <x:v>59.974240819966056</x:v>
      </x:c>
      <x:c r="J324" s="24"/>
      <x:c r="K324" s="24"/>
      <x:c r="L324" s="24" t="n">
        <x:v>68.57875407163289</x:v>
      </x:c>
      <x:c r="M324" s="24" t="n">
        <x:v>52.643004820485245</x:v>
      </x:c>
      <x:c r="N324" s="24" t="n">
        <x:v>50</x:v>
      </x:c>
      <x:c r="O324" s="24" t="n">
        <x:v>65.14059382310067</x:v>
      </x:c>
      <x:c r="P324" s="24" t="n">
        <x:v>71.65540413435576</x:v>
      </x:c>
      <x:c r="Q324" s="24"/>
      <x:c r="R324" s="24" t="n">
        <x:v>67.95542501182412</x:v>
      </x:c>
      <x:c r="S324" s="24"/>
      <x:c r="T324" s="24"/>
      <x:c r="U324" s="24" t="n">
        <x:v>71.10143940358897</x:v>
      </x:c>
    </x:row>
    <x:row r="325">
      <x:c r="A325" s="24" t="n">
        <x:v>32.300000000000004</x:v>
      </x:c>
      <x:c r="B325" s="24" t="n">
        <x:v>72.72466687619664</x:v>
      </x:c>
      <x:c r="C325" s="24" t="n">
        <x:v>69.84066614488049</x:v>
      </x:c>
      <x:c r="D325" s="24" t="n">
        <x:v>71.40341996150936</x:v>
      </x:c>
      <x:c r="E325" s="24" t="n">
        <x:v>71.35692884922831</x:v>
      </x:c>
      <x:c r="F325" s="24" t="n">
        <x:v>69.21137799451812</x:v>
      </x:c>
      <x:c r="G325" s="24"/>
      <x:c r="H325" s="24" t="n">
        <x:v>47.50917001791066</x:v>
      </x:c>
      <x:c r="I325" s="24" t="n">
        <x:v>72.4627764198642</x:v>
      </x:c>
      <x:c r="J325" s="24"/>
      <x:c r="K325" s="24"/>
      <x:c r="L325" s="24" t="n">
        <x:v>69.75246385707109</x:v>
      </x:c>
      <x:c r="M325" s="24" t="n">
        <x:v>50</x:v>
      </x:c>
      <x:c r="N325" s="24" t="n">
        <x:v>50</x:v>
      </x:c>
      <x:c r="O325" s="24" t="n">
        <x:v>66.555273869192</x:v>
      </x:c>
      <x:c r="P325" s="24" t="n">
        <x:v>71.65540413435576</x:v>
      </x:c>
      <x:c r="Q325" s="24"/>
      <x:c r="R325" s="24" t="n">
        <x:v>67.95542501182393</x:v>
      </x:c>
      <x:c r="S325" s="24"/>
      <x:c r="T325" s="24"/>
      <x:c r="U325" s="24" t="n">
        <x:v>75.00478345396667</x:v>
      </x:c>
    </x:row>
    <x:row r="326">
      <x:c r="A326" s="24" t="n">
        <x:v>32.4</x:v>
      </x:c>
      <x:c r="B326" s="24" t="n">
        <x:v>69.09108515543622</x:v>
      </x:c>
      <x:c r="C326" s="24" t="n">
        <x:v>69.72654432821965</x:v>
      </x:c>
      <x:c r="D326" s="24" t="n">
        <x:v>68.15131315363662</x:v>
      </x:c>
      <x:c r="E326" s="24" t="n">
        <x:v>68.41835511473036</x:v>
      </x:c>
      <x:c r="F326" s="24" t="n">
        <x:v>70.10969898440847</x:v>
      </x:c>
      <x:c r="G326" s="24"/>
      <x:c r="H326" s="24" t="n">
        <x:v>47.50917001791066</x:v>
      </x:c>
      <x:c r="I326" s="24" t="n">
        <x:v>73.22061231392354</x:v>
      </x:c>
      <x:c r="J326" s="24"/>
      <x:c r="K326" s="24"/>
      <x:c r="L326" s="24" t="n">
        <x:v>70.94388566754154</x:v>
      </x:c>
      <x:c r="M326" s="24" t="n">
        <x:v>50</x:v>
      </x:c>
      <x:c r="N326" s="24" t="n">
        <x:v>50</x:v>
      </x:c>
      <x:c r="O326" s="24" t="n">
        <x:v>66.57472728101567</x:v>
      </x:c>
      <x:c r="P326" s="24" t="n">
        <x:v>69.46274176433354</x:v>
      </x:c>
      <x:c r="Q326" s="24"/>
      <x:c r="R326" s="24" t="n">
        <x:v>82.40198186827938</x:v>
      </x:c>
      <x:c r="S326" s="24"/>
      <x:c r="T326" s="24"/>
      <x:c r="U326" s="24" t="n">
        <x:v>75.00478345396667</x:v>
      </x:c>
    </x:row>
    <x:row r="327">
      <x:c r="A327" s="24" t="n">
        <x:v>32.5</x:v>
      </x:c>
      <x:c r="B327" s="24" t="n">
        <x:v>68.57768866670334</x:v>
      </x:c>
      <x:c r="C327" s="24" t="n">
        <x:v>71.4263226894016</x:v>
      </x:c>
      <x:c r="D327" s="24" t="n">
        <x:v>65.08278527011186</x:v>
      </x:c>
      <x:c r="E327" s="24" t="n">
        <x:v>77.59289536086715</x:v>
      </x:c>
      <x:c r="F327" s="24" t="n">
        <x:v>70.41031837940949</x:v>
      </x:c>
      <x:c r="G327" s="24"/>
      <x:c r="H327" s="24" t="n">
        <x:v>52.041395704625735</x:v>
      </x:c>
      <x:c r="I327" s="24" t="n">
        <x:v>72.67794285480645</x:v>
      </x:c>
      <x:c r="J327" s="24"/>
      <x:c r="K327" s="24"/>
      <x:c r="L327" s="24" t="n">
        <x:v>70.94388566754154</x:v>
      </x:c>
      <x:c r="M327" s="24" t="n">
        <x:v>50</x:v>
      </x:c>
      <x:c r="N327" s="24" t="n">
        <x:v>54.16932354637359</x:v>
      </x:c>
      <x:c r="O327" s="24" t="n">
        <x:v>78.14238933631272</x:v>
      </x:c>
      <x:c r="P327" s="24" t="n">
        <x:v>68.80050338181645</x:v>
      </x:c>
      <x:c r="Q327" s="24"/>
      <x:c r="R327" s="24" t="n">
        <x:v>82.40198186827938</x:v>
      </x:c>
      <x:c r="S327" s="24"/>
      <x:c r="T327" s="24"/>
      <x:c r="U327" s="24" t="n">
        <x:v>69.04948524774628</x:v>
      </x:c>
    </x:row>
    <x:row r="328">
      <x:c r="A328" s="24" t="n">
        <x:v>32.6</x:v>
      </x:c>
      <x:c r="B328" s="24" t="n">
        <x:v>68.33845248468099</x:v>
      </x:c>
      <x:c r="C328" s="24" t="n">
        <x:v>71.4263226894016</x:v>
      </x:c>
      <x:c r="D328" s="24" t="n">
        <x:v>65.44643138335377</x:v>
      </x:c>
      <x:c r="E328" s="24" t="n">
        <x:v>77.59289536086715</x:v>
      </x:c>
      <x:c r="F328" s="24" t="n">
        <x:v>69.26228947639821</x:v>
      </x:c>
      <x:c r="G328" s="24"/>
      <x:c r="H328" s="24" t="n">
        <x:v>65.63807276476933</x:v>
      </x:c>
      <x:c r="I328" s="24" t="n">
        <x:v>45.56881161460947</x:v>
      </x:c>
      <x:c r="J328" s="24"/>
      <x:c r="K328" s="24"/>
      <x:c r="L328" s="24" t="n">
        <x:v>69.20755618012826</x:v>
      </x:c>
      <x:c r="M328" s="24" t="n">
        <x:v>50</x:v>
      </x:c>
      <x:c r="N328" s="24" t="n">
        <x:v>79.52117587005333</x:v>
      </x:c>
      <x:c r="O328" s="24" t="n">
        <x:v>78.14238933631272</x:v>
      </x:c>
      <x:c r="P328" s="24" t="n">
        <x:v>70.04518944398522</x:v>
      </x:c>
      <x:c r="Q328" s="24"/>
      <x:c r="R328" s="24" t="n">
        <x:v>79.7926867162347</x:v>
      </x:c>
      <x:c r="S328" s="24"/>
      <x:c r="T328" s="24"/>
      <x:c r="U328" s="24" t="n">
        <x:v>61.64597147154777</x:v>
      </x:c>
    </x:row>
    <x:row r="329">
      <x:c r="A329" s="24" t="n">
        <x:v>32.7</x:v>
      </x:c>
      <x:c r="B329" s="24" t="n">
        <x:v>68.33845248468099</x:v>
      </x:c>
      <x:c r="C329" s="24" t="n">
        <x:v>71.51922951571177</x:v>
      </x:c>
      <x:c r="D329" s="24" t="n">
        <x:v>67.77989072939353</x:v>
      </x:c>
      <x:c r="E329" s="24" t="n">
        <x:v>73.23411054293035</x:v>
      </x:c>
      <x:c r="F329" s="24" t="n">
        <x:v>68.55455807293865</x:v>
      </x:c>
      <x:c r="G329" s="24"/>
      <x:c r="H329" s="24" t="n">
        <x:v>71.0277921979779</x:v>
      </x:c>
      <x:c r="I329" s="24" t="n">
        <x:v>66.62421625492176</x:v>
      </x:c>
      <x:c r="J329" s="24"/>
      <x:c r="K329" s="24"/>
      <x:c r="L329" s="24" t="n">
        <x:v>69.20755618012826</x:v>
      </x:c>
      <x:c r="M329" s="24" t="n">
        <x:v>65.54397625847962</x:v>
      </x:c>
      <x:c r="N329" s="24" t="n">
        <x:v>79.52117587005333</x:v>
      </x:c>
      <x:c r="O329" s="24" t="n">
        <x:v>76.49622281297572</x:v>
      </x:c>
      <x:c r="P329" s="24" t="n">
        <x:v>70.04518944398522</x:v>
      </x:c>
      <x:c r="Q329" s="24"/>
      <x:c r="R329" s="24" t="n">
        <x:v>69.2339336191958</x:v>
      </x:c>
      <x:c r="S329" s="24"/>
      <x:c r="T329" s="24"/>
      <x:c r="U329" s="24" t="n">
        <x:v>61.64597147154777</x:v>
      </x:c>
    </x:row>
    <x:row r="330">
      <x:c r="A330" s="24" t="n">
        <x:v>32.800000000000004</x:v>
      </x:c>
      <x:c r="B330" s="24" t="n">
        <x:v>64.87648559971608</x:v>
      </x:c>
      <x:c r="C330" s="24" t="n">
        <x:v>72.10194951882227</x:v>
      </x:c>
      <x:c r="D330" s="24" t="n">
        <x:v>67.77989072939353</x:v>
      </x:c>
      <x:c r="E330" s="24" t="n">
        <x:v>61.40406927779009</x:v>
      </x:c>
      <x:c r="F330" s="24" t="n">
        <x:v>70.56975029487216</x:v>
      </x:c>
      <x:c r="G330" s="24"/>
      <x:c r="H330" s="24" t="n">
        <x:v>73.21754559548879</x:v>
      </x:c>
      <x:c r="I330" s="24" t="n">
        <x:v>67.81787095679981</x:v>
      </x:c>
      <x:c r="J330" s="24"/>
      <x:c r="K330" s="24"/>
      <x:c r="L330" s="24" t="n">
        <x:v>68.29576976721312</x:v>
      </x:c>
      <x:c r="M330" s="24" t="n">
        <x:v>80.45307944501754</x:v>
      </x:c>
      <x:c r="N330" s="24" t="n">
        <x:v>76.34315589183073</x:v>
      </x:c>
      <x:c r="O330" s="24" t="n">
        <x:v>65.47715151979062</x:v>
      </x:c>
      <x:c r="P330" s="24" t="n">
        <x:v>68.66025362304855</x:v>
      </x:c>
      <x:c r="Q330" s="24"/>
      <x:c r="R330" s="24" t="n">
        <x:v>50</x:v>
      </x:c>
      <x:c r="S330" s="24"/>
      <x:c r="T330" s="24"/>
      <x:c r="U330" s="24" t="n">
        <x:v>61.1562632518758</x:v>
      </x:c>
    </x:row>
    <x:row r="331">
      <x:c r="A331" s="24" t="n">
        <x:v>32.9</x:v>
      </x:c>
      <x:c r="B331" s="24" t="n">
        <x:v>62.34307442732983</x:v>
      </x:c>
      <x:c r="C331" s="24" t="n">
        <x:v>72.10194951882227</x:v>
      </x:c>
      <x:c r="D331" s="24" t="n">
        <x:v>67.00320264933764</x:v>
      </x:c>
      <x:c r="E331" s="24" t="n">
        <x:v>51.460272162995636</x:v>
      </x:c>
      <x:c r="F331" s="24" t="n">
        <x:v>70.56975029487216</x:v>
      </x:c>
      <x:c r="G331" s="24"/>
      <x:c r="H331" s="24" t="n">
        <x:v>73.21754559548879</x:v>
      </x:c>
      <x:c r="I331" s="24" t="n">
        <x:v>67.81787095679981</x:v>
      </x:c>
      <x:c r="J331" s="24"/>
      <x:c r="K331" s="24"/>
      <x:c r="L331" s="24" t="n">
        <x:v>65.75120940229378</x:v>
      </x:c>
      <x:c r="M331" s="24" t="n">
        <x:v>80.45307944501754</x:v>
      </x:c>
      <x:c r="N331" s="24" t="n">
        <x:v>71.08109180662595</x:v>
      </x:c>
      <x:c r="O331" s="24" t="n">
        <x:v>53.24136002765799</x:v>
      </x:c>
      <x:c r="P331" s="24" t="n">
        <x:v>69.24963029311871</x:v>
      </x:c>
      <x:c r="Q331" s="24"/>
      <x:c r="R331" s="24" t="n">
        <x:v>50</x:v>
      </x:c>
      <x:c r="S331" s="24"/>
      <x:c r="T331" s="24"/>
      <x:c r="U331" s="24" t="n">
        <x:v>61.90484198032961</x:v>
      </x:c>
    </x:row>
    <x:row r="332">
      <x:c r="A332" s="24" t="n">
        <x:v>33</x:v>
      </x:c>
      <x:c r="B332" s="24" t="n">
        <x:v>61.94632240293585</x:v>
      </x:c>
      <x:c r="C332" s="24" t="n">
        <x:v>71.56805148152102</x:v>
      </x:c>
      <x:c r="D332" s="24" t="n">
        <x:v>66.90705631524419</x:v>
      </x:c>
      <x:c r="E332" s="24" t="n">
        <x:v>49.331608997128484</x:v>
      </x:c>
      <x:c r="F332" s="24" t="n">
        <x:v>69.50655012066483</x:v>
      </x:c>
      <x:c r="G332" s="24"/>
      <x:c r="H332" s="24" t="n">
        <x:v>63.87914705007064</x:v>
      </x:c>
      <x:c r="I332" s="24" t="n">
        <x:v>64.54519792650257</x:v>
      </x:c>
      <x:c r="J332" s="24"/>
      <x:c r="K332" s="24"/>
      <x:c r="L332" s="24" t="n">
        <x:v>63.295496728158824</x:v>
      </x:c>
      <x:c r="M332" s="24" t="n">
        <x:v>77.82069146818786</x:v>
      </x:c>
      <x:c r="N332" s="24" t="n">
        <x:v>69.10884617198566</x:v>
      </x:c>
      <x:c r="O332" s="24" t="n">
        <x:v>50</x:v>
      </x:c>
      <x:c r="P332" s="24" t="n">
        <x:v>70.10700963906804</x:v>
      </x:c>
      <x:c r="Q332" s="24"/>
      <x:c r="R332" s="24" t="n">
        <x:v>50</x:v>
      </x:c>
      <x:c r="S332" s="24"/>
      <x:c r="T332" s="24"/>
      <x:c r="U332" s="24" t="n">
        <x:v>61.33922596879744</x:v>
      </x:c>
    </x:row>
    <x:row r="333">
      <x:c r="A333" s="24" t="n">
        <x:v>33.1</x:v>
      </x:c>
      <x:c r="B333" s="24" t="n">
        <x:v>75.10940896518659</x:v>
      </x:c>
      <x:c r="C333" s="24" t="n">
        <x:v>71.08715897084724</x:v>
      </x:c>
      <x:c r="D333" s="24" t="n">
        <x:v>67.42840426249153</x:v>
      </x:c>
      <x:c r="E333" s="24" t="n">
        <x:v>49.331608997128484</x:v>
      </x:c>
      <x:c r="F333" s="24" t="n">
        <x:v>66.32087703946493</x:v>
      </x:c>
      <x:c r="G333" s="24"/>
      <x:c r="H333" s="24" t="n">
        <x:v>69.72494966206213</x:v>
      </x:c>
      <x:c r="I333" s="24" t="n">
        <x:v>62.995528889789924</x:v>
      </x:c>
      <x:c r="J333" s="24"/>
      <x:c r="K333" s="24"/>
      <x:c r="L333" s="24" t="n">
        <x:v>80.65268886690687</x:v>
      </x:c>
      <x:c r="M333" s="24" t="n">
        <x:v>73.28065805239979</x:v>
      </x:c>
      <x:c r="N333" s="24" t="n">
        <x:v>69.15930613951812</x:v>
      </x:c>
      <x:c r="O333" s="24" t="n">
        <x:v>50</x:v>
      </x:c>
      <x:c r="P333" s="24" t="n">
        <x:v>70.10700963906804</x:v>
      </x:c>
      <x:c r="Q333" s="24"/>
      <x:c r="R333" s="24" t="n">
        <x:v>50</x:v>
      </x:c>
      <x:c r="S333" s="24"/>
      <x:c r="T333" s="24"/>
      <x:c r="U333" s="24" t="n">
        <x:v>60.20799394573331</x:v>
      </x:c>
    </x:row>
    <x:row r="334">
      <x:c r="A334" s="24" t="n">
        <x:v>33.2</x:v>
      </x:c>
      <x:c r="B334" s="24" t="n">
        <x:v>76.6499016137252</x:v>
      </x:c>
      <x:c r="C334" s="24" t="n">
        <x:v>82.12687769896331</x:v>
      </x:c>
      <x:c r="D334" s="24" t="n">
        <x:v>67.42840426249153</x:v>
      </x:c>
      <x:c r="E334" s="24" t="n">
        <x:v>63.33914480072892</x:v>
      </x:c>
      <x:c r="F334" s="24" t="n">
        <x:v>63.34531133852508</x:v>
      </x:c>
      <x:c r="G334" s="24"/>
      <x:c r="H334" s="24" t="n">
        <x:v>72.00374956204503</x:v>
      </x:c>
      <x:c r="I334" s="24" t="n">
        <x:v>63.58708419737053</x:v>
      </x:c>
      <x:c r="J334" s="24"/>
      <x:c r="K334" s="24"/>
      <x:c r="L334" s="24" t="n">
        <x:v>82.0658162551015</x:v>
      </x:c>
      <x:c r="M334" s="24" t="n">
        <x:v>72.69112363415049</x:v>
      </x:c>
      <x:c r="N334" s="24" t="n">
        <x:v>69.15930613951812</x:v>
      </x:c>
      <x:c r="O334" s="24" t="n">
        <x:v>70.81169853551367</x:v>
      </x:c>
      <x:c r="P334" s="24" t="n">
        <x:v>68.43650678040277</x:v>
      </x:c>
      <x:c r="Q334" s="24"/>
      <x:c r="R334" s="24" t="n">
        <x:v>74.94955922196057</x:v>
      </x:c>
      <x:c r="S334" s="24"/>
      <x:c r="T334" s="24"/>
      <x:c r="U334" s="24" t="n">
        <x:v>63.465918022510124</x:v>
      </x:c>
    </x:row>
    <x:row r="335">
      <x:c r="A335" s="24" t="n">
        <x:v>33.300000000000004</x:v>
      </x:c>
      <x:c r="B335" s="24" t="n">
        <x:v>76.36549863815176</x:v>
      </x:c>
      <x:c r="C335" s="24" t="n">
        <x:v>83.04017324343559</x:v>
      </x:c>
      <x:c r="D335" s="24" t="n">
        <x:v>67.2128622762232</x:v>
      </x:c>
      <x:c r="E335" s="24" t="n">
        <x:v>63.730710586211984</x:v>
      </x:c>
      <x:c r="F335" s="24" t="n">
        <x:v>79.49045970463199</x:v>
      </x:c>
      <x:c r="G335" s="24"/>
      <x:c r="H335" s="24" t="n">
        <x:v>72.98558464978609</x:v>
      </x:c>
      <x:c r="I335" s="24" t="n">
        <x:v>67.12649504925781</x:v>
      </x:c>
      <x:c r="J335" s="24"/>
      <x:c r="K335" s="24"/>
      <x:c r="L335" s="24" t="n">
        <x:v>82.06581625510081</x:v>
      </x:c>
      <x:c r="M335" s="24" t="n">
        <x:v>72.69112363415022</x:v>
      </x:c>
      <x:c r="N335" s="24" t="n">
        <x:v>69.16912658977911</x:v>
      </x:c>
      <x:c r="O335" s="24" t="n">
        <x:v>78.54343480690167</x:v>
      </x:c>
      <x:c r="P335" s="24" t="n">
        <x:v>68.43650678040277</x:v>
      </x:c>
      <x:c r="Q335" s="24"/>
      <x:c r="R335" s="24" t="n">
        <x:v>80.47914362035735</x:v>
      </x:c>
      <x:c r="S335" s="24"/>
      <x:c r="T335" s="24"/>
      <x:c r="U335" s="24" t="n">
        <x:v>66.72384209928694</x:v>
      </x:c>
    </x:row>
    <x:row r="336">
      <x:c r="A336" s="24" t="n">
        <x:v>33.4</x:v>
      </x:c>
      <x:c r="B336" s="24" t="n">
        <x:v>74.44911337249027</x:v>
      </x:c>
      <x:c r="C336" s="24" t="n">
        <x:v>83.04017324343559</x:v>
      </x:c>
      <x:c r="D336" s="24" t="n">
        <x:v>67.48285999776708</x:v>
      </x:c>
      <x:c r="E336" s="24" t="n">
        <x:v>60.103319750319166</x:v>
      </x:c>
      <x:c r="F336" s="24" t="n">
        <x:v>79.49045970463199</x:v>
      </x:c>
      <x:c r="G336" s="24"/>
      <x:c r="H336" s="24" t="n">
        <x:v>72.98558464978609</x:v>
      </x:c>
      <x:c r="I336" s="24" t="n">
        <x:v>67.12649504925781</x:v>
      </x:c>
      <x:c r="J336" s="24"/>
      <x:c r="K336" s="24"/>
      <x:c r="L336" s="24" t="n">
        <x:v>70.76477370514502</x:v>
      </x:c>
      <x:c r="M336" s="24" t="n">
        <x:v>71.71928372354762</x:v>
      </x:c>
      <x:c r="N336" s="24" t="n">
        <x:v>69.08227125028533</x:v>
      </x:c>
      <x:c r="O336" s="24" t="n">
        <x:v>81.85213528864364</x:v>
      </x:c>
      <x:c r="P336" s="24" t="n">
        <x:v>74.62186787649782</x:v>
      </x:c>
      <x:c r="Q336" s="24"/>
      <x:c r="R336" s="24" t="n">
        <x:v>80.47914362035735</x:v>
      </x:c>
      <x:c r="S336" s="24"/>
      <x:c r="T336" s="24"/>
      <x:c r="U336" s="24" t="n">
        <x:v>68.66805281170681</x:v>
      </x:c>
    </x:row>
    <x:row r="337">
      <x:c r="A337" s="24" t="n">
        <x:v>33.5</x:v>
      </x:c>
      <x:c r="B337" s="24" t="n">
        <x:v>66.64039959631893</x:v>
      </x:c>
      <x:c r="C337" s="24" t="n">
        <x:v>70.38283394805214</x:v>
      </x:c>
      <x:c r="D337" s="24" t="n">
        <x:v>67.37910301555333</x:v>
      </x:c>
      <x:c r="E337" s="24" t="n">
        <x:v>75.76330719647274</x:v>
      </x:c>
      <x:c r="F337" s="24" t="n">
        <x:v>75.26512066871474</x:v>
      </x:c>
      <x:c r="G337" s="24"/>
      <x:c r="H337" s="24" t="n">
        <x:v>72.72846300014908</x:v>
      </x:c>
      <x:c r="I337" s="24" t="n">
        <x:v>85.93698377134288</x:v>
      </x:c>
      <x:c r="J337" s="24"/>
      <x:c r="K337" s="24"/>
      <x:c r="L337" s="24" t="n">
        <x:v>62.11959141100719</x:v>
      </x:c>
      <x:c r="M337" s="24" t="n">
        <x:v>71.71928372354762</x:v>
      </x:c>
      <x:c r="N337" s="24" t="n">
        <x:v>69.34444001250489</x:v>
      </x:c>
      <x:c r="O337" s="24" t="n">
        <x:v>82.40703779976766</x:v>
      </x:c>
      <x:c r="P337" s="24" t="n">
        <x:v>77.38123162320791</x:v>
      </x:c>
      <x:c r="Q337" s="24"/>
      <x:c r="R337" s="24" t="n">
        <x:v>75.72650929123094</x:v>
      </x:c>
      <x:c r="S337" s="24"/>
      <x:c r="T337" s="24"/>
      <x:c r="U337" s="24" t="n">
        <x:v>79.89132628665939</x:v>
      </x:c>
    </x:row>
    <x:row r="338">
      <x:c r="A338" s="24" t="n">
        <x:v>33.6</x:v>
      </x:c>
      <x:c r="B338" s="24" t="n">
        <x:v>58.57226333941656</x:v>
      </x:c>
      <x:c r="C338" s="24" t="n">
        <x:v>64.41613490059902</x:v>
      </x:c>
      <x:c r="D338" s="24" t="n">
        <x:v>67.32055562229844</x:v>
      </x:c>
      <x:c r="E338" s="24" t="n">
        <x:v>75.76330719647274</x:v>
      </x:c>
      <x:c r="F338" s="24" t="n">
        <x:v>69.37782816880362</x:v>
      </x:c>
      <x:c r="G338" s="24"/>
      <x:c r="H338" s="24" t="n">
        <x:v>73.93852968650887</x:v>
      </x:c>
      <x:c r="I338" s="24" t="n">
        <x:v>85.93698377134288</x:v>
      </x:c>
      <x:c r="J338" s="24"/>
      <x:c r="K338" s="24"/>
      <x:c r="L338" s="24" t="n">
        <x:v>50</x:v>
      </x:c>
      <x:c r="M338" s="24" t="n">
        <x:v>71.48962356608853</x:v>
      </x:c>
      <x:c r="N338" s="24" t="n">
        <x:v>69.34444001250489</x:v>
      </x:c>
      <x:c r="O338" s="24" t="n">
        <x:v>82.11406256961473</x:v>
      </x:c>
      <x:c r="P338" s="24" t="n">
        <x:v>77.38123162320791</x:v>
      </x:c>
      <x:c r="Q338" s="24"/>
      <x:c r="R338" s="24" t="n">
        <x:v>71.6300547849844</x:v>
      </x:c>
      <x:c r="S338" s="24"/>
      <x:c r="T338" s="24"/>
      <x:c r="U338" s="24" t="n">
        <x:v>79.89132628665939</x:v>
      </x:c>
    </x:row>
    <x:row r="339">
      <x:c r="A339" s="24" t="n">
        <x:v>33.7</x:v>
      </x:c>
      <x:c r="B339" s="24" t="n">
        <x:v>63.812894936668584</x:v>
      </x:c>
      <x:c r="C339" s="24" t="n">
        <x:v>55.777667996723274</x:v>
      </x:c>
      <x:c r="D339" s="24" t="n">
        <x:v>66.38066419385214</x:v>
      </x:c>
      <x:c r="E339" s="24" t="n">
        <x:v>71.38127123438264</x:v>
      </x:c>
      <x:c r="F339" s="24" t="n">
        <x:v>68.37958657539401</x:v>
      </x:c>
      <x:c r="G339" s="24"/>
      <x:c r="H339" s="24" t="n">
        <x:v>73.93852968650887</x:v>
      </x:c>
      <x:c r="I339" s="24" t="n">
        <x:v>82.10172372510075</x:v>
      </x:c>
      <x:c r="J339" s="24"/>
      <x:c r="K339" s="24"/>
      <x:c r="L339" s="24" t="n">
        <x:v>53.05560794979347</x:v>
      </x:c>
      <x:c r="M339" s="24" t="n">
        <x:v>71.48962356608853</x:v>
      </x:c>
      <x:c r="N339" s="24" t="n">
        <x:v>68.34462738984594</x:v>
      </x:c>
      <x:c r="O339" s="24" t="n">
        <x:v>73.88989834585784</x:v>
      </x:c>
      <x:c r="P339" s="24" t="n">
        <x:v>70.14915494164356</x:v>
      </x:c>
      <x:c r="Q339" s="24"/>
      <x:c r="R339" s="24" t="n">
        <x:v>70.1733490698713</x:v>
      </x:c>
      <x:c r="S339" s="24"/>
      <x:c r="T339" s="24"/>
      <x:c r="U339" s="24" t="n">
        <x:v>77.38396811452877</x:v>
      </x:c>
    </x:row>
    <x:row r="340">
      <x:c r="A340" s="24" t="n">
        <x:v>33.800000000000004</x:v>
      </x:c>
      <x:c r="B340" s="24" t="n">
        <x:v>63.812894936668584</x:v>
      </x:c>
      <x:c r="C340" s="24" t="n">
        <x:v>55.777667996721945</x:v>
      </x:c>
      <x:c r="D340" s="24" t="n">
        <x:v>64.63965533637563</x:v>
      </x:c>
      <x:c r="E340" s="24" t="n">
        <x:v>65.34399238628853</x:v>
      </x:c>
      <x:c r="F340" s="24" t="n">
        <x:v>67.38134498198443</x:v>
      </x:c>
      <x:c r="G340" s="24"/>
      <x:c r="H340" s="24" t="n">
        <x:v>73.90617872501298</x:v>
      </x:c>
      <x:c r="I340" s="24" t="n">
        <x:v>75.3423536059325</x:v>
      </x:c>
      <x:c r="J340" s="24"/>
      <x:c r="K340" s="24"/>
      <x:c r="L340" s="24" t="n">
        <x:v>56.875117887035096</x:v>
      </x:c>
      <x:c r="M340" s="24" t="n">
        <x:v>71.55675838144646</x:v>
      </x:c>
      <x:c r="N340" s="24" t="n">
        <x:v>73.70059870595462</x:v>
      </x:c>
      <x:c r="O340" s="24" t="n">
        <x:v>69.58240128209025</x:v>
      </x:c>
      <x:c r="P340" s="24" t="n">
        <x:v>62.855311595690125</x:v>
      </x:c>
      <x:c r="Q340" s="24"/>
      <x:c r="R340" s="24" t="n">
        <x:v>67.41766470795784</x:v>
      </x:c>
      <x:c r="S340" s="24"/>
      <x:c r="T340" s="24"/>
      <x:c r="U340" s="24" t="n">
        <x:v>65.95177871297624</x:v>
      </x:c>
    </x:row>
    <x:row r="341">
      <x:c r="A341" s="24" t="n">
        <x:v>33.9</x:v>
      </x:c>
      <x:c r="B341" s="24" t="n">
        <x:v>59.67598029461048</x:v>
      </x:c>
      <x:c r="C341" s="24" t="n">
        <x:v>51.595284178115094</x:v>
      </x:c>
      <x:c r="D341" s="24" t="n">
        <x:v>61.35667352609604</x:v>
      </x:c>
      <x:c r="E341" s="24" t="n">
        <x:v>65.46208878074042</x:v>
      </x:c>
      <x:c r="F341" s="24" t="n">
        <x:v>66.38310338857491</x:v>
      </x:c>
      <x:c r="G341" s="24"/>
      <x:c r="H341" s="24" t="n">
        <x:v>73.11816960713625</x:v>
      </x:c>
      <x:c r="I341" s="24" t="n">
        <x:v>72.1910440367458</x:v>
      </x:c>
      <x:c r="J341" s="24"/>
      <x:c r="K341" s="24"/>
      <x:c r="L341" s="24" t="n">
        <x:v>60.69462782427645</x:v>
      </x:c>
      <x:c r="M341" s="24" t="n">
        <x:v>71.55675838144646</x:v>
      </x:c>
      <x:c r="N341" s="24" t="n">
        <x:v>79.3010044906713</x:v>
      </x:c>
      <x:c r="O341" s="24" t="n">
        <x:v>69.58240128209025</x:v>
      </x:c>
      <x:c r="P341" s="24" t="n">
        <x:v>59.27330056698631</x:v>
      </x:c>
      <x:c r="Q341" s="24"/>
      <x:c r="R341" s="24" t="n">
        <x:v>67.41766470795784</x:v>
      </x:c>
      <x:c r="S341" s="24"/>
      <x:c r="T341" s="24"/>
      <x:c r="U341" s="24" t="n">
        <x:v>61.16259459649535</x:v>
      </x:c>
    </x:row>
    <x:row r="342">
      <x:c r="A342" s="24" t="n">
        <x:v>34</x:v>
      </x:c>
      <x:c r="B342" s="24" t="n">
        <x:v>63.85919957209143</x:v>
      </x:c>
      <x:c r="C342" s="24" t="n">
        <x:v>62.24994518042712</x:v>
      </x:c>
      <x:c r="D342" s="24" t="n">
        <x:v>68.02666101918173</x:v>
      </x:c>
      <x:c r="E342" s="24" t="n">
        <x:v>68.67755730347962</x:v>
      </x:c>
      <x:c r="F342" s="24" t="n">
        <x:v>65.3848617951653</x:v>
      </x:c>
      <x:c r="G342" s="24"/>
      <x:c r="H342" s="24" t="n">
        <x:v>73.10559252518031</x:v>
      </x:c>
      <x:c r="I342" s="24" t="n">
        <x:v>71.26986687575278</x:v>
      </x:c>
      <x:c r="J342" s="24"/>
      <x:c r="K342" s="24"/>
      <x:c r="L342" s="24" t="n">
        <x:v>62.987893195845615</x:v>
      </x:c>
      <x:c r="M342" s="24" t="n">
        <x:v>70.6904928022975</x:v>
      </x:c>
      <x:c r="N342" s="24" t="n">
        <x:v>79.3010044906713</x:v>
      </x:c>
      <x:c r="O342" s="24" t="n">
        <x:v>69.02328968561757</x:v>
      </x:c>
      <x:c r="P342" s="24" t="n">
        <x:v>58.8611048506853</x:v>
      </x:c>
      <x:c r="Q342" s="24"/>
      <x:c r="R342" s="24" t="n">
        <x:v>67.39350417845114</x:v>
      </x:c>
      <x:c r="S342" s="24"/>
      <x:c r="T342" s="24"/>
      <x:c r="U342" s="24" t="n">
        <x:v>58.80095710040821</x:v>
      </x:c>
    </x:row>
    <x:row r="343">
      <x:c r="A343" s="24" t="n">
        <x:v>34.1</x:v>
      </x:c>
      <x:c r="B343" s="24" t="n">
        <x:v>64.42253676908084</x:v>
      </x:c>
      <x:c r="C343" s="24" t="n">
        <x:v>62.24994518042712</x:v>
      </x:c>
      <x:c r="D343" s="24" t="n">
        <x:v>79.96646227005054</x:v>
      </x:c>
      <x:c r="E343" s="24" t="n">
        <x:v>68.92691282794911</x:v>
      </x:c>
      <x:c r="F343" s="24" t="n">
        <x:v>64.3866202017557</x:v>
      </x:c>
      <x:c r="G343" s="24"/>
      <x:c r="H343" s="24" t="n">
        <x:v>72.17351911133565</x:v>
      </x:c>
      <x:c r="I343" s="24" t="n">
        <x:v>68.3390434717765</x:v>
      </x:c>
      <x:c r="J343" s="24"/>
      <x:c r="K343" s="24"/>
      <x:c r="L343" s="24" t="n">
        <x:v>62.987893195845615</x:v>
      </x:c>
      <x:c r="M343" s="24" t="n">
        <x:v>68.41621793651562</x:v>
      </x:c>
      <x:c r="N343" s="24" t="n">
        <x:v>69.21709909697101</x:v>
      </x:c>
      <x:c r="O343" s="24" t="n">
        <x:v>69.53921135401086</x:v>
      </x:c>
      <x:c r="P343" s="24" t="n">
        <x:v>58.6962265641649</x:v>
      </x:c>
      <x:c r="Q343" s="24"/>
      <x:c r="R343" s="24" t="n">
        <x:v>68.36345863381646</x:v>
      </x:c>
      <x:c r="S343" s="24"/>
      <x:c r="T343" s="24"/>
      <x:c r="U343" s="24" t="n">
        <x:v>58.80095710040821</x:v>
      </x:c>
    </x:row>
    <x:row r="344">
      <x:c r="A344" s="24" t="n">
        <x:v>34.2</x:v>
      </x:c>
      <x:c r="B344" s="24" t="n">
        <x:v>64.42253676908084</x:v>
      </x:c>
      <x:c r="C344" s="24" t="n">
        <x:v>53.63547381652208</x:v>
      </x:c>
      <x:c r="D344" s="24" t="n">
        <x:v>79.96646227005054</x:v>
      </x:c>
      <x:c r="E344" s="24" t="n">
        <x:v>69.02871233938055</x:v>
      </x:c>
      <x:c r="F344" s="24" t="n">
        <x:v>66.04083092426197</x:v>
      </x:c>
      <x:c r="G344" s="24"/>
      <x:c r="H344" s="24" t="n">
        <x:v>81.0505699959599</x:v>
      </x:c>
      <x:c r="I344" s="24" t="n">
        <x:v>71.49425745468253</x:v>
      </x:c>
      <x:c r="J344" s="24"/>
      <x:c r="K344" s="24"/>
      <x:c r="L344" s="24" t="n">
        <x:v>81.8981618395965</x:v>
      </x:c>
      <x:c r="M344" s="24" t="n">
        <x:v>76.60600712712137</x:v>
      </x:c>
      <x:c r="N344" s="24" t="n">
        <x:v>59.904331487849376</x:v>
      </x:c>
      <x:c r="O344" s="24" t="n">
        <x:v>69.53921135401086</x:v>
      </x:c>
      <x:c r="P344" s="24" t="n">
        <x:v>57.502744575023655</x:v>
      </x:c>
      <x:c r="Q344" s="24"/>
      <x:c r="R344" s="24" t="n">
        <x:v>68.36345863381646</x:v>
      </x:c>
      <x:c r="S344" s="24"/>
      <x:c r="T344" s="24"/>
      <x:c r="U344" s="24" t="n">
        <x:v>60.67592324974554</x:v>
      </x:c>
    </x:row>
    <x:row r="345">
      <x:c r="A345" s="24" t="n">
        <x:v>34.300000000000004</x:v>
      </x:c>
      <x:c r="B345" s="24" t="n">
        <x:v>64.41049757970558</x:v>
      </x:c>
      <x:c r="C345" s="24" t="n">
        <x:v>63.83642200855556</x:v>
      </x:c>
      <x:c r="D345" s="24" t="n">
        <x:v>75.684771449862</x:v>
      </x:c>
      <x:c r="E345" s="24" t="n">
        <x:v>69.19049644496712</x:v>
      </x:c>
      <x:c r="F345" s="24" t="n">
        <x:v>71.71225474907118</x:v>
      </x:c>
      <x:c r="G345" s="24"/>
      <x:c r="H345" s="24" t="n">
        <x:v>81.75410725236466</x:v>
      </x:c>
      <x:c r="I345" s="24" t="n">
        <x:v>73.96011657968721</x:v>
      </x:c>
      <x:c r="J345" s="24"/>
      <x:c r="K345" s="24"/>
      <x:c r="L345" s="24" t="n">
        <x:v>81.8981618395965</x:v>
      </x:c>
      <x:c r="M345" s="24" t="n">
        <x:v>78.9535384529348</x:v>
      </x:c>
      <x:c r="N345" s="24" t="n">
        <x:v>50</x:v>
      </x:c>
      <x:c r="O345" s="24" t="n">
        <x:v>82.08160942690316</x:v>
      </x:c>
      <x:c r="P345" s="24" t="n">
        <x:v>56.73434686026781</x:v>
      </x:c>
      <x:c r="Q345" s="24"/>
      <x:c r="R345" s="24" t="n">
        <x:v>67.63469308043032</x:v>
      </x:c>
      <x:c r="S345" s="24"/>
      <x:c r="T345" s="24"/>
      <x:c r="U345" s="24" t="n">
        <x:v>62.55088939908286</x:v>
      </x:c>
    </x:row>
    <x:row r="346">
      <x:c r="A346" s="24" t="n">
        <x:v>34.4</x:v>
      </x:c>
      <x:c r="B346" s="24" t="n">
        <x:v>64.41049757970558</x:v>
      </x:c>
      <x:c r="C346" s="24" t="n">
        <x:v>74.03737020058831</x:v>
      </x:c>
      <x:c r="D346" s="24" t="n">
        <x:v>65.49961622608018</x:v>
      </x:c>
      <x:c r="E346" s="24" t="n">
        <x:v>69.26919135049789</x:v>
      </x:c>
      <x:c r="F346" s="24" t="n">
        <x:v>71.71225474907118</x:v>
      </x:c>
      <x:c r="G346" s="24"/>
      <x:c r="H346" s="24" t="n">
        <x:v>80.02925045782557</x:v>
      </x:c>
      <x:c r="I346" s="24" t="n">
        <x:v>73.96011657968721</x:v>
      </x:c>
      <x:c r="J346" s="24"/>
      <x:c r="K346" s="24"/>
      <x:c r="L346" s="24" t="n">
        <x:v>78.57020692423013</x:v>
      </x:c>
      <x:c r="M346" s="24" t="n">
        <x:v>78.9535384529348</x:v>
      </x:c>
      <x:c r="N346" s="24" t="n">
        <x:v>50</x:v>
      </x:c>
      <x:c r="O346" s="24" t="n">
        <x:v>82.08160942690316</x:v>
      </x:c>
      <x:c r="P346" s="24" t="n">
        <x:v>56.006834562519565</x:v>
      </x:c>
      <x:c r="Q346" s="24"/>
      <x:c r="R346" s="24" t="n">
        <x:v>79.52055334972842</x:v>
      </x:c>
      <x:c r="S346" s="24"/>
      <x:c r="T346" s="24"/>
      <x:c r="U346" s="24" t="n">
        <x:v>64.42585554842005</x:v>
      </x:c>
    </x:row>
    <x:row r="347">
      <x:c r="A347" s="24" t="n">
        <x:v>34.5</x:v>
      </x:c>
      <x:c r="B347" s="24" t="n">
        <x:v>66.80838304451953</x:v>
      </x:c>
      <x:c r="C347" s="24" t="n">
        <x:v>78.11774947740156</x:v>
      </x:c>
      <x:c r="D347" s="24" t="n">
        <x:v>56.06594599258112</x:v>
      </x:c>
      <x:c r="E347" s="24" t="n">
        <x:v>69.26919135049789</x:v>
      </x:c>
      <x:c r="F347" s="24" t="n">
        <x:v>65.23240493440034</x:v>
      </x:c>
      <x:c r="G347" s="24"/>
      <x:c r="H347" s="24" t="n">
        <x:v>70.36973896313101</x:v>
      </x:c>
      <x:c r="I347" s="24" t="n">
        <x:v>62.521651194332264</x:v>
      </x:c>
      <x:c r="J347" s="24"/>
      <x:c r="K347" s="24"/>
      <x:c r="L347" s="24" t="n">
        <x:v>75.57409710619943</x:v>
      </x:c>
      <x:c r="M347" s="24" t="n">
        <x:v>68.31377190275754</x:v>
      </x:c>
      <x:c r="N347" s="24" t="n">
        <x:v>50</x:v>
      </x:c>
      <x:c r="O347" s="24" t="n">
        <x:v>79.84335236503506</x:v>
      </x:c>
      <x:c r="P347" s="24" t="n">
        <x:v>55.27932226477127</x:v>
      </x:c>
      <x:c r="Q347" s="24"/>
      <x:c r="R347" s="24" t="n">
        <x:v>80.60120930384213</x:v>
      </x:c>
      <x:c r="S347" s="24"/>
      <x:c r="T347" s="24"/>
      <x:c r="U347" s="24" t="n">
        <x:v>65.92582846788986</x:v>
      </x:c>
    </x:row>
    <x:row r="348">
      <x:c r="A348" s="24" t="n">
        <x:v>34.6</x:v>
      </x:c>
      <x:c r="B348" s="24" t="n">
        <x:v>67.63292448505675</x:v>
      </x:c>
      <x:c r="C348" s="24" t="n">
        <x:v>78.11774947740156</x:v>
      </x:c>
      <x:c r="D348" s="24" t="n">
        <x:v>53.76957876816719</x:v>
      </x:c>
      <x:c r="E348" s="24" t="n">
        <x:v>69.54175621843729</x:v>
      </x:c>
      <x:c r="F348" s="24" t="n">
        <x:v>61.79300935223419</x:v>
      </x:c>
      <x:c r="G348" s="24"/>
      <x:c r="H348" s="24" t="n">
        <x:v>64.8314338140594</x:v>
      </x:c>
      <x:c r="I348" s="24" t="n">
        <x:v>59.89376228787597</x:v>
      </x:c>
      <x:c r="J348" s="24"/>
      <x:c r="K348" s="24"/>
      <x:c r="L348" s="24" t="n">
        <x:v>73.43254833626104</x:v>
      </x:c>
      <x:c r="M348" s="24" t="n">
        <x:v>50</x:v>
      </x:c>
      <x:c r="N348" s="24" t="n">
        <x:v>50</x:v>
      </x:c>
      <x:c r="O348" s="24" t="n">
        <x:v>72.06765643223846</x:v>
      </x:c>
      <x:c r="P348" s="24" t="n">
        <x:v>56.21646933340349</x:v>
      </x:c>
      <x:c r="Q348" s="24"/>
      <x:c r="R348" s="24" t="n">
        <x:v>80.60120930384213</x:v>
      </x:c>
      <x:c r="S348" s="24"/>
      <x:c r="T348" s="24"/>
      <x:c r="U348" s="24" t="n">
        <x:v>76.34179165720325</x:v>
      </x:c>
    </x:row>
    <x:row r="349">
      <x:c r="A349" s="24" t="n">
        <x:v>34.7</x:v>
      </x:c>
      <x:c r="B349" s="24" t="n">
        <x:v>67.63292448505675</x:v>
      </x:c>
      <x:c r="C349" s="24" t="n">
        <x:v>71.30634958363208</x:v>
      </x:c>
      <x:c r="D349" s="24" t="n">
        <x:v>52.39175843351897</x:v>
      </x:c>
      <x:c r="E349" s="24" t="n">
        <x:v>69.54175621843729</x:v>
      </x:c>
      <x:c r="F349" s="24" t="n">
        <x:v>66.18261907751723</x:v>
      </x:c>
      <x:c r="G349" s="24"/>
      <x:c r="H349" s="24" t="n">
        <x:v>47.50917001791066</x:v>
      </x:c>
      <x:c r="I349" s="24" t="n">
        <x:v>67.89481025372267</x:v>
      </x:c>
      <x:c r="J349" s="24"/>
      <x:c r="K349" s="24"/>
      <x:c r="L349" s="24" t="n">
        <x:v>70.18273954445321</x:v>
      </x:c>
      <x:c r="M349" s="24" t="n">
        <x:v>50</x:v>
      </x:c>
      <x:c r="N349" s="24" t="n">
        <x:v>66.36304172752212</x:v>
      </x:c>
      <x:c r="O349" s="24" t="n">
        <x:v>66.08363821168456</x:v>
      </x:c>
      <x:c r="P349" s="24" t="n">
        <x:v>57.054986514518845</x:v>
      </x:c>
      <x:c r="Q349" s="24"/>
      <x:c r="R349" s="24" t="n">
        <x:v>71.43646509322727</x:v>
      </x:c>
      <x:c r="S349" s="24"/>
      <x:c r="T349" s="24"/>
      <x:c r="U349" s="24" t="n">
        <x:v>76.34179165720325</x:v>
      </x:c>
    </x:row>
    <x:row r="350">
      <x:c r="A350" s="24" t="n">
        <x:v>34.800000000000004</x:v>
      </x:c>
      <x:c r="B350" s="24" t="n">
        <x:v>65.64633949918098</x:v>
      </x:c>
      <x:c r="C350" s="24" t="n">
        <x:v>65.88406720258912</x:v>
      </x:c>
      <x:c r="D350" s="24" t="n">
        <x:v>56.40094856688587</x:v>
      </x:c>
      <x:c r="E350" s="24" t="n">
        <x:v>69.8576542938946</x:v>
      </x:c>
      <x:c r="F350" s="24" t="n">
        <x:v>66.62467646011757</x:v>
      </x:c>
      <x:c r="G350" s="24"/>
      <x:c r="H350" s="24" t="n">
        <x:v>47.50917001791272</x:v>
      </x:c>
      <x:c r="I350" s="24" t="n">
        <x:v>67.89481025372267</x:v>
      </x:c>
      <x:c r="J350" s="24"/>
      <x:c r="K350" s="24"/>
      <x:c r="L350" s="24" t="n">
        <x:v>70.13571803133583</x:v>
      </x:c>
      <x:c r="M350" s="24" t="n">
        <x:v>50.36110499080844</x:v>
      </x:c>
      <x:c r="N350" s="24" t="n">
        <x:v>67.62678845307768</x:v>
      </x:c>
      <x:c r="O350" s="24" t="n">
        <x:v>65.23386784164347</x:v>
      </x:c>
      <x:c r="P350" s="24" t="n">
        <x:v>56.97413138180482</x:v>
      </x:c>
      <x:c r="Q350" s="24"/>
      <x:c r="R350" s="24" t="n">
        <x:v>62.336748059210656</x:v>
      </x:c>
      <x:c r="S350" s="24"/>
      <x:c r="T350" s="24"/>
      <x:c r="U350" s="24" t="n">
        <x:v>72.77363391606416</x:v>
      </x:c>
    </x:row>
    <x:row r="351">
      <x:c r="A351" s="24" t="n">
        <x:v>34.9</x:v>
      </x:c>
      <x:c r="B351" s="24" t="n">
        <x:v>65.64633949918098</x:v>
      </x:c>
      <x:c r="C351" s="24" t="n">
        <x:v>67.57225656699471</x:v>
      </x:c>
      <x:c r="D351" s="24" t="n">
        <x:v>61.41243623359387</x:v>
      </x:c>
      <x:c r="E351" s="24" t="n">
        <x:v>81.3487003144767</x:v>
      </x:c>
      <x:c r="F351" s="24" t="n">
        <x:v>67.23303791370327</x:v>
      </x:c>
      <x:c r="G351" s="24"/>
      <x:c r="H351" s="24" t="n">
        <x:v>66.29696014745161</x:v>
      </x:c>
      <x:c r="I351" s="24" t="n">
        <x:v>66.03719284169051</x:v>
      </x:c>
      <x:c r="J351" s="24"/>
      <x:c r="K351" s="24"/>
      <x:c r="L351" s="24" t="n">
        <x:v>70.38472126341239</x:v>
      </x:c>
      <x:c r="M351" s="24" t="n">
        <x:v>50.81248622931894</x:v>
      </x:c>
      <x:c r="N351" s="24" t="n">
        <x:v>66.35096633373469</x:v>
      </x:c>
      <x:c r="O351" s="24" t="n">
        <x:v>60.25502550261007</x:v>
      </x:c>
      <x:c r="P351" s="24" t="n">
        <x:v>56.8730624659123</x:v>
      </x:c>
      <x:c r="Q351" s="24"/>
      <x:c r="R351" s="24" t="n">
        <x:v>50</x:v>
      </x:c>
      <x:c r="S351" s="24"/>
      <x:c r="T351" s="24"/>
      <x:c r="U351" s="24" t="n">
        <x:v>64.46947434449362</x:v>
      </x:c>
    </x:row>
    <x:row r="352">
      <x:c r="A352" s="24" t="n">
        <x:v>35</x:v>
      </x:c>
      <x:c r="B352" s="24" t="n">
        <x:v>63.3568436179317</x:v>
      </x:c>
      <x:c r="C352" s="24" t="n">
        <x:v>70.05608561126095</x:v>
      </x:c>
      <x:c r="D352" s="24" t="n">
        <x:v>64.41932883361895</x:v>
      </x:c>
      <x:c r="E352" s="24" t="n">
        <x:v>81.57902785175277</x:v>
      </x:c>
      <x:c r="F352" s="24" t="n">
        <x:v>68.82008591548478</x:v>
      </x:c>
      <x:c r="G352" s="24"/>
      <x:c r="H352" s="24" t="n">
        <x:v>66.29696014745161</x:v>
      </x:c>
      <x:c r="I352" s="24" t="n">
        <x:v>65.20010254080373</x:v>
      </x:c>
      <x:c r="J352" s="24"/>
      <x:c r="K352" s="24"/>
      <x:c r="L352" s="24" t="n">
        <x:v>70.38472126341239</x:v>
      </x:c>
      <x:c r="M352" s="24" t="n">
        <x:v>51.17359122012735</x:v>
      </x:c>
      <x:c r="N352" s="24" t="n">
        <x:v>67.3700778332392</x:v>
      </x:c>
      <x:c r="O352" s="24" t="n">
        <x:v>62.87991171537699</x:v>
      </x:c>
      <x:c r="P352" s="24" t="n">
        <x:v>56.77199355001977</x:v>
      </x:c>
      <x:c r="Q352" s="24"/>
      <x:c r="R352" s="24" t="n">
        <x:v>50</x:v>
      </x:c>
      <x:c r="S352" s="24"/>
      <x:c r="T352" s="24"/>
      <x:c r="U352" s="24" t="n">
        <x:v>63.41470576289373</x:v>
      </x:c>
    </x:row>
    <x:row r="353">
      <x:c r="A353" s="24" t="n">
        <x:v>35.1</x:v>
      </x:c>
      <x:c r="B353" s="24" t="n">
        <x:v>78.57858349678858</x:v>
      </x:c>
      <x:c r="C353" s="24" t="n">
        <x:v>70.05608561126095</x:v>
      </x:c>
      <x:c r="D353" s="24" t="n">
        <x:v>64.41932883361895</x:v>
      </x:c>
      <x:c r="E353" s="24" t="n">
        <x:v>79.22301662847114</x:v>
      </x:c>
      <x:c r="F353" s="24" t="n">
        <x:v>68.82008591548478</x:v>
      </x:c>
      <x:c r="G353" s="24"/>
      <x:c r="H353" s="24" t="n">
        <x:v>74.26993163259496</x:v>
      </x:c>
      <x:c r="I353" s="24" t="n">
        <x:v>66.54724830506723</x:v>
      </x:c>
      <x:c r="J353" s="24"/>
      <x:c r="K353" s="24"/>
      <x:c r="L353" s="24" t="n">
        <x:v>69.24263796161355</x:v>
      </x:c>
      <x:c r="M353" s="24" t="n">
        <x:v>79.60457511333261</x:v>
      </x:c>
      <x:c r="N353" s="24" t="n">
        <x:v>68.71354724978718</x:v>
      </x:c>
      <x:c r="O353" s="24" t="n">
        <x:v>63.69085257193821</x:v>
      </x:c>
      <x:c r="P353" s="24" t="n">
        <x:v>56.670924634127246</x:v>
      </x:c>
      <x:c r="Q353" s="24"/>
      <x:c r="R353" s="24" t="n">
        <x:v>50</x:v>
      </x:c>
      <x:c r="S353" s="24"/>
      <x:c r="T353" s="24"/>
      <x:c r="U353" s="24" t="n">
        <x:v>63.73704194844042</x:v>
      </x:c>
    </x:row>
    <x:row r="354">
      <x:c r="A354" s="24" t="n">
        <x:v>35.2</x:v>
      </x:c>
      <x:c r="B354" s="24" t="n">
        <x:v>85.97981844523697</x:v>
      </x:c>
      <x:c r="C354" s="24" t="n">
        <x:v>70.88273785444072</x:v>
      </x:c>
      <x:c r="D354" s="24" t="n">
        <x:v>75.63630027809428</x:v>
      </x:c>
      <x:c r="E354" s="24" t="n">
        <x:v>69.4043021855438</x:v>
      </x:c>
      <x:c r="F354" s="24" t="n">
        <x:v>68.65243264440298</x:v>
      </x:c>
      <x:c r="G354" s="24"/>
      <x:c r="H354" s="24" t="n">
        <x:v>74.26993163259496</x:v>
      </x:c>
      <x:c r="I354" s="24" t="n">
        <x:v>68.57334008788737</x:v>
      </x:c>
      <x:c r="J354" s="24"/>
      <x:c r="K354" s="24"/>
      <x:c r="L354" s="24" t="n">
        <x:v>69.24263796161355</x:v>
      </x:c>
      <x:c r="M354" s="24" t="n">
        <x:v>79.60457511333261</x:v>
      </x:c>
      <x:c r="N354" s="24" t="n">
        <x:v>68.71354724978718</x:v>
      </x:c>
      <x:c r="O354" s="24" t="n">
        <x:v>64.1418905761586</x:v>
      </x:c>
      <x:c r="P354" s="24" t="n">
        <x:v>56.56985571823472</x:v>
      </x:c>
      <x:c r="Q354" s="24"/>
      <x:c r="R354" s="24" t="n">
        <x:v>50</x:v>
      </x:c>
      <x:c r="S354" s="24"/>
      <x:c r="T354" s="24"/>
      <x:c r="U354" s="24" t="n">
        <x:v>63.73704194844042</x:v>
      </x:c>
    </x:row>
    <x:row r="355">
      <x:c r="A355" s="24" t="n">
        <x:v>35.300000000000004</x:v>
      </x:c>
      <x:c r="B355" s="24" t="n">
        <x:v>85.97981844523697</x:v>
      </x:c>
      <x:c r="C355" s="24" t="n">
        <x:v>71.13521221754256</x:v>
      </x:c>
      <x:c r="D355" s="24" t="n">
        <x:v>75.63630027809428</x:v>
      </x:c>
      <x:c r="E355" s="24" t="n">
        <x:v>60.80658364074944</x:v>
      </x:c>
      <x:c r="F355" s="24" t="n">
        <x:v>68.77668193123662</x:v>
      </x:c>
      <x:c r="G355" s="24"/>
      <x:c r="H355" s="24" t="n">
        <x:v>67.88836068109711</x:v>
      </x:c>
      <x:c r="I355" s="24" t="n">
        <x:v>69.31980723607685</x:v>
      </x:c>
      <x:c r="J355" s="24"/>
      <x:c r="K355" s="24"/>
      <x:c r="L355" s="24" t="n">
        <x:v>70.61224446091212</x:v>
      </x:c>
      <x:c r="M355" s="24" t="n">
        <x:v>77.72509176877612</x:v>
      </x:c>
      <x:c r="N355" s="24" t="n">
        <x:v>69.50596553889886</x:v>
      </x:c>
      <x:c r="O355" s="24" t="n">
        <x:v>74.06341917882166</x:v>
      </x:c>
      <x:c r="P355" s="24" t="n">
        <x:v>56.4687868023422</x:v>
      </x:c>
      <x:c r="Q355" s="24"/>
      <x:c r="R355" s="24" t="n">
        <x:v>80.00821801889848</x:v>
      </x:c>
      <x:c r="S355" s="24"/>
      <x:c r="T355" s="24"/>
      <x:c r="U355" s="24" t="n">
        <x:v>63.58515405070827</x:v>
      </x:c>
    </x:row>
    <x:row r="356">
      <x:c r="A356" s="24" t="n">
        <x:v>35.4</x:v>
      </x:c>
      <x:c r="B356" s="24" t="n">
        <x:v>77.08074147565526</x:v>
      </x:c>
      <x:c r="C356" s="24" t="n">
        <x:v>71.81964041581122</x:v>
      </x:c>
      <x:c r="D356" s="24" t="n">
        <x:v>72.86764548200911</x:v>
      </x:c>
      <x:c r="E356" s="24" t="n">
        <x:v>49.331608997128484</x:v>
      </x:c>
      <x:c r="F356" s="24" t="n">
        <x:v>68.77668193123662</x:v>
      </x:c>
      <x:c r="G356" s="24"/>
      <x:c r="H356" s="24" t="n">
        <x:v>61.40980349005172</x:v>
      </x:c>
      <x:c r="I356" s="24" t="n">
        <x:v>69.31980723607685</x:v>
      </x:c>
      <x:c r="J356" s="24"/>
      <x:c r="K356" s="24"/>
      <x:c r="L356" s="24" t="n">
        <x:v>70.61224446091212</x:v>
      </x:c>
      <x:c r="M356" s="24" t="n">
        <x:v>73.75900983965603</x:v>
      </x:c>
      <x:c r="N356" s="24" t="n">
        <x:v>69.50596553889886</x:v>
      </x:c>
      <x:c r="O356" s="24" t="n">
        <x:v>76.8164252798284</x:v>
      </x:c>
      <x:c r="P356" s="24" t="n">
        <x:v>56.36771788644968</x:v>
      </x:c>
      <x:c r="Q356" s="24"/>
      <x:c r="R356" s="24" t="n">
        <x:v>81.9501231882681</x:v>
      </x:c>
      <x:c r="S356" s="24"/>
      <x:c r="T356" s="24"/>
      <x:c r="U356" s="24" t="n">
        <x:v>63.332007554488044</x:v>
      </x:c>
    </x:row>
    <x:row r="357">
      <x:c r="A357" s="24" t="n">
        <x:v>35.5</x:v>
      </x:c>
      <x:c r="B357" s="24" t="n">
        <x:v>71.66856083581112</x:v>
      </x:c>
      <x:c r="C357" s="24" t="n">
        <x:v>71.81964041581122</x:v>
      </x:c>
      <x:c r="D357" s="24" t="n">
        <x:v>69.23219025123363</x:v>
      </x:c>
      <x:c r="E357" s="24" t="n">
        <x:v>51.34872074883583</x:v>
      </x:c>
      <x:c r="F357" s="24" t="n">
        <x:v>69.9807589664633</x:v>
      </x:c>
      <x:c r="G357" s="24"/>
      <x:c r="H357" s="24" t="n">
        <x:v>68.75312969077112</x:v>
      </x:c>
      <x:c r="I357" s="24" t="n">
        <x:v>79.22063379033827</x:v>
      </x:c>
      <x:c r="J357" s="24"/>
      <x:c r="K357" s="24"/>
      <x:c r="L357" s="24" t="n">
        <x:v>69.3377894260469</x:v>
      </x:c>
      <x:c r="M357" s="24" t="n">
        <x:v>70.5339327767212</x:v>
      </x:c>
      <x:c r="N357" s="24" t="n">
        <x:v>69.75334086815148</x:v>
      </x:c>
      <x:c r="O357" s="24" t="n">
        <x:v>76.8164252798284</x:v>
      </x:c>
      <x:c r="P357" s="24" t="n">
        <x:v>56.266648970557156</x:v>
      </x:c>
      <x:c r="Q357" s="24"/>
      <x:c r="R357" s="24" t="n">
        <x:v>85.19519776778645</x:v>
      </x:c>
      <x:c r="S357" s="24"/>
      <x:c r="T357" s="24"/>
      <x:c r="U357" s="24" t="n">
        <x:v>63.332007554488044</x:v>
      </x:c>
    </x:row>
    <x:row r="358">
      <x:c r="A358" s="24" t="n">
        <x:v>35.6</x:v>
      </x:c>
      <x:c r="B358" s="24" t="n">
        <x:v>63.0041336686531</x:v>
      </x:c>
      <x:c r="C358" s="24" t="n">
        <x:v>71.1122760097804</x:v>
      </x:c>
      <x:c r="D358" s="24" t="n">
        <x:v>65.19373258786598</x:v>
      </x:c>
      <x:c r="E358" s="24" t="n">
        <x:v>64.67615132719766</x:v>
      </x:c>
      <x:c r="F358" s="24" t="n">
        <x:v>88.66069820872809</x:v>
      </x:c>
      <x:c r="G358" s="24"/>
      <x:c r="H358" s="24" t="n">
        <x:v>73.082262745371</x:v>
      </x:c>
      <x:c r="I358" s="24" t="n">
        <x:v>80.46562275426463</x:v>
      </x:c>
      <x:c r="J358" s="24"/>
      <x:c r="K358" s="24"/>
      <x:c r="L358" s="24" t="n">
        <x:v>65.82233283367925</x:v>
      </x:c>
      <x:c r="M358" s="24" t="n">
        <x:v>70.03118256764749</x:v>
      </x:c>
      <x:c r="N358" s="24" t="n">
        <x:v>70.16169958668426</x:v>
      </x:c>
      <x:c r="O358" s="24" t="n">
        <x:v>68.10769701399778</x:v>
      </x:c>
      <x:c r="P358" s="24" t="n">
        <x:v>56.16558005466463</x:v>
      </x:c>
      <x:c r="Q358" s="24"/>
      <x:c r="R358" s="24" t="n">
        <x:v>85.19519776778645</x:v>
      </x:c>
      <x:c r="S358" s="24"/>
      <x:c r="T358" s="24"/>
      <x:c r="U358" s="24" t="n">
        <x:v>61.71254771555735</x:v>
      </x:c>
    </x:row>
    <x:row r="359">
      <x:c r="A359" s="24" t="n">
        <x:v>35.7</x:v>
      </x:c>
      <x:c r="B359" s="24" t="n">
        <x:v>63.0041336686531</x:v>
      </x:c>
      <x:c r="C359" s="24" t="n">
        <x:v>71.47923755233714</x:v>
      </x:c>
      <x:c r="D359" s="24" t="n">
        <x:v>66.56216675437325</x:v>
      </x:c>
      <x:c r="E359" s="24" t="n">
        <x:v>66.14326194586326</x:v>
      </x:c>
      <x:c r="F359" s="24" t="n">
        <x:v>89.37238575170201</x:v>
      </x:c>
      <x:c r="G359" s="24"/>
      <x:c r="H359" s="24" t="n">
        <x:v>73.082262745371</x:v>
      </x:c>
      <x:c r="I359" s="24" t="n">
        <x:v>79.56645429372429</x:v>
      </x:c>
      <x:c r="J359" s="24"/>
      <x:c r="K359" s="24"/>
      <x:c r="L359" s="24" t="n">
        <x:v>65.07970934792382</x:v>
      </x:c>
      <x:c r="M359" s="24" t="n">
        <x:v>70.37430056957027</x:v>
      </x:c>
      <x:c r="N359" s="24" t="n">
        <x:v>70.63918062682053</x:v>
      </x:c>
      <x:c r="O359" s="24" t="n">
        <x:v>50</x:v>
      </x:c>
      <x:c r="P359" s="24" t="n">
        <x:v>56.08472492195061</x:v>
      </x:c>
      <x:c r="Q359" s="24"/>
      <x:c r="R359" s="24" t="n">
        <x:v>77.48961029629638</x:v>
      </x:c>
      <x:c r="S359" s="24"/>
      <x:c r="T359" s="24"/>
      <x:c r="U359" s="24" t="n">
        <x:v>65.44913867404753</x:v>
      </x:c>
    </x:row>
    <x:row r="360">
      <x:c r="A360" s="24" t="n">
        <x:v>35.800000000000004</x:v>
      </x:c>
      <x:c r="B360" s="24" t="n">
        <x:v>60.50240052928801</x:v>
      </x:c>
      <x:c r="C360" s="24" t="n">
        <x:v>71.47923755233714</x:v>
      </x:c>
      <x:c r="D360" s="24" t="n">
        <x:v>66.84016353348115</x:v>
      </x:c>
      <x:c r="E360" s="24" t="n">
        <x:v>64.06250989575766</x:v>
      </x:c>
      <x:c r="F360" s="24" t="n">
        <x:v>89.37238575170109</x:v>
      </x:c>
      <x:c r="G360" s="24"/>
      <x:c r="H360" s="24" t="n">
        <x:v>72.87627309405664</x:v>
      </x:c>
      <x:c r="I360" s="24" t="n">
        <x:v>70.35829882689983</x:v>
      </x:c>
      <x:c r="J360" s="24"/>
      <x:c r="K360" s="24"/>
      <x:c r="L360" s="24" t="n">
        <x:v>64.12705208131533</x:v>
      </x:c>
      <x:c r="M360" s="24" t="n">
        <x:v>70.37430056957027</x:v>
      </x:c>
      <x:c r="N360" s="24" t="n">
        <x:v>70.63918062682053</x:v>
      </x:c>
      <x:c r="O360" s="24" t="n">
        <x:v>50</x:v>
      </x:c>
      <x:c r="P360" s="24" t="n">
        <x:v>64.16725477874014</x:v>
      </x:c>
      <x:c r="Q360" s="24"/>
      <x:c r="R360" s="24" t="n">
        <x:v>72.571102821772</x:v>
      </x:c>
      <x:c r="S360" s="24"/>
      <x:c r="T360" s="24"/>
      <x:c r="U360" s="24" t="n">
        <x:v>65.44913867404753</x:v>
      </x:c>
    </x:row>
    <x:row r="361">
      <x:c r="A361" s="24" t="n">
        <x:v>35.9</x:v>
      </x:c>
      <x:c r="B361" s="24" t="n">
        <x:v>61.67602283984031</x:v>
      </x:c>
      <x:c r="C361" s="24" t="n">
        <x:v>71.67263875035695</x:v>
      </x:c>
      <x:c r="D361" s="24" t="n">
        <x:v>67.14334890154566</x:v>
      </x:c>
      <x:c r="E361" s="24" t="n">
        <x:v>73.56293254327326</x:v>
      </x:c>
      <x:c r="F361" s="24" t="n">
        <x:v>76.43914008608142</x:v>
      </x:c>
      <x:c r="G361" s="24"/>
      <x:c r="H361" s="24" t="n">
        <x:v>73.05392039383264</x:v>
      </x:c>
      <x:c r="I361" s="24" t="n">
        <x:v>61.07402990594369</x:v>
      </x:c>
      <x:c r="J361" s="24"/>
      <x:c r="K361" s="24"/>
      <x:c r="L361" s="24" t="n">
        <x:v>69.18990976826076</x:v>
      </x:c>
      <x:c r="M361" s="24" t="n">
        <x:v>70.05765482939071</x:v>
      </x:c>
      <x:c r="N361" s="24" t="n">
        <x:v>69.37843553751593</x:v>
      </x:c>
      <x:c r="O361" s="24" t="n">
        <x:v>50</x:v>
      </x:c>
      <x:c r="P361" s="24" t="n">
        <x:v>64.16725477874014</x:v>
      </x:c>
      <x:c r="Q361" s="24"/>
      <x:c r="R361" s="24" t="n">
        <x:v>68.93838174092646</x:v>
      </x:c>
      <x:c r="S361" s="24"/>
      <x:c r="T361" s="24"/>
      <x:c r="U361" s="24" t="n">
        <x:v>77.35667222210054</x:v>
      </x:c>
    </x:row>
    <x:row r="362">
      <x:c r="A362" s="24" t="n">
        <x:v>36</x:v>
      </x:c>
      <x:c r="B362" s="24" t="n">
        <x:v>62.84964515039269</x:v>
      </x:c>
      <x:c r="C362" s="24" t="n">
        <x:v>71.67263875035695</x:v>
      </x:c>
      <x:c r="D362" s="24" t="n">
        <x:v>66.171290484119</x:v>
      </x:c>
      <x:c r="E362" s="24" t="n">
        <x:v>74.42162564148177</x:v>
      </x:c>
      <x:c r="F362" s="24" t="n">
        <x:v>74.20845754653973</x:v>
      </x:c>
      <x:c r="G362" s="24"/>
      <x:c r="H362" s="24" t="n">
        <x:v>73.68871614214447</x:v>
      </x:c>
      <x:c r="I362" s="24" t="n">
        <x:v>45.56881161460947</x:v>
      </x:c>
      <x:c r="J362" s="24"/>
      <x:c r="K362" s="24"/>
      <x:c r="L362" s="24" t="n">
        <x:v>80.36438091055042</x:v>
      </x:c>
      <x:c r="M362" s="24" t="n">
        <x:v>71.47503799932632</x:v>
      </x:c>
      <x:c r="N362" s="24" t="n">
        <x:v>80.22770419621723</x:v>
      </x:c>
      <x:c r="O362" s="24" t="n">
        <x:v>50</x:v>
      </x:c>
      <x:c r="P362" s="24" t="n">
        <x:v>62.91564275765546</x:v>
      </x:c>
      <x:c r="Q362" s="24"/>
      <x:c r="R362" s="24" t="n">
        <x:v>69.99902953118124</x:v>
      </x:c>
      <x:c r="S362" s="24"/>
      <x:c r="T362" s="24"/>
      <x:c r="U362" s="24" t="n">
        <x:v>78.70789861165022</x:v>
      </x:c>
    </x:row>
    <x:row r="363">
      <x:c r="A363" s="24" t="n">
        <x:v>36.1</x:v>
      </x:c>
      <x:c r="B363" s="24" t="n">
        <x:v>64.02326746094508</x:v>
      </x:c>
      <x:c r="C363" s="24" t="n">
        <x:v>70.65039677692091</x:v>
      </x:c>
      <x:c r="D363" s="24" t="n">
        <x:v>66.71580820031417</x:v>
      </x:c>
      <x:c r="E363" s="24" t="n">
        <x:v>74.13252917362216</x:v>
      </x:c>
      <x:c r="F363" s="24" t="n">
        <x:v>73.61154689451769</x:v>
      </x:c>
      <x:c r="G363" s="24"/>
      <x:c r="H363" s="24" t="n">
        <x:v>73.68871614214447</x:v>
      </x:c>
      <x:c r="I363" s="24" t="n">
        <x:v>62.846366124006664</x:v>
      </x:c>
      <x:c r="J363" s="24"/>
      <x:c r="K363" s="24"/>
      <x:c r="L363" s="24" t="n">
        <x:v>80.36438091055042</x:v>
      </x:c>
      <x:c r="M363" s="24" t="n">
        <x:v>71.77072625061011</x:v>
      </x:c>
      <x:c r="N363" s="24" t="n">
        <x:v>80.22770419621723</x:v>
      </x:c>
      <x:c r="O363" s="24" t="n">
        <x:v>78.65037469166978</x:v>
      </x:c>
      <x:c r="P363" s="24" t="n">
        <x:v>62.91564275765546</x:v>
      </x:c>
      <x:c r="Q363" s="24"/>
      <x:c r="R363" s="24" t="n">
        <x:v>70.37949061343652</x:v>
      </x:c>
      <x:c r="S363" s="24"/>
      <x:c r="T363" s="24"/>
      <x:c r="U363" s="24" t="n">
        <x:v>78.70789861165022</x:v>
      </x:c>
    </x:row>
    <x:row r="364">
      <x:c r="A364" s="24" t="n">
        <x:v>36.2</x:v>
      </x:c>
      <x:c r="B364" s="24" t="n">
        <x:v>61.921594798364325</x:v>
      </x:c>
      <x:c r="C364" s="24" t="n">
        <x:v>76.31752974179534</x:v>
      </x:c>
      <x:c r="D364" s="24" t="n">
        <x:v>67.07762634270671</x:v>
      </x:c>
      <x:c r="E364" s="24" t="n">
        <x:v>62.38945536808815</x:v>
      </x:c>
      <x:c r="F364" s="24" t="n">
        <x:v>69.21675687728123</x:v>
      </x:c>
      <x:c r="G364" s="24"/>
      <x:c r="H364" s="24" t="n">
        <x:v>73.57898555070831</x:v>
      </x:c>
      <x:c r="I364" s="24" t="n">
        <x:v>62.846366124006664</x:v>
      </x:c>
      <x:c r="J364" s="24"/>
      <x:c r="K364" s="24"/>
      <x:c r="L364" s="24" t="n">
        <x:v>73.91851563864499</x:v>
      </x:c>
      <x:c r="M364" s="24" t="n">
        <x:v>71.02075674956777</x:v>
      </x:c>
      <x:c r="N364" s="24" t="n">
        <x:v>74.24445702593711</x:v>
      </x:c>
      <x:c r="O364" s="24" t="n">
        <x:v>78.65037469166978</x:v>
      </x:c>
      <x:c r="P364" s="24" t="n">
        <x:v>61.7086658727734</x:v>
      </x:c>
      <x:c r="Q364" s="24"/>
      <x:c r="R364" s="24" t="n">
        <x:v>70.84977674395759</x:v>
      </x:c>
      <x:c r="S364" s="24"/>
      <x:c r="T364" s="24"/>
      <x:c r="U364" s="24" t="n">
        <x:v>69.21794824611437</x:v>
      </x:c>
    </x:row>
    <x:row r="365">
      <x:c r="A365" s="24" t="n">
        <x:v>36.300000000000004</x:v>
      </x:c>
      <x:c r="B365" s="24" t="n">
        <x:v>52.36474938697107</x:v>
      </x:c>
      <x:c r="C365" s="24" t="n">
        <x:v>76.31752974179534</x:v>
      </x:c>
      <x:c r="D365" s="24" t="n">
        <x:v>67.32260262305682</x:v>
      </x:c>
      <x:c r="E365" s="24" t="n">
        <x:v>64.5429065911716</x:v>
      </x:c>
      <x:c r="F365" s="24" t="n">
        <x:v>67.67548595081252</x:v>
      </x:c>
      <x:c r="G365" s="24"/>
      <x:c r="H365" s="24" t="n">
        <x:v>73.57898555070831</x:v>
      </x:c>
      <x:c r="I365" s="24" t="n">
        <x:v>58.05037979403802</x:v>
      </x:c>
      <x:c r="J365" s="24"/>
      <x:c r="K365" s="24"/>
      <x:c r="L365" s="24" t="n">
        <x:v>62.98380088439925</x:v>
      </x:c>
      <x:c r="M365" s="24" t="n">
        <x:v>70.95574314723133</x:v>
      </x:c>
      <x:c r="N365" s="24" t="n">
        <x:v>64.29414777758345</x:v>
      </x:c>
      <x:c r="O365" s="24" t="n">
        <x:v>76.68167069058376</x:v>
      </x:c>
      <x:c r="P365" s="24" t="n">
        <x:v>63.27316876173485</x:v>
      </x:c>
      <x:c r="Q365" s="24"/>
      <x:c r="R365" s="24" t="n">
        <x:v>70.84977674395759</x:v>
      </x:c>
      <x:c r="S365" s="24"/>
      <x:c r="T365" s="24"/>
      <x:c r="U365" s="24" t="n">
        <x:v>60.29781294525847</x:v>
      </x:c>
    </x:row>
    <x:row r="366">
      <x:c r="A366" s="24" t="n">
        <x:v>36.4</x:v>
      </x:c>
      <x:c r="B366" s="24" t="n">
        <x:v>59.52989791256238</x:v>
      </x:c>
      <x:c r="C366" s="24" t="n">
        <x:v>68.30042870341808</x:v>
      </x:c>
      <x:c r="D366" s="24" t="n">
        <x:v>67.09746662205016</x:v>
      </x:c>
      <x:c r="E366" s="24" t="n">
        <x:v>66.58775005646929</x:v>
      </x:c>
      <x:c r="F366" s="24" t="n">
        <x:v>67.67548595081252</x:v>
      </x:c>
      <x:c r="G366" s="24"/>
      <x:c r="H366" s="24" t="n">
        <x:v>72.09323306011375</x:v>
      </x:c>
      <x:c r="I366" s="24" t="n">
        <x:v>70.9181700741202</x:v>
      </x:c>
      <x:c r="J366" s="24"/>
      <x:c r="K366" s="24"/>
      <x:c r="L366" s="24" t="n">
        <x:v>50</x:v>
      </x:c>
      <x:c r="M366" s="24" t="n">
        <x:v>70.67416695670828</x:v>
      </x:c>
      <x:c r="N366" s="24" t="n">
        <x:v>50</x:v>
      </x:c>
      <x:c r="O366" s="24" t="n">
        <x:v>73.09460396571086</x:v>
      </x:c>
      <x:c r="P366" s="24" t="n">
        <x:v>63.27316876173485</x:v>
      </x:c>
      <x:c r="Q366" s="24"/>
      <x:c r="R366" s="24" t="n">
        <x:v>81.50701222137673</x:v>
      </x:c>
      <x:c r="S366" s="24"/>
      <x:c r="T366" s="24"/>
      <x:c r="U366" s="24" t="n">
        <x:v>60.29781294525847</x:v>
      </x:c>
    </x:row>
    <x:row r="367">
      <x:c r="A367" s="24" t="n">
        <x:v>36.5</x:v>
      </x:c>
      <x:c r="B367" s="24" t="n">
        <x:v>66.69504643815421</x:v>
      </x:c>
      <x:c r="C367" s="24" t="n">
        <x:v>63.07889428381363</x:v>
      </x:c>
      <x:c r="D367" s="24" t="n">
        <x:v>67.46590190319762</x:v>
      </x:c>
      <x:c r="E367" s="24" t="n">
        <x:v>66.58775005646929</x:v>
      </x:c>
      <x:c r="F367" s="24" t="n">
        <x:v>62.735481181281926</x:v>
      </x:c>
      <x:c r="G367" s="24"/>
      <x:c r="H367" s="24" t="n">
        <x:v>71.20513115897414</x:v>
      </x:c>
      <x:c r="I367" s="24" t="n">
        <x:v>70.9181700741202</x:v>
      </x:c>
      <x:c r="J367" s="24"/>
      <x:c r="K367" s="24"/>
      <x:c r="L367" s="24" t="n">
        <x:v>50</x:v>
      </x:c>
      <x:c r="M367" s="24" t="n">
        <x:v>71.14682830423827</x:v>
      </x:c>
      <x:c r="N367" s="24" t="n">
        <x:v>50</x:v>
      </x:c>
      <x:c r="O367" s="24" t="n">
        <x:v>69.3993125834576</x:v>
      </x:c>
      <x:c r="P367" s="24" t="n">
        <x:v>60.41557710179133</x:v>
      </x:c>
      <x:c r="Q367" s="24"/>
      <x:c r="R367" s="24" t="n">
        <x:v>81.50701222137673</x:v>
      </x:c>
      <x:c r="S367" s="24"/>
      <x:c r="T367" s="24"/>
      <x:c r="U367" s="24" t="n">
        <x:v>62.32723991792956</x:v>
      </x:c>
    </x:row>
    <x:row r="368">
      <x:c r="A368" s="24" t="n">
        <x:v>36.6</x:v>
      </x:c>
      <x:c r="B368" s="24" t="n">
        <x:v>73.86019496374603</x:v>
      </x:c>
      <x:c r="C368" s="24" t="n">
        <x:v>64.9695867035999</x:v>
      </x:c>
      <x:c r="D368" s="24" t="n">
        <x:v>67.87610074274173</x:v>
      </x:c>
      <x:c r="E368" s="24" t="n">
        <x:v>68.29253675935304</x:v>
      </x:c>
      <x:c r="F368" s="24" t="n">
        <x:v>52.62734679463941</x:v>
      </x:c>
      <x:c r="G368" s="24"/>
      <x:c r="H368" s="24" t="n">
        <x:v>67.21524011368903</x:v>
      </x:c>
      <x:c r="I368" s="24" t="n">
        <x:v>65.04396579904332</x:v>
      </x:c>
      <x:c r="J368" s="24"/>
      <x:c r="K368" s="24"/>
      <x:c r="L368" s="24" t="n">
        <x:v>50</x:v>
      </x:c>
      <x:c r="M368" s="24" t="n">
        <x:v>71.14682830423827</x:v>
      </x:c>
      <x:c r="N368" s="24" t="n">
        <x:v>57.49070859274282</x:v>
      </x:c>
      <x:c r="O368" s="24" t="n">
        <x:v>64.80904601463948</x:v>
      </x:c>
      <x:c r="P368" s="24" t="n">
        <x:v>59.69192172925216</x:v>
      </x:c>
      <x:c r="Q368" s="24"/>
      <x:c r="R368" s="24" t="n">
        <x:v>80.82822669646941</x:v>
      </x:c>
      <x:c r="S368" s="24"/>
      <x:c r="T368" s="24"/>
      <x:c r="U368" s="24" t="n">
        <x:v>62.32723991792956</x:v>
      </x:c>
    </x:row>
    <x:row r="369">
      <x:c r="A369" s="24" t="n">
        <x:v>36.7</x:v>
      </x:c>
      <x:c r="B369" s="24" t="n">
        <x:v>75.29322466886408</x:v>
      </x:c>
      <x:c r="C369" s="24" t="n">
        <x:v>64.9695867035999</x:v>
      </x:c>
      <x:c r="D369" s="24" t="n">
        <x:v>68.64620576769639</x:v>
      </x:c>
      <x:c r="E369" s="24" t="n">
        <x:v>68.52824902297799</x:v>
      </x:c>
      <x:c r="F369" s="24" t="n">
        <x:v>72.07220766549088</x:v>
      </x:c>
      <x:c r="G369" s="24"/>
      <x:c r="H369" s="24" t="n">
        <x:v>74.64139546283427</x:v>
      </x:c>
      <x:c r="I369" s="24" t="n">
        <x:v>61.94520832969468</x:v>
      </x:c>
      <x:c r="J369" s="24"/>
      <x:c r="K369" s="24"/>
      <x:c r="L369" s="24" t="n">
        <x:v>52.2617246187913</x:v>
      </x:c>
      <x:c r="M369" s="24" t="n">
        <x:v>80.77265931377413</x:v>
      </x:c>
      <x:c r="N369" s="24" t="n">
        <x:v>75.13951859231491</x:v>
      </x:c>
      <x:c r="O369" s="24" t="n">
        <x:v>64.02690945874491</x:v>
      </x:c>
      <x:c r="P369" s="24" t="n">
        <x:v>59.575894611939624</x:v>
      </x:c>
      <x:c r="Q369" s="24"/>
      <x:c r="R369" s="24" t="n">
        <x:v>74.41435807838174</x:v>
      </x:c>
      <x:c r="S369" s="24"/>
      <x:c r="T369" s="24"/>
      <x:c r="U369" s="24" t="n">
        <x:v>60.33613580724784</x:v>
      </x:c>
    </x:row>
    <x:row r="370">
      <x:c r="A370" s="24" t="n">
        <x:v>36.800000000000004</x:v>
      </x:c>
      <x:c r="B370" s="24" t="n">
        <x:v>74.79909326783866</x:v>
      </x:c>
      <x:c r="C370" s="24" t="n">
        <x:v>51.595284178115094</x:v>
      </x:c>
      <x:c r="D370" s="24" t="n">
        <x:v>68.64620576769639</x:v>
      </x:c>
      <x:c r="E370" s="24" t="n">
        <x:v>69.48952960763829</x:v>
      </x:c>
      <x:c r="F370" s="24" t="n">
        <x:v>72.07220766549088</x:v>
      </x:c>
      <x:c r="G370" s="24"/>
      <x:c r="H370" s="24" t="n">
        <x:v>79.0213143577641</x:v>
      </x:c>
      <x:c r="I370" s="24" t="n">
        <x:v>67.34602252807687</x:v>
      </x:c>
      <x:c r="J370" s="24"/>
      <x:c r="K370" s="24"/>
      <x:c r="L370" s="24" t="n">
        <x:v>57.91603616576875</x:v>
      </x:c>
      <x:c r="M370" s="24" t="n">
        <x:v>80.77265931377413</x:v>
      </x:c>
      <x:c r="N370" s="24" t="n">
        <x:v>76.39107868053746</x:v>
      </x:c>
      <x:c r="O370" s="24" t="n">
        <x:v>64.02690945874491</x:v>
      </x:c>
      <x:c r="P370" s="24"/>
      <x:c r="Q370" s="24"/>
      <x:c r="R370" s="24" t="n">
        <x:v>68.60259403072871</x:v>
      </x:c>
      <x:c r="S370" s="24"/>
      <x:c r="T370" s="24"/>
      <x:c r="U370" s="24" t="n">
        <x:v>60.17122072799297</x:v>
      </x:c>
    </x:row>
    <x:row r="371">
      <x:c r="A371" s="24" t="n">
        <x:v>36.9</x:v>
      </x:c>
      <x:c r="B371" s="24" t="n">
        <x:v>70.51133311030961</x:v>
      </x:c>
      <x:c r="C371" s="24" t="n">
        <x:v>55.239169969735734</x:v>
      </x:c>
      <x:c r="D371" s="24" t="n">
        <x:v>66.7057451264856</x:v>
      </x:c>
      <x:c r="E371" s="24" t="n">
        <x:v>69.48952960763829</x:v>
      </x:c>
      <x:c r="F371" s="24" t="n">
        <x:v>67.11791753252382</x:v>
      </x:c>
      <x:c r="G371" s="24"/>
      <x:c r="H371" s="24" t="n">
        <x:v>79.0213143577641</x:v>
      </x:c>
      <x:c r="I371" s="24" t="n">
        <x:v>67.36088204100152</x:v>
      </x:c>
      <x:c r="J371" s="24"/>
      <x:c r="K371" s="24"/>
      <x:c r="L371" s="24" t="n">
        <x:v>80.48189299643904</x:v>
      </x:c>
      <x:c r="M371" s="24" t="n">
        <x:v>76.51873849463239</x:v>
      </x:c>
      <x:c r="N371" s="24" t="n">
        <x:v>76.39107868053746</x:v>
      </x:c>
      <x:c r="O371" s="24" t="n">
        <x:v>63.88914130784076</x:v>
      </x:c>
      <x:c r="P371" s="24"/>
      <x:c r="Q371" s="24"/>
      <x:c r="R371" s="24" t="n">
        <x:v>61.811140311730114</x:v>
      </x:c>
      <x:c r="S371" s="24"/>
      <x:c r="T371" s="24"/>
      <x:c r="U371" s="24" t="n">
        <x:v>67.13987726265128</x:v>
      </x:c>
    </x:row>
    <x:row r="372">
      <x:c r="A372" s="24" t="n">
        <x:v>37</x:v>
      </x:c>
      <x:c r="B372" s="24" t="n">
        <x:v>64.76168758535484</x:v>
      </x:c>
      <x:c r="C372" s="24" t="n">
        <x:v>64.34888444878766</x:v>
      </x:c>
      <x:c r="D372" s="24" t="n">
        <x:v>63.163320507767125</x:v>
      </x:c>
      <x:c r="E372" s="24" t="n">
        <x:v>69.41507357182178</x:v>
      </x:c>
      <x:c r="F372" s="24" t="n">
        <x:v>52.62734679463941</x:v>
      </x:c>
      <x:c r="G372" s="24"/>
      <x:c r="H372" s="24" t="n">
        <x:v>68.8995656350467</x:v>
      </x:c>
      <x:c r="I372" s="24" t="n">
        <x:v>67.36088204100152</x:v>
      </x:c>
      <x:c r="J372" s="24"/>
      <x:c r="K372" s="24"/>
      <x:c r="L372" s="24" t="n">
        <x:v>81.30339378138953</x:v>
      </x:c>
      <x:c r="M372" s="24" t="n">
        <x:v>60.849104574772</x:v>
      </x:c>
      <x:c r="N372" s="24" t="n">
        <x:v>73.02502540410076</x:v>
      </x:c>
      <x:c r="O372" s="24" t="n">
        <x:v>66.62093436908629</x:v>
      </x:c>
      <x:c r="P372" s="24"/>
      <x:c r="Q372" s="24"/>
      <x:c r="R372" s="24" t="n">
        <x:v>59.72777184372448</x:v>
      </x:c>
      <x:c r="S372" s="24"/>
      <x:c r="T372" s="24"/>
      <x:c r="U372" s="24" t="n">
        <x:v>76.87767700212359</x:v>
      </x:c>
    </x:row>
    <x:row r="373">
      <x:c r="A373" s="24" t="n">
        <x:v>37.1</x:v>
      </x:c>
      <x:c r="B373" s="24" t="n">
        <x:v>65.03637633171395</x:v>
      </x:c>
      <x:c r="C373" s="24" t="n">
        <x:v>64.34888444878766</x:v>
      </x:c>
      <x:c r="D373" s="24" t="n">
        <x:v>79.40142898811389</x:v>
      </x:c>
      <x:c r="E373" s="24" t="n">
        <x:v>69.22277940511104</x:v>
      </x:c>
      <x:c r="F373" s="24" t="n">
        <x:v>52.62734679463941</x:v>
      </x:c>
      <x:c r="G373" s="24"/>
      <x:c r="H373" s="24" t="n">
        <x:v>59.75426430408639</x:v>
      </x:c>
      <x:c r="I373" s="24" t="n">
        <x:v>67.00299331834697</x:v>
      </x:c>
      <x:c r="J373" s="24"/>
      <x:c r="K373" s="24"/>
      <x:c r="L373" s="24" t="n">
        <x:v>81.30339378138953</x:v>
      </x:c>
      <x:c r="M373" s="24" t="n">
        <x:v>50</x:v>
      </x:c>
      <x:c r="N373" s="24" t="n">
        <x:v>72.34995964188906</x:v>
      </x:c>
      <x:c r="O373" s="24" t="n">
        <x:v>69.79747070533686</x:v>
      </x:c>
      <x:c r="P373" s="24"/>
      <x:c r="Q373" s="24"/>
      <x:c r="R373" s="24" t="n">
        <x:v>59.332552751407505</x:v>
      </x:c>
      <x:c r="S373" s="24"/>
      <x:c r="T373" s="24"/>
      <x:c r="U373" s="24" t="n">
        <x:v>78.0250178938513</x:v>
      </x:c>
    </x:row>
    <x:row r="374">
      <x:c r="A374" s="24" t="n">
        <x:v>37.2</x:v>
      </x:c>
      <x:c r="B374" s="24" t="n">
        <x:v>66.45857218581662</x:v>
      </x:c>
      <x:c r="C374" s="24" t="n">
        <x:v>62.262584592162334</x:v>
      </x:c>
      <x:c r="D374" s="24" t="n">
        <x:v>80.72663576189068</x:v>
      </x:c>
      <x:c r="E374" s="24" t="n">
        <x:v>69.8047088140566</x:v>
      </x:c>
      <x:c r="F374" s="24" t="n">
        <x:v>67.18995771901281</x:v>
      </x:c>
      <x:c r="G374" s="24"/>
      <x:c r="H374" s="24" t="n">
        <x:v>61.97423372156136</x:v>
      </x:c>
      <x:c r="I374" s="24" t="n">
        <x:v>67.48930376003143</x:v>
      </x:c>
      <x:c r="J374" s="24"/>
      <x:c r="K374" s="24"/>
      <x:c r="L374" s="24" t="n">
        <x:v>74.04557009232646</x:v>
      </x:c>
      <x:c r="M374" s="24" t="n">
        <x:v>50</x:v>
      </x:c>
      <x:c r="N374" s="24" t="n">
        <x:v>69.53732748266533</x:v>
      </x:c>
      <x:c r="O374" s="24" t="n">
        <x:v>78.92810661545104</x:v>
      </x:c>
      <x:c r="P374" s="24"/>
      <x:c r="Q374" s="24"/>
      <x:c r="R374" s="24" t="n">
        <x:v>61.339751048689855</x:v>
      </x:c>
      <x:c r="S374" s="24"/>
      <x:c r="T374" s="24"/>
      <x:c r="U374" s="24" t="n">
        <x:v>77.45362027562355</x:v>
      </x:c>
    </x:row>
    <x:row r="375">
      <x:c r="A375" s="24" t="n">
        <x:v>37.300000000000004</x:v>
      </x:c>
      <x:c r="B375" s="24" t="n">
        <x:v>67.21393331053662</x:v>
      </x:c>
      <x:c r="C375" s="24" t="n">
        <x:v>51.595284178115094</x:v>
      </x:c>
      <x:c r="D375" s="24" t="n">
        <x:v>80.72663576188975</x:v>
      </x:c>
      <x:c r="E375" s="24" t="n">
        <x:v>69.8047088140566</x:v>
      </x:c>
      <x:c r="F375" s="24" t="n">
        <x:v>68.03525022629896</x:v>
      </x:c>
      <x:c r="G375" s="24"/>
      <x:c r="H375" s="24" t="n">
        <x:v>64.19420313903633</x:v>
      </x:c>
      <x:c r="I375" s="24" t="n">
        <x:v>68.31158822761228</x:v>
      </x:c>
      <x:c r="J375" s="24"/>
      <x:c r="K375" s="24"/>
      <x:c r="L375" s="24" t="n">
        <x:v>72.62945767895636</x:v>
      </x:c>
      <x:c r="M375" s="24" t="n">
        <x:v>50</x:v>
      </x:c>
      <x:c r="N375" s="24" t="n">
        <x:v>69.5373274826652</x:v>
      </x:c>
      <x:c r="O375" s="24" t="n">
        <x:v>78.92810661545104</x:v>
      </x:c>
      <x:c r="P375" s="24"/>
      <x:c r="Q375" s="24"/>
      <x:c r="R375" s="24" t="n">
        <x:v>63.089856240109036</x:v>
      </x:c>
      <x:c r="S375" s="24"/>
      <x:c r="T375" s="24"/>
      <x:c r="U375" s="24" t="n">
        <x:v>69.29039861205929</x:v>
      </x:c>
    </x:row>
    <x:row r="376">
      <x:c r="A376" s="24" t="n">
        <x:v>37.4</x:v>
      </x:c>
      <x:c r="B376" s="24" t="n">
        <x:v>66.57553019257303</x:v>
      </x:c>
      <x:c r="C376" s="24" t="n">
        <x:v>76.17908768021655</x:v>
      </x:c>
      <x:c r="D376" s="24" t="n">
        <x:v>70.11421682098113</x:v>
      </x:c>
      <x:c r="E376" s="24" t="n">
        <x:v>70.70480135907529</x:v>
      </x:c>
      <x:c r="F376" s="24" t="n">
        <x:v>68.03525022629896</x:v>
      </x:c>
      <x:c r="G376" s="24"/>
      <x:c r="H376" s="24" t="n">
        <x:v>66.41417255651115</x:v>
      </x:c>
      <x:c r="I376" s="24" t="n">
        <x:v>69.20882251915545</x:v>
      </x:c>
      <x:c r="J376" s="24"/>
      <x:c r="K376" s="24"/>
      <x:c r="L376" s="24" t="n">
        <x:v>69.79811578905804</x:v>
      </x:c>
      <x:c r="M376" s="24" t="n">
        <x:v>50</x:v>
      </x:c>
      <x:c r="N376" s="24" t="n">
        <x:v>69.18579967812009</x:v>
      </x:c>
      <x:c r="O376" s="24" t="n">
        <x:v>72.58817454337807</x:v>
      </x:c>
      <x:c r="P376" s="24"/>
      <x:c r="Q376" s="24"/>
      <x:c r="R376" s="24" t="n">
        <x:v>66.42194936569794</x:v>
      </x:c>
      <x:c r="S376" s="24"/>
      <x:c r="T376" s="24"/>
      <x:c r="U376" s="24" t="n">
        <x:v>66.39241683648311</x:v>
      </x:c>
    </x:row>
    <x:row r="377">
      <x:c r="A377" s="24" t="n">
        <x:v>37.5</x:v>
      </x:c>
      <x:c r="B377" s="24" t="n">
        <x:v>64.4817724172998</x:v>
      </x:c>
      <x:c r="C377" s="24" t="n">
        <x:v>77.46032186432353</x:v>
      </x:c>
      <x:c r="D377" s="24" t="n">
        <x:v>59.870135373438146</x:v>
      </x:c>
      <x:c r="E377" s="24" t="n">
        <x:v>76.33391769432507</x:v>
      </x:c>
      <x:c r="F377" s="24" t="n">
        <x:v>65.6026359995649</x:v>
      </x:c>
      <x:c r="G377" s="24"/>
      <x:c r="H377" s="24" t="n">
        <x:v>67.74615420699617</x:v>
      </x:c>
      <x:c r="I377" s="24" t="n">
        <x:v>69.20882251915545</x:v>
      </x:c>
      <x:c r="J377" s="24"/>
      <x:c r="K377" s="24"/>
      <x:c r="L377" s="24" t="n">
        <x:v>67.85368856627345</x:v>
      </x:c>
      <x:c r="M377" s="24" t="n">
        <x:v>77.00547491877921</x:v>
      </x:c>
      <x:c r="N377" s="24" t="n">
        <x:v>70.26009062438814</x:v>
      </x:c>
      <x:c r="O377" s="24" t="n">
        <x:v>64.30250589682367</x:v>
      </x:c>
      <x:c r="P377" s="24"/>
      <x:c r="Q377" s="24"/>
      <x:c r="R377" s="24" t="n">
        <x:v>74.06170935512549</x:v>
      </x:c>
      <x:c r="S377" s="24"/>
      <x:c r="T377" s="24"/>
      <x:c r="U377" s="24" t="n">
        <x:v>65.59113648643564</x:v>
      </x:c>
    </x:row>
    <x:row r="378">
      <x:c r="A378" s="24" t="n">
        <x:v>37.6</x:v>
      </x:c>
      <x:c r="B378" s="24" t="n">
        <x:v>64.4817724172998</x:v>
      </x:c>
      <x:c r="C378" s="24" t="n">
        <x:v>77.04177614775162</x:v>
      </x:c>
      <x:c r="D378" s="24" t="n">
        <x:v>56.319752738385404</x:v>
      </x:c>
      <x:c r="E378" s="24" t="n">
        <x:v>76.33391769432507</x:v>
      </x:c>
      <x:c r="F378" s="24" t="n">
        <x:v>68.69582528966328</x:v>
      </x:c>
      <x:c r="G378" s="24"/>
      <x:c r="H378" s="24" t="n">
        <x:v>71.52716451517568</x:v>
      </x:c>
      <x:c r="I378" s="24" t="n">
        <x:v>75.50410953780613</x:v>
      </x:c>
      <x:c r="J378" s="24"/>
      <x:c r="K378" s="24"/>
      <x:c r="L378" s="24" t="n">
        <x:v>68.5798933219801</x:v>
      </x:c>
      <x:c r="M378" s="24" t="n">
        <x:v>79.20870585847997</x:v>
      </x:c>
      <x:c r="N378" s="24" t="n">
        <x:v>70.2869513500771</x:v>
      </x:c>
      <x:c r="O378" s="24" t="n">
        <x:v>50</x:v>
      </x:c>
      <x:c r="P378" s="24"/>
      <x:c r="Q378" s="24"/>
      <x:c r="R378" s="24" t="n">
        <x:v>79.7795585831251</x:v>
      </x:c>
      <x:c r="S378" s="24"/>
      <x:c r="T378" s="24"/>
      <x:c r="U378" s="24" t="n">
        <x:v>64.99808739976439</x:v>
      </x:c>
    </x:row>
    <x:row r="379">
      <x:c r="A379" s="24" t="n">
        <x:v>37.7</x:v>
      </x:c>
      <x:c r="B379" s="24" t="n">
        <x:v>62.90749090767132</x:v>
      </x:c>
      <x:c r="C379" s="24" t="n">
        <x:v>71.83060520745337</x:v>
      </x:c>
      <x:c r="D379" s="24" t="n">
        <x:v>52.39175843351897</x:v>
      </x:c>
      <x:c r="E379" s="24" t="n">
        <x:v>68.48522516579916</x:v>
      </x:c>
      <x:c r="F379" s="24" t="n">
        <x:v>69.42663546832068</x:v>
      </x:c>
      <x:c r="G379" s="24"/>
      <x:c r="H379" s="24" t="n">
        <x:v>72.27858647041614</x:v>
      </x:c>
      <x:c r="I379" s="24" t="n">
        <x:v>79.72545366286312</x:v>
      </x:c>
      <x:c r="J379" s="24"/>
      <x:c r="K379" s="24"/>
      <x:c r="L379" s="24" t="n">
        <x:v>68.5798933219801</x:v>
      </x:c>
      <x:c r="M379" s="24" t="n">
        <x:v>79.20870585847997</x:v>
      </x:c>
      <x:c r="N379" s="24" t="n">
        <x:v>70.32275404189427</x:v>
      </x:c>
      <x:c r="O379" s="24" t="n">
        <x:v>50</x:v>
      </x:c>
      <x:c r="P379" s="24"/>
      <x:c r="Q379" s="24"/>
      <x:c r="R379" s="24" t="n">
        <x:v>79.7795585831251</x:v>
      </x:c>
      <x:c r="S379" s="24"/>
      <x:c r="T379" s="24"/>
      <x:c r="U379" s="24" t="n">
        <x:v>62.78525910123781</x:v>
      </x:c>
    </x:row>
    <x:row r="380">
      <x:c r="A380" s="24" t="n">
        <x:v>37.800000000000004</x:v>
      </x:c>
      <x:c r="B380" s="24" t="n">
        <x:v>63.756449606623875</x:v>
      </x:c>
      <x:c r="C380" s="24" t="n">
        <x:v>64.72825071642393</x:v>
      </x:c>
      <x:c r="D380" s="24" t="n">
        <x:v>52.39175843351897</x:v>
      </x:c>
      <x:c r="E380" s="24" t="n">
        <x:v>56.99675092399705</x:v>
      </x:c>
      <x:c r="F380" s="24" t="n">
        <x:v>68.76899832396197</x:v>
      </x:c>
      <x:c r="G380" s="24"/>
      <x:c r="H380" s="24" t="n">
        <x:v>71.59060961301793</x:v>
      </x:c>
      <x:c r="I380" s="24" t="n">
        <x:v>79.72545366286312</x:v>
      </x:c>
      <x:c r="J380" s="24"/>
      <x:c r="K380" s="24"/>
      <x:c r="L380" s="24" t="n">
        <x:v>66.50091871725579</x:v>
      </x:c>
      <x:c r="M380" s="24" t="n">
        <x:v>73.70798436525092</x:v>
      </x:c>
      <x:c r="N380" s="24" t="n">
        <x:v>70.32275404189427</x:v>
      </x:c>
      <x:c r="O380" s="24" t="n">
        <x:v>59.94711362461413</x:v>
      </x:c>
      <x:c r="P380" s="24"/>
      <x:c r="Q380" s="24"/>
      <x:c r="R380" s="24" t="n">
        <x:v>74.16105273707029</x:v>
      </x:c>
      <x:c r="S380" s="24"/>
      <x:c r="T380" s="24"/>
      <x:c r="U380" s="24" t="n">
        <x:v>62.78525910123781</x:v>
      </x:c>
    </x:row>
    <x:row r="381">
      <x:c r="A381" s="24" t="n">
        <x:v>37.9</x:v>
      </x:c>
      <x:c r="B381" s="24" t="n">
        <x:v>63.756449606623875</x:v>
      </x:c>
      <x:c r="C381" s="24" t="n">
        <x:v>67.53650193928735</x:v>
      </x:c>
      <x:c r="D381" s="24" t="n">
        <x:v>56.11395731497595</x:v>
      </x:c>
      <x:c r="E381" s="24" t="n">
        <x:v>63.53023289068787</x:v>
      </x:c>
      <x:c r="F381" s="24" t="n">
        <x:v>68.86883004057296</x:v>
      </x:c>
      <x:c r="G381" s="24"/>
      <x:c r="H381" s="24" t="n">
        <x:v>60.648035591655784</x:v>
      </x:c>
      <x:c r="I381" s="24" t="n">
        <x:v>72.63007531324607</x:v>
      </x:c>
      <x:c r="J381" s="24"/>
      <x:c r="K381" s="24"/>
      <x:c r="L381" s="24" t="n">
        <x:v>67.74424730752636</x:v>
      </x:c>
      <x:c r="M381" s="24" t="n">
        <x:v>72.60304038958742</x:v>
      </x:c>
      <x:c r="N381" s="24" t="n">
        <x:v>70.31446639026451</x:v>
      </x:c>
      <x:c r="O381" s="24" t="n">
        <x:v>66.28372902163272</x:v>
      </x:c>
      <x:c r="P381" s="24"/>
      <x:c r="Q381" s="24"/>
      <x:c r="R381" s="24" t="n">
        <x:v>60.08941018662764</x:v>
      </x:c>
      <x:c r="S381" s="24"/>
      <x:c r="T381" s="24"/>
      <x:c r="U381" s="24" t="n">
        <x:v>63.97180292143323</x:v>
      </x:c>
    </x:row>
    <x:row r="382">
      <x:c r="A382" s="24" t="n">
        <x:v>38</x:v>
      </x:c>
      <x:c r="B382" s="24" t="n">
        <x:v>65.95608155429159</x:v>
      </x:c>
      <x:c r="C382" s="24" t="n">
        <x:v>69.72429017851417</x:v>
      </x:c>
      <x:c r="D382" s="24" t="n">
        <x:v>65.03051457904104</x:v>
      </x:c>
      <x:c r="E382" s="24" t="n">
        <x:v>63.53023289068787</x:v>
      </x:c>
      <x:c r="F382" s="24" t="n">
        <x:v>84.74276088006589</x:v>
      </x:c>
      <x:c r="G382" s="24"/>
      <x:c r="H382" s="24" t="n">
        <x:v>67.05321474116357</x:v>
      </x:c>
      <x:c r="I382" s="24" t="n">
        <x:v>63.3148570888458</x:v>
      </x:c>
      <x:c r="J382" s="24"/>
      <x:c r="K382" s="24"/>
      <x:c r="L382" s="24" t="n">
        <x:v>68.46541758768771</x:v>
      </x:c>
      <x:c r="M382" s="24" t="n">
        <x:v>71.15383722348405</x:v>
      </x:c>
      <x:c r="N382" s="24" t="n">
        <x:v>66.31780385112617</x:v>
      </x:c>
      <x:c r="O382" s="24" t="n">
        <x:v>66.28372902163272</x:v>
      </x:c>
      <x:c r="P382" s="24"/>
      <x:c r="Q382" s="24"/>
      <x:c r="R382" s="24" t="n">
        <x:v>50</x:v>
      </x:c>
      <x:c r="S382" s="24"/>
      <x:c r="T382" s="24"/>
      <x:c r="U382" s="24" t="n">
        <x:v>65.21640858751091</x:v>
      </x:c>
    </x:row>
    <x:row r="383">
      <x:c r="A383" s="24" t="n">
        <x:v>38.1</x:v>
      </x:c>
      <x:c r="B383" s="24" t="n">
        <x:v>65.95608155429159</x:v>
      </x:c>
      <x:c r="C383" s="24" t="n">
        <x:v>70.69549516480825</x:v>
      </x:c>
      <x:c r="D383" s="24" t="n">
        <x:v>65.03051457904104</x:v>
      </x:c>
      <x:c r="E383" s="24" t="n">
        <x:v>63.664498757998416</x:v>
      </x:c>
      <x:c r="F383" s="24" t="n">
        <x:v>89.0744143256479</x:v>
      </x:c>
      <x:c r="G383" s="24"/>
      <x:c r="H383" s="24" t="n">
        <x:v>69.88082811477241</x:v>
      </x:c>
      <x:c r="I383" s="24" t="n">
        <x:v>45.56881161460947</x:v>
      </x:c>
      <x:c r="J383" s="24"/>
      <x:c r="K383" s="24"/>
      <x:c r="L383" s="24" t="n">
        <x:v>70.90409611880031</x:v>
      </x:c>
      <x:c r="M383" s="24" t="n">
        <x:v>72.37059612138363</x:v>
      </x:c>
      <x:c r="N383" s="24" t="n">
        <x:v>78.65331645846119</x:v>
      </x:c>
      <x:c r="O383" s="24" t="n">
        <x:v>62.97566893487138</x:v>
      </x:c>
      <x:c r="P383" s="24"/>
      <x:c r="Q383" s="24"/>
      <x:c r="R383" s="24" t="n">
        <x:v>50</x:v>
      </x:c>
      <x:c r="S383" s="24"/>
      <x:c r="T383" s="24"/>
      <x:c r="U383" s="24" t="n">
        <x:v>66.43320077398755</x:v>
      </x:c>
    </x:row>
    <x:row r="384">
      <x:c r="A384" s="24" t="n">
        <x:v>38.2</x:v>
      </x:c>
      <x:c r="B384" s="24" t="n">
        <x:v>62.92705887575435</x:v>
      </x:c>
      <x:c r="C384" s="24" t="n">
        <x:v>70.69549516480825</x:v>
      </x:c>
      <x:c r="D384" s="24" t="n">
        <x:v>65.52915626851414</x:v>
      </x:c>
      <x:c r="E384" s="24" t="n">
        <x:v>63.83233109213661</x:v>
      </x:c>
      <x:c r="F384" s="24" t="n">
        <x:v>89.0744143256479</x:v>
      </x:c>
      <x:c r="G384" s="24"/>
      <x:c r="H384" s="24" t="n">
        <x:v>71.27191291935156</x:v>
      </x:c>
      <x:c r="I384" s="24" t="n">
        <x:v>54.327469777951855</x:v>
      </x:c>
      <x:c r="J384" s="24"/>
      <x:c r="K384" s="24"/>
      <x:c r="L384" s="24" t="n">
        <x:v>70.90409611880031</x:v>
      </x:c>
      <x:c r="M384" s="24" t="n">
        <x:v>72.37059612138363</x:v>
      </x:c>
      <x:c r="N384" s="24" t="n">
        <x:v>78.65331645846119</x:v>
      </x:c>
      <x:c r="O384" s="24" t="n">
        <x:v>63.24626540306538</x:v>
      </x:c>
      <x:c r="P384" s="24"/>
      <x:c r="Q384" s="24"/>
      <x:c r="R384" s="24" t="n">
        <x:v>55.72217026012795</x:v>
      </x:c>
      <x:c r="S384" s="24"/>
      <x:c r="T384" s="24"/>
      <x:c r="U384" s="24" t="n">
        <x:v>73.37042181950423</x:v>
      </x:c>
    </x:row>
    <x:row r="385">
      <x:c r="A385" s="24" t="n">
        <x:v>38.300000000000004</x:v>
      </x:c>
      <x:c r="B385" s="24" t="n">
        <x:v>64.15516871824153</x:v>
      </x:c>
      <x:c r="C385" s="24" t="n">
        <x:v>70.31089365625478</x:v>
      </x:c>
      <x:c r="D385" s="24" t="n">
        <x:v>72.8639887362344</x:v>
      </x:c>
      <x:c r="E385" s="24" t="n">
        <x:v>63.832331092137224</x:v>
      </x:c>
      <x:c r="F385" s="24" t="n">
        <x:v>81.10822328860652</x:v>
      </x:c>
      <x:c r="G385" s="24"/>
      <x:c r="H385" s="24" t="n">
        <x:v>72.14436487928398</x:v>
      </x:c>
      <x:c r="I385" s="24" t="n">
        <x:v>63.0861279412932</x:v>
      </x:c>
      <x:c r="J385" s="24"/>
      <x:c r="K385" s="24"/>
      <x:c r="L385" s="24" t="n">
        <x:v>85.49791811911781</x:v>
      </x:c>
      <x:c r="M385" s="24" t="n">
        <x:v>71.14773366324802</x:v>
      </x:c>
      <x:c r="N385" s="24" t="n">
        <x:v>76.07039441930488</x:v>
      </x:c>
      <x:c r="O385" s="24" t="n">
        <x:v>62.80899490039778</x:v>
      </x:c>
      <x:c r="P385" s="24"/>
      <x:c r="Q385" s="24"/>
      <x:c r="R385" s="24" t="n">
        <x:v>78.79390131905946</x:v>
      </x:c>
      <x:c r="S385" s="24"/>
      <x:c r="T385" s="24"/>
      <x:c r="U385" s="24" t="n">
        <x:v>78.55290578483144</x:v>
      </x:c>
    </x:row>
    <x:row r="386">
      <x:c r="A386" s="24" t="n">
        <x:v>38.400000000000006</x:v>
      </x:c>
      <x:c r="B386" s="24" t="n">
        <x:v>64.81157897149751</x:v>
      </x:c>
      <x:c r="C386" s="24" t="n">
        <x:v>70.31089365625476</x:v>
      </x:c>
      <x:c r="D386" s="24" t="n">
        <x:v>73.55086582457967</x:v>
      </x:c>
      <x:c r="E386" s="24" t="n">
        <x:v>72.48521332759681</x:v>
      </x:c>
      <x:c r="F386" s="24" t="n">
        <x:v>73.79113273050032</x:v>
      </x:c>
      <x:c r="G386" s="24"/>
      <x:c r="H386" s="24" t="n">
        <x:v>72.14436487928432</x:v>
      </x:c>
      <x:c r="I386" s="24" t="n">
        <x:v>63.086127941291295</x:v>
      </x:c>
      <x:c r="J386" s="24"/>
      <x:c r="K386" s="24"/>
      <x:c r="L386" s="24" t="n">
        <x:v>85.49791811911781</x:v>
      </x:c>
      <x:c r="M386" s="24" t="n">
        <x:v>72.30016074655389</x:v>
      </x:c>
      <x:c r="N386" s="24" t="n">
        <x:v>65.40334822591201</x:v>
      </x:c>
      <x:c r="O386" s="24" t="n">
        <x:v>61.92798715654061</x:v>
      </x:c>
      <x:c r="P386" s="24"/>
      <x:c r="Q386" s="24"/>
      <x:c r="R386" s="24" t="n">
        <x:v>79.30756651551341</x:v>
      </x:c>
      <x:c r="S386" s="24"/>
      <x:c r="T386" s="24"/>
      <x:c r="U386" s="24" t="n">
        <x:v>78.55290578483144</x:v>
      </x:c>
    </x:row>
    <x:row r="387">
      <x:c r="A387" s="24" t="n">
        <x:v>38.5</x:v>
      </x:c>
      <x:c r="B387" s="24" t="n">
        <x:v>64.63513316516602</x:v>
      </x:c>
      <x:c r="C387" s="24" t="n">
        <x:v>70.24861340728114</x:v>
      </x:c>
      <x:c r="D387" s="24" t="n">
        <x:v>73.55086582457967</x:v>
      </x:c>
      <x:c r="E387" s="24" t="n">
        <x:v>75.94636622177991</x:v>
      </x:c>
      <x:c r="F387" s="24" t="n">
        <x:v>72.80539158875578</x:v>
      </x:c>
      <x:c r="G387" s="24"/>
      <x:c r="H387" s="24" t="n">
        <x:v>73.12241514782706</x:v>
      </x:c>
      <x:c r="I387" s="24" t="n">
        <x:v>73.84979969358045</x:v>
      </x:c>
      <x:c r="J387" s="24"/>
      <x:c r="K387" s="24"/>
      <x:c r="L387" s="24" t="n">
        <x:v>83.72625643035877</x:v>
      </x:c>
      <x:c r="M387" s="24" t="n">
        <x:v>72.30016074655389</x:v>
      </x:c>
      <x:c r="N387" s="24" t="n">
        <x:v>50</x:v>
      </x:c>
      <x:c r="O387" s="24" t="n">
        <x:v>61.92798715654061</x:v>
      </x:c>
      <x:c r="P387" s="24"/>
      <x:c r="Q387" s="24"/>
      <x:c r="R387" s="24" t="n">
        <x:v>79.00223713190246</x:v>
      </x:c>
      <x:c r="S387" s="24"/>
      <x:c r="T387" s="24"/>
      <x:c r="U387" s="24" t="n">
        <x:v>71.5011583759131</x:v>
      </x:c>
    </x:row>
    <x:row r="388">
      <x:c r="A388" s="24" t="n">
        <x:v>38.6</x:v>
      </x:c>
      <x:c r="B388" s="24" t="n">
        <x:v>86.50825769270548</x:v>
      </x:c>
      <x:c r="C388" s="24" t="n">
        <x:v>70.49218781204067</x:v>
      </x:c>
      <x:c r="D388" s="24" t="n">
        <x:v>67.65249136712139</x:v>
      </x:c>
      <x:c r="E388" s="24" t="n">
        <x:v>75.94636622177991</x:v>
      </x:c>
      <x:c r="F388" s="24" t="n">
        <x:v>70.94521174658519</x:v>
      </x:c>
      <x:c r="G388" s="24"/>
      <x:c r="H388" s="24" t="n">
        <x:v>72.97904514718589</x:v>
      </x:c>
      <x:c r="I388" s="24" t="n">
        <x:v>73.84979969358045</x:v>
      </x:c>
      <x:c r="J388" s="24"/>
      <x:c r="K388" s="24"/>
      <x:c r="L388" s="24" t="n">
        <x:v>74.65234861845809</x:v>
      </x:c>
      <x:c r="M388" s="24" t="n">
        <x:v>71.5468397889067</x:v>
      </x:c>
      <x:c r="N388" s="24" t="n">
        <x:v>50</x:v>
      </x:c>
      <x:c r="O388" s="24" t="n">
        <x:v>63.42690729476803</x:v>
      </x:c>
      <x:c r="P388" s="24"/>
      <x:c r="Q388" s="24"/>
      <x:c r="R388" s="24" t="n">
        <x:v>69.72808945045497</x:v>
      </x:c>
      <x:c r="S388" s="24"/>
      <x:c r="T388" s="24"/>
      <x:c r="U388" s="24" t="n">
        <x:v>69.81411430817826</x:v>
      </x:c>
    </x:row>
    <x:row r="389">
      <x:c r="A389" s="24" t="n">
        <x:v>38.7</x:v>
      </x:c>
      <x:c r="B389" s="24" t="n">
        <x:v>86.50825769270548</x:v>
      </x:c>
      <x:c r="C389" s="24" t="n">
        <x:v>92.59472645647482</x:v>
      </x:c>
      <x:c r="D389" s="24" t="n">
        <x:v>61.97982089717422</x:v>
      </x:c>
      <x:c r="E389" s="24" t="n">
        <x:v>70.48201792913922</x:v>
      </x:c>
      <x:c r="F389" s="24" t="n">
        <x:v>67.84990888244332</x:v>
      </x:c>
      <x:c r="G389" s="24"/>
      <x:c r="H389" s="24" t="n">
        <x:v>72.97904514718589</x:v>
      </x:c>
      <x:c r="I389" s="24" t="n">
        <x:v>72.43367381291779</x:v>
      </x:c>
      <x:c r="J389" s="24"/>
      <x:c r="K389" s="24"/>
      <x:c r="L389" s="24" t="n">
        <x:v>67.69457755293408</x:v>
      </x:c>
      <x:c r="M389" s="24" t="n">
        <x:v>71.48634879779955</x:v>
      </x:c>
      <x:c r="N389" s="24" t="n">
        <x:v>50</x:v>
      </x:c>
      <x:c r="O389" s="24" t="n">
        <x:v>65.31030134262332</x:v>
      </x:c>
      <x:c r="P389" s="24"/>
      <x:c r="Q389" s="24"/>
      <x:c r="R389" s="24" t="n">
        <x:v>69.35145527746717</x:v>
      </x:c>
      <x:c r="S389" s="24"/>
      <x:c r="T389" s="24"/>
      <x:c r="U389" s="24" t="n">
        <x:v>67.94635876155833</x:v>
      </x:c>
    </x:row>
    <x:row r="390">
      <x:c r="A390" s="24" t="n">
        <x:v>38.800000000000004</x:v>
      </x:c>
      <x:c r="B390" s="24" t="n">
        <x:v>84.50635750140059</x:v>
      </x:c>
      <x:c r="C390" s="24" t="n">
        <x:v>92.59472645647482</x:v>
      </x:c>
      <x:c r="D390" s="24" t="n">
        <x:v>64.78867630765087</x:v>
      </x:c>
      <x:c r="E390" s="24" t="n">
        <x:v>62.36415338984801</x:v>
      </x:c>
      <x:c r="F390" s="24" t="n">
        <x:v>65.89865581040127</x:v>
      </x:c>
      <x:c r="G390" s="24"/>
      <x:c r="H390" s="24" t="n">
        <x:v>72.75948735514618</x:v>
      </x:c>
      <x:c r="I390" s="24" t="n">
        <x:v>45.56881161461347</x:v>
      </x:c>
      <x:c r="J390" s="24"/>
      <x:c r="K390" s="24"/>
      <x:c r="L390" s="24" t="n">
        <x:v>50</x:v>
      </x:c>
      <x:c r="M390" s="24" t="n">
        <x:v>70.77883960782567</x:v>
      </x:c>
      <x:c r="N390" s="24" t="n">
        <x:v>72.86155847493363</x:v>
      </x:c>
      <x:c r="O390" s="24" t="n">
        <x:v>65.58743718264952</x:v>
      </x:c>
      <x:c r="P390" s="24"/>
      <x:c r="Q390" s="24"/>
      <x:c r="R390" s="24" t="n">
        <x:v>66.26580737635112</x:v>
      </x:c>
      <x:c r="S390" s="24"/>
      <x:c r="T390" s="24"/>
      <x:c r="U390" s="24" t="n">
        <x:v>67.94635876155833</x:v>
      </x:c>
    </x:row>
    <x:row r="391">
      <x:c r="A391" s="24" t="n">
        <x:v>38.900000000000006</x:v>
      </x:c>
      <x:c r="B391" s="24" t="n">
        <x:v>74.18906731279183</x:v>
      </x:c>
      <x:c r="C391" s="24" t="n">
        <x:v>88.66416229155689</x:v>
      </x:c>
      <x:c r="D391" s="24" t="n">
        <x:v>66.19675941243571</x:v>
      </x:c>
      <x:c r="E391" s="24" t="n">
        <x:v>65.5801762321828</x:v>
      </x:c>
      <x:c r="F391" s="24" t="n">
        <x:v>65.0906760774616</x:v>
      </x:c>
      <x:c r="G391" s="24"/>
      <x:c r="H391" s="24" t="n">
        <x:v>71.99351573558098</x:v>
      </x:c>
      <x:c r="I391" s="24" t="n">
        <x:v>65.73552896045041</x:v>
      </x:c>
      <x:c r="J391" s="24"/>
      <x:c r="K391" s="24"/>
      <x:c r="L391" s="24" t="n">
        <x:v>50</x:v>
      </x:c>
      <x:c r="M391" s="24" t="n">
        <x:v>69.49005263084888</x:v>
      </x:c>
      <x:c r="N391" s="24" t="n">
        <x:v>77.82616259373357</x:v>
      </x:c>
      <x:c r="O391" s="24" t="n">
        <x:v>65.73365656321077</x:v>
      </x:c>
      <x:c r="P391" s="24"/>
      <x:c r="Q391" s="24"/>
      <x:c r="R391" s="24" t="n">
        <x:v>65.59107063529426</x:v>
      </x:c>
      <x:c r="S391" s="24"/>
      <x:c r="T391" s="24"/>
      <x:c r="U391" s="24"/>
    </x:row>
    <x:row r="392">
      <x:c r="A392" s="24" t="n">
        <x:v>39</x:v>
      </x:c>
      <x:c r="B392" s="24" t="n">
        <x:v>64.1620853150173</x:v>
      </x:c>
      <x:c r="C392" s="24" t="n">
        <x:v>78.31380048180236</x:v>
      </x:c>
      <x:c r="D392" s="24" t="n">
        <x:v>66.36635367822777</x:v>
      </x:c>
      <x:c r="E392" s="24" t="n">
        <x:v>66.71509186627145</x:v>
      </x:c>
      <x:c r="F392" s="24" t="n">
        <x:v>65.55140537689442</x:v>
      </x:c>
      <x:c r="G392" s="24"/>
      <x:c r="H392" s="24" t="n">
        <x:v>71.00721559728993</x:v>
      </x:c>
      <x:c r="I392" s="24" t="n">
        <x:v>67.6996337329337</x:v>
      </x:c>
      <x:c r="J392" s="24"/>
      <x:c r="K392" s="24"/>
      <x:c r="L392" s="24" t="n">
        <x:v>50</x:v>
      </x:c>
      <x:c r="M392" s="24" t="n">
        <x:v>67.01671181906072</x:v>
      </x:c>
      <x:c r="N392" s="24" t="n">
        <x:v>77.82616259373357</x:v>
      </x:c>
      <x:c r="O392" s="24" t="n">
        <x:v>78.95174213481398</x:v>
      </x:c>
      <x:c r="P392" s="24"/>
      <x:c r="Q392" s="24"/>
      <x:c r="R392" s="24" t="n">
        <x:v>65.59107063529426</x:v>
      </x:c>
      <x:c r="S392" s="24"/>
      <x:c r="T392" s="24"/>
      <x:c r="U392" s="24"/>
    </x:row>
    <x:row r="393">
      <x:c r="A393" s="24" t="n">
        <x:v>39.1</x:v>
      </x:c>
      <x:c r="B393" s="24" t="n">
        <x:v>62.97231900955586</x:v>
      </x:c>
      <x:c r="C393" s="24" t="n">
        <x:v>76.20500881448723</x:v>
      </x:c>
      <x:c r="D393" s="24" t="n">
        <x:v>66.38142141286895</x:v>
      </x:c>
      <x:c r="E393" s="24" t="n">
        <x:v>66.71509186627145</x:v>
      </x:c>
      <x:c r="F393" s="24" t="n">
        <x:v>70.01295091310035</x:v>
      </x:c>
      <x:c r="G393" s="24"/>
      <x:c r="H393" s="24" t="n">
        <x:v>69.70045350682851</x:v>
      </x:c>
      <x:c r="I393" s="24" t="n">
        <x:v>67.6996337329337</x:v>
      </x:c>
      <x:c r="J393" s="24"/>
      <x:c r="K393" s="24"/>
      <x:c r="L393" s="24" t="n">
        <x:v>59.240096741012096</x:v>
      </x:c>
      <x:c r="M393" s="24" t="n">
        <x:v>77.52441049632709</x:v>
      </x:c>
      <x:c r="N393" s="24" t="n">
        <x:v>73.8555479791091</x:v>
      </x:c>
      <x:c r="O393" s="24" t="n">
        <x:v>78.95174213481398</x:v>
      </x:c>
      <x:c r="P393" s="24"/>
      <x:c r="Q393" s="24"/>
      <x:c r="R393" s="24" t="n">
        <x:v>65.15957703098012</x:v>
      </x:c>
      <x:c r="S393" s="24"/>
      <x:c r="T393" s="24"/>
      <x:c r="U393" s="24"/>
    </x:row>
    <x:row r="394">
      <x:c r="A394" s="24" t="n">
        <x:v>39.2</x:v>
      </x:c>
      <x:c r="B394" s="24" t="n">
        <x:v>52.88066875017658</x:v>
      </x:c>
      <x:c r="C394" s="24" t="n">
        <x:v>76.20500881448723</x:v>
      </x:c>
      <x:c r="D394" s="24" t="n">
        <x:v>66.38142141286895</x:v>
      </x:c>
      <x:c r="E394" s="24" t="n">
        <x:v>67.06799642223615</x:v>
      </x:c>
      <x:c r="F394" s="24" t="n">
        <x:v>68.3039942306047</x:v>
      </x:c>
      <x:c r="G394" s="24"/>
      <x:c r="H394" s="24" t="n">
        <x:v>60.97946497156468</x:v>
      </x:c>
      <x:c r="I394" s="24" t="n">
        <x:v>67.3535445215334</x:v>
      </x:c>
      <x:c r="J394" s="24"/>
      <x:c r="K394" s="24"/>
      <x:c r="L394" s="24" t="n">
        <x:v>59.240096741012096</x:v>
      </x:c>
      <x:c r="M394" s="24" t="n">
        <x:v>77.7923553342934</x:v>
      </x:c>
      <x:c r="N394" s="24" t="n">
        <x:v>72.16634059421067</x:v>
      </x:c>
      <x:c r="O394" s="24" t="n">
        <x:v>75.56204445928203</x:v>
      </x:c>
      <x:c r="P394" s="24"/>
      <x:c r="Q394" s="24"/>
      <x:c r="R394" s="24" t="n">
        <x:v>67.41944417775889</x:v>
      </x:c>
      <x:c r="S394" s="24"/>
      <x:c r="T394" s="24"/>
      <x:c r="U394" s="24"/>
    </x:row>
    <x:row r="395">
      <x:c r="A395" s="24" t="n">
        <x:v>39.300000000000004</x:v>
      </x:c>
      <x:c r="B395" s="24" t="n">
        <x:v>61.50901153910267</x:v>
      </x:c>
      <x:c r="C395" s="24" t="n">
        <x:v>66.90248709377511</x:v>
      </x:c>
      <x:c r="D395" s="24" t="n">
        <x:v>66.67903646051745</x:v>
      </x:c>
      <x:c r="E395" s="24" t="n">
        <x:v>67.23443092942486</x:v>
      </x:c>
      <x:c r="F395" s="24" t="n">
        <x:v>52.62734679463941</x:v>
      </x:c>
      <x:c r="G395" s="24"/>
      <x:c r="H395" s="24" t="n">
        <x:v>79.25833936716388</x:v>
      </x:c>
      <x:c r="I395" s="24" t="n">
        <x:v>68.12239378694201</x:v>
      </x:c>
      <x:c r="J395" s="24"/>
      <x:c r="K395" s="24"/>
      <x:c r="L395" s="24" t="n">
        <x:v>76.65138126120982</x:v>
      </x:c>
      <x:c r="M395" s="24" t="n">
        <x:v>75.04925371618407</x:v>
      </x:c>
      <x:c r="N395" s="24" t="n">
        <x:v>70.06230208208454</x:v>
      </x:c>
      <x:c r="O395" s="24" t="n">
        <x:v>63.67863124746458</x:v>
      </x:c>
      <x:c r="P395" s="24"/>
      <x:c r="Q395" s="24"/>
      <x:c r="R395" s="24" t="n">
        <x:v>68.36877508760577</x:v>
      </x:c>
      <x:c r="S395" s="24"/>
      <x:c r="T395" s="24"/>
      <x:c r="U395" s="24"/>
    </x:row>
    <x:row r="396">
      <x:c r="A396" s="24" t="n">
        <x:v>39.400000000000006</x:v>
      </x:c>
      <x:c r="B396" s="24" t="n">
        <x:v>61.50901153910267</x:v>
      </x:c>
      <x:c r="C396" s="24" t="n">
        <x:v>66.90248709377511</x:v>
      </x:c>
      <x:c r="D396" s="24" t="n">
        <x:v>66.67903646051745</x:v>
      </x:c>
      <x:c r="E396" s="24" t="n">
        <x:v>68.81758647360026</x:v>
      </x:c>
      <x:c r="F396" s="24" t="n">
        <x:v>52.62734679463985</x:v>
      </x:c>
      <x:c r="G396" s="24"/>
      <x:c r="H396" s="24" t="n">
        <x:v>79.25833936716388</x:v>
      </x:c>
      <x:c r="I396" s="24" t="n">
        <x:v>68.12239378694206</x:v>
      </x:c>
      <x:c r="J396" s="24"/>
      <x:c r="K396" s="24"/>
      <x:c r="L396" s="24" t="n">
        <x:v>82.59193463370255</x:v>
      </x:c>
      <x:c r="M396" s="24" t="n">
        <x:v>62.62272815971793</x:v>
      </x:c>
      <x:c r="N396" s="24" t="n">
        <x:v>68.63298797860607</x:v>
      </x:c>
      <x:c r="O396" s="24" t="n">
        <x:v>50</x:v>
      </x:c>
      <x:c r="P396" s="24"/>
      <x:c r="Q396" s="24"/>
      <x:c r="R396" s="24" t="n">
        <x:v>68.36877508760602</x:v>
      </x:c>
      <x:c r="S396" s="24"/>
      <x:c r="T396" s="24"/>
      <x:c r="U396" s="24"/>
    </x:row>
    <x:row r="397">
      <x:c r="A397" s="24" t="n">
        <x:v>39.5</x:v>
      </x:c>
      <x:c r="B397" s="24" t="n">
        <x:v>64.40700107030128</x:v>
      </x:c>
      <x:c r="C397" s="24" t="n">
        <x:v>61.8042686786069</x:v>
      </x:c>
      <x:c r="D397" s="24" t="n">
        <x:v>64.76931522389239</x:v>
      </x:c>
      <x:c r="E397" s="24" t="n">
        <x:v>68.81758647360026</x:v>
      </x:c>
      <x:c r="F397" s="24" t="n">
        <x:v>66.80695295589706</x:v>
      </x:c>
      <x:c r="G397" s="24"/>
      <x:c r="H397" s="24" t="n">
        <x:v>70.96965414512493</x:v>
      </x:c>
      <x:c r="I397" s="24" t="n">
        <x:v>69.3691765866574</x:v>
      </x:c>
      <x:c r="J397" s="24"/>
      <x:c r="K397" s="24"/>
      <x:c r="L397" s="24" t="n">
        <x:v>82.59193463370255</x:v>
      </x:c>
      <x:c r="M397" s="24" t="n">
        <x:v>50</x:v>
      </x:c>
      <x:c r="N397" s="24" t="n">
        <x:v>69.97982778212221</x:v>
      </x:c>
      <x:c r="O397" s="24" t="n">
        <x:v>50</x:v>
      </x:c>
      <x:c r="P397" s="24"/>
      <x:c r="Q397" s="24"/>
      <x:c r="R397" s="24" t="n">
        <x:v>80.78954581904136</x:v>
      </x:c>
      <x:c r="S397" s="24"/>
      <x:c r="T397" s="24"/>
      <x:c r="U397" s="24"/>
    </x:row>
    <x:row r="398">
      <x:c r="A398" s="24" t="n">
        <x:v>39.6</x:v>
      </x:c>
      <x:c r="B398" s="24" t="n">
        <x:v>64.40700107030128</x:v>
      </x:c>
      <x:c r="C398" s="24" t="n">
        <x:v>61.8042686786069</x:v>
      </x:c>
      <x:c r="D398" s="24" t="n">
        <x:v>65.35174315038945</x:v>
      </x:c>
      <x:c r="E398" s="24" t="n">
        <x:v>67.72391328473952</x:v>
      </x:c>
      <x:c r="F398" s="24" t="n">
        <x:v>67.75723673156145</x:v>
      </x:c>
      <x:c r="G398" s="24"/>
      <x:c r="H398" s="24" t="n">
        <x:v>62.97594918649705</x:v>
      </x:c>
      <x:c r="I398" s="24" t="n">
        <x:v>69.3691765866574</x:v>
      </x:c>
      <x:c r="J398" s="24"/>
      <x:c r="K398" s="24"/>
      <x:c r="L398" s="24" t="n">
        <x:v>78.08447300743214</x:v>
      </x:c>
      <x:c r="M398" s="24" t="n">
        <x:v>50</x:v>
      </x:c>
      <x:c r="N398" s="24" t="n">
        <x:v>69.97982778212221</x:v>
      </x:c>
      <x:c r="O398" s="24" t="n">
        <x:v>50</x:v>
      </x:c>
      <x:c r="P398" s="24"/>
      <x:c r="Q398" s="24"/>
      <x:c r="R398" s="24" t="n">
        <x:v>80.78954581904136</x:v>
      </x:c>
      <x:c r="S398" s="24"/>
      <x:c r="T398" s="24"/>
      <x:c r="U398" s="24"/>
    </x:row>
    <x:row r="399">
      <x:c r="A399" s="24" t="n">
        <x:v>39.7</x:v>
      </x:c>
      <x:c r="B399" s="24" t="n">
        <x:v>59.91474984394887</x:v>
      </x:c>
      <x:c r="C399" s="24" t="n">
        <x:v>51.595284178115094</x:v>
      </x:c>
      <x:c r="D399" s="24" t="n">
        <x:v>85.3815661825975</x:v>
      </x:c>
      <x:c r="E399" s="24" t="n">
        <x:v>90.81031386329815</x:v>
      </x:c>
      <x:c r="F399" s="24" t="n">
        <x:v>67.75723673156145</x:v>
      </x:c>
      <x:c r="G399" s="24"/>
      <x:c r="H399" s="24" t="n">
        <x:v>52.433536465759005</x:v>
      </x:c>
      <x:c r="I399" s="24" t="n">
        <x:v>67.79199467128258</x:v>
      </x:c>
      <x:c r="J399" s="24"/>
      <x:c r="K399" s="24"/>
      <x:c r="L399" s="24" t="n">
        <x:v>74.40886115280941</x:v>
      </x:c>
      <x:c r="M399" s="24" t="n">
        <x:v>50</x:v>
      </x:c>
      <x:c r="N399" s="24" t="n">
        <x:v>70.0176508683952</x:v>
      </x:c>
      <x:c r="O399" s="24" t="n">
        <x:v>74.50858096576285</x:v>
      </x:c>
      <x:c r="P399" s="24"/>
      <x:c r="Q399" s="24"/>
      <x:c r="R399" s="24" t="n">
        <x:v>77.23516218030434</x:v>
      </x:c>
      <x:c r="S399" s="24"/>
      <x:c r="T399" s="24"/>
      <x:c r="U399" s="24"/>
    </x:row>
    <x:row r="400">
      <x:c r="A400" s="24" t="n">
        <x:v>39.800000000000004</x:v>
      </x:c>
      <x:c r="B400" s="24" t="n">
        <x:v>57.301697686204704</x:v>
      </x:c>
      <x:c r="C400" s="24" t="n">
        <x:v>51.595284178115094</x:v>
      </x:c>
      <x:c r="D400" s="24" t="n">
        <x:v>90.28091370846793</x:v>
      </x:c>
      <x:c r="E400" s="24" t="n">
        <x:v>90.81031386329815</x:v>
      </x:c>
      <x:c r="F400" s="24" t="n">
        <x:v>67.92696460524584</x:v>
      </x:c>
      <x:c r="G400" s="24"/>
      <x:c r="H400" s="24" t="n">
        <x:v>47.50917001791066</x:v>
      </x:c>
      <x:c r="I400" s="24" t="n">
        <x:v>65.22655080708441</x:v>
      </x:c>
      <x:c r="J400" s="24"/>
      <x:c r="K400" s="24"/>
      <x:c r="L400" s="24" t="n">
        <x:v>71.37448342846277</x:v>
      </x:c>
      <x:c r="M400" s="24" t="n">
        <x:v>50.00000000000116</x:v>
      </x:c>
      <x:c r="N400" s="24" t="n">
        <x:v>71.39438258668487</x:v>
      </x:c>
      <x:c r="O400" s="24" t="n">
        <x:v>78.4011432406489</x:v>
      </x:c>
      <x:c r="P400" s="24"/>
      <x:c r="Q400" s="24"/>
      <x:c r="R400" s="24" t="n">
        <x:v>66.91651946671963</x:v>
      </x:c>
      <x:c r="S400" s="24"/>
      <x:c r="T400" s="24"/>
      <x:c r="U400" s="24"/>
    </x:row>
    <x:row r="401">
      <x:c r="A401" s="24" t="n">
        <x:v>39.900000000000006</x:v>
      </x:c>
      <x:c r="B401" s="24" t="n">
        <x:v>57.78922810436997</x:v>
      </x:c>
      <x:c r="C401" s="24" t="n">
        <x:v>76.20703325514322</x:v>
      </x:c>
      <x:c r="D401" s="24" t="n">
        <x:v>90.28091370846793</x:v>
      </x:c>
      <x:c r="E401" s="24" t="n">
        <x:v>84.07154008497213</x:v>
      </x:c>
      <x:c r="F401" s="24" t="n">
        <x:v>67.92696460524608</x:v>
      </x:c>
      <x:c r="G401" s="24"/>
      <x:c r="H401" s="24" t="n">
        <x:v>53.08943741103617</x:v>
      </x:c>
      <x:c r="I401" s="24" t="n">
        <x:v>79.76359760624428</x:v>
      </x:c>
      <x:c r="J401" s="24"/>
      <x:c r="K401" s="24"/>
      <x:c r="L401" s="24" t="n">
        <x:v>66.94015644675721</x:v>
      </x:c>
      <x:c r="M401" s="24" t="n">
        <x:v>73.52717904450009</x:v>
      </x:c>
      <x:c r="N401" s="24" t="n">
        <x:v>71.39438258668487</x:v>
      </x:c>
      <x:c r="O401" s="24" t="n">
        <x:v>78.4011432406489</x:v>
      </x:c>
      <x:c r="P401" s="24"/>
      <x:c r="Q401" s="24"/>
      <x:c r="R401" s="24" t="n">
        <x:v>56.71983205467941</x:v>
      </x:c>
      <x:c r="S401" s="24"/>
      <x:c r="T401" s="24"/>
      <x:c r="U401" s="24"/>
    </x:row>
    <x:row r="402">
      <x:c r="A402" s="24" t="n">
        <x:v>40</x:v>
      </x:c>
      <x:c r="B402" s="24" t="n">
        <x:v>76.1218244520287</x:v>
      </x:c>
      <x:c r="C402" s="24" t="n">
        <x:v>76.20703325514322</x:v>
      </x:c>
      <x:c r="D402" s="24" t="n">
        <x:v>82.54254149122508</x:v>
      </x:c>
      <x:c r="E402" s="24" t="n">
        <x:v>76.74497933799321</x:v>
      </x:c>
      <x:c r="F402" s="24" t="n">
        <x:v>69.42997294790595</x:v>
      </x:c>
      <x:c r="G402" s="24"/>
      <x:c r="H402" s="24" t="n">
        <x:v>67.04010589384698</x:v>
      </x:c>
      <x:c r="I402" s="24" t="n">
        <x:v>79.76359760624428</x:v>
      </x:c>
      <x:c r="J402" s="24"/>
      <x:c r="K402" s="24"/>
      <x:c r="L402" s="24" t="n">
        <x:v>66.94015644675721</x:v>
      </x:c>
      <x:c r="M402" s="24" t="n">
        <x:v>80.40291846069198</x:v>
      </x:c>
      <x:c r="N402" s="24" t="n">
        <x:v>68.10282543355018</x:v>
      </x:c>
      <x:c r="O402" s="24" t="n">
        <x:v>72.43717362949499</x:v>
      </x:c>
      <x:c r="P402" s="24"/>
      <x:c r="Q402" s="24"/>
      <x:c r="R402" s="24" t="n">
        <x:v>50</x:v>
      </x:c>
      <x:c r="S402" s="24"/>
      <x:c r="T402" s="24"/>
      <x:c r="U402" s="24"/>
    </x:row>
    <x:row r="403">
      <x:c r="A403" s="24" t="n">
        <x:v>40.1</x:v>
      </x:c>
      <x:c r="B403" s="24" t="n">
        <x:v>76.83851038315288</x:v>
      </x:c>
      <x:c r="C403" s="24" t="n">
        <x:v>73.05298008592155</x:v>
      </x:c>
      <x:c r="D403" s="24" t="n">
        <x:v>75.65430886087977</x:v>
      </x:c>
      <x:c r="E403" s="24" t="n">
        <x:v>73.14993944197468</x:v>
      </x:c>
      <x:c r="F403" s="24" t="n">
        <x:v>70.0781225128136</x:v>
      </x:c>
      <x:c r="G403" s="24"/>
      <x:c r="H403" s="24" t="n">
        <x:v>71.40621898373949</x:v>
      </x:c>
      <x:c r="I403" s="24" t="n">
        <x:v>72.43033801618287</x:v>
      </x:c>
      <x:c r="J403" s="24"/>
      <x:c r="K403" s="24"/>
      <x:c r="L403" s="24" t="n">
        <x:v>68.78173060197018</x:v>
      </x:c>
      <x:c r="M403" s="24" t="n">
        <x:v>80.40291846069198</x:v>
      </x:c>
      <x:c r="N403" s="24" t="n">
        <x:v>66.55393085446453</x:v>
      </x:c>
      <x:c r="O403" s="24" t="n">
        <x:v>72.13457082362702</x:v>
      </x:c>
      <x:c r="P403" s="24"/>
      <x:c r="Q403" s="24"/>
      <x:c r="R403" s="24" t="n">
        <x:v>50</x:v>
      </x:c>
      <x:c r="S403" s="24"/>
      <x:c r="T403" s="24"/>
      <x:c r="U403" s="24"/>
    </x:row>
    <x:row r="404">
      <x:c r="A404" s="24" t="n">
        <x:v>40.2</x:v>
      </x:c>
      <x:c r="B404" s="24" t="n">
        <x:v>76.83851038315288</x:v>
      </x:c>
      <x:c r="C404" s="24" t="n">
        <x:v>66.80103129364551</x:v>
      </x:c>
      <x:c r="D404" s="24" t="n">
        <x:v>73.48613081425593</x:v>
      </x:c>
      <x:c r="E404" s="24" t="n">
        <x:v>69.28958203120845</x:v>
      </x:c>
      <x:c r="F404" s="24" t="n">
        <x:v>70.0781225128136</x:v>
      </x:c>
      <x:c r="G404" s="24"/>
      <x:c r="H404" s="24" t="n">
        <x:v>72.9061901872499</x:v>
      </x:c>
      <x:c r="I404" s="24" t="n">
        <x:v>60.755916627246464</x:v>
      </x:c>
      <x:c r="J404" s="24"/>
      <x:c r="K404" s="24"/>
      <x:c r="L404" s="24" t="n">
        <x:v>69.32894397255671</x:v>
      </x:c>
      <x:c r="M404" s="24" t="n">
        <x:v>75.11827580379791</x:v>
      </x:c>
      <x:c r="N404" s="24" t="n">
        <x:v>62.84840507205122</x:v>
      </x:c>
      <x:c r="O404" s="24" t="n">
        <x:v>68.04416870750498</x:v>
      </x:c>
      <x:c r="P404" s="24"/>
      <x:c r="Q404" s="24"/>
      <x:c r="R404" s="24" t="n">
        <x:v>50</x:v>
      </x:c>
      <x:c r="S404" s="24"/>
      <x:c r="T404" s="24"/>
      <x:c r="U404" s="24"/>
    </x:row>
    <x:row r="405">
      <x:c r="A405" s="24" t="n">
        <x:v>40.300000000000004</x:v>
      </x:c>
      <x:c r="B405" s="24" t="n">
        <x:v>72.93016614725174</x:v>
      </x:c>
      <x:c r="C405" s="24" t="n">
        <x:v>51.595284178115094</x:v>
      </x:c>
      <x:c r="D405" s="24" t="n">
        <x:v>71.42016248421439</x:v>
      </x:c>
      <x:c r="E405" s="24" t="n">
        <x:v>69.28958203120845</x:v>
      </x:c>
      <x:c r="F405" s="24" t="n">
        <x:v>69.92488628582268</x:v>
      </x:c>
      <x:c r="G405" s="24"/>
      <x:c r="H405" s="24" t="n">
        <x:v>72.90619018724921</x:v>
      </x:c>
      <x:c r="I405" s="24" t="n">
        <x:v>45.56881161460947</x:v>
      </x:c>
      <x:c r="J405" s="24"/>
      <x:c r="K405" s="24"/>
      <x:c r="L405" s="24" t="n">
        <x:v>69.99797189495135</x:v>
      </x:c>
      <x:c r="M405" s="24" t="n">
        <x:v>73.36275759411485</x:v>
      </x:c>
      <x:c r="N405" s="24" t="n">
        <x:v>70.18844978108166</x:v>
      </x:c>
      <x:c r="O405" s="24" t="n">
        <x:v>66.68609816012923</x:v>
      </x:c>
      <x:c r="P405" s="24"/>
      <x:c r="Q405" s="24"/>
      <x:c r="R405" s="24" t="n">
        <x:v>50.00000000000066</x:v>
      </x:c>
      <x:c r="S405" s="24"/>
      <x:c r="T405" s="24"/>
      <x:c r="U405" s="24"/>
    </x:row>
    <x:row r="406">
      <x:c r="A406" s="24" t="n">
        <x:v>40.400000000000006</x:v>
      </x:c>
      <x:c r="B406" s="24" t="n">
        <x:v>66.94336970329601</x:v>
      </x:c>
      <x:c r="C406" s="24" t="n">
        <x:v>69.10039934226543</x:v>
      </x:c>
      <x:c r="D406" s="24" t="n">
        <x:v>70.19424561146158</x:v>
      </x:c>
      <x:c r="E406" s="24" t="n">
        <x:v>66.30337452300732</x:v>
      </x:c>
      <x:c r="F406" s="24" t="n">
        <x:v>68.86661198961781</x:v>
      </x:c>
      <x:c r="G406" s="24"/>
      <x:c r="H406" s="24" t="n">
        <x:v>65.84786220569276</x:v>
      </x:c>
      <x:c r="I406" s="24" t="n">
        <x:v>45.568811614610645</x:v>
      </x:c>
      <x:c r="J406" s="24"/>
      <x:c r="K406" s="24"/>
      <x:c r="L406" s="24" t="n">
        <x:v>70.28153058314736</x:v>
      </x:c>
      <x:c r="M406" s="24" t="n">
        <x:v>72.13006720566547</x:v>
      </x:c>
      <x:c r="N406" s="24" t="n">
        <x:v>78.75224335947016</x:v>
      </x:c>
      <x:c r="O406" s="24" t="n">
        <x:v>67.86967357956001</x:v>
      </x:c>
      <x:c r="P406" s="24"/>
      <x:c r="Q406" s="24"/>
      <x:c r="R406" s="24" t="n">
        <x:v>59.30895435943857</x:v>
      </x:c>
      <x:c r="S406" s="24"/>
      <x:c r="T406" s="24"/>
      <x:c r="U406" s="24"/>
    </x:row>
    <x:row r="407">
      <x:c r="A407" s="24" t="n">
        <x:v>40.5</x:v>
      </x:c>
      <x:c r="B407" s="24" t="n">
        <x:v>58.59892782665027</x:v>
      </x:c>
      <x:c r="C407" s="24" t="n">
        <x:v>69.80036332840847</x:v>
      </x:c>
      <x:c r="D407" s="24" t="n">
        <x:v>66.31116422334445</x:v>
      </x:c>
      <x:c r="E407" s="24" t="n">
        <x:v>53.2115272099612</x:v>
      </x:c>
      <x:c r="F407" s="24" t="n">
        <x:v>85.74007860228699</x:v>
      </x:c>
      <x:c r="G407" s="24"/>
      <x:c r="H407" s="24" t="n">
        <x:v>67.72563894938045</x:v>
      </x:c>
      <x:c r="I407" s="24" t="n">
        <x:v>62.047959627848385</x:v>
      </x:c>
      <x:c r="J407" s="24"/>
      <x:c r="K407" s="24"/>
      <x:c r="L407" s="24" t="n">
        <x:v>70.83844355853469</x:v>
      </x:c>
      <x:c r="M407" s="24" t="n">
        <x:v>72.13006720566547</x:v>
      </x:c>
      <x:c r="N407" s="24" t="n">
        <x:v>78.75224335947016</x:v>
      </x:c>
      <x:c r="O407" s="24" t="n">
        <x:v>67.86967357956001</x:v>
      </x:c>
      <x:c r="P407" s="24"/>
      <x:c r="Q407" s="24"/>
      <x:c r="R407" s="24" t="n">
        <x:v>64.8943269751008</x:v>
      </x:c>
      <x:c r="S407" s="24"/>
      <x:c r="T407" s="24"/>
      <x:c r="U407" s="24"/>
    </x:row>
    <x:row r="408">
      <x:c r="A408" s="24" t="n">
        <x:v>40.6</x:v>
      </x:c>
      <x:c r="B408" s="24" t="n">
        <x:v>63.68664189266091</x:v>
      </x:c>
      <x:c r="C408" s="24" t="n">
        <x:v>69.80036332840847</x:v>
      </x:c>
      <x:c r="D408" s="24" t="n">
        <x:v>66.31116422334445</x:v>
      </x:c>
      <x:c r="E408" s="24" t="n">
        <x:v>50.25212263304445</x:v>
      </x:c>
      <x:c r="F408" s="24" t="n">
        <x:v>85.74007860228699</x:v>
      </x:c>
      <x:c r="G408" s="24"/>
      <x:c r="H408" s="24" t="n">
        <x:v>73.25313788452254</x:v>
      </x:c>
      <x:c r="I408" s="24" t="n">
        <x:v>69.08891232984091</x:v>
      </x:c>
      <x:c r="J408" s="24"/>
      <x:c r="K408" s="24"/>
      <x:c r="L408" s="24" t="n">
        <x:v>70.83844355853469</x:v>
      </x:c>
      <x:c r="M408" s="24" t="n">
        <x:v>72.64915020579066</x:v>
      </x:c>
      <x:c r="N408" s="24" t="n">
        <x:v>64.7776469548222</x:v>
      </x:c>
      <x:c r="O408" s="24" t="n">
        <x:v>66.21771804510098</x:v>
      </x:c>
      <x:c r="P408" s="24"/>
      <x:c r="Q408" s="24"/>
      <x:c r="R408" s="24" t="n">
        <x:v>64.8943269751008</x:v>
      </x:c>
      <x:c r="S408" s="24"/>
      <x:c r="T408" s="24"/>
      <x:c r="U408" s="24"/>
    </x:row>
    <x:row r="409">
      <x:c r="A409" s="24" t="n">
        <x:v>40.7</x:v>
      </x:c>
      <x:c r="B409" s="24" t="n">
        <x:v>66.10106593896141</x:v>
      </x:c>
      <x:c r="C409" s="24" t="n">
        <x:v>69.65086673638667</x:v>
      </x:c>
      <x:c r="D409" s="24" t="n">
        <x:v>64.60982454286403</x:v>
      </x:c>
      <x:c r="E409" s="24" t="n">
        <x:v>68.28101529479201</x:v>
      </x:c>
      <x:c r="F409" s="24" t="n">
        <x:v>80.39984356007534</x:v>
      </x:c>
      <x:c r="G409" s="24"/>
      <x:c r="H409" s="24" t="n">
        <x:v>73.44579056637856</x:v>
      </x:c>
      <x:c r="I409" s="24" t="n">
        <x:v>71.26941346657203</x:v>
      </x:c>
      <x:c r="J409" s="24"/>
      <x:c r="K409" s="24"/>
      <x:c r="L409" s="24" t="n">
        <x:v>82.98987721246047</x:v>
      </x:c>
      <x:c r="M409" s="24" t="n">
        <x:v>72.64915020579066</x:v>
      </x:c>
      <x:c r="N409" s="24" t="n">
        <x:v>50</x:v>
      </x:c>
      <x:c r="O409" s="24" t="n">
        <x:v>66.21771804510098</x:v>
      </x:c>
      <x:c r="P409" s="24"/>
      <x:c r="Q409" s="24"/>
      <x:c r="R409" s="24" t="n">
        <x:v>64.21442590149654</x:v>
      </x:c>
      <x:c r="S409" s="24"/>
      <x:c r="T409" s="24"/>
      <x:c r="U409" s="24"/>
    </x:row>
    <x:row r="410">
      <x:c r="A410" s="24" t="n">
        <x:v>40.800000000000004</x:v>
      </x:c>
      <x:c r="B410" s="24" t="n">
        <x:v>66.10106593896113</x:v>
      </x:c>
      <x:c r="C410" s="24" t="n">
        <x:v>69.51107386930295</x:v>
      </x:c>
      <x:c r="D410" s="24" t="n">
        <x:v>56.09755812902998</x:v>
      </x:c>
      <x:c r="E410" s="24" t="n">
        <x:v>74.53901041597297</x:v>
      </x:c>
      <x:c r="F410" s="24" t="n">
        <x:v>72.60044640951524</x:v>
      </x:c>
      <x:c r="G410" s="24"/>
      <x:c r="H410" s="24" t="n">
        <x:v>73.44579056637838</x:v>
      </x:c>
      <x:c r="I410" s="24" t="n">
        <x:v>71.26941346657182</x:v>
      </x:c>
      <x:c r="J410" s="24"/>
      <x:c r="K410" s="24"/>
      <x:c r="L410" s="24" t="n">
        <x:v>84.0325282423876</x:v>
      </x:c>
      <x:c r="M410" s="24" t="n">
        <x:v>71.70633279440143</x:v>
      </x:c>
      <x:c r="N410" s="24" t="n">
        <x:v>50</x:v>
      </x:c>
      <x:c r="O410" s="24" t="n">
        <x:v>66.31217001957836</x:v>
      </x:c>
      <x:c r="P410" s="24"/>
      <x:c r="Q410" s="24"/>
      <x:c r="R410" s="24" t="n">
        <x:v>64.63228585231693</x:v>
      </x:c>
      <x:c r="S410" s="24"/>
      <x:c r="T410" s="24"/>
      <x:c r="U410" s="24"/>
    </x:row>
    <x:row r="411">
      <x:c r="A411" s="24" t="n">
        <x:v>40.900000000000006</x:v>
      </x:c>
      <x:c r="B411" s="24" t="n">
        <x:v>63.25480493894419</x:v>
      </x:c>
      <x:c r="C411" s="24" t="n">
        <x:v>70.1680461512826</x:v>
      </x:c>
      <x:c r="D411" s="24" t="n">
        <x:v>70.93097981704831</x:v>
      </x:c>
      <x:c r="E411" s="24" t="n">
        <x:v>74.53901041597297</x:v>
      </x:c>
      <x:c r="F411" s="24" t="n">
        <x:v>67.342266892975</x:v>
      </x:c>
      <x:c r="G411" s="24"/>
      <x:c r="H411" s="24" t="n">
        <x:v>72.35692279055705</x:v>
      </x:c>
      <x:c r="I411" s="24" t="n">
        <x:v>56.026620211579186</x:v>
      </x:c>
      <x:c r="J411" s="24"/>
      <x:c r="K411" s="24"/>
      <x:c r="L411" s="24" t="n">
        <x:v>84.03252824238722</x:v>
      </x:c>
      <x:c r="M411" s="24" t="n">
        <x:v>71.70633279440138</x:v>
      </x:c>
      <x:c r="N411" s="24" t="n">
        <x:v>52.50546891958763</x:v>
      </x:c>
      <x:c r="O411" s="24" t="n">
        <x:v>77.54312977511941</x:v>
      </x:c>
      <x:c r="P411" s="24"/>
      <x:c r="Q411" s="24"/>
      <x:c r="R411" s="24" t="n">
        <x:v>65.4775438144939</x:v>
      </x:c>
      <x:c r="S411" s="24"/>
      <x:c r="T411" s="24"/>
      <x:c r="U411" s="24"/>
    </x:row>
    <x:row r="412">
      <x:c r="A412" s="24" t="n">
        <x:v>41</x:v>
      </x:c>
      <x:c r="B412" s="24" t="n">
        <x:v>64.8908900941931</x:v>
      </x:c>
      <x:c r="C412" s="24" t="n">
        <x:v>70.1680461512826</x:v>
      </x:c>
      <x:c r="D412" s="24" t="n">
        <x:v>73.77257582714763</x:v>
      </x:c>
      <x:c r="E412" s="24" t="n">
        <x:v>63.32087735106623</x:v>
      </x:c>
      <x:c r="F412" s="24" t="n">
        <x:v>59.781803583136195</x:v>
      </x:c>
      <x:c r="G412" s="24"/>
      <x:c r="H412" s="24" t="n">
        <x:v>74.26964287520272</x:v>
      </x:c>
      <x:c r="I412" s="24" t="n">
        <x:v>62.44744465249224</x:v>
      </x:c>
      <x:c r="J412" s="24"/>
      <x:c r="K412" s="24"/>
      <x:c r="L412" s="24" t="n">
        <x:v>74.00755075863951</x:v>
      </x:c>
      <x:c r="M412" s="24" t="n">
        <x:v>72.50439893168962</x:v>
      </x:c>
      <x:c r="N412" s="24" t="n">
        <x:v>58.76914121855536</x:v>
      </x:c>
      <x:c r="O412" s="24" t="n">
        <x:v>77.92047334470018</x:v>
      </x:c>
      <x:c r="P412" s="24"/>
      <x:c r="Q412" s="24"/>
      <x:c r="R412" s="24" t="n">
        <x:v>65.4775438144939</x:v>
      </x:c>
      <x:c r="S412" s="24"/>
      <x:c r="T412" s="24"/>
      <x:c r="U412" s="24"/>
    </x:row>
    <x:row r="413">
      <x:c r="A413" s="24" t="n">
        <x:v>41.1</x:v>
      </x:c>
      <x:c r="B413" s="24" t="n">
        <x:v>64.73410279032797</x:v>
      </x:c>
      <x:c r="C413" s="24" t="n">
        <x:v>71.18081748314584</x:v>
      </x:c>
      <x:c r="D413" s="24" t="n">
        <x:v>73.77257582714763</x:v>
      </x:c>
      <x:c r="E413" s="24" t="n">
        <x:v>62.0759486576719</x:v>
      </x:c>
      <x:c r="F413" s="24" t="n">
        <x:v>52.62734679463941</x:v>
      </x:c>
      <x:c r="G413" s="24"/>
      <x:c r="H413" s="24" t="n">
        <x:v>74.26964287520272</x:v>
      </x:c>
      <x:c r="I413" s="24" t="n">
        <x:v>65.73453283211259</x:v>
      </x:c>
      <x:c r="J413" s="24"/>
      <x:c r="K413" s="24"/>
      <x:c r="L413" s="24" t="n">
        <x:v>67.38869587886607</x:v>
      </x:c>
      <x:c r="M413" s="24" t="n">
        <x:v>72.50439893168962</x:v>
      </x:c>
      <x:c r="N413" s="24" t="n">
        <x:v>79.89345877978683</x:v>
      </x:c>
      <x:c r="O413" s="24" t="n">
        <x:v>76.63043246039491</x:v>
      </x:c>
      <x:c r="P413" s="24"/>
      <x:c r="Q413" s="24"/>
      <x:c r="R413" s="24" t="n">
        <x:v>65.10312317173604</x:v>
      </x:c>
      <x:c r="S413" s="24"/>
      <x:c r="T413" s="24"/>
      <x:c r="U413" s="24"/>
    </x:row>
    <x:row r="414">
      <x:c r="A414" s="24" t="n">
        <x:v>41.2</x:v>
      </x:c>
      <x:c r="B414" s="24" t="n">
        <x:v>65.72404173258907</x:v>
      </x:c>
      <x:c r="C414" s="24" t="n">
        <x:v>71.18081748314584</x:v>
      </x:c>
      <x:c r="D414" s="24" t="n">
        <x:v>63.293875838243515</x:v>
      </x:c>
      <x:c r="E414" s="24" t="n">
        <x:v>64.09751146279174</x:v>
      </x:c>
      <x:c r="F414" s="24" t="n">
        <x:v>60.01200785251372</x:v>
      </x:c>
      <x:c r="G414" s="24"/>
      <x:c r="H414" s="24" t="n">
        <x:v>73.48072009949462</x:v>
      </x:c>
      <x:c r="I414" s="24" t="n">
        <x:v>68.47345921422125</x:v>
      </x:c>
      <x:c r="J414" s="24"/>
      <x:c r="K414" s="24"/>
      <x:c r="L414" s="24" t="n">
        <x:v>50</x:v>
      </x:c>
      <x:c r="M414" s="24" t="n">
        <x:v>79.19306638869435</x:v>
      </x:c>
      <x:c r="N414" s="24" t="n">
        <x:v>79.89345877978683</x:v>
      </x:c>
      <x:c r="O414" s="24" t="n">
        <x:v>63.6283040559189</x:v>
      </x:c>
      <x:c r="P414" s="24"/>
      <x:c r="Q414" s="24"/>
      <x:c r="R414" s="24" t="n">
        <x:v>65.10312317173604</x:v>
      </x:c>
      <x:c r="S414" s="24"/>
      <x:c r="T414" s="24"/>
      <x:c r="U414" s="24"/>
    </x:row>
    <x:row r="415">
      <x:c r="A415" s="24" t="n">
        <x:v>41.300000000000004</x:v>
      </x:c>
      <x:c r="B415" s="24" t="n">
        <x:v>65.72404173258907</x:v>
      </x:c>
      <x:c r="C415" s="24" t="n">
        <x:v>70.1111434300991</x:v>
      </x:c>
      <x:c r="D415" s="24" t="n">
        <x:v>52.39175843351897</x:v>
      </x:c>
      <x:c r="E415" s="24" t="n">
        <x:v>65.91766347642606</x:v>
      </x:c>
      <x:c r="F415" s="24" t="n">
        <x:v>62.47356153847124</x:v>
      </x:c>
      <x:c r="G415" s="24"/>
      <x:c r="H415" s="24" t="n">
        <x:v>73.80974644198274</x:v>
      </x:c>
      <x:c r="I415" s="24" t="n">
        <x:v>68.47345921422125</x:v>
      </x:c>
      <x:c r="J415" s="24"/>
      <x:c r="K415" s="24"/>
      <x:c r="L415" s="24" t="n">
        <x:v>50</x:v>
      </x:c>
      <x:c r="M415" s="24" t="n">
        <x:v>82.65699621374749</x:v>
      </x:c>
      <x:c r="N415" s="24" t="n">
        <x:v>77.22210310527223</x:v>
      </x:c>
      <x:c r="O415" s="24" t="n">
        <x:v>50</x:v>
      </x:c>
      <x:c r="P415" s="24"/>
      <x:c r="Q415" s="24"/>
      <x:c r="R415" s="24" t="n">
        <x:v>65.38331976277831</x:v>
      </x:c>
      <x:c r="S415" s="24"/>
      <x:c r="T415" s="24"/>
      <x:c r="U415" s="24"/>
    </x:row>
    <x:row r="416">
      <x:c r="A416" s="24" t="n">
        <x:v>41.400000000000006</x:v>
      </x:c>
      <x:c r="B416" s="24" t="n">
        <x:v>64.58672356594809</x:v>
      </x:c>
      <x:c r="C416" s="24" t="n">
        <x:v>84.21508268874271</x:v>
      </x:c>
      <x:c r="D416" s="24" t="n">
        <x:v>57.723916877415384</x:v>
      </x:c>
      <x:c r="E416" s="24" t="n">
        <x:v>67.18358587026069</x:v>
      </x:c>
      <x:c r="F416" s="24" t="n">
        <x:v>52.62734679463941</x:v>
      </x:c>
      <x:c r="G416" s="24"/>
      <x:c r="H416" s="24" t="n">
        <x:v>73.80974644198274</x:v>
      </x:c>
      <x:c r="I416" s="24" t="n">
        <x:v>65.89256300982689</x:v>
      </x:c>
      <x:c r="J416" s="24"/>
      <x:c r="K416" s="24"/>
      <x:c r="L416" s="24" t="n">
        <x:v>50</x:v>
      </x:c>
      <x:c r="M416" s="24" t="n">
        <x:v>82.65699621374746</x:v>
      </x:c>
      <x:c r="N416" s="24" t="n">
        <x:v>71.55505241419176</x:v>
      </x:c>
      <x:c r="O416" s="24" t="n">
        <x:v>50</x:v>
      </x:c>
      <x:c r="P416" s="24"/>
      <x:c r="Q416" s="24"/>
      <x:c r="R416" s="24" t="n">
        <x:v>67.80718202155971</x:v>
      </x:c>
      <x:c r="S416" s="24"/>
      <x:c r="T416" s="24"/>
      <x:c r="U416" s="24"/>
    </x:row>
    <x:row r="417">
      <x:c r="A417" s="24" t="n">
        <x:v>41.5</x:v>
      </x:c>
      <x:c r="B417" s="24" t="n">
        <x:v>67.1700477920922</x:v>
      </x:c>
      <x:c r="C417" s="24" t="n">
        <x:v>85.78565232839635</x:v>
      </x:c>
      <x:c r="D417" s="24" t="n">
        <x:v>64.83602795714444</x:v>
      </x:c>
      <x:c r="E417" s="24" t="n">
        <x:v>67.18358587026069</x:v>
      </x:c>
      <x:c r="F417" s="24" t="n">
        <x:v>62.56221155423761</x:v>
      </x:c>
      <x:c r="G417" s="24"/>
      <x:c r="H417" s="24" t="n">
        <x:v>71.97709815268817</x:v>
      </x:c>
      <x:c r="I417" s="24" t="n">
        <x:v>68.04849567532999</x:v>
      </x:c>
      <x:c r="J417" s="24"/>
      <x:c r="K417" s="24"/>
      <x:c r="L417" s="24" t="n">
        <x:v>52.80849303695972</x:v>
      </x:c>
      <x:c r="M417" s="24" t="n">
        <x:v>74.52855873742972</x:v>
      </x:c>
      <x:c r="N417" s="24" t="n">
        <x:v>70.99832455134417</x:v>
      </x:c>
      <x:c r="O417" s="24" t="n">
        <x:v>64.29632082367152</x:v>
      </x:c>
      <x:c r="P417" s="24"/>
      <x:c r="Q417" s="24"/>
      <x:c r="R417" s="24" t="n">
        <x:v>83.37707132084404</x:v>
      </x:c>
      <x:c r="S417" s="24"/>
      <x:c r="T417" s="24"/>
      <x:c r="U417" s="24"/>
    </x:row>
    <x:row r="418">
      <x:c r="A418" s="24" t="n">
        <x:v>41.6</x:v>
      </x:c>
      <x:c r="B418" s="24" t="n">
        <x:v>67.1700477920922</x:v>
      </x:c>
      <x:c r="C418" s="24" t="n">
        <x:v>85.78565232839635</x:v>
      </x:c>
      <x:c r="D418" s="24" t="n">
        <x:v>64.91161722581447</x:v>
      </x:c>
      <x:c r="E418" s="24" t="n">
        <x:v>66.68823172346188</x:v>
      </x:c>
      <x:c r="F418" s="24" t="n">
        <x:v>72.4970763138358</x:v>
      </x:c>
      <x:c r="G418" s="24"/>
      <x:c r="H418" s="24" t="n">
        <x:v>69.4175141076451</x:v>
      </x:c>
      <x:c r="I418" s="24" t="n">
        <x:v>68.6017531608205</x:v>
      </x:c>
      <x:c r="J418" s="24"/>
      <x:c r="K418" s="24"/>
      <x:c r="L418" s="24" t="n">
        <x:v>56.43666326365077</x:v>
      </x:c>
      <x:c r="M418" s="24" t="n">
        <x:v>50</x:v>
      </x:c>
      <x:c r="N418" s="24" t="n">
        <x:v>70.74868614071875</x:v>
      </x:c>
      <x:c r="O418" s="24" t="n">
        <x:v>79.29451966395443</x:v>
      </x:c>
      <x:c r="P418" s="24"/>
      <x:c r="Q418" s="24"/>
      <x:c r="R418" s="24" t="n">
        <x:v>84.05557879213274</x:v>
      </x:c>
      <x:c r="S418" s="24"/>
      <x:c r="T418" s="24"/>
      <x:c r="U418" s="24"/>
    </x:row>
    <x:row r="419">
      <x:c r="A419" s="24" t="n">
        <x:v>41.7</x:v>
      </x:c>
      <x:c r="B419" s="24" t="n">
        <x:v>66.78112610123962</x:v>
      </x:c>
      <x:c r="C419" s="24" t="n">
        <x:v>76.10277564862746</x:v>
      </x:c>
      <x:c r="D419" s="24" t="n">
        <x:v>64.79639025298756</x:v>
      </x:c>
      <x:c r="E419" s="24" t="n">
        <x:v>68.65886537994456</x:v>
      </x:c>
      <x:c r="F419" s="24" t="n">
        <x:v>72.4970763138358</x:v>
      </x:c>
      <x:c r="G419" s="24"/>
      <x:c r="H419" s="24" t="n">
        <x:v>64.03458566125693</x:v>
      </x:c>
      <x:c r="I419" s="24" t="n">
        <x:v>68.6054725179041</x:v>
      </x:c>
      <x:c r="J419" s="24"/>
      <x:c r="K419" s="24"/>
      <x:c r="L419" s="24" t="n">
        <x:v>50</x:v>
      </x:c>
      <x:c r="M419" s="24" t="n">
        <x:v>50</x:v>
      </x:c>
      <x:c r="N419" s="24" t="n">
        <x:v>70.34139338508288</x:v>
      </x:c>
      <x:c r="O419" s="24" t="n">
        <x:v>79.29451966395443</x:v>
      </x:c>
      <x:c r="P419" s="24"/>
      <x:c r="Q419" s="24"/>
      <x:c r="R419" s="24" t="n">
        <x:v>83.77511390157755</x:v>
      </x:c>
      <x:c r="S419" s="24"/>
      <x:c r="T419" s="24"/>
      <x:c r="U419" s="24"/>
    </x:row>
    <x:row r="420">
      <x:c r="A420" s="24" t="n">
        <x:v>41.800000000000004</x:v>
      </x:c>
      <x:c r="B420" s="24" t="n">
        <x:v>68.14024232599584</x:v>
      </x:c>
      <x:c r="C420" s="24" t="n">
        <x:v>68.96787153183172</x:v>
      </x:c>
      <x:c r="D420" s="24" t="n">
        <x:v>63.0518254395384</x:v>
      </x:c>
      <x:c r="E420" s="24" t="n">
        <x:v>68.65886537994442</x:v>
      </x:c>
      <x:c r="F420" s="24" t="n">
        <x:v>61.2322586748254</x:v>
      </x:c>
      <x:c r="G420" s="24"/>
      <x:c r="H420" s="24" t="n">
        <x:v>79.7803939193459</x:v>
      </x:c>
      <x:c r="I420" s="24" t="n">
        <x:v>68.75768900770743</x:v>
      </x:c>
      <x:c r="J420" s="24"/>
      <x:c r="K420" s="24"/>
      <x:c r="L420" s="24" t="n">
        <x:v>81.97125865076687</x:v>
      </x:c>
      <x:c r="M420" s="24" t="n">
        <x:v>50</x:v>
      </x:c>
      <x:c r="N420" s="24" t="n">
        <x:v>70.34139338508287</x:v>
      </x:c>
      <x:c r="O420" s="24" t="n">
        <x:v>74.59430141966905</x:v>
      </x:c>
      <x:c r="P420" s="24"/>
      <x:c r="Q420" s="24"/>
      <x:c r="R420" s="24" t="n">
        <x:v>74.88502343476146</x:v>
      </x:c>
      <x:c r="S420" s="24"/>
      <x:c r="T420" s="24"/>
      <x:c r="U420" s="24"/>
    </x:row>
    <x:row r="421">
      <x:c r="A421" s="24" t="n">
        <x:v>41.900000000000006</x:v>
      </x:c>
      <x:c r="B421" s="24" t="n">
        <x:v>68.14024232599584</x:v>
      </x:c>
      <x:c r="C421" s="24" t="n">
        <x:v>68.49671953454327</x:v>
      </x:c>
      <x:c r="D421" s="24" t="n">
        <x:v>63.05182543953823</x:v>
      </x:c>
      <x:c r="E421" s="24" t="n">
        <x:v>69.18324748165138</x:v>
      </x:c>
      <x:c r="F421" s="24" t="n">
        <x:v>58.468414620553865</x:v>
      </x:c>
      <x:c r="G421" s="24"/>
      <x:c r="H421" s="24" t="n">
        <x:v>79.86223280080226</x:v>
      </x:c>
      <x:c r="I421" s="24" t="n">
        <x:v>68.75768900770743</x:v>
      </x:c>
      <x:c r="J421" s="24"/>
      <x:c r="K421" s="24"/>
      <x:c r="L421" s="24" t="n">
        <x:v>81.97125865076687</x:v>
      </x:c>
      <x:c r="M421" s="24" t="n">
        <x:v>50</x:v>
      </x:c>
      <x:c r="N421" s="24" t="n">
        <x:v>70.28850866294522</x:v>
      </x:c>
      <x:c r="O421" s="24" t="n">
        <x:v>69.84163813512657</x:v>
      </x:c>
      <x:c r="P421" s="24"/>
      <x:c r="Q421" s="24"/>
      <x:c r="R421" s="24" t="n">
        <x:v>64.972724888111</x:v>
      </x:c>
      <x:c r="S421" s="24"/>
      <x:c r="T421" s="24"/>
      <x:c r="U421" s="24"/>
    </x:row>
    <x:row r="422">
      <x:c r="A422" s="24" t="n">
        <x:v>42</x:v>
      </x:c>
      <x:c r="B422" s="24" t="n">
        <x:v>65.62079752057714</x:v>
      </x:c>
      <x:c r="C422" s="24" t="n">
        <x:v>62.411881279744065</x:v>
      </x:c>
      <x:c r="D422" s="24" t="n">
        <x:v>62.397036481490645</x:v>
      </x:c>
      <x:c r="E422" s="24" t="n">
        <x:v>69.54831286269064</x:v>
      </x:c>
      <x:c r="F422" s="24" t="n">
        <x:v>64.15701726895033</x:v>
      </x:c>
      <x:c r="G422" s="24"/>
      <x:c r="H422" s="24" t="n">
        <x:v>77.06791352463645</x:v>
      </x:c>
      <x:c r="I422" s="24" t="n">
        <x:v>65.79816655726425</x:v>
      </x:c>
      <x:c r="J422" s="24"/>
      <x:c r="K422" s="24"/>
      <x:c r="L422" s="24" t="n">
        <x:v>78.85015559047534</x:v>
      </x:c>
      <x:c r="M422" s="24" t="n">
        <x:v>50</x:v>
      </x:c>
      <x:c r="N422" s="24" t="n">
        <x:v>70.56454603998871</x:v>
      </x:c>
      <x:c r="O422" s="24" t="n">
        <x:v>67.99807542895155</x:v>
      </x:c>
      <x:c r="P422" s="24"/>
      <x:c r="Q422" s="24"/>
      <x:c r="R422" s="24" t="n">
        <x:v>50</x:v>
      </x:c>
      <x:c r="S422" s="24"/>
      <x:c r="T422" s="24"/>
      <x:c r="U422" s="24"/>
    </x:row>
    <x:row r="423">
      <x:c r="A423" s="24" t="n">
        <x:v>42.1</x:v>
      </x:c>
      <x:c r="B423" s="24" t="n">
        <x:v>81.8065873723013</x:v>
      </x:c>
      <x:c r="C423" s="24" t="n">
        <x:v>60.440222021788</x:v>
      </x:c>
      <x:c r="D423" s="24" t="n">
        <x:v>61.70828317990199</x:v>
      </x:c>
      <x:c r="E423" s="24" t="n">
        <x:v>84.42908446161465</x:v>
      </x:c>
      <x:c r="F423" s="24" t="n">
        <x:v>68.26854276083856</x:v>
      </x:c>
      <x:c r="G423" s="24"/>
      <x:c r="H423" s="24" t="n">
        <x:v>63.74117866007269</x:v>
      </x:c>
      <x:c r="I423" s="24" t="n">
        <x:v>79.06905590673114</x:v>
      </x:c>
      <x:c r="J423" s="24"/>
      <x:c r="K423" s="24"/>
      <x:c r="L423" s="24" t="n">
        <x:v>75.45198662380903</x:v>
      </x:c>
      <x:c r="M423" s="24" t="n">
        <x:v>78.0164097748871</x:v>
      </x:c>
      <x:c r="N423" s="24" t="n">
        <x:v>71.17274769719471</x:v>
      </x:c>
      <x:c r="O423" s="24" t="n">
        <x:v>67.06239528354821</x:v>
      </x:c>
      <x:c r="P423" s="24"/>
      <x:c r="Q423" s="24"/>
      <x:c r="R423" s="24" t="n">
        <x:v>58.61162784171366</x:v>
      </x:c>
      <x:c r="S423" s="24"/>
      <x:c r="T423" s="24"/>
      <x:c r="U423" s="24"/>
    </x:row>
    <x:row r="424">
      <x:c r="A424" s="24" t="n">
        <x:v>42.2</x:v>
      </x:c>
      <x:c r="B424" s="24" t="n">
        <x:v>84.37220086227323</x:v>
      </x:c>
      <x:c r="C424" s="24" t="n">
        <x:v>60.77659111138742</x:v>
      </x:c>
      <x:c r="D424" s="24" t="n">
        <x:v>64.64765732520691</x:v>
      </x:c>
      <x:c r="E424" s="24" t="n">
        <x:v>84.55843192832198</x:v>
      </x:c>
      <x:c r="F424" s="24" t="n">
        <x:v>68.26854276083856</x:v>
      </x:c>
      <x:c r="G424" s="24"/>
      <x:c r="H424" s="24" t="n">
        <x:v>51.61450987372493</x:v>
      </x:c>
      <x:c r="I424" s="24" t="n">
        <x:v>79.53797999652298</x:v>
      </x:c>
      <x:c r="J424" s="24"/>
      <x:c r="K424" s="24"/>
      <x:c r="L424" s="24" t="n">
        <x:v>69.6713891821429</x:v>
      </x:c>
      <x:c r="M424" s="24" t="n">
        <x:v>78.0164097748871</x:v>
      </x:c>
      <x:c r="N424" s="24" t="n">
        <x:v>77.72167221479036</x:v>
      </x:c>
      <x:c r="O424" s="24" t="n">
        <x:v>66.25970306250457</x:v>
      </x:c>
      <x:c r="P424" s="24"/>
      <x:c r="Q424" s="24"/>
      <x:c r="R424" s="24" t="n">
        <x:v>60.50238430162679</x:v>
      </x:c>
      <x:c r="S424" s="24"/>
      <x:c r="T424" s="24"/>
      <x:c r="U424" s="24"/>
    </x:row>
    <x:row r="425">
      <x:c r="A425" s="24" t="n">
        <x:v>42.300000000000004</x:v>
      </x:c>
      <x:c r="B425" s="24" t="n">
        <x:v>84.37220086227323</x:v>
      </x:c>
      <x:c r="C425" s="24" t="n">
        <x:v>60.776591111386224</x:v>
      </x:c>
      <x:c r="D425" s="24" t="n">
        <x:v>64.64765732520752</x:v>
      </x:c>
      <x:c r="E425" s="24" t="n">
        <x:v>81.83732183272592</x:v>
      </x:c>
      <x:c r="F425" s="24" t="n">
        <x:v>67.22611799992082</x:v>
      </x:c>
      <x:c r="G425" s="24"/>
      <x:c r="H425" s="24" t="n">
        <x:v>47.50917001791066</x:v>
      </x:c>
      <x:c r="I425" s="24" t="n">
        <x:v>78.36951911668295</x:v>
      </x:c>
      <x:c r="J425" s="24"/>
      <x:c r="K425" s="24"/>
      <x:c r="L425" s="24" t="n">
        <x:v>67.93203676345661</x:v>
      </x:c>
      <x:c r="M425" s="24" t="n">
        <x:v>74.85542294311689</x:v>
      </x:c>
      <x:c r="N425" s="24" t="n">
        <x:v>82.85528680407229</x:v>
      </x:c>
      <x:c r="O425" s="24" t="n">
        <x:v>66.1385992567993</x:v>
      </x:c>
      <x:c r="P425" s="24"/>
      <x:c r="Q425" s="24"/>
      <x:c r="R425" s="24" t="n">
        <x:v>80.21423943614326</x:v>
      </x:c>
      <x:c r="S425" s="24"/>
      <x:c r="T425" s="24"/>
      <x:c r="U425" s="24"/>
    </x:row>
    <x:row r="426">
      <x:c r="A426" s="24" t="n">
        <x:v>42.400000000000006</x:v>
      </x:c>
      <x:c r="B426" s="24" t="n">
        <x:v>76.26956190373508</x:v>
      </x:c>
      <x:c r="C426" s="24" t="n">
        <x:v>51.595284178115094</x:v>
      </x:c>
      <x:c r="D426" s="24" t="n">
        <x:v>67.1801336643487</x:v>
      </x:c>
      <x:c r="E426" s="24" t="n">
        <x:v>71.55231288163503</x:v>
      </x:c>
      <x:c r="F426" s="24" t="n">
        <x:v>68.55147124071398</x:v>
      </x:c>
      <x:c r="G426" s="24"/>
      <x:c r="H426" s="24" t="n">
        <x:v>50.22209079351917</x:v>
      </x:c>
      <x:c r="I426" s="24" t="n">
        <x:v>67.84489746916739</x:v>
      </x:c>
      <x:c r="J426" s="24"/>
      <x:c r="K426" s="24"/>
      <x:c r="L426" s="24" t="n">
        <x:v>66.58720652593617</x:v>
      </x:c>
      <x:c r="M426" s="24" t="n">
        <x:v>73.39791793513604</x:v>
      </x:c>
      <x:c r="N426" s="24" t="n">
        <x:v>82.85528680407229</x:v>
      </x:c>
      <x:c r="O426" s="24" t="n">
        <x:v>67.15048162026316</x:v>
      </x:c>
      <x:c r="P426" s="24"/>
      <x:c r="Q426" s="24"/>
      <x:c r="R426" s="24" t="n">
        <x:v>80.21423943614326</x:v>
      </x:c>
      <x:c r="S426" s="24"/>
      <x:c r="T426" s="24"/>
      <x:c r="U426" s="24"/>
    </x:row>
    <x:row r="427">
      <x:c r="A427" s="24" t="n">
        <x:v>42.5</x:v>
      </x:c>
      <x:c r="B427" s="24" t="n">
        <x:v>68.61791700628534</x:v>
      </x:c>
      <x:c r="C427" s="24" t="n">
        <x:v>76.11305402871731</x:v>
      </x:c>
      <x:c r="D427" s="24" t="n">
        <x:v>90.12526219758702</x:v>
      </x:c>
      <x:c r="E427" s="24" t="n">
        <x:v>66.96616388025053</x:v>
      </x:c>
      <x:c r="F427" s="24" t="n">
        <x:v>68.92754923849282</x:v>
      </x:c>
      <x:c r="G427" s="24"/>
      <x:c r="H427" s="24" t="n">
        <x:v>63.786694671558806</x:v>
      </x:c>
      <x:c r="I427" s="24" t="n">
        <x:v>55.58561805055722</x:v>
      </x:c>
      <x:c r="J427" s="24"/>
      <x:c r="K427" s="24"/>
      <x:c r="L427" s="24" t="n">
        <x:v>68.44899422456633</x:v>
      </x:c>
      <x:c r="M427" s="24" t="n">
        <x:v>72.73544464399224</x:v>
      </x:c>
      <x:c r="N427" s="24" t="n">
        <x:v>78.55561054556712</x:v>
      </x:c>
      <x:c r="O427" s="24" t="n">
        <x:v>67.4827640170482</x:v>
      </x:c>
      <x:c r="P427" s="24"/>
      <x:c r="Q427" s="24"/>
      <x:c r="R427" s="24" t="n">
        <x:v>73.43720889912655</x:v>
      </x:c>
      <x:c r="S427" s="24"/>
      <x:c r="T427" s="24"/>
      <x:c r="U427" s="24"/>
    </x:row>
    <x:row r="428">
      <x:c r="A428" s="24" t="n">
        <x:v>42.6</x:v>
      </x:c>
      <x:c r="B428" s="24" t="n">
        <x:v>66.16207673585838</x:v>
      </x:c>
      <x:c r="C428" s="24" t="n">
        <x:v>77.94626054344806</x:v>
      </x:c>
      <x:c r="D428" s="24" t="n">
        <x:v>90.12526219758702</x:v>
      </x:c>
      <x:c r="E428" s="24" t="n">
        <x:v>66.10740573367458</x:v>
      </x:c>
      <x:c r="F428" s="24" t="n">
        <x:v>68.36220711260898</x:v>
      </x:c>
      <x:c r="G428" s="24"/>
      <x:c r="H428" s="24" t="n">
        <x:v>66.49961544716732</x:v>
      </x:c>
      <x:c r="I428" s="24" t="n">
        <x:v>45.56881161460947</x:v>
      </x:c>
      <x:c r="J428" s="24"/>
      <x:c r="K428" s="24"/>
      <x:c r="L428" s="24" t="n">
        <x:v>68.74897761634493</x:v>
      </x:c>
      <x:c r="M428" s="24" t="n">
        <x:v>70.32795032482626</x:v>
      </x:c>
      <x:c r="N428" s="24" t="n">
        <x:v>66.80996315523792</x:v>
      </x:c>
      <x:c r="O428" s="24" t="n">
        <x:v>68.6709459513009</x:v>
      </x:c>
      <x:c r="P428" s="24"/>
      <x:c r="Q428" s="24"/>
      <x:c r="R428" s="24" t="n">
        <x:v>69.53793021688867</x:v>
      </x:c>
      <x:c r="S428" s="24"/>
      <x:c r="T428" s="24"/>
      <x:c r="U428" s="24"/>
    </x:row>
    <x:row r="429">
      <x:c r="A429" s="24" t="n">
        <x:v>42.7</x:v>
      </x:c>
      <x:c r="B429" s="24" t="n">
        <x:v>65.1339008554159</x:v>
      </x:c>
      <x:c r="C429" s="24" t="n">
        <x:v>77.94626054344806</x:v>
      </x:c>
      <x:c r="D429" s="24" t="n">
        <x:v>86.32211608463176</x:v>
      </x:c>
      <x:c r="E429" s="24" t="n">
        <x:v>65.24864758709863</x:v>
      </x:c>
      <x:c r="F429" s="24" t="n">
        <x:v>69.2767675934551</x:v>
      </x:c>
      <x:c r="G429" s="24"/>
      <x:c r="H429" s="24" t="n">
        <x:v>74.58230686164798</x:v>
      </x:c>
      <x:c r="I429" s="24" t="n">
        <x:v>62.89976656456159</x:v>
      </x:c>
      <x:c r="J429" s="24"/>
      <x:c r="K429" s="24"/>
      <x:c r="L429" s="24" t="n">
        <x:v>68.74897761634493</x:v>
      </x:c>
      <x:c r="M429" s="24" t="n">
        <x:v>70.32795032482626</x:v>
      </x:c>
      <x:c r="N429" s="24" t="n">
        <x:v>50</x:v>
      </x:c>
      <x:c r="O429" s="24" t="n">
        <x:v>68.6709459513009</x:v>
      </x:c>
      <x:c r="P429" s="24"/>
      <x:c r="Q429" s="24"/>
      <x:c r="R429" s="24" t="n">
        <x:v>67.06715390454202</x:v>
      </x:c>
      <x:c r="S429" s="24"/>
      <x:c r="T429" s="24"/>
      <x:c r="U429" s="24"/>
    </x:row>
    <x:row r="430">
      <x:c r="A430" s="24" t="n">
        <x:v>42.800000000000004</x:v>
      </x:c>
      <x:c r="B430" s="24" t="n">
        <x:v>64.7346309152502</x:v>
      </x:c>
      <x:c r="C430" s="24" t="n">
        <x:v>72.10776078207847</x:v>
      </x:c>
      <x:c r="D430" s="24" t="n">
        <x:v>77.84078100202585</x:v>
      </x:c>
      <x:c r="E430" s="24" t="n">
        <x:v>64.73339269915311</x:v>
      </x:c>
      <x:c r="F430" s="24" t="n">
        <x:v>70.6839740817562</x:v>
      </x:c>
      <x:c r="G430" s="24"/>
      <x:c r="H430" s="24" t="n">
        <x:v>74.58230686164798</x:v>
      </x:c>
      <x:c r="I430" s="24" t="n">
        <x:v>63.0318994311295</x:v>
      </x:c>
      <x:c r="J430" s="24"/>
      <x:c r="K430" s="24"/>
      <x:c r="L430" s="24" t="n">
        <x:v>69.19542890615425</x:v>
      </x:c>
      <x:c r="M430" s="24" t="n">
        <x:v>71.4488693053337</x:v>
      </x:c>
      <x:c r="N430" s="24" t="n">
        <x:v>50</x:v>
      </x:c>
      <x:c r="O430" s="24" t="n">
        <x:v>76.16751616503632</x:v>
      </x:c>
      <x:c r="P430" s="24"/>
      <x:c r="Q430" s="24"/>
      <x:c r="R430" s="24" t="n">
        <x:v>65.75642447522867</x:v>
      </x:c>
      <x:c r="S430" s="24"/>
      <x:c r="T430" s="24"/>
      <x:c r="U430" s="24"/>
    </x:row>
    <x:row r="431">
      <x:c r="A431" s="24" t="n">
        <x:v>42.900000000000006</x:v>
      </x:c>
      <x:c r="B431" s="24" t="n">
        <x:v>64.84633406646624</x:v>
      </x:c>
      <x:c r="C431" s="24" t="n">
        <x:v>62.80079118023804</x:v>
      </x:c>
      <x:c r="D431" s="24" t="n">
        <x:v>76.41081600498876</x:v>
      </x:c>
      <x:c r="E431" s="24" t="n">
        <x:v>64.7333926991531</x:v>
      </x:c>
      <x:c r="F431" s="24" t="n">
        <x:v>70.6839740817562</x:v>
      </x:c>
      <x:c r="G431" s="24"/>
      <x:c r="H431" s="24" t="n">
        <x:v>67.24603873268192</x:v>
      </x:c>
      <x:c r="I431" s="24" t="n">
        <x:v>70.53180491427474</x:v>
      </x:c>
      <x:c r="J431" s="24"/>
      <x:c r="K431" s="24"/>
      <x:c r="L431" s="24" t="n">
        <x:v>69.20721172683567</x:v>
      </x:c>
      <x:c r="M431" s="24" t="n">
        <x:v>71.4488693053337</x:v>
      </x:c>
      <x:c r="N431" s="24" t="n">
        <x:v>50</x:v>
      </x:c>
      <x:c r="O431" s="24" t="n">
        <x:v>77.96612574651186</x:v>
      </x:c>
      <x:c r="P431" s="24"/>
      <x:c r="Q431" s="24"/>
      <x:c r="R431" s="24" t="n">
        <x:v>64.64328182176706</x:v>
      </x:c>
      <x:c r="S431" s="24"/>
      <x:c r="T431" s="24"/>
      <x:c r="U431" s="24"/>
    </x:row>
    <x:row r="432">
      <x:c r="A432" s="24" t="n">
        <x:v>43</x:v>
      </x:c>
      <x:c r="B432" s="24" t="n">
        <x:v>65.40484982254632</x:v>
      </x:c>
      <x:c r="C432" s="24" t="n">
        <x:v>65.98530100615002</x:v>
      </x:c>
      <x:c r="D432" s="24" t="n">
        <x:v>74.7155043381057</x:v>
      </x:c>
      <x:c r="E432" s="24" t="n">
        <x:v>66.71251661724052</x:v>
      </x:c>
      <x:c r="F432" s="24" t="n">
        <x:v>85.29062278189625</x:v>
      </x:c>
      <x:c r="G432" s="24"/>
      <x:c r="H432" s="24" t="n">
        <x:v>64.43145259754942</x:v>
      </x:c>
      <x:c r="I432" s="24" t="n">
        <x:v>70.53180491427474</x:v>
      </x:c>
      <x:c r="J432" s="24"/>
      <x:c r="K432" s="24"/>
      <x:c r="L432" s="24" t="n">
        <x:v>69.23772756113574</x:v>
      </x:c>
      <x:c r="M432" s="24" t="n">
        <x:v>71.90777375103069</x:v>
      </x:c>
      <x:c r="N432" s="24" t="n">
        <x:v>50</x:v>
      </x:c>
      <x:c r="O432" s="24" t="n">
        <x:v>77.96612574651186</x:v>
      </x:c>
      <x:c r="P432" s="24"/>
      <x:c r="Q432" s="24"/>
      <x:c r="R432" s="24" t="n">
        <x:v>64.92009709338144</x:v>
      </x:c>
      <x:c r="S432" s="24"/>
      <x:c r="T432" s="24"/>
      <x:c r="U432" s="24"/>
    </x:row>
    <x:row r="433">
      <x:c r="A433" s="24" t="n">
        <x:v>43.1</x:v>
      </x:c>
      <x:c r="B433" s="24" t="n">
        <x:v>67.59873257400747</x:v>
      </x:c>
      <x:c r="C433" s="24" t="n">
        <x:v>69.06536492256578</x:v>
      </x:c>
      <x:c r="D433" s="24" t="n">
        <x:v>73.11970541759291</x:v>
      </x:c>
      <x:c r="E433" s="24" t="n">
        <x:v>74.70476160235717</x:v>
      </x:c>
      <x:c r="F433" s="24" t="n">
        <x:v>85.67379872626199</x:v>
      </x:c>
      <x:c r="G433" s="24"/>
      <x:c r="H433" s="24" t="n">
        <x:v>70.85532685398472</x:v>
      </x:c>
      <x:c r="I433" s="24" t="n">
        <x:v>45.56881161460947</x:v>
      </x:c>
      <x:c r="J433" s="24"/>
      <x:c r="K433" s="24"/>
      <x:c r="L433" s="24" t="n">
        <x:v>69.23772756113574</x:v>
      </x:c>
      <x:c r="M433" s="24" t="n">
        <x:v>71.90777375103069</x:v>
      </x:c>
      <x:c r="N433" s="24" t="n">
        <x:v>77.44526325325513</x:v>
      </x:c>
      <x:c r="O433" s="24" t="n">
        <x:v>69.89901365640169</x:v>
      </x:c>
      <x:c r="P433" s="24"/>
      <x:c r="Q433" s="24"/>
      <x:c r="R433" s="24" t="n">
        <x:v>64.92009709338144</x:v>
      </x:c>
      <x:c r="S433" s="24"/>
      <x:c r="T433" s="24"/>
      <x:c r="U433" s="24"/>
    </x:row>
    <x:row r="434">
      <x:c r="A434" s="24" t="n">
        <x:v>43.2</x:v>
      </x:c>
      <x:c r="B434" s="24" t="n">
        <x:v>67.59873257400747</x:v>
      </x:c>
      <x:c r="C434" s="24" t="n">
        <x:v>69.35609020783224</x:v>
      </x:c>
      <x:c r="D434" s="24" t="n">
        <x:v>67.70693467898687</x:v>
      </x:c>
      <x:c r="E434" s="24" t="n">
        <x:v>74.70476160235717</x:v>
      </x:c>
      <x:c r="F434" s="24" t="n">
        <x:v>85.6044661063063</x:v>
      </x:c>
      <x:c r="G434" s="24"/>
      <x:c r="H434" s="24" t="n">
        <x:v>73.76634480151382</x:v>
      </x:c>
      <x:c r="I434" s="24" t="n">
        <x:v>60.3473121468772</x:v>
      </x:c>
      <x:c r="J434" s="24"/>
      <x:c r="K434" s="24"/>
      <x:c r="L434" s="24" t="n">
        <x:v>73.5177095521316</x:v>
      </x:c>
      <x:c r="M434" s="24" t="n">
        <x:v>71.70923213730309</x:v>
      </x:c>
      <x:c r="N434" s="24" t="n">
        <x:v>78.11279514715754</x:v>
      </x:c>
      <x:c r="O434" s="24" t="n">
        <x:v>50</x:v>
      </x:c>
      <x:c r="P434" s="24"/>
      <x:c r="Q434" s="24"/>
      <x:c r="R434" s="24" t="n">
        <x:v>65.64078053456748</x:v>
      </x:c>
      <x:c r="S434" s="24"/>
      <x:c r="T434" s="24"/>
      <x:c r="U434" s="24"/>
    </x:row>
    <x:row r="435">
      <x:c r="A435" s="24" t="n">
        <x:v>43.300000000000004</x:v>
      </x:c>
      <x:c r="B435" s="24" t="n">
        <x:v>65.75175945106535</x:v>
      </x:c>
      <x:c r="C435" s="24" t="n">
        <x:v>71.01926076003659</x:v>
      </x:c>
      <x:c r="D435" s="24" t="n">
        <x:v>68.29994857498241</x:v>
      </x:c>
      <x:c r="E435" s="24" t="n">
        <x:v>69.45641429962673</x:v>
      </x:c>
      <x:c r="F435" s="24" t="n">
        <x:v>76.34723209597975</x:v>
      </x:c>
      <x:c r="G435" s="24"/>
      <x:c r="H435" s="24" t="n">
        <x:v>74.23899063625697</x:v>
      </x:c>
      <x:c r="I435" s="24" t="n">
        <x:v>67.51816573019708</x:v>
      </x:c>
      <x:c r="J435" s="24"/>
      <x:c r="K435" s="24"/>
      <x:c r="L435" s="24" t="n">
        <x:v>80.95862750036909</x:v>
      </x:c>
      <x:c r="M435" s="24" t="n">
        <x:v>71.56453656637399</x:v>
      </x:c>
      <x:c r="N435" s="24" t="n">
        <x:v>77.63202101879865</x:v>
      </x:c>
      <x:c r="O435" s="24" t="n">
        <x:v>50</x:v>
      </x:c>
      <x:c r="P435" s="24"/>
      <x:c r="Q435" s="24"/>
      <x:c r="R435" s="24" t="n">
        <x:v>65.91861315111595</x:v>
      </x:c>
      <x:c r="S435" s="24"/>
      <x:c r="T435" s="24"/>
      <x:c r="U435" s="24"/>
    </x:row>
    <x:row r="436">
      <x:c r="A436" s="24" t="n">
        <x:v>43.400000000000006</x:v>
      </x:c>
      <x:c r="B436" s="24"/>
      <x:c r="C436" s="24" t="n">
        <x:v>71.01926076003659</x:v>
      </x:c>
      <x:c r="D436" s="24" t="n">
        <x:v>68.29994857498221</x:v>
      </x:c>
      <x:c r="E436" s="24" t="n">
        <x:v>63.28736382579466</x:v>
      </x:c>
      <x:c r="F436" s="24" t="n">
        <x:v>67.14225752952156</x:v>
      </x:c>
      <x:c r="G436" s="24"/>
      <x:c r="H436" s="24" t="n">
        <x:v>74.23899063625676</x:v>
      </x:c>
      <x:c r="I436" s="24" t="n">
        <x:v>67.51816573019708</x:v>
      </x:c>
      <x:c r="J436" s="24"/>
      <x:c r="K436" s="24"/>
      <x:c r="L436" s="24" t="n">
        <x:v>80.95862750036909</x:v>
      </x:c>
      <x:c r="M436" s="24" t="n">
        <x:v>69.41814038607205</x:v>
      </x:c>
      <x:c r="N436" s="24" t="n">
        <x:v>74.59212506185439</x:v>
      </x:c>
      <x:c r="O436" s="24" t="n">
        <x:v>50</x:v>
      </x:c>
      <x:c r="P436" s="24"/>
      <x:c r="Q436" s="24"/>
      <x:c r="R436" s="24" t="n">
        <x:v>65.91861315111595</x:v>
      </x:c>
      <x:c r="S436" s="24"/>
      <x:c r="T436" s="24"/>
      <x:c r="U436" s="24"/>
    </x:row>
    <x:row r="437">
      <x:c r="A437" s="24" t="n">
        <x:v>43.5</x:v>
      </x:c>
      <x:c r="B437" s="24"/>
      <x:c r="C437" s="24" t="n">
        <x:v>70.87525917617015</x:v>
      </x:c>
      <x:c r="D437" s="24" t="n">
        <x:v>64.82669213338141</x:v>
      </x:c>
      <x:c r="E437" s="24" t="n">
        <x:v>58.50221272988752</x:v>
      </x:c>
      <x:c r="F437" s="24" t="n">
        <x:v>64.5000000682297</x:v>
      </x:c>
      <x:c r="G437" s="24"/>
      <x:c r="H437" s="24" t="n">
        <x:v>73.13173981367086</x:v>
      </x:c>
      <x:c r="I437" s="24" t="n">
        <x:v>67.31988233653146</x:v>
      </x:c>
      <x:c r="J437" s="24"/>
      <x:c r="K437" s="24"/>
      <x:c r="L437" s="24" t="n">
        <x:v>75.97861880926904</x:v>
      </x:c>
      <x:c r="M437" s="24" t="n">
        <x:v>79.29894417553348</x:v>
      </x:c>
      <x:c r="N437" s="24" t="n">
        <x:v>73.29386511980164</x:v>
      </x:c>
      <x:c r="O437" s="24" t="n">
        <x:v>50</x:v>
      </x:c>
      <x:c r="P437" s="24"/>
      <x:c r="Q437" s="24"/>
      <x:c r="R437" s="24" t="n">
        <x:v>65.31227697197187</x:v>
      </x:c>
      <x:c r="S437" s="24"/>
      <x:c r="T437" s="24"/>
      <x:c r="U437" s="24"/>
    </x:row>
    <x:row r="438">
      <x:c r="A438" s="24" t="n">
        <x:v>43.6</x:v>
      </x:c>
      <x:c r="B438" s="24"/>
      <x:c r="C438" s="24" t="n">
        <x:v>70.87525917617015</x:v>
      </x:c>
      <x:c r="D438" s="24" t="n">
        <x:v>75.30869211595815</x:v>
      </x:c>
      <x:c r="E438" s="24" t="n">
        <x:v>65.93992911927818</x:v>
      </x:c>
      <x:c r="F438" s="24" t="n">
        <x:v>52.62734679463941</x:v>
      </x:c>
      <x:c r="G438" s="24"/>
      <x:c r="H438" s="24" t="n">
        <x:v>73.86312247927931</x:v>
      </x:c>
      <x:c r="I438" s="24" t="n">
        <x:v>68.21186112850275</x:v>
      </x:c>
      <x:c r="J438" s="24"/>
      <x:c r="K438" s="24"/>
      <x:c r="L438" s="24" t="n">
        <x:v>67.38023584271266</x:v>
      </x:c>
      <x:c r="M438" s="24" t="n">
        <x:v>79.29894417553348</x:v>
      </x:c>
      <x:c r="N438" s="24" t="n">
        <x:v>70.26231537311553</x:v>
      </x:c>
      <x:c r="O438" s="24" t="n">
        <x:v>80.69333976456272</x:v>
      </x:c>
      <x:c r="P438" s="24"/>
      <x:c r="Q438" s="24"/>
      <x:c r="R438" s="24" t="n">
        <x:v>75.07926322689534</x:v>
      </x:c>
      <x:c r="S438" s="24"/>
      <x:c r="T438" s="24"/>
      <x:c r="U438" s="24"/>
    </x:row>
    <x:row r="439">
      <x:c r="A439" s="24" t="n">
        <x:v>43.7</x:v>
      </x:c>
      <x:c r="B439" s="24"/>
      <x:c r="C439" s="24" t="n">
        <x:v>70.42209540239708</x:v>
      </x:c>
      <x:c r="D439" s="24" t="n">
        <x:v>75.30869211595815</x:v>
      </x:c>
      <x:c r="E439" s="24" t="n">
        <x:v>65.93992911927818</x:v>
      </x:c>
      <x:c r="F439" s="24" t="n">
        <x:v>62.37345323670116</x:v>
      </x:c>
      <x:c r="G439" s="24"/>
      <x:c r="H439" s="24" t="n">
        <x:v>73.86312247927931</x:v>
      </x:c>
      <x:c r="I439" s="24" t="n">
        <x:v>68.21186112850275</x:v>
      </x:c>
      <x:c r="J439" s="24"/>
      <x:c r="K439" s="24"/>
      <x:c r="L439" s="24" t="n">
        <x:v>50</x:v>
      </x:c>
      <x:c r="M439" s="24" t="n">
        <x:v>74.2921878944958</x:v>
      </x:c>
      <x:c r="N439" s="24" t="n">
        <x:v>70.13023282285018</x:v>
      </x:c>
      <x:c r="O439" s="24" t="n">
        <x:v>80.69333976456272</x:v>
      </x:c>
      <x:c r="P439" s="24"/>
      <x:c r="Q439" s="24"/>
      <x:c r="R439" s="24" t="n">
        <x:v>77.52817063182718</x:v>
      </x:c>
      <x:c r="S439" s="24"/>
      <x:c r="T439" s="24"/>
      <x:c r="U439" s="24"/>
    </x:row>
    <x:row r="440">
      <x:c r="A440" s="24" t="n">
        <x:v>43.800000000000004</x:v>
      </x:c>
      <x:c r="B440" s="24"/>
      <x:c r="C440" s="24" t="n">
        <x:v>70.1769957046726</x:v>
      </x:c>
      <x:c r="D440" s="24" t="n">
        <x:v>72.04813807108187</x:v>
      </x:c>
      <x:c r="E440" s="24" t="n">
        <x:v>66.69713567250253</x:v>
      </x:c>
      <x:c r="F440" s="24" t="n">
        <x:v>66.27189581352573</x:v>
      </x:c>
      <x:c r="G440" s="24"/>
      <x:c r="H440" s="24" t="n">
        <x:v>74.0944143444761</x:v>
      </x:c>
      <x:c r="I440" s="24" t="n">
        <x:v>68.67150296746313</x:v>
      </x:c>
      <x:c r="J440" s="24"/>
      <x:c r="K440" s="24"/>
      <x:c r="L440" s="24" t="n">
        <x:v>50</x:v>
      </x:c>
      <x:c r="M440" s="24" t="n">
        <x:v>63.355375237008836</x:v>
      </x:c>
      <x:c r="N440" s="24" t="n">
        <x:v>69.67274659455659</x:v>
      </x:c>
      <x:c r="O440" s="24" t="n">
        <x:v>78.09500839118554</x:v>
      </x:c>
      <x:c r="P440" s="24"/>
      <x:c r="Q440" s="24"/>
      <x:c r="R440" s="24" t="n">
        <x:v>77.52817063182712</x:v>
      </x:c>
      <x:c r="S440" s="24"/>
      <x:c r="T440" s="24"/>
      <x:c r="U440" s="24"/>
    </x:row>
    <x:row r="441">
      <x:c r="A441" s="24" t="n">
        <x:v>43.900000000000006</x:v>
      </x:c>
      <x:c r="B441" s="24"/>
      <x:c r="C441" s="24" t="n">
        <x:v>70.1769957046726</x:v>
      </x:c>
      <x:c r="D441" s="24" t="n">
        <x:v>65.02711738386887</x:v>
      </x:c>
      <x:c r="E441" s="24" t="n">
        <x:v>67.26751543106633</x:v>
      </x:c>
      <x:c r="F441" s="24" t="n">
        <x:v>65.84138210539993</x:v>
      </x:c>
      <x:c r="G441" s="24"/>
      <x:c r="H441" s="24" t="n">
        <x:v>74.62380087194455</x:v>
      </x:c>
      <x:c r="I441" s="24" t="n">
        <x:v>68.67150296746313</x:v>
      </x:c>
      <x:c r="J441" s="24"/>
      <x:c r="K441" s="24"/>
      <x:c r="L441" s="24" t="n">
        <x:v>50</x:v>
      </x:c>
      <x:c r="M441" s="24" t="n">
        <x:v>50</x:v>
      </x:c>
      <x:c r="N441" s="24" t="n">
        <x:v>70.04184285576818</x:v>
      </x:c>
      <x:c r="O441" s="24" t="n">
        <x:v>75.63292226062872</x:v>
      </x:c>
      <x:c r="P441" s="24"/>
      <x:c r="Q441" s="24"/>
      <x:c r="R441" s="24" t="n">
        <x:v>69.25335593423884</x:v>
      </x:c>
      <x:c r="S441" s="24"/>
      <x:c r="T441" s="24"/>
      <x:c r="U441" s="24"/>
    </x:row>
    <x:row r="442">
      <x:c r="A442" s="24" t="n">
        <x:v>44</x:v>
      </x:c>
      <x:c r="B442" s="24"/>
      <x:c r="C442" s="24" t="n">
        <x:v>69.70398884379053</x:v>
      </x:c>
      <x:c r="D442" s="24" t="n">
        <x:v>52.39175843351897</x:v>
      </x:c>
      <x:c r="E442" s="24" t="n">
        <x:v>67.52284055343006</x:v>
      </x:c>
      <x:c r="F442" s="24" t="n">
        <x:v>70.22784220422349</x:v>
      </x:c>
      <x:c r="G442" s="24"/>
      <x:c r="H442" s="24" t="n">
        <x:v>74.62380087194455</x:v>
      </x:c>
      <x:c r="I442" s="24" t="n">
        <x:v>68.5893903007782</x:v>
      </x:c>
      <x:c r="J442" s="24"/>
      <x:c r="K442" s="24"/>
      <x:c r="L442" s="24" t="n">
        <x:v>50</x:v>
      </x:c>
      <x:c r="M442" s="24" t="n">
        <x:v>50</x:v>
      </x:c>
      <x:c r="N442" s="24" t="n">
        <x:v>70.9194652870013</x:v>
      </x:c>
      <x:c r="O442" s="24" t="n">
        <x:v>68.68542905157501</x:v>
      </x:c>
      <x:c r="P442" s="24"/>
      <x:c r="Q442" s="24"/>
      <x:c r="R442" s="24" t="n">
        <x:v>50</x:v>
      </x:c>
      <x:c r="S442" s="24"/>
      <x:c r="T442" s="24"/>
      <x:c r="U442" s="24"/>
    </x:row>
    <x:row r="443">
      <x:c r="A443" s="24" t="n">
        <x:v>44.1</x:v>
      </x:c>
      <x:c r="B443" s="24"/>
      <x:c r="C443" s="24" t="n">
        <x:v>70.25697705915165</x:v>
      </x:c>
      <x:c r="D443" s="24" t="n">
        <x:v>53.226552231697596</x:v>
      </x:c>
      <x:c r="E443" s="24" t="n">
        <x:v>68.35958214599174</x:v>
      </x:c>
      <x:c r="F443" s="24" t="n">
        <x:v>70.22784220422349</x:v>
      </x:c>
      <x:c r="G443" s="24"/>
      <x:c r="H443" s="24" t="n">
        <x:v>78.0509305741505</x:v>
      </x:c>
      <x:c r="I443" s="24" t="n">
        <x:v>66.07594136839708</x:v>
      </x:c>
      <x:c r="J443" s="24"/>
      <x:c r="K443" s="24"/>
      <x:c r="L443" s="24" t="n">
        <x:v>50</x:v>
      </x:c>
      <x:c r="M443" s="24" t="n">
        <x:v>50</x:v>
      </x:c>
      <x:c r="N443" s="24" t="n">
        <x:v>71.05121502686515</x:v>
      </x:c>
      <x:c r="O443" s="24" t="n">
        <x:v>67.84826293619554</x:v>
      </x:c>
      <x:c r="P443" s="24"/>
      <x:c r="Q443" s="24"/>
      <x:c r="R443" s="24" t="n">
        <x:v>50</x:v>
      </x:c>
      <x:c r="S443" s="24"/>
      <x:c r="T443" s="24"/>
      <x:c r="U443" s="24"/>
    </x:row>
    <x:row r="444">
      <x:c r="A444" s="24" t="n">
        <x:v>44.2</x:v>
      </x:c>
      <x:c r="B444" s="24"/>
      <x:c r="C444" s="24" t="n">
        <x:v>81.87584402513266</x:v>
      </x:c>
      <x:c r="D444" s="24" t="n">
        <x:v>64.34106641840997</x:v>
      </x:c>
      <x:c r="E444" s="24" t="n">
        <x:v>68.87000636268307</x:v>
      </x:c>
      <x:c r="F444" s="24" t="n">
        <x:v>66.30460039055251</x:v>
      </x:c>
      <x:c r="G444" s="24"/>
      <x:c r="H444" s="24" t="n">
        <x:v>82.02855833327325</x:v>
      </x:c>
      <x:c r="I444" s="24" t="n">
        <x:v>64.09529873054336</x:v>
      </x:c>
      <x:c r="J444" s="24"/>
      <x:c r="K444" s="24"/>
      <x:c r="L444" s="24" t="n">
        <x:v>79.01331238382808</x:v>
      </x:c>
      <x:c r="M444" s="24" t="n">
        <x:v>56.878571751205605</x:v>
      </x:c>
      <x:c r="N444" s="24" t="n">
        <x:v>71.05121502686515</x:v>
      </x:c>
      <x:c r="O444" s="24" t="n">
        <x:v>66.13703429131307</x:v>
      </x:c>
      <x:c r="P444" s="24"/>
      <x:c r="Q444" s="24"/>
      <x:c r="R444" s="24" t="n">
        <x:v>52.12656109737961</x:v>
      </x:c>
      <x:c r="S444" s="24"/>
      <x:c r="T444" s="24"/>
      <x:c r="U444" s="24"/>
    </x:row>
    <x:row r="445">
      <x:c r="A445" s="24" t="n">
        <x:v>44.300000000000004</x:v>
      </x:c>
      <x:c r="B445" s="24"/>
      <x:c r="C445" s="24" t="n">
        <x:v>81.87584402513266</x:v>
      </x:c>
      <x:c r="D445" s="24" t="n">
        <x:v>65.99893246344871</x:v>
      </x:c>
      <x:c r="E445" s="24" t="n">
        <x:v>68.51020734992827</x:v>
      </x:c>
      <x:c r="F445" s="24" t="n">
        <x:v>54.40892611660506</x:v>
      </x:c>
      <x:c r="G445" s="24"/>
      <x:c r="H445" s="24" t="n">
        <x:v>82.02855833327318</x:v>
      </x:c>
      <x:c r="I445" s="24" t="n">
        <x:v>75.56496072823309</x:v>
      </x:c>
      <x:c r="J445" s="24"/>
      <x:c r="K445" s="24"/>
      <x:c r="L445" s="24" t="n">
        <x:v>80.56899760464164</x:v>
      </x:c>
      <x:c r="M445" s="24" t="n">
        <x:v>63.75714350241121</x:v>
      </x:c>
      <x:c r="N445" s="24" t="n">
        <x:v>79.18544759298702</x:v>
      </x:c>
      <x:c r="O445" s="24" t="n">
        <x:v>68.0119538257038</x:v>
      </x:c>
      <x:c r="P445" s="24"/>
      <x:c r="Q445" s="24"/>
      <x:c r="R445" s="24" t="n">
        <x:v>58.04757757029411</x:v>
      </x:c>
      <x:c r="S445" s="24"/>
      <x:c r="T445" s="24"/>
      <x:c r="U445" s="24"/>
    </x:row>
    <x:row r="446">
      <x:c r="A446" s="24" t="n">
        <x:v>44.400000000000006</x:v>
      </x:c>
      <x:c r="B446" s="24"/>
      <x:c r="C446" s="24" t="n">
        <x:v>74.05147158440465</x:v>
      </x:c>
      <x:c r="D446" s="24" t="n">
        <x:v>65.74221153109724</x:v>
      </x:c>
      <x:c r="E446" s="24" t="n">
        <x:v>68.82338672355831</x:v>
      </x:c>
      <x:c r="F446" s="24" t="n">
        <x:v>64.83896283694021</x:v>
      </x:c>
      <x:c r="G446" s="24"/>
      <x:c r="H446" s="24" t="n">
        <x:v>73.34891854156638</x:v>
      </x:c>
      <x:c r="I446" s="24" t="n">
        <x:v>76.57051847751475</x:v>
      </x:c>
      <x:c r="J446" s="24"/>
      <x:c r="K446" s="24"/>
      <x:c r="L446" s="24" t="n">
        <x:v>80.56899760464134</x:v>
      </x:c>
      <x:c r="M446" s="24" t="n">
        <x:v>66.50063522998282</x:v>
      </x:c>
      <x:c r="N446" s="24" t="n">
        <x:v>79.18544759298702</x:v>
      </x:c>
      <x:c r="O446" s="24" t="n">
        <x:v>68.26951612536291</x:v>
      </x:c>
      <x:c r="P446" s="24"/>
      <x:c r="Q446" s="24"/>
      <x:c r="R446" s="24" t="n">
        <x:v>78.36493362338236</x:v>
      </x:c>
      <x:c r="S446" s="24"/>
      <x:c r="T446" s="24"/>
      <x:c r="U446" s="24"/>
    </x:row>
    <x:row r="447">
      <x:c r="A447" s="24" t="n">
        <x:v>44.5</x:v>
      </x:c>
      <x:c r="B447" s="24"/>
      <x:c r="C447" s="24" t="n">
        <x:v>64.23036197351323</x:v>
      </x:c>
      <x:c r="D447" s="24" t="n">
        <x:v>63.16202077341507</x:v>
      </x:c>
      <x:c r="E447" s="24" t="n">
        <x:v>78.74115038853301</x:v>
      </x:c>
      <x:c r="F447" s="24" t="n">
        <x:v>65.03065354875682</x:v>
      </x:c>
      <x:c r="G447" s="24"/>
      <x:c r="H447" s="24" t="n">
        <x:v>61.67402052156916</x:v>
      </x:c>
      <x:c r="I447" s="24" t="n">
        <x:v>76.42389724742524</x:v>
      </x:c>
      <x:c r="J447" s="24"/>
      <x:c r="K447" s="24"/>
      <x:c r="L447" s="24" t="n">
        <x:v>74.03420914666138</x:v>
      </x:c>
      <x:c r="M447" s="24" t="n">
        <x:v>66.50063522998282</x:v>
      </x:c>
      <x:c r="N447" s="24" t="n">
        <x:v>76.77369622119959</x:v>
      </x:c>
      <x:c r="O447" s="24" t="n">
        <x:v>68.26951612536291</x:v>
      </x:c>
      <x:c r="P447" s="24"/>
      <x:c r="Q447" s="24"/>
      <x:c r="R447" s="24" t="n">
        <x:v>78.42389239752322</x:v>
      </x:c>
      <x:c r="S447" s="24"/>
      <x:c r="T447" s="24"/>
      <x:c r="U447" s="24"/>
    </x:row>
    <x:row r="448">
      <x:c r="A448" s="24" t="n">
        <x:v>44.6</x:v>
      </x:c>
      <x:c r="B448" s="24"/>
      <x:c r="C448" s="24" t="n">
        <x:v>62.747875474675496</x:v>
      </x:c>
      <x:c r="D448" s="24" t="n">
        <x:v>63.98548723644602</x:v>
      </x:c>
      <x:c r="E448" s="24" t="n">
        <x:v>80.55733183391766</x:v>
      </x:c>
      <x:c r="F448" s="24" t="n">
        <x:v>67.98462215444897</x:v>
      </x:c>
      <x:c r="G448" s="24"/>
      <x:c r="H448" s="24" t="n">
        <x:v>47.50917001791066</x:v>
      </x:c>
      <x:c r="I448" s="24" t="n">
        <x:v>67.74429404132532</x:v>
      </x:c>
      <x:c r="J448" s="24"/>
      <x:c r="K448" s="24"/>
      <x:c r="L448" s="24" t="n">
        <x:v>71.05234350421814</x:v>
      </x:c>
      <x:c r="M448" s="24" t="n">
        <x:v>69.48286811475462</x:v>
      </x:c>
      <x:c r="N448" s="24" t="n">
        <x:v>67.23354853444316</x:v>
      </x:c>
      <x:c r="O448" s="24" t="n">
        <x:v>68.5270615433702</x:v>
      </x:c>
      <x:c r="P448" s="24"/>
      <x:c r="Q448" s="24"/>
      <x:c r="R448" s="24" t="n">
        <x:v>75.18159148328392</x:v>
      </x:c>
      <x:c r="S448" s="24"/>
      <x:c r="T448" s="24"/>
      <x:c r="U448" s="24"/>
    </x:row>
    <x:row r="449">
      <x:c r="A449" s="24" t="n">
        <x:v>44.7</x:v>
      </x:c>
      <x:c r="B449" s="24"/>
      <x:c r="C449" s="24" t="n">
        <x:v>62.747875474675496</x:v>
      </x:c>
      <x:c r="D449" s="24" t="n">
        <x:v>63.98548723644602</x:v>
      </x:c>
      <x:c r="E449" s="24" t="n">
        <x:v>80.55733183391766</x:v>
      </x:c>
      <x:c r="F449" s="24" t="n">
        <x:v>69.20419551140617</x:v>
      </x:c>
      <x:c r="G449" s="24"/>
      <x:c r="H449" s="24" t="n">
        <x:v>47.50917001791066</x:v>
      </x:c>
      <x:c r="I449" s="24" t="n">
        <x:v>60.49351012861709</x:v>
      </x:c>
      <x:c r="J449" s="24"/>
      <x:c r="K449" s="24"/>
      <x:c r="L449" s="24" t="n">
        <x:v>68.97737657582252</x:v>
      </x:c>
      <x:c r="M449" s="24" t="n">
        <x:v>71.4363318769193</x:v>
      </x:c>
      <x:c r="N449" s="24" t="n">
        <x:v>50</x:v>
      </x:c>
      <x:c r="O449" s="24" t="n">
        <x:v>68.5270615433702</x:v>
      </x:c>
      <x:c r="P449" s="24"/>
      <x:c r="Q449" s="24"/>
      <x:c r="R449" s="24" t="n">
        <x:v>67.76688800533148</x:v>
      </x:c>
      <x:c r="S449" s="24"/>
      <x:c r="T449" s="24"/>
      <x:c r="U449" s="24"/>
    </x:row>
    <x:row r="450">
      <x:c r="A450" s="24" t="n">
        <x:v>44.800000000000004</x:v>
      </x:c>
      <x:c r="B450" s="24"/>
      <x:c r="C450" s="24" t="n">
        <x:v>57.3902904312024</x:v>
      </x:c>
      <x:c r="D450" s="24" t="n">
        <x:v>65.88167121553118</x:v>
      </x:c>
      <x:c r="E450" s="24" t="n">
        <x:v>68.47176723628985</x:v>
      </x:c>
      <x:c r="F450" s="24" t="n">
        <x:v>69.25326896690189</x:v>
      </x:c>
      <x:c r="G450" s="24"/>
      <x:c r="H450" s="24" t="n">
        <x:v>63.44911237993885</x:v>
      </x:c>
      <x:c r="I450" s="24" t="n">
        <x:v>51.928302693607804</x:v>
      </x:c>
      <x:c r="J450" s="24"/>
      <x:c r="K450" s="24"/>
      <x:c r="L450" s="24" t="n">
        <x:v>67.25861818343064</x:v>
      </x:c>
      <x:c r="M450" s="24" t="n">
        <x:v>71.4363318769193</x:v>
      </x:c>
      <x:c r="N450" s="24" t="n">
        <x:v>50</x:v>
      </x:c>
      <x:c r="O450" s="24" t="n">
        <x:v>73.50526820234704</x:v>
      </x:c>
      <x:c r="P450" s="24"/>
      <x:c r="Q450" s="24"/>
      <x:c r="R450" s="24" t="n">
        <x:v>67.17542360280798</x:v>
      </x:c>
      <x:c r="S450" s="24"/>
      <x:c r="T450" s="24"/>
      <x:c r="U450" s="24"/>
    </x:row>
    <x:row r="451">
      <x:c r="A451" s="24" t="n">
        <x:v>44.900000000000006</x:v>
      </x:c>
      <x:c r="B451" s="24"/>
      <x:c r="C451" s="24" t="n">
        <x:v>60.782941718583245</x:v>
      </x:c>
      <x:c r="D451" s="24" t="n">
        <x:v>65.88167121553118</x:v>
      </x:c>
      <x:c r="E451" s="24" t="n">
        <x:v>64.71731873676396</x:v>
      </x:c>
      <x:c r="F451" s="24" t="n">
        <x:v>69.25326896690187</x:v>
      </x:c>
      <x:c r="G451" s="24"/>
      <x:c r="H451" s="24" t="n">
        <x:v>64.10272103179415</x:v>
      </x:c>
      <x:c r="I451" s="24" t="n">
        <x:v>61.66430838350482</x:v>
      </x:c>
      <x:c r="J451" s="24"/>
      <x:c r="K451" s="24"/>
      <x:c r="L451" s="24" t="n">
        <x:v>65.42384287076268</x:v>
      </x:c>
      <x:c r="M451" s="24" t="n">
        <x:v>71.62131734915609</x:v>
      </x:c>
      <x:c r="N451" s="24" t="n">
        <x:v>50</x:v>
      </x:c>
      <x:c r="O451" s="24" t="n">
        <x:v>78.38237791531495</x:v>
      </x:c>
      <x:c r="P451" s="24"/>
      <x:c r="Q451" s="24"/>
      <x:c r="R451" s="24" t="n">
        <x:v>66.24446358307382</x:v>
      </x:c>
      <x:c r="S451" s="24"/>
      <x:c r="T451" s="24"/>
      <x:c r="U451" s="24"/>
    </x:row>
    <x:row r="452">
      <x:c r="A452" s="24" t="n">
        <x:v>45</x:v>
      </x:c>
      <x:c r="B452" s="24"/>
      <x:c r="C452" s="24" t="n">
        <x:v>63.49706274848758</x:v>
      </x:c>
      <x:c r="D452" s="24" t="n">
        <x:v>63.10305604403868</x:v>
      </x:c>
      <x:c r="E452" s="24" t="n">
        <x:v>59.99131403043113</x:v>
      </x:c>
      <x:c r="F452" s="24" t="n">
        <x:v>69.1239832573243</x:v>
      </x:c>
      <x:c r="G452" s="24"/>
      <x:c r="H452" s="24" t="n">
        <x:v>74.10650490185918</x:v>
      </x:c>
      <x:c r="I452" s="24" t="n">
        <x:v>65.37981321319046</x:v>
      </x:c>
      <x:c r="J452" s="24"/>
      <x:c r="K452" s="24"/>
      <x:c r="L452" s="24" t="n">
        <x:v>65.37301575446962</x:v>
      </x:c>
      <x:c r="M452" s="24" t="n">
        <x:v>71.62131734915609</x:v>
      </x:c>
      <x:c r="N452" s="24" t="n">
        <x:v>50</x:v>
      </x:c>
      <x:c r="O452" s="24" t="n">
        <x:v>78.38237791531495</x:v>
      </x:c>
      <x:c r="P452" s="24"/>
      <x:c r="Q452" s="24"/>
      <x:c r="R452" s="24" t="n">
        <x:v>66.24446358307382</x:v>
      </x:c>
      <x:c r="S452" s="24"/>
      <x:c r="T452" s="24"/>
      <x:c r="U452" s="24"/>
    </x:row>
    <x:row r="453">
      <x:c r="A453" s="24" t="n">
        <x:v>45.1</x:v>
      </x:c>
      <x:c r="B453" s="24"/>
      <x:c r="C453" s="24" t="n">
        <x:v>63.49706274848758</x:v>
      </x:c>
      <x:c r="D453" s="24" t="n">
        <x:v>65.83824886862843</x:v>
      </x:c>
      <x:c r="E453" s="24" t="n">
        <x:v>71.04875690789717</x:v>
      </x:c>
      <x:c r="F453" s="24" t="n">
        <x:v>69.91925013405384</x:v>
      </x:c>
      <x:c r="G453" s="24"/>
      <x:c r="H453" s="24" t="n">
        <x:v>74.10650490185918</x:v>
      </x:c>
      <x:c r="I453" s="24" t="n">
        <x:v>65.37981321319046</x:v>
      </x:c>
      <x:c r="J453" s="24"/>
      <x:c r="K453" s="24"/>
      <x:c r="L453" s="24" t="n">
        <x:v>67.97619028352149</x:v>
      </x:c>
      <x:c r="M453" s="24" t="n">
        <x:v>71.4141204953278</x:v>
      </x:c>
      <x:c r="N453" s="24" t="n">
        <x:v>74.66662732944923</x:v>
      </x:c>
      <x:c r="O453" s="24" t="n">
        <x:v>70.64221307417046</x:v>
      </x:c>
      <x:c r="P453" s="24"/>
      <x:c r="Q453" s="24"/>
      <x:c r="R453" s="24" t="n">
        <x:v>64.75985099624589</x:v>
      </x:c>
      <x:c r="S453" s="24"/>
      <x:c r="T453" s="24"/>
      <x:c r="U453" s="24"/>
    </x:row>
    <x:row r="454">
      <x:c r="A454" s="24" t="n">
        <x:v>45.2</x:v>
      </x:c>
      <x:c r="B454" s="24"/>
      <x:c r="C454" s="24" t="n">
        <x:v>62.1733435858533</x:v>
      </x:c>
      <x:c r="D454" s="24" t="n">
        <x:v>89.25413480164859</x:v>
      </x:c>
      <x:c r="E454" s="24" t="n">
        <x:v>71.63519648348068</x:v>
      </x:c>
      <x:c r="F454" s="24" t="n">
        <x:v>69.91925013405384</x:v>
      </x:c>
      <x:c r="G454" s="24"/>
      <x:c r="H454" s="24" t="n">
        <x:v>72.73710198560067</x:v>
      </x:c>
      <x:c r="I454" s="24" t="n">
        <x:v>72.94117437943305</x:v>
      </x:c>
      <x:c r="J454" s="24"/>
      <x:c r="K454" s="24"/>
      <x:c r="L454" s="24" t="n">
        <x:v>69.0457476021932</x:v>
      </x:c>
      <x:c r="M454" s="24" t="n">
        <x:v>71.47024670333819</x:v>
      </x:c>
      <x:c r="N454" s="24" t="n">
        <x:v>79.4896379974587</x:v>
      </x:c>
      <x:c r="O454" s="24" t="n">
        <x:v>50</x:v>
      </x:c>
      <x:c r="P454" s="24"/>
      <x:c r="Q454" s="24"/>
      <x:c r="R454" s="24" t="n">
        <x:v>67.58790666136937</x:v>
      </x:c>
      <x:c r="S454" s="24"/>
      <x:c r="T454" s="24"/>
      <x:c r="U454" s="24"/>
    </x:row>
    <x:row r="455">
      <x:c r="A455" s="24" t="n">
        <x:v>45.300000000000004</x:v>
      </x:c>
      <x:c r="B455" s="24"/>
      <x:c r="C455" s="24" t="n">
        <x:v>61.64385592080365</x:v>
      </x:c>
      <x:c r="D455" s="24" t="n">
        <x:v>90.45936995471216</x:v>
      </x:c>
      <x:c r="E455" s="24" t="n">
        <x:v>72.12911086184688</x:v>
      </x:c>
      <x:c r="F455" s="24" t="n">
        <x:v>69.21078922298979</x:v>
      </x:c>
      <x:c r="G455" s="24"/>
      <x:c r="H455" s="24" t="n">
        <x:v>63.76395587169617</x:v>
      </x:c>
      <x:c r="I455" s="24" t="n">
        <x:v>72.94117437943305</x:v>
      </x:c>
      <x:c r="J455" s="24"/>
      <x:c r="K455" s="24"/>
      <x:c r="L455" s="24" t="n">
        <x:v>69.07275855425179</x:v>
      </x:c>
      <x:c r="M455" s="24" t="n">
        <x:v>71.47024670333819</x:v>
      </x:c>
      <x:c r="N455" s="24" t="n">
        <x:v>79.4896379974587</x:v>
      </x:c>
      <x:c r="O455" s="24" t="n">
        <x:v>50</x:v>
      </x:c>
      <x:c r="P455" s="24"/>
      <x:c r="Q455" s="24"/>
      <x:c r="R455" s="24" t="n">
        <x:v>67.6129128820875</x:v>
      </x:c>
      <x:c r="S455" s="24"/>
      <x:c r="T455" s="24"/>
      <x:c r="U455" s="24"/>
    </x:row>
    <x:row r="456">
      <x:c r="A456" s="24" t="n">
        <x:v>45.400000000000006</x:v>
      </x:c>
      <x:c r="B456" s="24"/>
      <x:c r="C456" s="24" t="n">
        <x:v>76.2170663724656</x:v>
      </x:c>
      <x:c r="D456" s="24" t="n">
        <x:v>90.4593699547112</x:v>
      </x:c>
      <x:c r="E456" s="24" t="n">
        <x:v>70.94146327004968</x:v>
      </x:c>
      <x:c r="F456" s="24" t="n">
        <x:v>67.23337696173724</x:v>
      </x:c>
      <x:c r="G456" s="24"/>
      <x:c r="H456" s="24" t="n">
        <x:v>72.028070714643</x:v>
      </x:c>
      <x:c r="I456" s="24" t="n">
        <x:v>68.2106945343203</x:v>
      </x:c>
      <x:c r="J456" s="24"/>
      <x:c r="K456" s="24"/>
      <x:c r="L456" s="24" t="n">
        <x:v>69.48864157119615</x:v>
      </x:c>
      <x:c r="M456" s="24" t="n">
        <x:v>72.56091503880874</x:v>
      </x:c>
      <x:c r="N456" s="24" t="n">
        <x:v>76.0367281659319</x:v>
      </x:c>
      <x:c r="O456" s="24" t="n">
        <x:v>50</x:v>
      </x:c>
      <x:c r="P456" s="24"/>
      <x:c r="Q456" s="24"/>
      <x:c r="R456" s="24" t="n">
        <x:v>67.37908410732776</x:v>
      </x:c>
      <x:c r="S456" s="24"/>
      <x:c r="T456" s="24"/>
      <x:c r="U456" s="24"/>
    </x:row>
    <x:row r="457">
      <x:c r="A457" s="24" t="n">
        <x:v>45.5</x:v>
      </x:c>
      <x:c r="B457" s="24"/>
      <x:c r="C457" s="24" t="n">
        <x:v>76.2170663724656</x:v>
      </x:c>
      <x:c r="D457" s="24" t="n">
        <x:v>80.60333080683256</x:v>
      </x:c>
      <x:c r="E457" s="24" t="n">
        <x:v>72.97358552156095</x:v>
      </x:c>
      <x:c r="F457" s="24" t="n">
        <x:v>67.1963136413464</x:v>
      </x:c>
      <x:c r="G457" s="24"/>
      <x:c r="H457" s="24" t="n">
        <x:v>72.60721485140226</x:v>
      </x:c>
      <x:c r="I457" s="24" t="n">
        <x:v>50.60118920098653</x:v>
      </x:c>
      <x:c r="J457" s="24"/>
      <x:c r="K457" s="24"/>
      <x:c r="L457" s="24" t="n">
        <x:v>69.2247249480005</x:v>
      </x:c>
      <x:c r="M457" s="24" t="n">
        <x:v>72.56091503880874</x:v>
      </x:c>
      <x:c r="N457" s="24" t="n">
        <x:v>72.90679603058162</x:v>
      </x:c>
      <x:c r="O457" s="24" t="n">
        <x:v>76.74809158065031</x:v>
      </x:c>
      <x:c r="P457" s="24"/>
      <x:c r="Q457" s="24"/>
      <x:c r="R457" s="24" t="n">
        <x:v>66.95253537852861</x:v>
      </x:c>
      <x:c r="S457" s="24"/>
      <x:c r="T457" s="24"/>
      <x:c r="U457" s="24"/>
    </x:row>
    <x:row r="458">
      <x:c r="A458" s="24" t="n">
        <x:v>45.6</x:v>
      </x:c>
      <x:c r="B458" s="24"/>
      <x:c r="C458" s="24" t="n">
        <x:v>73.02518504843272</x:v>
      </x:c>
      <x:c r="D458" s="24" t="n">
        <x:v>74.00727271833222</x:v>
      </x:c>
      <x:c r="E458" s="24" t="n">
        <x:v>73.58334076567519</x:v>
      </x:c>
      <x:c r="F458" s="24" t="n">
        <x:v>77.3488301882158</x:v>
      </x:c>
      <x:c r="G458" s="24"/>
      <x:c r="H458" s="24" t="n">
        <x:v>73.44531918455367</x:v>
      </x:c>
      <x:c r="I458" s="24" t="n">
        <x:v>69.10509193157637</x:v>
      </x:c>
      <x:c r="J458" s="24"/>
      <x:c r="K458" s="24"/>
      <x:c r="L458" s="24" t="n">
        <x:v>67.8767283012467</x:v>
      </x:c>
      <x:c r="M458" s="24" t="n">
        <x:v>71.5859530912195</x:v>
      </x:c>
      <x:c r="N458" s="24" t="n">
        <x:v>69.03619571978054</x:v>
      </x:c>
      <x:c r="O458" s="24" t="n">
        <x:v>78.15775817856634</x:v>
      </x:c>
      <x:c r="P458" s="24"/>
      <x:c r="Q458" s="24"/>
      <x:c r="R458" s="24" t="n">
        <x:v>64.68391043805701</x:v>
      </x:c>
      <x:c r="S458" s="24"/>
      <x:c r="T458" s="24"/>
      <x:c r="U458" s="24"/>
    </x:row>
    <x:row r="459">
      <x:c r="A459" s="24" t="n">
        <x:v>45.7</x:v>
      </x:c>
      <x:c r="B459" s="24"/>
      <x:c r="C459" s="24" t="n">
        <x:v>69.69105957442558</x:v>
      </x:c>
      <x:c r="D459" s="24" t="n">
        <x:v>72.4325358721987</x:v>
      </x:c>
      <x:c r="E459" s="24" t="n">
        <x:v>73.58153380173422</x:v>
      </x:c>
      <x:c r="F459" s="24" t="n">
        <x:v>81.25162266926257</x:v>
      </x:c>
      <x:c r="G459" s="24"/>
      <x:c r="H459" s="24" t="n">
        <x:v>73.84771146057443</x:v>
      </x:c>
      <x:c r="I459" s="24" t="n">
        <x:v>69.10509193157637</x:v>
      </x:c>
      <x:c r="J459" s="24"/>
      <x:c r="K459" s="24"/>
      <x:c r="L459" s="24" t="n">
        <x:v>64.2965050698336</x:v>
      </x:c>
      <x:c r="M459" s="24" t="n">
        <x:v>81.84788030481842</x:v>
      </x:c>
      <x:c r="N459" s="24" t="n">
        <x:v>69.66286600186355</x:v>
      </x:c>
      <x:c r="O459" s="24" t="n">
        <x:v>78.0925974345668</x:v>
      </x:c>
      <x:c r="P459" s="24"/>
      <x:c r="Q459" s="24"/>
      <x:c r="R459" s="24" t="n">
        <x:v>61.164875671573576</x:v>
      </x:c>
      <x:c r="S459" s="24"/>
      <x:c r="T459" s="24"/>
      <x:c r="U459" s="24"/>
    </x:row>
    <x:row r="460">
      <x:c r="A460" s="24" t="n">
        <x:v>45.800000000000004</x:v>
      </x:c>
      <x:c r="B460" s="24"/>
      <x:c r="C460" s="24" t="n">
        <x:v>67.60675138733524</x:v>
      </x:c>
      <x:c r="D460" s="24" t="n">
        <x:v>69.13870422419625</x:v>
      </x:c>
      <x:c r="E460" s="24" t="n">
        <x:v>61.94065475434522</x:v>
      </x:c>
      <x:c r="F460" s="24" t="n">
        <x:v>81.25162266926257</x:v>
      </x:c>
      <x:c r="G460" s="24"/>
      <x:c r="H460" s="24" t="n">
        <x:v>73.87512108416097</x:v>
      </x:c>
      <x:c r="I460" s="24" t="n">
        <x:v>68.51642159041604</x:v>
      </x:c>
      <x:c r="J460" s="24"/>
      <x:c r="K460" s="24"/>
      <x:c r="L460" s="24" t="n">
        <x:v>81.24827836940354</x:v>
      </x:c>
      <x:c r="M460" s="24" t="n">
        <x:v>81.84788030481842</x:v>
      </x:c>
      <x:c r="N460" s="24" t="n">
        <x:v>69.66286600186355</x:v>
      </x:c>
      <x:c r="O460" s="24" t="n">
        <x:v>68.77258758218676</x:v>
      </x:c>
      <x:c r="P460" s="24"/>
      <x:c r="Q460" s="24"/>
      <x:c r="R460" s="24" t="n">
        <x:v>77.63672184321581</x:v>
      </x:c>
      <x:c r="S460" s="24"/>
      <x:c r="T460" s="24"/>
      <x:c r="U460" s="24"/>
    </x:row>
    <x:row r="461">
      <x:c r="A461" s="24" t="n">
        <x:v>45.900000000000006</x:v>
      </x:c>
      <x:c r="B461" s="24"/>
      <x:c r="C461" s="24" t="n">
        <x:v>68.04048010837846</x:v>
      </x:c>
      <x:c r="D461" s="24" t="n">
        <x:v>67.1341833751571</x:v>
      </x:c>
      <x:c r="E461" s="24" t="n">
        <x:v>49.331608997132406</x:v>
      </x:c>
      <x:c r="F461" s="24" t="n">
        <x:v>71.05477292335908</x:v>
      </x:c>
      <x:c r="G461" s="24"/>
      <x:c r="H461" s="24" t="n">
        <x:v>73.08561463207374</x:v>
      </x:c>
      <x:c r="I461" s="24" t="n">
        <x:v>66.48679404436224</x:v>
      </x:c>
      <x:c r="J461" s="24"/>
      <x:c r="K461" s="24"/>
      <x:c r="L461" s="24" t="n">
        <x:v>81.24827836940354</x:v>
      </x:c>
      <x:c r="M461" s="24" t="n">
        <x:v>80.71735862323047</x:v>
      </x:c>
      <x:c r="N461" s="24" t="n">
        <x:v>69.36882507997802</x:v>
      </x:c>
      <x:c r="O461" s="24" t="n">
        <x:v>67.62535013512235</x:v>
      </x:c>
      <x:c r="P461" s="24"/>
      <x:c r="Q461" s="24"/>
      <x:c r="R461" s="24" t="n">
        <x:v>77.63672184321581</x:v>
      </x:c>
      <x:c r="S461" s="24"/>
      <x:c r="T461" s="24"/>
      <x:c r="U461" s="24"/>
    </x:row>
    <x:row r="462">
      <x:c r="A462" s="24" t="n">
        <x:v>46</x:v>
      </x:c>
      <x:c r="B462" s="24"/>
      <x:c r="C462" s="24" t="n">
        <x:v>69.1596802385929</x:v>
      </x:c>
      <x:c r="D462" s="24" t="n">
        <x:v>65.78785251955787</x:v>
      </x:c>
      <x:c r="E462" s="24" t="n">
        <x:v>62.108237351040984</x:v>
      </x:c>
      <x:c r="F462" s="24" t="n">
        <x:v>63.651269031563864</x:v>
      </x:c>
      <x:c r="G462" s="24"/>
      <x:c r="H462" s="24" t="n">
        <x:v>71.19994214666524</x:v>
      </x:c>
      <x:c r="I462" s="24" t="n">
        <x:v>66.24993656471649</x:v>
      </x:c>
      <x:c r="J462" s="24"/>
      <x:c r="K462" s="24"/>
      <x:c r="L462" s="24" t="n">
        <x:v>79.30287249202318</x:v>
      </x:c>
      <x:c r="M462" s="24" t="n">
        <x:v>69.33983238468575</x:v>
      </x:c>
      <x:c r="N462" s="24" t="n">
        <x:v>70.04496511947052</x:v>
      </x:c>
      <x:c r="O462" s="24" t="n">
        <x:v>67.14940336849341</x:v>
      </x:c>
      <x:c r="P462" s="24"/>
      <x:c r="Q462" s="24"/>
      <x:c r="R462" s="24" t="n">
        <x:v>71.79605272501497</x:v>
      </x:c>
      <x:c r="S462" s="24"/>
      <x:c r="T462" s="24"/>
      <x:c r="U462" s="24"/>
    </x:row>
    <x:row r="463">
      <x:c r="A463" s="24" t="n">
        <x:v>46.1</x:v>
      </x:c>
      <x:c r="B463" s="24"/>
      <x:c r="C463" s="24" t="n">
        <x:v>69.2704570491237</x:v>
      </x:c>
      <x:c r="D463" s="24" t="n">
        <x:v>65.78785251955787</x:v>
      </x:c>
      <x:c r="E463" s="24" t="n">
        <x:v>67.17709730905652</x:v>
      </x:c>
      <x:c r="F463" s="24" t="n">
        <x:v>63.62046261984281</x:v>
      </x:c>
      <x:c r="G463" s="24"/>
      <x:c r="H463" s="24" t="n">
        <x:v>74.53415867951443</x:v>
      </x:c>
      <x:c r="I463" s="24" t="n">
        <x:v>66.3739351325138</x:v>
      </x:c>
      <x:c r="J463" s="24"/>
      <x:c r="K463" s="24"/>
      <x:c r="L463" s="24" t="n">
        <x:v>68.10965996830285</x:v>
      </x:c>
      <x:c r="M463" s="24" t="n">
        <x:v>50</x:v>
      </x:c>
      <x:c r="N463" s="24" t="n">
        <x:v>72.35711171582872</x:v>
      </x:c>
      <x:c r="O463" s="24" t="n">
        <x:v>68.64671264078746</x:v>
      </x:c>
      <x:c r="P463" s="24"/>
      <x:c r="Q463" s="24"/>
      <x:c r="R463" s="24" t="n">
        <x:v>50</x:v>
      </x:c>
      <x:c r="S463" s="24"/>
      <x:c r="T463" s="24"/>
      <x:c r="U463" s="24"/>
    </x:row>
    <x:row r="464">
      <x:c r="A464" s="24" t="n">
        <x:v>46.2</x:v>
      </x:c>
      <x:c r="B464" s="24"/>
      <x:c r="C464" s="24" t="n">
        <x:v>69.2704570491237</x:v>
      </x:c>
      <x:c r="D464" s="24" t="n">
        <x:v>60.74415717555222</x:v>
      </x:c>
      <x:c r="E464" s="24" t="n">
        <x:v>67.17709730905652</x:v>
      </x:c>
      <x:c r="F464" s="24" t="n">
        <x:v>63.58965620812176</x:v>
      </x:c>
      <x:c r="G464" s="24"/>
      <x:c r="H464" s="24" t="n">
        <x:v>74.53415867951443</x:v>
      </x:c>
      <x:c r="I464" s="24" t="n">
        <x:v>81.95896438035737</x:v>
      </x:c>
      <x:c r="J464" s="24"/>
      <x:c r="K464" s="24"/>
      <x:c r="L464" s="24" t="n">
        <x:v>58.057145831331496</x:v>
      </x:c>
      <x:c r="M464" s="24" t="n">
        <x:v>50</x:v>
      </x:c>
      <x:c r="N464" s="24" t="n">
        <x:v>72.05302310861009</x:v>
      </x:c>
      <x:c r="O464" s="24" t="n">
        <x:v>69.15663199160554</x:v>
      </x:c>
      <x:c r="P464" s="24"/>
      <x:c r="Q464" s="24"/>
      <x:c r="R464" s="24" t="n">
        <x:v>50</x:v>
      </x:c>
      <x:c r="S464" s="24"/>
      <x:c r="T464" s="24"/>
      <x:c r="U464" s="24"/>
    </x:row>
    <x:row r="465">
      <x:c r="A465" s="24" t="n">
        <x:v>46.300000000000004</x:v>
      </x:c>
      <x:c r="B465" s="24"/>
      <x:c r="C465" s="24" t="n">
        <x:v>69.04567052520072</x:v>
      </x:c>
      <x:c r="D465" s="24" t="n">
        <x:v>52.39175843351897</x:v>
      </x:c>
      <x:c r="E465" s="24" t="n">
        <x:v>68.4082357448804</x:v>
      </x:c>
      <x:c r="F465" s="24" t="n">
        <x:v>63.558849796400715</x:v>
      </x:c>
      <x:c r="G465" s="24"/>
      <x:c r="H465" s="24" t="n">
        <x:v>73.30573367661069</x:v>
      </x:c>
      <x:c r="I465" s="24" t="n">
        <x:v>86.5546504757082</x:v>
      </x:c>
      <x:c r="J465" s="24"/>
      <x:c r="K465" s="24"/>
      <x:c r="L465" s="24" t="n">
        <x:v>50</x:v>
      </x:c>
      <x:c r="M465" s="24" t="n">
        <x:v>50</x:v>
      </x:c>
      <x:c r="N465" s="24" t="n">
        <x:v>71.8381422077082</x:v>
      </x:c>
      <x:c r="O465" s="24" t="n">
        <x:v>69.13872425492228</x:v>
      </x:c>
      <x:c r="P465" s="24"/>
      <x:c r="Q465" s="24"/>
      <x:c r="R465" s="24" t="n">
        <x:v>50</x:v>
      </x:c>
      <x:c r="S465" s="24"/>
      <x:c r="T465" s="24"/>
      <x:c r="U465" s="24"/>
    </x:row>
    <x:row r="466">
      <x:c r="A466" s="24" t="n">
        <x:v>46.400000000000006</x:v>
      </x:c>
      <x:c r="B466" s="24"/>
      <x:c r="C466" s="24" t="n">
        <x:v>69.04567052520072</x:v>
      </x:c>
      <x:c r="D466" s="24" t="n">
        <x:v>74.69542997333329</x:v>
      </x:c>
      <x:c r="E466" s="24" t="n">
        <x:v>68.4082357448804</x:v>
      </x:c>
      <x:c r="F466" s="24" t="n">
        <x:v>63.52804338467966</x:v>
      </x:c>
      <x:c r="G466" s="24"/>
      <x:c r="H466" s="24" t="n">
        <x:v>71.52467543571157</x:v>
      </x:c>
      <x:c r="I466" s="24" t="n">
        <x:v>86.5546504757082</x:v>
      </x:c>
      <x:c r="J466" s="24"/>
      <x:c r="K466" s="24"/>
      <x:c r="L466" s="24" t="n">
        <x:v>50</x:v>
      </x:c>
      <x:c r="M466" s="24" t="n">
        <x:v>50</x:v>
      </x:c>
      <x:c r="N466" s="24" t="n">
        <x:v>71.8381422077082</x:v>
      </x:c>
      <x:c r="O466" s="24" t="n">
        <x:v>69.5547835086514</x:v>
      </x:c>
      <x:c r="P466" s="24"/>
      <x:c r="Q466" s="24"/>
      <x:c r="R466" s="24" t="n">
        <x:v>53.53978061107473</x:v>
      </x:c>
      <x:c r="S466" s="24"/>
      <x:c r="T466" s="24"/>
      <x:c r="U466" s="24"/>
    </x:row>
    <x:row r="467">
      <x:c r="A467" s="24" t="n">
        <x:v>46.5</x:v>
      </x:c>
      <x:c r="B467" s="24"/>
      <x:c r="C467" s="24" t="n">
        <x:v>68.91241547360848</x:v>
      </x:c>
      <x:c r="D467" s="24" t="n">
        <x:v>75.49253903058822</x:v>
      </x:c>
      <x:c r="E467" s="24" t="n">
        <x:v>68.22692044963641</x:v>
      </x:c>
      <x:c r="F467" s="24" t="n">
        <x:v>63.515720819991245</x:v>
      </x:c>
      <x:c r="G467" s="24"/>
      <x:c r="H467" s="24" t="n">
        <x:v>82.94667838269044</x:v>
      </x:c>
      <x:c r="I467" s="24" t="n">
        <x:v>79.02451860927563</x:v>
      </x:c>
      <x:c r="J467" s="24"/>
      <x:c r="K467" s="24"/>
      <x:c r="L467" s="24" t="n">
        <x:v>50</x:v>
      </x:c>
      <x:c r="M467" s="24" t="n">
        <x:v>72.35176428658293</x:v>
      </x:c>
      <x:c r="N467" s="24" t="n">
        <x:v>69.65735511849397</x:v>
      </x:c>
      <x:c r="O467" s="24" t="n">
        <x:v>69.5547835086514</x:v>
      </x:c>
      <x:c r="P467" s="24"/>
      <x:c r="Q467" s="24"/>
      <x:c r="R467" s="24" t="n">
        <x:v>75.26516249204295</x:v>
      </x:c>
      <x:c r="S467" s="24"/>
      <x:c r="T467" s="24"/>
      <x:c r="U467" s="24"/>
    </x:row>
    <x:row r="468">
      <x:c r="A468" s="24" t="n">
        <x:v>46.6</x:v>
      </x:c>
      <x:c r="B468" s="24"/>
      <x:c r="C468" s="24" t="n">
        <x:v>68.82533609994213</x:v>
      </x:c>
      <x:c r="D468" s="24" t="n">
        <x:v>73.91605595948873</x:v>
      </x:c>
      <x:c r="E468" s="24" t="n">
        <x:v>68.22692044963641</x:v>
      </x:c>
      <x:c r="F468" s="24" t="n">
        <x:v>69.11734940511532</x:v>
      </x:c>
      <x:c r="G468" s="24"/>
      <x:c r="H468" s="24" t="n">
        <x:v>82.94667838269044</x:v>
      </x:c>
      <x:c r="I468" s="24" t="n">
        <x:v>74.20484157074576</x:v>
      </x:c>
      <x:c r="J468" s="24"/>
      <x:c r="K468" s="24"/>
      <x:c r="L468" s="24" t="n">
        <x:v>50.12274014799871</x:v>
      </x:c>
      <x:c r="M468" s="24" t="n">
        <x:v>79.09595254058594</x:v>
      </x:c>
      <x:c r="N468" s="24" t="n">
        <x:v>66.41035065646713</x:v>
      </x:c>
      <x:c r="O468" s="24" t="n">
        <x:v>68.91248229522157</x:v>
      </x:c>
      <x:c r="P468" s="24"/>
      <x:c r="Q468" s="24"/>
      <x:c r="R468" s="24" t="n">
        <x:v>77.27851422563486</x:v>
      </x:c>
      <x:c r="S468" s="24"/>
      <x:c r="T468" s="24"/>
      <x:c r="U468" s="24"/>
    </x:row>
    <x:row r="469">
      <x:c r="A469" s="24" t="n">
        <x:v>46.7</x:v>
      </x:c>
      <x:c r="B469" s="24"/>
      <x:c r="C469" s="24" t="n">
        <x:v>69.34195001638534</x:v>
      </x:c>
      <x:c r="D469" s="24" t="n">
        <x:v>62.84789779082321</x:v>
      </x:c>
      <x:c r="E469" s="24" t="n">
        <x:v>71.87561589262333</x:v>
      </x:c>
      <x:c r="F469" s="24" t="n">
        <x:v>71.91816369767736</x:v>
      </x:c>
      <x:c r="G469" s="24"/>
      <x:c r="H469" s="24" t="n">
        <x:v>77.36351078172959</x:v>
      </x:c>
      <x:c r="I469" s="24" t="n">
        <x:v>72.22806923112695</x:v>
      </x:c>
      <x:c r="J469" s="24"/>
      <x:c r="K469" s="24"/>
      <x:c r="L469" s="24" t="n">
        <x:v>74.52999761209256</x:v>
      </x:c>
      <x:c r="M469" s="24" t="n">
        <x:v>79.09595254058594</x:v>
      </x:c>
      <x:c r="N469" s="24" t="n">
        <x:v>64.6332166252014</x:v>
      </x:c>
      <x:c r="O469" s="24" t="n">
        <x:v>68.48268288510826</x:v>
      </x:c>
      <x:c r="P469" s="24"/>
      <x:c r="Q469" s="24"/>
      <x:c r="R469" s="24" t="n">
        <x:v>77.27851422563486</x:v>
      </x:c>
      <x:c r="S469" s="24"/>
      <x:c r="T469" s="24"/>
      <x:c r="U469" s="24"/>
    </x:row>
    <x:row r="470">
      <x:c r="A470" s="24" t="n">
        <x:v>46.800000000000004</x:v>
      </x:c>
      <x:c r="B470" s="24"/>
      <x:c r="C470" s="24" t="n">
        <x:v>69.83096631421053</x:v>
      </x:c>
      <x:c r="D470" s="24" t="n">
        <x:v>52.39175843351897</x:v>
      </x:c>
      <x:c r="E470" s="24" t="n">
        <x:v>71.87561589262333</x:v>
      </x:c>
      <x:c r="F470" s="24" t="n">
        <x:v>71.03583652433628</x:v>
      </x:c>
      <x:c r="G470" s="24"/>
      <x:c r="H470" s="24" t="n">
        <x:v>68.42424313189369</x:v>
      </x:c>
      <x:c r="I470" s="24" t="n">
        <x:v>72.22806923112645</x:v>
      </x:c>
      <x:c r="J470" s="24"/>
      <x:c r="K470" s="24"/>
      <x:c r="L470" s="24" t="n">
        <x:v>81.35043783654343</x:v>
      </x:c>
      <x:c r="M470" s="24" t="n">
        <x:v>73.66376698151284</x:v>
      </x:c>
      <x:c r="N470" s="24" t="n">
        <x:v>62.85608259393567</x:v>
      </x:c>
      <x:c r="O470" s="24" t="n">
        <x:v>67.25496991648924</x:v>
      </x:c>
      <x:c r="P470" s="24"/>
      <x:c r="Q470" s="24"/>
      <x:c r="R470" s="24" t="n">
        <x:v>69.94270071972227</x:v>
      </x:c>
      <x:c r="S470" s="24"/>
      <x:c r="T470" s="24"/>
      <x:c r="U470" s="24"/>
    </x:row>
    <x:row r="471">
      <x:c r="A471" s="24" t="n">
        <x:v>46.900000000000006</x:v>
      </x:c>
      <x:c r="B471" s="24"/>
      <x:c r="C471" s="24" t="n">
        <x:v>70.31966700819406</x:v>
      </x:c>
      <x:c r="D471" s="24" t="n">
        <x:v>63.74324256364552</x:v>
      </x:c>
      <x:c r="E471" s="24" t="n">
        <x:v>71.19278935633088</x:v>
      </x:c>
      <x:c r="F471" s="24" t="n">
        <x:v>60.39166618706918</x:v>
      </x:c>
      <x:c r="G471" s="24"/>
      <x:c r="H471" s="24" t="n">
        <x:v>47.50917001791066</x:v>
      </x:c>
      <x:c r="I471" s="24" t="n">
        <x:v>70.82368706539826</x:v>
      </x:c>
      <x:c r="J471" s="24"/>
      <x:c r="K471" s="24"/>
      <x:c r="L471" s="24" t="n">
        <x:v>81.35043783654343</x:v>
      </x:c>
      <x:c r="M471" s="24" t="n">
        <x:v>73.66376698151277</x:v>
      </x:c>
      <x:c r="N471" s="24" t="n">
        <x:v>61.789802175176334</x:v>
      </x:c>
      <x:c r="O471" s="24" t="n">
        <x:v>78.08847725160074</x:v>
      </x:c>
      <x:c r="P471" s="24"/>
      <x:c r="Q471" s="24"/>
      <x:c r="R471" s="24" t="n">
        <x:v>69.75811480335611</x:v>
      </x:c>
      <x:c r="S471" s="24"/>
      <x:c r="T471" s="24"/>
      <x:c r="U471" s="24"/>
    </x:row>
    <x:row r="472">
      <x:c r="A472" s="24" t="n">
        <x:v>47</x:v>
      </x:c>
      <x:c r="B472" s="24"/>
      <x:c r="C472" s="24" t="n">
        <x:v>80.84151960883713</x:v>
      </x:c>
      <x:c r="D472" s="24" t="n">
        <x:v>65.29257822817996</x:v>
      </x:c>
      <x:c r="E472" s="24" t="n">
        <x:v>71.41661177833542</x:v>
      </x:c>
      <x:c r="F472" s="24" t="n">
        <x:v>60.39166618706918</x:v>
      </x:c>
      <x:c r="G472" s="24"/>
      <x:c r="H472" s="24" t="n">
        <x:v>47.50917001791066</x:v>
      </x:c>
      <x:c r="I472" s="24" t="n">
        <x:v>68.03306385111387</x:v>
      </x:c>
      <x:c r="J472" s="24"/>
      <x:c r="K472" s="24"/>
      <x:c r="L472" s="24" t="n">
        <x:v>74.67565334726677</x:v>
      </x:c>
      <x:c r="M472" s="24" t="n">
        <x:v>72.12328205446663</x:v>
      </x:c>
      <x:c r="N472" s="24" t="n">
        <x:v>61.67310016047335</x:v>
      </x:c>
      <x:c r="O472" s="24" t="n">
        <x:v>78.08847725160074</x:v>
      </x:c>
      <x:c r="P472" s="24"/>
      <x:c r="Q472" s="24"/>
      <x:c r="R472" s="24" t="n">
        <x:v>66.49637261985396</x:v>
      </x:c>
      <x:c r="S472" s="24"/>
      <x:c r="T472" s="24"/>
      <x:c r="U472" s="24"/>
    </x:row>
    <x:row r="473">
      <x:c r="A473" s="24" t="n">
        <x:v>47.1</x:v>
      </x:c>
      <x:c r="B473" s="24"/>
      <x:c r="C473" s="24" t="n">
        <x:v>81.07007058944455</x:v>
      </x:c>
      <x:c r="D473" s="24" t="n">
        <x:v>66.0248150848659</x:v>
      </x:c>
      <x:c r="E473" s="24" t="n">
        <x:v>78.56029386543823</x:v>
      </x:c>
      <x:c r="F473" s="24" t="n">
        <x:v>65.54412249557251</x:v>
      </x:c>
      <x:c r="G473" s="24"/>
      <x:c r="H473" s="24" t="n">
        <x:v>58.19367921421767</x:v>
      </x:c>
      <x:c r="I473" s="24" t="n">
        <x:v>73.00543376050985</x:v>
      </x:c>
      <x:c r="J473" s="24"/>
      <x:c r="K473" s="24"/>
      <x:c r="L473" s="24" t="n">
        <x:v>74.52518565299268</x:v>
      </x:c>
      <x:c r="M473" s="24" t="n">
        <x:v>73.00968173524213</x:v>
      </x:c>
      <x:c r="N473" s="24" t="n">
        <x:v>66.39725298685299</x:v>
      </x:c>
      <x:c r="O473" s="24" t="n">
        <x:v>74.54707258089545</x:v>
      </x:c>
      <x:c r="P473" s="24"/>
      <x:c r="Q473" s="24"/>
      <x:c r="R473" s="24" t="n">
        <x:v>66.13458973491645</x:v>
      </x:c>
      <x:c r="S473" s="24"/>
      <x:c r="T473" s="24"/>
      <x:c r="U473" s="24"/>
    </x:row>
    <x:row r="474">
      <x:c r="A474" s="24" t="n">
        <x:v>47.2</x:v>
      </x:c>
      <x:c r="B474" s="24"/>
      <x:c r="C474" s="24" t="n">
        <x:v>79.00511030745555</x:v>
      </x:c>
      <x:c r="D474" s="24" t="n">
        <x:v>66.0248150848659</x:v>
      </x:c>
      <x:c r="E474" s="24" t="n">
        <x:v>78.56029386543823</x:v>
      </x:c>
      <x:c r="F474" s="24" t="n">
        <x:v>69.02650727039264</x:v>
      </x:c>
      <x:c r="G474" s="24"/>
      <x:c r="H474" s="24" t="n">
        <x:v>66.20706111144744</x:v>
      </x:c>
      <x:c r="I474" s="24" t="n">
        <x:v>73.49006732078603</x:v>
      </x:c>
      <x:c r="J474" s="24"/>
      <x:c r="K474" s="24"/>
      <x:c r="L474" s="24" t="n">
        <x:v>67.82371415642669</x:v>
      </x:c>
      <x:c r="M474" s="24" t="n">
        <x:v>73.00968173524213</x:v>
      </x:c>
      <x:c r="N474" s="24" t="n">
        <x:v>68.82687191514934</x:v>
      </x:c>
      <x:c r="O474" s="24"/>
      <x:c r="P474" s="24"/>
      <x:c r="Q474" s="24"/>
      <x:c r="R474" s="24" t="n">
        <x:v>65.63781655115588</x:v>
      </x:c>
      <x:c r="S474" s="24"/>
      <x:c r="T474" s="24"/>
      <x:c r="U474" s="24"/>
    </x:row>
    <x:row r="475">
      <x:c r="A475" s="24" t="n">
        <x:v>47.300000000000004</x:v>
      </x:c>
      <x:c r="B475" s="24"/>
      <x:c r="C475" s="24" t="n">
        <x:v>69.17644015640127</x:v>
      </x:c>
      <x:c r="D475" s="24" t="n">
        <x:v>65.02641590372235</x:v>
      </x:c>
      <x:c r="E475" s="24" t="n">
        <x:v>73.22342813179863</x:v>
      </x:c>
      <x:c r="F475" s="24" t="n">
        <x:v>69.02650727039264</x:v>
      </x:c>
      <x:c r="G475" s="24"/>
      <x:c r="H475" s="24" t="n">
        <x:v>71.16009288702736</x:v>
      </x:c>
      <x:c r="I475" s="24" t="n">
        <x:v>72.77224640426044</x:v>
      </x:c>
      <x:c r="J475" s="24"/>
      <x:c r="K475" s="24"/>
      <x:c r="L475" s="24" t="n">
        <x:v>67.27561107693795</x:v>
      </x:c>
      <x:c r="M475" s="24" t="n">
        <x:v>71.90010844752778</x:v>
      </x:c>
      <x:c r="N475" s="24" t="n">
        <x:v>69.49901620851064</x:v>
      </x:c>
      <x:c r="O475" s="24"/>
      <x:c r="P475" s="24"/>
      <x:c r="Q475" s="24"/>
      <x:c r="R475" s="24" t="n">
        <x:v>65.63781655115588</x:v>
      </x:c>
      <x:c r="S475" s="24"/>
      <x:c r="T475" s="24"/>
      <x:c r="U475" s="24"/>
    </x:row>
    <x:row r="476">
      <x:c r="A476" s="24" t="n">
        <x:v>47.400000000000006</x:v>
      </x:c>
      <x:c r="B476" s="24"/>
      <x:c r="C476" s="24" t="n">
        <x:v>51.595284178115094</x:v>
      </x:c>
      <x:c r="D476" s="24" t="n">
        <x:v>66.48584012506024</x:v>
      </x:c>
      <x:c r="E476" s="24" t="n">
        <x:v>66.84388012039328</x:v>
      </x:c>
      <x:c r="F476" s="24" t="n">
        <x:v>68.95917542776652</x:v>
      </x:c>
      <x:c r="G476" s="24"/>
      <x:c r="H476" s="24" t="n">
        <x:v>73.3285334438223</x:v>
      </x:c>
      <x:c r="I476" s="24" t="n">
        <x:v>55.463564537931816</x:v>
      </x:c>
      <x:c r="J476" s="24"/>
      <x:c r="K476" s="24"/>
      <x:c r="L476" s="24" t="n">
        <x:v>68.42273600155096</x:v>
      </x:c>
      <x:c r="M476" s="24" t="n">
        <x:v>72.14926630811313</x:v>
      </x:c>
      <x:c r="N476" s="24" t="n">
        <x:v>69.49901620851064</x:v>
      </x:c>
      <x:c r="O476" s="24"/>
      <x:c r="P476" s="24"/>
      <x:c r="Q476" s="24"/>
      <x:c r="R476" s="24" t="n">
        <x:v>66.35746384644153</x:v>
      </x:c>
      <x:c r="S476" s="24"/>
      <x:c r="T476" s="24"/>
      <x:c r="U476" s="24"/>
    </x:row>
    <x:row r="477">
      <x:c r="A477" s="24" t="n">
        <x:v>47.5</x:v>
      </x:c>
      <x:c r="B477" s="24"/>
      <x:c r="C477" s="24" t="n">
        <x:v>51.595284178115094</x:v>
      </x:c>
      <x:c r="D477" s="24" t="n">
        <x:v>66.96682339656523</x:v>
      </x:c>
      <x:c r="E477" s="24" t="n">
        <x:v>63.94375173658676</x:v>
      </x:c>
      <x:c r="F477" s="24" t="n">
        <x:v>69.92163792810825</x:v>
      </x:c>
      <x:c r="G477" s="24"/>
      <x:c r="H477" s="24" t="n">
        <x:v>73.3285334438223</x:v>
      </x:c>
      <x:c r="I477" s="24" t="n">
        <x:v>60.05871967787732</x:v>
      </x:c>
      <x:c r="J477" s="24"/>
      <x:c r="K477" s="24"/>
      <x:c r="L477" s="24" t="n">
        <x:v>68.61891183078677</x:v>
      </x:c>
      <x:c r="M477" s="24" t="n">
        <x:v>72.14926630811313</x:v>
      </x:c>
      <x:c r="N477" s="24" t="n">
        <x:v>70.18968178766427</x:v>
      </x:c>
      <x:c r="O477" s="24"/>
      <x:c r="P477" s="24"/>
      <x:c r="Q477" s="24"/>
      <x:c r="R477" s="24" t="n">
        <x:v>67.01977872677502</x:v>
      </x:c>
      <x:c r="S477" s="24"/>
      <x:c r="T477" s="24"/>
      <x:c r="U477" s="24"/>
    </x:row>
    <x:row r="478">
      <x:c r="A478" s="24" t="n">
        <x:v>47.6</x:v>
      </x:c>
      <x:c r="B478" s="24"/>
      <x:c r="C478" s="24" t="n">
        <x:v>60.89916479811606</x:v>
      </x:c>
      <x:c r="D478" s="24" t="n">
        <x:v>67.07768696324017</x:v>
      </x:c>
      <x:c r="E478" s="24" t="n">
        <x:v>49.331608997128484</x:v>
      </x:c>
      <x:c r="F478" s="24" t="n">
        <x:v>69.92163792810825</x:v>
      </x:c>
      <x:c r="G478" s="24"/>
      <x:c r="H478" s="24" t="n">
        <x:v>62.553699821497844</x:v>
      </x:c>
      <x:c r="I478" s="24" t="n">
        <x:v>64.52931372599315</x:v>
      </x:c>
      <x:c r="J478" s="24"/>
      <x:c r="K478" s="24"/>
      <x:c r="L478" s="24" t="n">
        <x:v>68.6820311895702</x:v>
      </x:c>
      <x:c r="M478" s="24" t="n">
        <x:v>73.52513364775122</x:v>
      </x:c>
      <x:c r="N478" s="24" t="n">
        <x:v>76.64614809935111</x:v>
      </x:c>
      <x:c r="O478" s="24"/>
      <x:c r="P478" s="24"/>
      <x:c r="Q478" s="24"/>
      <x:c r="R478" s="24" t="n">
        <x:v>67.01977872677502</x:v>
      </x:c>
      <x:c r="S478" s="24"/>
      <x:c r="T478" s="24"/>
      <x:c r="U478" s="24"/>
    </x:row>
    <x:row r="479">
      <x:c r="A479" s="24" t="n">
        <x:v>47.7</x:v>
      </x:c>
      <x:c r="B479" s="24"/>
      <x:c r="C479" s="24" t="n">
        <x:v>64.39951937797602</x:v>
      </x:c>
      <x:c r="D479" s="24" t="n">
        <x:v>68.78709700191415</x:v>
      </x:c>
      <x:c r="E479" s="24" t="n">
        <x:v>49.331608997128484</x:v>
      </x:c>
      <x:c r="F479" s="24" t="n">
        <x:v>68.88150990652912</x:v>
      </x:c>
      <x:c r="G479" s="24"/>
      <x:c r="H479" s="24" t="n">
        <x:v>69.49064404003202</x:v>
      </x:c>
      <x:c r="I479" s="24" t="n">
        <x:v>64.52931372599315</x:v>
      </x:c>
      <x:c r="J479" s="24"/>
      <x:c r="K479" s="24"/>
      <x:c r="L479" s="24" t="n">
        <x:v>68.6820311895702</x:v>
      </x:c>
      <x:c r="M479" s="24" t="n">
        <x:v>73.65108630762528</x:v>
      </x:c>
      <x:c r="N479" s="24" t="n">
        <x:v>76.64614809935111</x:v>
      </x:c>
      <x:c r="O479" s="24"/>
      <x:c r="P479" s="24"/>
      <x:c r="Q479" s="24"/>
      <x:c r="R479" s="24" t="n">
        <x:v>65.08803238321475</x:v>
      </x:c>
      <x:c r="S479" s="24"/>
      <x:c r="T479" s="24"/>
      <x:c r="U479" s="24"/>
    </x:row>
    <x:row r="480">
      <x:c r="A480" s="24" t="n">
        <x:v>47.800000000000004</x:v>
      </x:c>
      <x:c r="B480" s="24"/>
      <x:c r="C480" s="24" t="n">
        <x:v>64.39951937797602</x:v>
      </x:c>
      <x:c r="D480" s="24" t="n">
        <x:v>68.78709700191415</x:v>
      </x:c>
      <x:c r="E480" s="24" t="n">
        <x:v>55.49024630084036</x:v>
      </x:c>
      <x:c r="F480" s="24" t="n">
        <x:v>69.33563870475955</x:v>
      </x:c>
      <x:c r="G480" s="24"/>
      <x:c r="H480" s="24" t="n">
        <x:v>72.42644554860915</x:v>
      </x:c>
      <x:c r="I480" s="24" t="n">
        <x:v>65.68367588511977</x:v>
      </x:c>
      <x:c r="J480" s="24"/>
      <x:c r="K480" s="24"/>
      <x:c r="L480" s="24" t="n">
        <x:v>67.05669454731806</x:v>
      </x:c>
      <x:c r="M480" s="24" t="n">
        <x:v>72.86890453102137</x:v>
      </x:c>
      <x:c r="N480" s="24" t="n">
        <x:v>74.21654742824151</x:v>
      </x:c>
      <x:c r="O480" s="24"/>
      <x:c r="P480" s="24"/>
      <x:c r="Q480" s="24"/>
      <x:c r="R480" s="24" t="n">
        <x:v>64.5474884536622</x:v>
      </x:c>
      <x:c r="S480" s="24"/>
      <x:c r="T480" s="24"/>
      <x:c r="U480" s="24"/>
    </x:row>
    <x:row r="481">
      <x:c r="A481" s="24" t="n">
        <x:v>47.900000000000006</x:v>
      </x:c>
      <x:c r="B481" s="24"/>
      <x:c r="C481" s="24" t="n">
        <x:v>62.643866035498846</x:v>
      </x:c>
      <x:c r="D481" s="24" t="n">
        <x:v>68.27885631064845</x:v>
      </x:c>
      <x:c r="E481" s="24" t="n">
        <x:v>70.88424113641749</x:v>
      </x:c>
      <x:c r="F481" s="24" t="n">
        <x:v>70.40517604194105</x:v>
      </x:c>
      <x:c r="G481" s="24"/>
      <x:c r="H481" s="24" t="n">
        <x:v>72.42644554860915</x:v>
      </x:c>
      <x:c r="I481" s="24" t="n">
        <x:v>65.83321422961268</x:v>
      </x:c>
      <x:c r="J481" s="24"/>
      <x:c r="K481" s="24"/>
      <x:c r="L481" s="24" t="n">
        <x:v>67.25440836345872</x:v>
      </x:c>
      <x:c r="M481" s="24" t="n">
        <x:v>68.69117067944907</x:v>
      </x:c>
      <x:c r="N481" s="24" t="n">
        <x:v>67.99827495591721</x:v>
      </x:c>
      <x:c r="O481" s="24"/>
      <x:c r="P481" s="24"/>
      <x:c r="Q481" s="24"/>
      <x:c r="R481" s="24" t="n">
        <x:v>60.82485508502567</x:v>
      </x:c>
      <x:c r="S481" s="24"/>
      <x:c r="T481" s="24"/>
      <x:c r="U481" s="24"/>
    </x:row>
    <x:row r="482">
      <x:c r="A482" s="24" t="n">
        <x:v>48</x:v>
      </x:c>
      <x:c r="B482" s="24"/>
      <x:c r="C482" s="24" t="n">
        <x:v>53.235441169452486</x:v>
      </x:c>
      <x:c r="D482" s="24" t="n">
        <x:v>68.27885631064845</x:v>
      </x:c>
      <x:c r="E482" s="24" t="n">
        <x:v>71.80696375918286</x:v>
      </x:c>
      <x:c r="F482" s="24" t="n">
        <x:v>70.40517604194105</x:v>
      </x:c>
      <x:c r="G482" s="24"/>
      <x:c r="H482" s="24" t="n">
        <x:v>72.35125658211379</x:v>
      </x:c>
      <x:c r="I482" s="24" t="n">
        <x:v>65.83321422961268</x:v>
      </x:c>
      <x:c r="J482" s="24"/>
      <x:c r="K482" s="24"/>
      <x:c r="L482" s="24" t="n">
        <x:v>67.25440836345872</x:v>
      </x:c>
      <x:c r="M482" s="24" t="n">
        <x:v>79.27190958229428</x:v>
      </x:c>
      <x:c r="N482" s="24" t="n">
        <x:v>60.75976448476028</x:v>
      </x:c>
      <x:c r="O482" s="24"/>
      <x:c r="P482" s="24"/>
      <x:c r="Q482" s="24"/>
      <x:c r="R482" s="24" t="n">
        <x:v>75.92872901434858</x:v>
      </x:c>
      <x:c r="S482" s="24"/>
      <x:c r="T482" s="24"/>
      <x:c r="U482" s="24"/>
    </x:row>
    <x:row r="483">
      <x:c r="A483" s="24" t="n">
        <x:v>48.1</x:v>
      </x:c>
      <x:c r="B483" s="24"/>
      <x:c r="C483" s="24" t="n">
        <x:v>51.595284178115094</x:v>
      </x:c>
      <x:c r="D483" s="24" t="n">
        <x:v>88.14683405893645</x:v>
      </x:c>
      <x:c r="E483" s="24" t="n">
        <x:v>76.18586069355155</x:v>
      </x:c>
      <x:c r="F483" s="24" t="n">
        <x:v>69.55972189460806</x:v>
      </x:c>
      <x:c r="G483" s="24"/>
      <x:c r="H483" s="24" t="n">
        <x:v>71.81492987018376</x:v>
      </x:c>
      <x:c r="I483" s="24" t="n">
        <x:v>66.66534570753966</x:v>
      </x:c>
      <x:c r="J483" s="24"/>
      <x:c r="K483" s="24"/>
      <x:c r="L483" s="24" t="n">
        <x:v>66.81321327455952</x:v>
      </x:c>
      <x:c r="M483" s="24" t="n">
        <x:v>80.26201558224815</x:v>
      </x:c>
      <x:c r="N483" s="24" t="n">
        <x:v>60.53130807754873</x:v>
      </x:c>
      <x:c r="O483" s="24"/>
      <x:c r="P483" s="24"/>
      <x:c r="Q483" s="24"/>
      <x:c r="R483" s="24" t="n">
        <x:v>75.92872901434858</x:v>
      </x:c>
      <x:c r="S483" s="24"/>
      <x:c r="T483" s="24"/>
      <x:c r="U483" s="24"/>
    </x:row>
    <x:row r="484">
      <x:c r="A484" s="24" t="n">
        <x:v>48.2</x:v>
      </x:c>
      <x:c r="B484" s="24"/>
      <x:c r="C484" s="24" t="n">
        <x:v>75.61365202067107</x:v>
      </x:c>
      <x:c r="D484" s="24" t="n">
        <x:v>88.14683405893645</x:v>
      </x:c>
      <x:c r="E484" s="24" t="n">
        <x:v>76.18586069355155</x:v>
      </x:c>
      <x:c r="F484" s="24" t="n">
        <x:v>62.898037408209156</x:v>
      </x:c>
      <x:c r="G484" s="24"/>
      <x:c r="H484" s="24" t="n">
        <x:v>74.6121236203878</x:v>
      </x:c>
      <x:c r="I484" s="24" t="n">
        <x:v>66.92438980587008</x:v>
      </x:c>
      <x:c r="J484" s="24"/>
      <x:c r="K484" s="24"/>
      <x:c r="L484" s="24" t="n">
        <x:v>64.36894619112047</x:v>
      </x:c>
      <x:c r="M484" s="24" t="n">
        <x:v>80.26201558224815</x:v>
      </x:c>
      <x:c r="N484" s="24" t="n">
        <x:v>60.53130807754873</x:v>
      </x:c>
      <x:c r="O484" s="24"/>
      <x:c r="P484" s="24"/>
      <x:c r="Q484" s="24"/>
      <x:c r="R484" s="24" t="n">
        <x:v>73.22275208081695</x:v>
      </x:c>
      <x:c r="S484" s="24"/>
      <x:c r="T484" s="24"/>
      <x:c r="U484" s="24"/>
    </x:row>
    <x:row r="485">
      <x:c r="A485" s="24" t="n">
        <x:v>48.300000000000004</x:v>
      </x:c>
      <x:c r="B485" s="24"/>
      <x:c r="C485" s="24" t="n">
        <x:v>76.45726199028833</x:v>
      </x:c>
      <x:c r="D485" s="24" t="n">
        <x:v>80.06503846069123</x:v>
      </x:c>
      <x:c r="E485" s="24" t="n">
        <x:v>71.46765777054873</x:v>
      </x:c>
      <x:c r="F485" s="24" t="n">
        <x:v>82.23577614267062</x:v>
      </x:c>
      <x:c r="G485" s="24"/>
      <x:c r="H485" s="24" t="n">
        <x:v>74.79854667017594</x:v>
      </x:c>
      <x:c r="I485" s="24" t="n">
        <x:v>83.8311654112357</x:v>
      </x:c>
      <x:c r="J485" s="24"/>
      <x:c r="K485" s="24"/>
      <x:c r="L485" s="24" t="n">
        <x:v>61.97678980529122</x:v>
      </x:c>
      <x:c r="M485" s="24" t="n">
        <x:v>68.9665218436756</x:v>
      </x:c>
      <x:c r="N485" s="24" t="n">
        <x:v>60.64579085030779</x:v>
      </x:c>
      <x:c r="O485" s="24"/>
      <x:c r="P485" s="24"/>
      <x:c r="Q485" s="24"/>
      <x:c r="R485" s="24" t="n">
        <x:v>66.61224843751882</x:v>
      </x:c>
      <x:c r="S485" s="24"/>
      <x:c r="T485" s="24"/>
      <x:c r="U485" s="24"/>
    </x:row>
    <x:row r="486">
      <x:c r="A486" s="24" t="n">
        <x:v>48.400000000000006</x:v>
      </x:c>
      <x:c r="B486" s="24"/>
      <x:c r="C486" s="24" t="n">
        <x:v>75.64838821263766</x:v>
      </x:c>
      <x:c r="D486" s="24" t="n">
        <x:v>72.6194239329191</x:v>
      </x:c>
      <x:c r="E486" s="24" t="n">
        <x:v>65.99527897169388</x:v>
      </x:c>
      <x:c r="F486" s="24" t="n">
        <x:v>82.23577614267062</x:v>
      </x:c>
      <x:c r="G486" s="24"/>
      <x:c r="H486" s="24" t="n">
        <x:v>74.49771041631047</x:v>
      </x:c>
      <x:c r="I486" s="24" t="n">
        <x:v>83.8311654112357</x:v>
      </x:c>
      <x:c r="J486" s="24"/>
      <x:c r="K486" s="24"/>
      <x:c r="L486" s="24" t="n">
        <x:v>79.46991500796366</x:v>
      </x:c>
      <x:c r="M486" s="24" t="n">
        <x:v>50</x:v>
      </x:c>
      <x:c r="N486" s="24" t="n">
        <x:v>62.872828770791486</x:v>
      </x:c>
      <x:c r="O486" s="24"/>
      <x:c r="P486" s="24"/>
      <x:c r="Q486" s="24"/>
      <x:c r="R486" s="24" t="n">
        <x:v>65.08349266565624</x:v>
      </x:c>
      <x:c r="S486" s="24"/>
      <x:c r="T486" s="24"/>
      <x:c r="U486" s="24"/>
    </x:row>
    <x:row r="487">
      <x:c r="A487" s="24" t="n">
        <x:v>48.5</x:v>
      </x:c>
      <x:c r="B487" s="24"/>
      <x:c r="C487" s="24" t="n">
        <x:v>69.43398321541476</x:v>
      </x:c>
      <x:c r="D487" s="24" t="n">
        <x:v>67.78605956074638</x:v>
      </x:c>
      <x:c r="E487" s="24" t="n">
        <x:v>63.001456949295545</x:v>
      </x:c>
      <x:c r="F487" s="24" t="n">
        <x:v>77.83315201852014</x:v>
      </x:c>
      <x:c r="G487" s="24"/>
      <x:c r="H487" s="24" t="n">
        <x:v>74.44538974461871</x:v>
      </x:c>
      <x:c r="I487" s="24" t="n">
        <x:v>79.88714589513225</x:v>
      </x:c>
      <x:c r="J487" s="24"/>
      <x:c r="K487" s="24"/>
      <x:c r="L487" s="24" t="n">
        <x:v>81.0776086912298</x:v>
      </x:c>
      <x:c r="M487" s="24" t="n">
        <x:v>50</x:v>
      </x:c>
      <x:c r="N487" s="24" t="n">
        <x:v>62.872828770791486</x:v>
      </x:c>
      <x:c r="O487" s="24"/>
      <x:c r="P487" s="24"/>
      <x:c r="Q487" s="24"/>
      <x:c r="R487" s="24" t="n">
        <x:v>63.55473689379376</x:v>
      </x:c>
      <x:c r="S487" s="24"/>
      <x:c r="T487" s="24"/>
      <x:c r="U487" s="24"/>
    </x:row>
    <x:row r="488">
      <x:c r="A488" s="24" t="n">
        <x:v>48.6</x:v>
      </x:c>
      <x:c r="B488" s="24"/>
      <x:c r="C488" s="24" t="n">
        <x:v>65.2912775643114</x:v>
      </x:c>
      <x:c r="D488" s="24" t="n">
        <x:v>62.03691308784837</x:v>
      </x:c>
      <x:c r="E488" s="24" t="n">
        <x:v>65.13622763837978</x:v>
      </x:c>
      <x:c r="F488" s="24" t="n">
        <x:v>68.20184797390507</x:v>
      </x:c>
      <x:c r="G488" s="24"/>
      <x:c r="H488" s="24" t="n">
        <x:v>74.11131985824844</x:v>
      </x:c>
      <x:c r="I488" s="24" t="n">
        <x:v>69.9776437438044</x:v>
      </x:c>
      <x:c r="J488" s="24"/>
      <x:c r="K488" s="24"/>
      <x:c r="L488" s="24" t="n">
        <x:v>81.0776086912298</x:v>
      </x:c>
      <x:c r="M488" s="24" t="n">
        <x:v>53.80851942975997</x:v>
      </x:c>
      <x:c r="N488" s="24" t="n">
        <x:v>62.10211585233587</x:v>
      </x:c>
      <x:c r="O488" s="24"/>
      <x:c r="P488" s="24"/>
      <x:c r="Q488" s="24"/>
      <x:c r="R488" s="24" t="n">
        <x:v>62.02598112193118</x:v>
      </x:c>
      <x:c r="S488" s="24"/>
      <x:c r="T488" s="24"/>
      <x:c r="U488" s="24"/>
    </x:row>
    <x:row r="489">
      <x:c r="A489" s="24" t="n">
        <x:v>48.7</x:v>
      </x:c>
      <x:c r="B489" s="24"/>
      <x:c r="C489" s="24" t="n">
        <x:v>67.79202672614325</x:v>
      </x:c>
      <x:c r="D489" s="24" t="n">
        <x:v>60.08133986112365</x:v>
      </x:c>
      <x:c r="E489" s="24" t="n">
        <x:v>65.44431354019018</x:v>
      </x:c>
      <x:c r="F489" s="24" t="n">
        <x:v>55.20272391179488</x:v>
      </x:c>
      <x:c r="G489" s="24"/>
      <x:c r="H489" s="24" t="n">
        <x:v>73.18084186041689</x:v>
      </x:c>
      <x:c r="I489" s="24" t="n">
        <x:v>65.08586927472535</x:v>
      </x:c>
      <x:c r="J489" s="24"/>
      <x:c r="K489" s="24"/>
      <x:c r="L489" s="24" t="n">
        <x:v>69.51052606375258</x:v>
      </x:c>
      <x:c r="M489" s="24" t="n">
        <x:v>60.15605181269309</x:v>
      </x:c>
      <x:c r="N489" s="24" t="n">
        <x:v>58.4023147252622</x:v>
      </x:c>
      <x:c r="O489" s="24"/>
      <x:c r="P489" s="24"/>
      <x:c r="Q489" s="24"/>
      <x:c r="R489" s="24" t="n">
        <x:v>68.45251790691361</x:v>
      </x:c>
      <x:c r="S489" s="24"/>
      <x:c r="T489" s="24"/>
      <x:c r="U489" s="24"/>
    </x:row>
    <x:row r="490">
      <x:c r="A490" s="24" t="n">
        <x:v>48.800000000000004</x:v>
      </x:c>
      <x:c r="B490" s="24"/>
      <x:c r="C490" s="24" t="n">
        <x:v>70.16448663912823</x:v>
      </x:c>
      <x:c r="D490" s="24" t="n">
        <x:v>59.72347841022527</x:v>
      </x:c>
      <x:c r="E490" s="24" t="n">
        <x:v>67.54402098719743</x:v>
      </x:c>
      <x:c r="F490" s="24" t="n">
        <x:v>52.62734679463941</x:v>
      </x:c>
      <x:c r="G490" s="24"/>
      <x:c r="H490" s="24" t="n">
        <x:v>72.55545750472139</x:v>
      </x:c>
      <x:c r="I490" s="24" t="n">
        <x:v>45.56881161461491</x:v>
      </x:c>
      <x:c r="J490" s="24"/>
      <x:c r="K490" s="24"/>
      <x:c r="L490" s="24" t="n">
        <x:v>50</x:v>
      </x:c>
      <x:c r="M490" s="24" t="n">
        <x:v>63.96457124245573</x:v>
      </x:c>
      <x:c r="N490" s="24" t="n">
        <x:v>67.58558267277934</x:v>
      </x:c>
      <x:c r="O490" s="24"/>
      <x:c r="P490" s="24"/>
      <x:c r="Q490" s="24"/>
      <x:c r="R490" s="24" t="n">
        <x:v>75.82933359390586</x:v>
      </x:c>
      <x:c r="S490" s="24"/>
      <x:c r="T490" s="24"/>
      <x:c r="U490" s="24"/>
    </x:row>
    <x:row r="491">
      <x:c r="A491" s="24" t="n">
        <x:v>48.900000000000006</x:v>
      </x:c>
      <x:c r="B491" s="24"/>
      <x:c r="C491" s="24" t="n">
        <x:v>70.28787204285123</x:v>
      </x:c>
      <x:c r="D491" s="24" t="n">
        <x:v>65.78633272390198</x:v>
      </x:c>
      <x:c r="E491" s="24" t="n">
        <x:v>67.54402098719743</x:v>
      </x:c>
      <x:c r="F491" s="24" t="n">
        <x:v>52.62734679463941</x:v>
      </x:c>
      <x:c r="G491" s="24"/>
      <x:c r="H491" s="24" t="n">
        <x:v>70.87062614570519</x:v>
      </x:c>
      <x:c r="I491" s="24" t="n">
        <x:v>64.04468208257606</x:v>
      </x:c>
      <x:c r="J491" s="24"/>
      <x:c r="K491" s="24"/>
      <x:c r="L491" s="24" t="n">
        <x:v>50</x:v>
      </x:c>
      <x:c r="M491" s="24" t="n">
        <x:v>79.78704876083846</x:v>
      </x:c>
      <x:c r="N491" s="24" t="n">
        <x:v>73.09554344128911</x:v>
      </x:c>
      <x:c r="O491" s="24"/>
      <x:c r="P491" s="24"/>
      <x:c r="Q491" s="24"/>
      <x:c r="R491" s="24" t="n">
        <x:v>75.82933359390586</x:v>
      </x:c>
      <x:c r="S491" s="24"/>
      <x:c r="T491" s="24"/>
      <x:c r="U491" s="24"/>
    </x:row>
    <x:row r="492">
      <x:c r="A492" s="24" t="n">
        <x:v>49</x:v>
      </x:c>
      <x:c r="B492" s="24"/>
      <x:c r="C492" s="24" t="n">
        <x:v>70.35610633365336</x:v>
      </x:c>
      <x:c r="D492" s="24" t="n">
        <x:v>65.78633272390198</x:v>
      </x:c>
      <x:c r="E492" s="24" t="n">
        <x:v>66.96853401278855</x:v>
      </x:c>
      <x:c r="F492" s="24" t="n">
        <x:v>55.86262310950246</x:v>
      </x:c>
      <x:c r="G492" s="24"/>
      <x:c r="H492" s="24" t="n">
        <x:v>81.5364255214571</x:v>
      </x:c>
      <x:c r="I492" s="24" t="n">
        <x:v>65.736589633206</x:v>
      </x:c>
      <x:c r="J492" s="24"/>
      <x:c r="K492" s="24"/>
      <x:c r="L492" s="24" t="n">
        <x:v>50</x:v>
      </x:c>
      <x:c r="M492" s="24" t="n">
        <x:v>79.78704876083846</x:v>
      </x:c>
      <x:c r="N492" s="24" t="n">
        <x:v>73.09554344128911</x:v>
      </x:c>
      <x:c r="O492" s="24"/>
      <x:c r="P492" s="24"/>
      <x:c r="Q492" s="24"/>
      <x:c r="R492" s="24" t="n">
        <x:v>69.90496993137134</x:v>
      </x:c>
      <x:c r="S492" s="24"/>
      <x:c r="T492" s="24"/>
      <x:c r="U492" s="24"/>
    </x:row>
    <x:row r="493">
      <x:c r="A493" s="24" t="n">
        <x:v>49.1</x:v>
      </x:c>
      <x:c r="B493" s="24"/>
      <x:c r="C493" s="24" t="n">
        <x:v>70.35610633365336</x:v>
      </x:c>
      <x:c r="D493" s="24" t="n">
        <x:v>56.29709959306246</x:v>
      </x:c>
      <x:c r="E493" s="24" t="n">
        <x:v>67.06672818465421</x:v>
      </x:c>
      <x:c r="F493" s="24" t="n">
        <x:v>60.71553758179733</x:v>
      </x:c>
      <x:c r="G493" s="24"/>
      <x:c r="H493" s="24" t="n">
        <x:v>81.5457660601792</x:v>
      </x:c>
      <x:c r="I493" s="24" t="n">
        <x:v>72.40461596966074</x:v>
      </x:c>
      <x:c r="J493" s="24"/>
      <x:c r="K493" s="24"/>
      <x:c r="L493" s="24" t="n">
        <x:v>50</x:v>
      </x:c>
      <x:c r="M493" s="24" t="n">
        <x:v>77.49176624729036</x:v>
      </x:c>
      <x:c r="N493" s="24" t="n">
        <x:v>61.23258694457894</x:v>
      </x:c>
      <x:c r="O493" s="24"/>
      <x:c r="P493" s="24"/>
      <x:c r="Q493" s="24"/>
      <x:c r="R493" s="24" t="n">
        <x:v>68.99583146639327</x:v>
      </x:c>
      <x:c r="S493" s="24"/>
      <x:c r="T493" s="24"/>
      <x:c r="U493" s="24"/>
    </x:row>
    <x:row r="494">
      <x:c r="A494" s="24" t="n">
        <x:v>49.2</x:v>
      </x:c>
      <x:c r="B494" s="24"/>
      <x:c r="C494" s="24" t="n">
        <x:v>68.57529010936682</x:v>
      </x:c>
      <x:c r="D494" s="24" t="n">
        <x:v>63.17427796687624</x:v>
      </x:c>
      <x:c r="E494" s="24" t="n">
        <x:v>67.7143245951945</x:v>
      </x:c>
      <x:c r="F494" s="24" t="n">
        <x:v>67.12192974195867</x:v>
      </x:c>
      <x:c r="G494" s="24"/>
      <x:c r="H494" s="24" t="n">
        <x:v>79.39088785119898</x:v>
      </x:c>
      <x:c r="I494" s="24" t="n">
        <x:v>72.40461596966074</x:v>
      </x:c>
      <x:c r="J494" s="24"/>
      <x:c r="K494" s="24"/>
      <x:c r="L494" s="24" t="n">
        <x:v>50</x:v>
      </x:c>
      <x:c r="M494" s="24" t="n">
        <x:v>74.1139019760062</x:v>
      </x:c>
      <x:c r="N494" s="24" t="n">
        <x:v>50</x:v>
      </x:c>
      <x:c r="O494" s="24"/>
      <x:c r="P494" s="24"/>
      <x:c r="Q494" s="24"/>
      <x:c r="R494" s="24" t="n">
        <x:v>66.32884757928002</x:v>
      </x:c>
      <x:c r="S494" s="24"/>
      <x:c r="T494" s="24"/>
      <x:c r="U494" s="24"/>
    </x:row>
    <x:row r="495">
      <x:c r="A495" s="24" t="n">
        <x:v>49.300000000000004</x:v>
      </x:c>
      <x:c r="B495" s="24"/>
      <x:c r="C495" s="24" t="n">
        <x:v>70.08690775798726</x:v>
      </x:c>
      <x:c r="D495" s="24" t="n">
        <x:v>73.49004552759446</x:v>
      </x:c>
      <x:c r="E495" s="24" t="n">
        <x:v>68.7191345921207</x:v>
      </x:c>
      <x:c r="F495" s="24" t="n">
        <x:v>70.24639672017915</x:v>
      </x:c>
      <x:c r="G495" s="24"/>
      <x:c r="H495" s="24" t="n">
        <x:v>68.8080382566592</x:v>
      </x:c>
      <x:c r="I495" s="24" t="n">
        <x:v>45.56881161460947</x:v>
      </x:c>
      <x:c r="J495" s="24"/>
      <x:c r="K495" s="24"/>
      <x:c r="L495" s="24" t="n">
        <x:v>58.22480301538635</x:v>
      </x:c>
      <x:c r="M495" s="24" t="n">
        <x:v>72.88803284214664</x:v>
      </x:c>
      <x:c r="N495" s="24" t="n">
        <x:v>50.18167109459314</x:v>
      </x:c>
      <x:c r="O495" s="24"/>
      <x:c r="P495" s="24"/>
      <x:c r="Q495" s="24"/>
      <x:c r="R495" s="24" t="n">
        <x:v>66.4946390155201</x:v>
      </x:c>
      <x:c r="S495" s="24"/>
      <x:c r="T495" s="24"/>
      <x:c r="U495" s="24"/>
    </x:row>
    <x:row r="496">
      <x:c r="A496" s="24" t="n">
        <x:v>49.400000000000006</x:v>
      </x:c>
      <x:c r="B496" s="24"/>
      <x:c r="C496" s="24" t="n">
        <x:v>70.08690775798726</x:v>
      </x:c>
      <x:c r="D496" s="24" t="n">
        <x:v>73.49004552759445</x:v>
      </x:c>
      <x:c r="E496" s="24" t="n">
        <x:v>86.06543677032454</x:v>
      </x:c>
      <x:c r="F496" s="24" t="n">
        <x:v>70.24639672017915</x:v>
      </x:c>
      <x:c r="G496" s="24"/>
      <x:c r="H496" s="24" t="n">
        <x:v>48.88557401684023</x:v>
      </x:c>
      <x:c r="I496" s="24" t="n">
        <x:v>61.711379129098404</x:v>
      </x:c>
      <x:c r="J496" s="24"/>
      <x:c r="K496" s="24"/>
      <x:c r="L496" s="24" t="n">
        <x:v>80.0067550907271</x:v>
      </x:c>
      <x:c r="M496" s="24" t="n">
        <x:v>72.2202242222817</x:v>
      </x:c>
      <x:c r="N496" s="24" t="n">
        <x:v>50.48445625224837</x:v>
      </x:c>
      <x:c r="O496" s="24"/>
      <x:c r="P496" s="24"/>
      <x:c r="Q496" s="24"/>
      <x:c r="R496" s="24" t="n">
        <x:v>66.39675923599341</x:v>
      </x:c>
      <x:c r="S496" s="24"/>
      <x:c r="T496" s="24"/>
      <x:c r="U496" s="24"/>
    </x:row>
    <x:row r="497">
      <x:c r="A497" s="24" t="n">
        <x:v>49.5</x:v>
      </x:c>
      <x:c r="B497" s="24"/>
      <x:c r="C497" s="24" t="n">
        <x:v>69.41052894818023</x:v>
      </x:c>
      <x:c r="D497" s="24" t="n">
        <x:v>67.15170642169203</x:v>
      </x:c>
      <x:c r="E497" s="24" t="n">
        <x:v>86.06543677032454</x:v>
      </x:c>
      <x:c r="F497" s="24" t="n">
        <x:v>62.20741368125452</x:v>
      </x:c>
      <x:c r="G497" s="24"/>
      <x:c r="H497" s="24" t="n">
        <x:v>55.76759401148662</x:v>
      </x:c>
      <x:c r="I497" s="24" t="n">
        <x:v>67.60871228075342</x:v>
      </x:c>
      <x:c r="J497" s="24"/>
      <x:c r="K497" s="24"/>
      <x:c r="L497" s="24" t="n">
        <x:v>80.0067550907271</x:v>
      </x:c>
      <x:c r="M497" s="24" t="n">
        <x:v>72.80643216964661</x:v>
      </x:c>
      <x:c r="N497" s="24" t="n">
        <x:v>50.78724140990358</x:v>
      </x:c>
      <x:c r="O497" s="24"/>
      <x:c r="P497" s="24"/>
      <x:c r="Q497" s="24"/>
      <x:c r="R497" s="24" t="n">
        <x:v>66.02097528707742</x:v>
      </x:c>
      <x:c r="S497" s="24"/>
      <x:c r="T497" s="24"/>
      <x:c r="U497" s="24"/>
    </x:row>
    <x:row r="498">
      <x:c r="A498" s="24" t="n">
        <x:v>49.6</x:v>
      </x:c>
      <x:c r="B498" s="24"/>
      <x:c r="C498" s="24" t="n">
        <x:v>68.40091217986837</x:v>
      </x:c>
      <x:c r="D498" s="24" t="n">
        <x:v>54.2735594511674</x:v>
      </x:c>
      <x:c r="E498" s="24" t="n">
        <x:v>82.9052402663728</x:v>
      </x:c>
      <x:c r="F498" s="24" t="n">
        <x:v>59.57703791725512</x:v>
      </x:c>
      <x:c r="G498" s="24"/>
      <x:c r="H498" s="24" t="n">
        <x:v>62.649614006133504</x:v>
      </x:c>
      <x:c r="I498" s="24" t="n">
        <x:v>67.60871228075342</x:v>
      </x:c>
      <x:c r="J498" s="24"/>
      <x:c r="K498" s="24"/>
      <x:c r="L498" s="24" t="n">
        <x:v>77.6333899154346</x:v>
      </x:c>
      <x:c r="M498" s="24" t="n">
        <x:v>72.80643216964661</x:v>
      </x:c>
      <x:c r="N498" s="24" t="n">
        <x:v>70.91522113149948</x:v>
      </x:c>
      <x:c r="O498" s="24"/>
      <x:c r="P498" s="24"/>
      <x:c r="Q498" s="24"/>
      <x:c r="R498" s="24" t="n">
        <x:v>66.02097528707742</x:v>
      </x:c>
      <x:c r="S498" s="24"/>
      <x:c r="T498" s="24"/>
      <x:c r="U498" s="24"/>
    </x:row>
    <x:row r="499">
      <x:c r="A499" s="24" t="n">
        <x:v>49.7</x:v>
      </x:c>
      <x:c r="B499" s="24"/>
      <x:c r="C499" s="24" t="n">
        <x:v>68.40091217986837</x:v>
      </x:c>
      <x:c r="D499" s="24" t="n">
        <x:v>63.29830430008253</x:v>
      </x:c>
      <x:c r="E499" s="24" t="n">
        <x:v>74.02471043392202</x:v>
      </x:c>
      <x:c r="F499" s="24" t="n">
        <x:v>66.63355092864693</x:v>
      </x:c>
      <x:c r="G499" s="24"/>
      <x:c r="H499" s="24" t="n">
        <x:v>68.15523000185081</x:v>
      </x:c>
      <x:c r="I499" s="24" t="n">
        <x:v>67.37183955297414</x:v>
      </x:c>
      <x:c r="J499" s="24"/>
      <x:c r="K499" s="24"/>
      <x:c r="L499" s="24" t="n">
        <x:v>72.86423087527511</x:v>
      </x:c>
      <x:c r="M499" s="24" t="n">
        <x:v>72.3811484451682</x:v>
      </x:c>
      <x:c r="N499" s="24" t="n">
        <x:v>70.91522113149948</x:v>
      </x:c>
      <x:c r="O499" s="24"/>
      <x:c r="P499" s="24"/>
      <x:c r="Q499" s="24"/>
      <x:c r="R499" s="24" t="n">
        <x:v>67.9384826717079</x:v>
      </x:c>
      <x:c r="S499" s="24"/>
      <x:c r="T499" s="24"/>
      <x:c r="U499" s="24"/>
    </x:row>
    <x:row r="500">
      <x:c r="A500" s="24" t="n">
        <x:v>49.800000000000004</x:v>
      </x:c>
      <x:c r="B500" s="24"/>
      <x:c r="C500" s="24" t="n">
        <x:v>67.44020314192787</x:v>
      </x:c>
      <x:c r="D500" s="24" t="n">
        <x:v>66.52853806322004</x:v>
      </x:c>
      <x:c r="E500" s="24" t="n">
        <x:v>68.5105567843601</x:v>
      </x:c>
      <x:c r="F500" s="24" t="n">
        <x:v>67.71312099897217</x:v>
      </x:c>
      <x:c r="G500" s="24"/>
      <x:c r="H500" s="24" t="n">
        <x:v>68.15523000185205</x:v>
      </x:c>
      <x:c r="I500" s="24" t="n">
        <x:v>65.81201290668162</x:v>
      </x:c>
      <x:c r="J500" s="24"/>
      <x:c r="K500" s="24"/>
      <x:c r="L500" s="24" t="n">
        <x:v>69.7356368338575</x:v>
      </x:c>
      <x:c r="M500" s="24" t="n">
        <x:v>73.75669480803161</x:v>
      </x:c>
      <x:c r="N500" s="24" t="n">
        <x:v>70.02995288984881</x:v>
      </x:c>
      <x:c r="O500" s="24"/>
      <x:c r="P500" s="24"/>
      <x:c r="Q500" s="24"/>
      <x:c r="R500" s="24" t="n">
        <x:v>67.9384826717079</x:v>
      </x:c>
      <x:c r="S500" s="24"/>
      <x:c r="T500" s="24"/>
      <x:c r="U500" s="24"/>
    </x:row>
    <x:row r="501">
      <x:c r="A501" s="24" t="n">
        <x:v>49.900000000000006</x:v>
      </x:c>
      <x:c r="B501" s="24"/>
      <x:c r="C501" s="24" t="n">
        <x:v>69.9595145371562</x:v>
      </x:c>
      <x:c r="D501" s="24" t="n">
        <x:v>66.52853806322004</x:v>
      </x:c>
      <x:c r="E501" s="24" t="n">
        <x:v>61.91398791270722</x:v>
      </x:c>
      <x:c r="F501" s="24" t="n">
        <x:v>67.713120998972</x:v>
      </x:c>
      <x:c r="G501" s="24"/>
      <x:c r="H501" s="24" t="n">
        <x:v>74.57547982846933</x:v>
      </x:c>
      <x:c r="I501" s="24" t="n">
        <x:v>65.7994270458706</x:v>
      </x:c>
      <x:c r="J501" s="24"/>
      <x:c r="K501" s="24"/>
      <x:c r="L501" s="24" t="n">
        <x:v>65.6377474500361</x:v>
      </x:c>
      <x:c r="M501" s="24" t="n">
        <x:v>73.75669480803161</x:v>
      </x:c>
      <x:c r="N501" s="24" t="n">
        <x:v>67.15985754240303</x:v>
      </x:c>
      <x:c r="O501" s="24"/>
      <x:c r="P501" s="24"/>
      <x:c r="Q501" s="24"/>
      <x:c r="R501" s="24" t="n">
        <x:v>66.95681206672519</x:v>
      </x:c>
      <x:c r="S501" s="24"/>
      <x:c r="T501" s="24"/>
      <x:c r="U501" s="24"/>
    </x:row>
    <x:row r="502">
      <x:c r="A502" s="24" t="n">
        <x:v>50</x:v>
      </x:c>
      <x:c r="B502" s="24"/>
      <x:c r="C502" s="24" t="n">
        <x:v>77.35803479970656</x:v>
      </x:c>
      <x:c r="D502" s="24" t="n">
        <x:v>67.12498634625447</x:v>
      </x:c>
      <x:c r="E502" s="24" t="n">
        <x:v>66.07723134913653</x:v>
      </x:c>
      <x:c r="F502" s="24" t="n">
        <x:v>68.67413144255673</x:v>
      </x:c>
      <x:c r="G502" s="24"/>
      <x:c r="H502" s="24" t="n">
        <x:v>74.57547982846933</x:v>
      </x:c>
      <x:c r="I502" s="24" t="n">
        <x:v>65.96088569965617</x:v>
      </x:c>
      <x:c r="J502" s="24"/>
      <x:c r="K502" s="24"/>
      <x:c r="L502" s="24" t="n">
        <x:v>66.50018474138552</x:v>
      </x:c>
      <x:c r="M502" s="24"/>
      <x:c r="N502" s="24" t="n">
        <x:v>64.08745009069692</x:v>
      </x:c>
      <x:c r="O502" s="24"/>
      <x:c r="P502" s="24"/>
      <x:c r="Q502" s="24"/>
      <x:c r="R502" s="24" t="n">
        <x:v>65.55354999512986</x:v>
      </x:c>
      <x:c r="S502" s="24"/>
      <x:c r="T502" s="24"/>
      <x:c r="U502" s="24"/>
    </x:row>
    <x:row r="503">
      <x:c r="A503" s="24" t="n">
        <x:v>50.1</x:v>
      </x:c>
      <x:c r="B503" s="24"/>
      <x:c r="C503" s="24" t="n">
        <x:v>77.35803479970656</x:v>
      </x:c>
      <x:c r="D503" s="24" t="n">
        <x:v>67.86090387444125</x:v>
      </x:c>
      <x:c r="E503" s="24" t="n">
        <x:v>66.07723134913653</x:v>
      </x:c>
      <x:c r="F503" s="24" t="n">
        <x:v>69.31405888756267</x:v>
      </x:c>
      <x:c r="G503" s="24"/>
      <x:c r="H503" s="24" t="n">
        <x:v>69.27660311278802</x:v>
      </x:c>
      <x:c r="I503" s="24" t="n">
        <x:v>67.70510785692262</x:v>
      </x:c>
      <x:c r="J503" s="24"/>
      <x:c r="K503" s="24"/>
      <x:c r="L503" s="24" t="n">
        <x:v>68.27541754672195</x:v>
      </x:c>
      <x:c r="M503" s="24"/>
      <x:c r="N503" s="24" t="n">
        <x:v>63.35528179122183</x:v>
      </x:c>
      <x:c r="O503" s="24"/>
      <x:c r="P503" s="24"/>
      <x:c r="Q503" s="24"/>
      <x:c r="R503" s="24" t="n">
        <x:v>61.78573024935286</x:v>
      </x:c>
      <x:c r="S503" s="24"/>
      <x:c r="T503" s="24"/>
      <x:c r="U503" s="24"/>
    </x:row>
    <x:row r="504">
      <x:c r="A504" s="24" t="n">
        <x:v>50.2</x:v>
      </x:c>
      <x:c r="B504" s="24"/>
      <x:c r="C504" s="24" t="n">
        <x:v>66.14075683974197</x:v>
      </x:c>
      <x:c r="D504" s="24" t="n">
        <x:v>67.86090387444125</x:v>
      </x:c>
      <x:c r="E504" s="24" t="n">
        <x:v>64.4013149845375</x:v>
      </x:c>
      <x:c r="F504" s="24" t="n">
        <x:v>69.79732414120507</x:v>
      </x:c>
      <x:c r="G504" s="24"/>
      <x:c r="H504" s="24" t="n">
        <x:v>72.28849695341736</x:v>
      </x:c>
      <x:c r="I504" s="24" t="n">
        <x:v>84.35689674736452</x:v>
      </x:c>
      <x:c r="J504" s="24"/>
      <x:c r="K504" s="24"/>
      <x:c r="L504" s="24" t="n">
        <x:v>69.38378997670846</x:v>
      </x:c>
      <x:c r="M504" s="24"/>
      <x:c r="N504" s="24" t="n">
        <x:v>64.55417629009459</x:v>
      </x:c>
      <x:c r="O504" s="24"/>
      <x:c r="P504" s="24"/>
      <x:c r="Q504" s="24"/>
      <x:c r="R504" s="24" t="n">
        <x:v>74.94034648815644</x:v>
      </x:c>
      <x:c r="S504" s="24"/>
      <x:c r="T504" s="24"/>
      <x:c r="U504" s="24"/>
    </x:row>
    <x:row r="505">
      <x:c r="A505" s="24" t="n">
        <x:v>50.300000000000004</x:v>
      </x:c>
      <x:c r="B505" s="24"/>
      <x:c r="C505" s="24" t="n">
        <x:v>61.4534089521006</x:v>
      </x:c>
      <x:c r="D505" s="24" t="n">
        <x:v>68.95340807957487</x:v>
      </x:c>
      <x:c r="E505" s="24" t="n">
        <x:v>70.17634698966037</x:v>
      </x:c>
      <x:c r="F505" s="24" t="n">
        <x:v>69.79732414120488</x:v>
      </x:c>
      <x:c r="G505" s="24"/>
      <x:c r="H505" s="24" t="n">
        <x:v>73.20641521351612</x:v>
      </x:c>
      <x:c r="I505" s="24" t="n">
        <x:v>84.88240711004799</x:v>
      </x:c>
      <x:c r="J505" s="24"/>
      <x:c r="K505" s="24"/>
      <x:c r="L505" s="24" t="n">
        <x:v>69.80874507073808</x:v>
      </x:c>
      <x:c r="M505" s="24"/>
      <x:c r="N505" s="24" t="n">
        <x:v>64.85521950440044</x:v>
      </x:c>
      <x:c r="O505" s="24"/>
      <x:c r="P505" s="24"/>
      <x:c r="Q505" s="24"/>
      <x:c r="R505" s="24" t="n">
        <x:v>76.20750714670088</x:v>
      </x:c>
      <x:c r="S505" s="24"/>
      <x:c r="T505" s="24"/>
      <x:c r="U505" s="24"/>
    </x:row>
    <x:row r="506">
      <x:c r="A506" s="24" t="n">
        <x:v>50.400000000000006</x:v>
      </x:c>
      <x:c r="B506" s="24"/>
      <x:c r="C506" s="24" t="n">
        <x:v>63.10651259508397</x:v>
      </x:c>
      <x:c r="D506" s="24" t="n">
        <x:v>68.95340807957487</x:v>
      </x:c>
      <x:c r="E506" s="24" t="n">
        <x:v>75.07537176258735</x:v>
      </x:c>
      <x:c r="F506" s="24" t="n">
        <x:v>69.4888095096475</x:v>
      </x:c>
      <x:c r="G506" s="24"/>
      <x:c r="H506" s="24" t="n">
        <x:v>73.43591947755485</x:v>
      </x:c>
      <x:c r="I506" s="24" t="n">
        <x:v>83.48655251991396</x:v>
      </x:c>
      <x:c r="J506" s="24"/>
      <x:c r="K506" s="24"/>
      <x:c r="L506" s="24" t="n">
        <x:v>69.80874507073803</x:v>
      </x:c>
      <x:c r="M506" s="24"/>
      <x:c r="N506" s="24" t="n">
        <x:v>64.85521950440044</x:v>
      </x:c>
      <x:c r="O506" s="24"/>
      <x:c r="P506" s="24"/>
      <x:c r="Q506" s="24"/>
      <x:c r="R506" s="24" t="n">
        <x:v>76.20750714670021</x:v>
      </x:c>
      <x:c r="S506" s="24"/>
      <x:c r="T506" s="24"/>
      <x:c r="U506" s="24"/>
    </x:row>
    <x:row r="507">
      <x:c r="A507" s="24" t="n">
        <x:v>50.5</x:v>
      </x:c>
      <x:c r="B507" s="24"/>
      <x:c r="C507" s="24" t="n">
        <x:v>65.21271818964867</x:v>
      </x:c>
      <x:c r="D507" s="24" t="n">
        <x:v>68.15476975106436</x:v>
      </x:c>
      <x:c r="E507" s="24" t="n">
        <x:v>75.07537176258735</x:v>
      </x:c>
      <x:c r="F507" s="24" t="n">
        <x:v>69.4888095096475</x:v>
      </x:c>
      <x:c r="G507" s="24"/>
      <x:c r="H507" s="24" t="n">
        <x:v>73.01193035280444</x:v>
      </x:c>
      <x:c r="I507" s="24" t="n">
        <x:v>73.80683058967247</x:v>
      </x:c>
      <x:c r="J507" s="24"/>
      <x:c r="K507" s="24"/>
      <x:c r="L507" s="24" t="n">
        <x:v>69.76328939843968</x:v>
      </x:c>
      <x:c r="M507" s="24"/>
      <x:c r="N507" s="24" t="n">
        <x:v>66.4009668875417</x:v>
      </x:c>
      <x:c r="O507" s="24"/>
      <x:c r="P507" s="24"/>
      <x:c r="Q507" s="24"/>
      <x:c r="R507" s="24" t="n">
        <x:v>65.20646969261136</x:v>
      </x:c>
      <x:c r="S507" s="24"/>
      <x:c r="T507" s="24"/>
      <x:c r="U507" s="24"/>
    </x:row>
    <x:row r="508">
      <x:c r="A508" s="24" t="n">
        <x:v>50.6</x:v>
      </x:c>
      <x:c r="B508" s="24"/>
      <x:c r="C508" s="24" t="n">
        <x:v>65.21271818964867</x:v>
      </x:c>
      <x:c r="D508" s="24" t="n">
        <x:v>68.15476975106436</x:v>
      </x:c>
      <x:c r="E508" s="24" t="n">
        <x:v>71.20704172218413</x:v>
      </x:c>
      <x:c r="F508" s="24" t="n">
        <x:v>69.23993460015986</x:v>
      </x:c>
      <x:c r="G508" s="24"/>
      <x:c r="H508" s="24" t="n">
        <x:v>73.35108037229318</x:v>
      </x:c>
      <x:c r="I508" s="24" t="n">
        <x:v>66.54010581507706</x:v>
      </x:c>
      <x:c r="J508" s="24"/>
      <x:c r="K508" s="24"/>
      <x:c r="L508" s="24" t="n">
        <x:v>69.76328939843968</x:v>
      </x:c>
      <x:c r="M508" s="24"/>
      <x:c r="N508" s="24" t="n">
        <x:v>66.68887724804657</x:v>
      </x:c>
      <x:c r="O508" s="24"/>
      <x:c r="P508" s="24"/>
      <x:c r="Q508" s="24"/>
      <x:c r="R508" s="24" t="n">
        <x:v>61.16229654093482</x:v>
      </x:c>
      <x:c r="S508" s="24"/>
      <x:c r="T508" s="24"/>
      <x:c r="U508" s="24"/>
    </x:row>
    <x:row r="509">
      <x:c r="A509" s="24" t="n">
        <x:v>50.7</x:v>
      </x:c>
      <x:c r="B509" s="24"/>
      <x:c r="C509" s="24" t="n">
        <x:v>61.31659887863353</x:v>
      </x:c>
      <x:c r="D509" s="24" t="n">
        <x:v>68.66047408507487</x:v>
      </x:c>
      <x:c r="E509" s="24" t="n">
        <x:v>68.4546513592138</x:v>
      </x:c>
      <x:c r="F509" s="24" t="n">
        <x:v>65.32882383538637</x:v>
      </x:c>
      <x:c r="G509" s="24"/>
      <x:c r="H509" s="24" t="n">
        <x:v>73.35108037229318</x:v>
      </x:c>
      <x:c r="I509" s="24" t="n">
        <x:v>63.06386845703922</x:v>
      </x:c>
      <x:c r="J509" s="24"/>
      <x:c r="K509" s="24"/>
      <x:c r="L509" s="24" t="n">
        <x:v>68.65914710203619</x:v>
      </x:c>
      <x:c r="M509" s="24"/>
      <x:c r="N509" s="24" t="n">
        <x:v>66.68887724804657</x:v>
      </x:c>
      <x:c r="O509" s="24"/>
      <x:c r="P509" s="24"/>
      <x:c r="Q509" s="24"/>
      <x:c r="R509" s="24" t="n">
        <x:v>61.92532228850321</x:v>
      </x:c>
      <x:c r="S509" s="24"/>
      <x:c r="T509" s="24"/>
      <x:c r="U509" s="24"/>
    </x:row>
    <x:row r="510">
      <x:c r="A510" s="24" t="n">
        <x:v>50.800000000000004</x:v>
      </x:c>
      <x:c r="B510" s="24"/>
      <x:c r="C510" s="24" t="n">
        <x:v>53.539547118218366</x:v>
      </x:c>
      <x:c r="D510" s="24" t="n">
        <x:v>69.42066710366295</x:v>
      </x:c>
      <x:c r="E510" s="24" t="n">
        <x:v>67.30164343015572</x:v>
      </x:c>
      <x:c r="F510" s="24" t="n">
        <x:v>63.13209472652453</x:v>
      </x:c>
      <x:c r="G510" s="24"/>
      <x:c r="H510" s="24" t="n">
        <x:v>74.56227858661988</x:v>
      </x:c>
      <x:c r="I510" s="24" t="n">
        <x:v>58.92728315778594</x:v>
      </x:c>
      <x:c r="J510" s="24"/>
      <x:c r="K510" s="24"/>
      <x:c r="L510" s="24" t="n">
        <x:v>64.44722006917804</x:v>
      </x:c>
      <x:c r="M510" s="24"/>
      <x:c r="N510" s="24" t="n">
        <x:v>64.62682908348681</x:v>
      </x:c>
      <x:c r="O510" s="24"/>
      <x:c r="P510" s="24"/>
      <x:c r="Q510" s="24"/>
      <x:c r="R510" s="24" t="n">
        <x:v>62.688348036071595</x:v>
      </x:c>
      <x:c r="S510" s="24"/>
      <x:c r="T510" s="24"/>
      <x:c r="U510" s="24"/>
    </x:row>
    <x:row r="511">
      <x:c r="A511" s="24" t="n">
        <x:v>50.900000000000006</x:v>
      </x:c>
      <x:c r="B511" s="24"/>
      <x:c r="C511" s="24" t="n">
        <x:v>51.595284178115094</x:v>
      </x:c>
      <x:c r="D511" s="24" t="n">
        <x:v>68.46132454644622</x:v>
      </x:c>
      <x:c r="E511" s="24" t="n">
        <x:v>68.3087194688207</x:v>
      </x:c>
      <x:c r="F511" s="24" t="n">
        <x:v>62.354818060423206</x:v>
      </x:c>
      <x:c r="G511" s="24"/>
      <x:c r="H511" s="24" t="n">
        <x:v>74.56227858661988</x:v>
      </x:c>
      <x:c r="I511" s="24" t="n">
        <x:v>58.58702833652034</x:v>
      </x:c>
      <x:c r="J511" s="24"/>
      <x:c r="K511" s="24"/>
      <x:c r="L511" s="24" t="n">
        <x:v>63.37289843976922</x:v>
      </x:c>
      <x:c r="M511" s="24"/>
      <x:c r="N511" s="24" t="n">
        <x:v>63.98151505228281</x:v>
      </x:c>
      <x:c r="O511" s="24"/>
      <x:c r="P511" s="24"/>
      <x:c r="Q511" s="24"/>
      <x:c r="R511" s="24" t="n">
        <x:v>63.45137378363998</x:v>
      </x:c>
      <x:c r="S511" s="24"/>
      <x:c r="T511" s="24"/>
      <x:c r="U511" s="24"/>
    </x:row>
    <x:row r="512">
      <x:c r="A512" s="24" t="n">
        <x:v>51</x:v>
      </x:c>
      <x:c r="B512" s="24"/>
      <x:c r="C512" s="24" t="n">
        <x:v>51.595284178115094</x:v>
      </x:c>
      <x:c r="D512" s="24" t="n">
        <x:v>83.84734025395944</x:v>
      </x:c>
      <x:c r="E512" s="24" t="n">
        <x:v>68.78930544350611</x:v>
      </x:c>
      <x:c r="F512" s="24" t="n">
        <x:v>77.48765120674946</x:v>
      </x:c>
      <x:c r="G512" s="24"/>
      <x:c r="H512" s="24" t="n">
        <x:v>73.25970708494913</x:v>
      </x:c>
      <x:c r="I512" s="24" t="n">
        <x:v>63.8855937437273</x:v>
      </x:c>
      <x:c r="J512" s="24"/>
      <x:c r="K512" s="24"/>
      <x:c r="L512" s="24" t="n">
        <x:v>62.27776465388739</x:v>
      </x:c>
      <x:c r="M512" s="24"/>
      <x:c r="N512" s="24" t="n">
        <x:v>75.09172185600553</x:v>
      </x:c>
      <x:c r="O512" s="24"/>
      <x:c r="P512" s="24"/>
      <x:c r="Q512" s="24"/>
      <x:c r="R512" s="24" t="n">
        <x:v>77.48350470186757</x:v>
      </x:c>
      <x:c r="S512" s="24"/>
      <x:c r="T512" s="24"/>
      <x:c r="U512" s="24"/>
    </x:row>
    <x:row r="513">
      <x:c r="A513" s="24" t="n">
        <x:v>51.1</x:v>
      </x:c>
      <x:c r="B513" s="24"/>
      <x:c r="C513" s="24" t="n">
        <x:v>65.69607758243588</x:v>
      </x:c>
      <x:c r="D513" s="24" t="n">
        <x:v>84.27836279322226</x:v>
      </x:c>
      <x:c r="E513" s="24" t="n">
        <x:v>68.81419852924151</x:v>
      </x:c>
      <x:c r="F513" s="24" t="n">
        <x:v>79.00787355960654</x:v>
      </x:c>
      <x:c r="G513" s="24"/>
      <x:c r="H513" s="24" t="n">
        <x:v>74.07376941819473</x:v>
      </x:c>
      <x:c r="I513" s="24" t="n">
        <x:v>73.51548947131825</x:v>
      </x:c>
      <x:c r="J513" s="24"/>
      <x:c r="K513" s="24"/>
      <x:c r="L513" s="24" t="n">
        <x:v>67.78464561508439</x:v>
      </x:c>
      <x:c r="M513" s="24"/>
      <x:c r="N513" s="24" t="n">
        <x:v>75.09172185600553</x:v>
      </x:c>
      <x:c r="O513" s="24"/>
      <x:c r="P513" s="24"/>
      <x:c r="Q513" s="24"/>
      <x:c r="R513" s="24" t="n">
        <x:v>77.48350470186757</x:v>
      </x:c>
      <x:c r="S513" s="24"/>
      <x:c r="T513" s="24"/>
      <x:c r="U513" s="24"/>
    </x:row>
    <x:row r="514">
      <x:c r="A514" s="24" t="n">
        <x:v>51.2</x:v>
      </x:c>
      <x:c r="B514" s="24"/>
      <x:c r="C514" s="24" t="n">
        <x:v>74.80716126086209</x:v>
      </x:c>
      <x:c r="D514" s="24" t="n">
        <x:v>82.93231409197152</x:v>
      </x:c>
      <x:c r="E514" s="24"/>
      <x:c r="F514" s="24" t="n">
        <x:v>79.00787355960654</x:v>
      </x:c>
      <x:c r="G514" s="24"/>
      <x:c r="H514" s="24" t="n">
        <x:v>74.07376941819473</x:v>
      </x:c>
      <x:c r="I514" s="24" t="n">
        <x:v>73.51548947131825</x:v>
      </x:c>
      <x:c r="J514" s="24"/>
      <x:c r="K514" s="24"/>
      <x:c r="L514" s="24" t="n">
        <x:v>80.88991464793038</x:v>
      </x:c>
      <x:c r="M514" s="24"/>
      <x:c r="N514" s="24" t="n">
        <x:v>70.04552351758932</x:v>
      </x:c>
      <x:c r="O514" s="24"/>
      <x:c r="P514" s="24"/>
      <x:c r="Q514" s="24"/>
      <x:c r="R514" s="24" t="n">
        <x:v>73.67416393637765</x:v>
      </x:c>
      <x:c r="S514" s="24"/>
      <x:c r="T514" s="24"/>
      <x:c r="U514" s="24"/>
    </x:row>
    <x:row r="515">
      <x:c r="A515" s="24" t="n">
        <x:v>51.300000000000004</x:v>
      </x:c>
      <x:c r="B515" s="24"/>
      <x:c r="C515" s="24" t="n">
        <x:v>74.80716126086209</x:v>
      </x:c>
      <x:c r="D515" s="24" t="n">
        <x:v>72.37704125726191</x:v>
      </x:c>
      <x:c r="E515" s="24"/>
      <x:c r="F515" s="24" t="n">
        <x:v>68.46824014112927</x:v>
      </x:c>
      <x:c r="G515" s="24"/>
      <x:c r="H515" s="24" t="n">
        <x:v>70.39435849012806</x:v>
      </x:c>
      <x:c r="I515" s="24" t="n">
        <x:v>66.53966277971274</x:v>
      </x:c>
      <x:c r="J515" s="24"/>
      <x:c r="K515" s="24"/>
      <x:c r="L515" s="24" t="n">
        <x:v>80.88991464793038</x:v>
      </x:c>
      <x:c r="M515" s="24"/>
      <x:c r="N515" s="24" t="n">
        <x:v>63.02030679285568</x:v>
      </x:c>
      <x:c r="O515" s="24"/>
      <x:c r="P515" s="24"/>
      <x:c r="Q515" s="24"/>
      <x:c r="R515" s="24" t="n">
        <x:v>68.241276926969</x:v>
      </x:c>
      <x:c r="S515" s="24"/>
      <x:c r="T515" s="24"/>
      <x:c r="U515" s="24"/>
    </x:row>
    <x:row r="516">
      <x:c r="A516" s="24" t="n">
        <x:v>51.400000000000006</x:v>
      </x:c>
      <x:c r="B516" s="24"/>
      <x:c r="C516" s="24" t="n">
        <x:v>73.88847751553952</x:v>
      </x:c>
      <x:c r="D516" s="24" t="n">
        <x:v>66.77653662874799</x:v>
      </x:c>
      <x:c r="E516" s="24"/>
      <x:c r="F516" s="24" t="n">
        <x:v>64.4908624352862</x:v>
      </x:c>
      <x:c r="G516" s="24"/>
      <x:c r="H516" s="24" t="n">
        <x:v>66.3094577644738</x:v>
      </x:c>
      <x:c r="I516" s="24" t="n">
        <x:v>62.7156952823607</x:v>
      </x:c>
      <x:c r="J516" s="24"/>
      <x:c r="K516" s="24"/>
      <x:c r="L516" s="24" t="n">
        <x:v>73.414057347526</x:v>
      </x:c>
      <x:c r="M516" s="24"/>
      <x:c r="N516" s="24" t="n">
        <x:v>59.66915895328073</x:v>
      </x:c>
      <x:c r="O516" s="24"/>
      <x:c r="P516" s="24"/>
      <x:c r="Q516" s="24"/>
      <x:c r="R516" s="24" t="n">
        <x:v>66.45211336146177</x:v>
      </x:c>
      <x:c r="S516" s="24"/>
      <x:c r="T516" s="24"/>
      <x:c r="U516" s="24"/>
    </x:row>
    <x:row r="517">
      <x:c r="A517" s="24" t="n">
        <x:v>51.5</x:v>
      </x:c>
      <x:c r="B517" s="24"/>
      <x:c r="C517" s="24" t="n">
        <x:v>67.46174419389035</x:v>
      </x:c>
      <x:c r="D517" s="24" t="n">
        <x:v>60.77186892484719</x:v>
      </x:c>
      <x:c r="E517" s="24"/>
      <x:c r="F517" s="24" t="n">
        <x:v>63.75956468873339</x:v>
      </x:c>
      <x:c r="G517" s="24"/>
      <x:c r="H517" s="24" t="n">
        <x:v>71.40738185681097</x:v>
      </x:c>
      <x:c r="I517" s="24" t="n">
        <x:v>67.91326175022111</x:v>
      </x:c>
      <x:c r="J517" s="24"/>
      <x:c r="K517" s="24"/>
      <x:c r="L517" s="24" t="n">
        <x:v>60.886737374710336</x:v>
      </x:c>
      <x:c r="M517" s="24"/>
      <x:c r="N517" s="24"/>
      <x:c r="O517" s="24"/>
      <x:c r="P517" s="24"/>
      <x:c r="Q517" s="24"/>
      <x:c r="R517" s="24" t="n">
        <x:v>66.03991275197428</x:v>
      </x:c>
      <x:c r="S517" s="24"/>
      <x:c r="T517" s="24"/>
      <x:c r="U517" s="24"/>
    </x:row>
    <x:row r="518">
      <x:c r="A518" s="24" t="n">
        <x:v>51.6</x:v>
      </x:c>
      <x:c r="B518" s="24"/>
      <x:c r="C518" s="24" t="n">
        <x:v>65.57665202067864</x:v>
      </x:c>
      <x:c r="D518" s="24" t="n">
        <x:v>56.9627277924252</x:v>
      </x:c>
      <x:c r="E518" s="24"/>
      <x:c r="F518" s="24" t="n">
        <x:v>63.02826694218053</x:v>
      </x:c>
      <x:c r="G518" s="24"/>
      <x:c r="H518" s="24" t="n">
        <x:v>80.36042307266513</x:v>
      </x:c>
      <x:c r="I518" s="24" t="n">
        <x:v>68.45158223492339</x:v>
      </x:c>
      <x:c r="J518" s="24"/>
      <x:c r="K518" s="24"/>
      <x:c r="L518" s="24" t="n">
        <x:v>53.289111241943765</x:v>
      </x:c>
      <x:c r="M518" s="24"/>
      <x:c r="N518" s="24"/>
      <x:c r="O518" s="24"/>
      <x:c r="P518" s="24"/>
      <x:c r="Q518" s="24"/>
      <x:c r="R518" s="24" t="n">
        <x:v>66.47453208466217</x:v>
      </x:c>
      <x:c r="S518" s="24"/>
      <x:c r="T518" s="24"/>
      <x:c r="U518" s="24"/>
    </x:row>
    <x:row r="519">
      <x:c r="A519" s="24" t="n">
        <x:v>51.7</x:v>
      </x:c>
      <x:c r="B519" s="24"/>
      <x:c r="C519" s="24" t="n">
        <x:v>68.04932013454679</x:v>
      </x:c>
      <x:c r="D519" s="24" t="n">
        <x:v>53.153586660003214</x:v>
      </x:c>
      <x:c r="E519" s="24"/>
      <x:c r="F519" s="24" t="n">
        <x:v>62.29696919562767</x:v>
      </x:c>
      <x:c r="G519" s="24"/>
      <x:c r="H519" s="24" t="n">
        <x:v>80.36042307266513</x:v>
      </x:c>
      <x:c r="I519" s="24" t="n">
        <x:v>68.45158223492339</x:v>
      </x:c>
      <x:c r="J519" s="24"/>
      <x:c r="K519" s="24"/>
      <x:c r="L519" s="24" t="n">
        <x:v>50</x:v>
      </x:c>
      <x:c r="M519" s="24"/>
      <x:c r="N519" s="24"/>
      <x:c r="O519" s="24"/>
      <x:c r="P519" s="24"/>
      <x:c r="Q519" s="24"/>
      <x:c r="R519" s="24" t="n">
        <x:v>66.47453208466217</x:v>
      </x:c>
      <x:c r="S519" s="24"/>
      <x:c r="T519" s="24"/>
      <x:c r="U519" s="24"/>
    </x:row>
    <x:row r="520">
      <x:c r="A520" s="24" t="n">
        <x:v>51.800000000000004</x:v>
      </x:c>
      <x:c r="B520" s="24"/>
      <x:c r="C520" s="24" t="n">
        <x:v>69.63994892524114</x:v>
      </x:c>
      <x:c r="D520" s="24" t="n">
        <x:v>60.82763468856758</x:v>
      </x:c>
      <x:c r="E520" s="24"/>
      <x:c r="F520" s="24" t="n">
        <x:v>61.56567144907481</x:v>
      </x:c>
      <x:c r="G520" s="24"/>
      <x:c r="H520" s="24" t="n">
        <x:v>70.84769457464967</x:v>
      </x:c>
      <x:c r="I520" s="24" t="n">
        <x:v>66.20289052669088</x:v>
      </x:c>
      <x:c r="J520" s="24"/>
      <x:c r="K520" s="24"/>
      <x:c r="L520" s="24" t="n">
        <x:v>50.00000000000035</x:v>
      </x:c>
      <x:c r="M520" s="24"/>
      <x:c r="N520" s="24"/>
      <x:c r="O520" s="24"/>
      <x:c r="P520" s="24"/>
      <x:c r="Q520" s="24"/>
      <x:c r="R520" s="24" t="n">
        <x:v>66.03013560916295</x:v>
      </x:c>
      <x:c r="S520" s="24"/>
      <x:c r="T520" s="24"/>
      <x:c r="U520" s="24"/>
    </x:row>
    <x:row r="521">
      <x:c r="A521" s="24" t="n">
        <x:v>51.900000000000006</x:v>
      </x:c>
      <x:c r="B521" s="24"/>
      <x:c r="C521" s="24" t="n">
        <x:v>70.11238924169594</x:v>
      </x:c>
      <x:c r="D521" s="24" t="n">
        <x:v>65.04557281609151</x:v>
      </x:c>
      <x:c r="E521" s="24"/>
      <x:c r="F521" s="24" t="n">
        <x:v>61.27315235045368</x:v>
      </x:c>
      <x:c r="G521" s="24"/>
      <x:c r="H521" s="24" t="n">
        <x:v>57.074076858899744</x:v>
      </x:c>
      <x:c r="I521" s="24" t="n">
        <x:v>67.92658229672557</x:v>
      </x:c>
      <x:c r="J521" s="24"/>
      <x:c r="K521" s="24"/>
      <x:c r="L521" s="24" t="n">
        <x:v>54.913041792230274</x:v>
      </x:c>
      <x:c r="M521" s="24"/>
      <x:c r="N521" s="24"/>
      <x:c r="O521" s="24"/>
      <x:c r="P521" s="24"/>
      <x:c r="Q521" s="24"/>
      <x:c r="R521" s="24" t="n">
        <x:v>68.48461094826786</x:v>
      </x:c>
      <x:c r="S521" s="24"/>
      <x:c r="T521" s="24"/>
      <x:c r="U521" s="24"/>
    </x:row>
    <x:row r="522">
      <x:c r="A522" s="24" t="n">
        <x:v>52</x:v>
      </x:c>
      <x:c r="B522" s="24"/>
      <x:c r="C522" s="24" t="n">
        <x:v>70.59737365639612</x:v>
      </x:c>
      <x:c r="D522" s="24" t="n">
        <x:v>62.354888846713116</x:v>
      </x:c>
      <x:c r="E522" s="24"/>
      <x:c r="F522" s="24" t="n">
        <x:v>66.39516674242873</x:v>
      </x:c>
      <x:c r="G522" s="24"/>
      <x:c r="H522" s="24" t="n">
        <x:v>59.97808946730002</x:v>
      </x:c>
      <x:c r="I522" s="24" t="n">
        <x:v>68.31394836698081</x:v>
      </x:c>
      <x:c r="J522" s="24"/>
      <x:c r="K522" s="24"/>
      <x:c r="L522" s="24" t="n">
        <x:v>66.0178766092952</x:v>
      </x:c>
      <x:c r="M522" s="24"/>
      <x:c r="N522" s="24"/>
      <x:c r="O522" s="24"/>
      <x:c r="P522" s="24"/>
      <x:c r="Q522" s="24"/>
      <x:c r="R522" s="24" t="n">
        <x:v>68.48461094826786</x:v>
      </x:c>
      <x:c r="S522" s="24"/>
      <x:c r="T522" s="24"/>
      <x:c r="U522" s="24"/>
    </x:row>
    <x:row r="523">
      <x:c r="A523" s="24" t="n">
        <x:v>52.1</x:v>
      </x:c>
      <x:c r="B523" s="24"/>
      <x:c r="C523" s="24" t="n">
        <x:v>70.94805541800221</x:v>
      </x:c>
      <x:c r="D523" s="24" t="n">
        <x:v>59.172282302838994</x:v>
      </x:c>
      <x:c r="E523" s="24"/>
      <x:c r="F523" s="24" t="n">
        <x:v>72.79768473239778</x:v>
      </x:c>
      <x:c r="G523" s="24"/>
      <x:c r="H523" s="24" t="n">
        <x:v>62.882102075700516</x:v>
      </x:c>
      <x:c r="I523" s="24" t="n">
        <x:v>69.15752828922791</x:v>
      </x:c>
      <x:c r="J523" s="24"/>
      <x:c r="K523" s="24"/>
      <x:c r="L523" s="24" t="n">
        <x:v>79.2833500114715</x:v>
      </x:c>
      <x:c r="M523" s="24"/>
      <x:c r="N523" s="24"/>
      <x:c r="O523" s="24"/>
      <x:c r="P523" s="24"/>
      <x:c r="Q523" s="24"/>
      <x:c r="R523" s="24" t="n">
        <x:v>67.78336704737004</x:v>
      </x:c>
      <x:c r="S523" s="24"/>
      <x:c r="T523" s="24"/>
      <x:c r="U523" s="24"/>
    </x:row>
    <x:row r="524">
      <x:c r="A524" s="24" t="n">
        <x:v>52.2</x:v>
      </x:c>
      <x:c r="B524" s="24"/>
      <x:c r="C524" s="24" t="n">
        <x:v>70.94805541800221</x:v>
      </x:c>
      <x:c r="D524" s="24" t="n">
        <x:v>73.98638229798306</x:v>
      </x:c>
      <x:c r="E524" s="24"/>
      <x:c r="F524" s="24" t="n">
        <x:v>72.79768473239778</x:v>
      </x:c>
      <x:c r="G524" s="24"/>
      <x:c r="H524" s="24" t="n">
        <x:v>65.78611468410101</x:v>
      </x:c>
      <x:c r="I524" s="24" t="n">
        <x:v>69.15752828922791</x:v>
      </x:c>
      <x:c r="J524" s="24"/>
      <x:c r="K524" s="24"/>
      <x:c r="L524" s="24" t="n">
        <x:v>80.91966751786569</x:v>
      </x:c>
      <x:c r="M524" s="24"/>
      <x:c r="N524" s="24"/>
      <x:c r="O524" s="24"/>
      <x:c r="P524" s="24"/>
      <x:c r="Q524" s="24"/>
      <x:c r="R524" s="24" t="n">
        <x:v>66.60678231212795</x:v>
      </x:c>
      <x:c r="S524" s="24"/>
      <x:c r="T524" s="24"/>
      <x:c r="U524" s="24"/>
    </x:row>
    <x:row r="525">
      <x:c r="A525" s="24" t="n">
        <x:v>52.300000000000004</x:v>
      </x:c>
      <x:c r="B525" s="24"/>
      <x:c r="C525" s="24" t="n">
        <x:v>70.38577613513557</x:v>
      </x:c>
      <x:c r="D525" s="24" t="n">
        <x:v>73.98638229798306</x:v>
      </x:c>
      <x:c r="E525" s="24"/>
      <x:c r="F525" s="24" t="n">
        <x:v>68.24244051813349</x:v>
      </x:c>
      <x:c r="G525" s="24"/>
      <x:c r="H525" s="24" t="n">
        <x:v>66.94771972746116</x:v>
      </x:c>
      <x:c r="I525" s="24" t="n">
        <x:v>78.39322757060347</x:v>
      </x:c>
      <x:c r="J525" s="24"/>
      <x:c r="K525" s="24"/>
      <x:c r="L525" s="24" t="n">
        <x:v>80.52363295393043</x:v>
      </x:c>
      <x:c r="M525" s="24"/>
      <x:c r="N525" s="24"/>
      <x:c r="O525" s="24"/>
      <x:c r="P525" s="24"/>
      <x:c r="Q525" s="24"/>
      <x:c r="R525" s="24" t="n">
        <x:v>73.30305151913834</x:v>
      </x:c>
      <x:c r="S525" s="24"/>
      <x:c r="T525" s="24"/>
      <x:c r="U525" s="24"/>
    </x:row>
    <x:row r="526">
      <x:c r="A526" s="24" t="n">
        <x:v>52.400000000000006</x:v>
      </x:c>
      <x:c r="B526" s="24"/>
      <x:c r="C526" s="24" t="n">
        <x:v>70.26605141116451</x:v>
      </x:c>
      <x:c r="D526" s="24" t="n">
        <x:v>73.09924582432018</x:v>
      </x:c>
      <x:c r="E526" s="24"/>
      <x:c r="F526" s="24" t="n">
        <x:v>60.985008468466994</x:v>
      </x:c>
      <x:c r="G526" s="24"/>
      <x:c r="H526" s="24" t="n">
        <x:v>72.65274778641296</x:v>
      </x:c>
      <x:c r="I526" s="24" t="n">
        <x:v>80.09168136225578</x:v>
      </x:c>
      <x:c r="J526" s="24"/>
      <x:c r="K526" s="24"/>
      <x:c r="L526" s="24" t="n">
        <x:v>76.23059816588017</x:v>
      </x:c>
      <x:c r="M526" s="24"/>
      <x:c r="N526" s="24"/>
      <x:c r="O526" s="24"/>
      <x:c r="P526" s="24"/>
      <x:c r="Q526" s="24"/>
      <x:c r="R526" s="24" t="n">
        <x:v>78.0307498594842</x:v>
      </x:c>
      <x:c r="S526" s="24"/>
      <x:c r="T526" s="24"/>
      <x:c r="U526" s="24"/>
    </x:row>
    <x:row r="527">
      <x:c r="A527" s="24" t="n">
        <x:v>52.5</x:v>
      </x:c>
      <x:c r="B527" s="24"/>
      <x:c r="C527" s="24" t="n">
        <x:v>70.13293747707999</x:v>
      </x:c>
      <x:c r="D527" s="24" t="n">
        <x:v>66.12172350982783</x:v>
      </x:c>
      <x:c r="E527" s="24"/>
      <x:c r="F527" s="24" t="n">
        <x:v>63.27847986903909</x:v>
      </x:c>
      <x:c r="G527" s="24"/>
      <x:c r="H527" s="24" t="n">
        <x:v>72.65274778641296</x:v>
      </x:c>
      <x:c r="I527" s="24" t="n">
        <x:v>80.09168136225578</x:v>
      </x:c>
      <x:c r="J527" s="24"/>
      <x:c r="K527" s="24"/>
      <x:c r="L527" s="24" t="n">
        <x:v>73.47684555602797</x:v>
      </x:c>
      <x:c r="M527" s="24"/>
      <x:c r="N527" s="24"/>
      <x:c r="O527" s="24"/>
      <x:c r="P527" s="24"/>
      <x:c r="Q527" s="24"/>
      <x:c r="R527" s="24" t="n">
        <x:v>78.0307498594842</x:v>
      </x:c>
      <x:c r="S527" s="24"/>
      <x:c r="T527" s="24"/>
      <x:c r="U527" s="24"/>
    </x:row>
    <x:row r="528">
      <x:c r="A528" s="24" t="n">
        <x:v>52.6</x:v>
      </x:c>
      <x:c r="B528" s="24"/>
      <x:c r="C528" s="24" t="n">
        <x:v>69.95795849462112</x:v>
      </x:c>
      <x:c r="D528" s="24" t="n">
        <x:v>63.67160893296035</x:v>
      </x:c>
      <x:c r="E528" s="24"/>
      <x:c r="F528" s="24" t="n">
        <x:v>65.85684283595687</x:v>
      </x:c>
      <x:c r="G528" s="24"/>
      <x:c r="H528" s="24" t="n">
        <x:v>70.62671035967347</x:v>
      </x:c>
      <x:c r="I528" s="24" t="n">
        <x:v>72.24650818153131</x:v>
      </x:c>
      <x:c r="J528" s="24"/>
      <x:c r="K528" s="24"/>
      <x:c r="L528" s="24" t="n">
        <x:v>70.05590782549393</x:v>
      </x:c>
      <x:c r="M528" s="24"/>
      <x:c r="N528" s="24"/>
      <x:c r="O528" s="24"/>
      <x:c r="P528" s="24"/>
      <x:c r="Q528" s="24"/>
      <x:c r="R528" s="24" t="n">
        <x:v>71.3763842232504</x:v>
      </x:c>
      <x:c r="S528" s="24"/>
      <x:c r="T528" s="24"/>
      <x:c r="U528" s="24"/>
    </x:row>
    <x:row r="529">
      <x:c r="A529" s="24" t="n">
        <x:v>52.7</x:v>
      </x:c>
      <x:c r="B529" s="24"/>
      <x:c r="C529" s="24" t="n">
        <x:v>71.36720226903324</x:v>
      </x:c>
      <x:c r="D529" s="24" t="n">
        <x:v>67.46648493038948</x:v>
      </x:c>
      <x:c r="E529" s="24"/>
      <x:c r="F529" s="24" t="n">
        <x:v>67.80386457626076</x:v>
      </x:c>
      <x:c r="G529" s="24"/>
      <x:c r="H529" s="24" t="n">
        <x:v>63.77913386352233</x:v>
      </x:c>
      <x:c r="I529" s="24" t="n">
        <x:v>56.742409868466126</x:v>
      </x:c>
      <x:c r="J529" s="24"/>
      <x:c r="K529" s="24"/>
      <x:c r="L529" s="24" t="n">
        <x:v>70.05590782549393</x:v>
      </x:c>
      <x:c r="M529" s="24"/>
      <x:c r="N529" s="24"/>
      <x:c r="O529" s="24"/>
      <x:c r="P529" s="24"/>
      <x:c r="Q529" s="24"/>
      <x:c r="R529" s="24" t="n">
        <x:v>50</x:v>
      </x:c>
      <x:c r="S529" s="24"/>
      <x:c r="T529" s="24"/>
      <x:c r="U529" s="24"/>
    </x:row>
    <x:row r="530">
      <x:c r="A530" s="24" t="n">
        <x:v>52.800000000000004</x:v>
      </x:c>
      <x:c r="B530" s="24"/>
      <x:c r="C530" s="24" t="n">
        <x:v>71.4132906270948</x:v>
      </x:c>
      <x:c r="D530" s="24" t="n">
        <x:v>68.05637156443908</x:v>
      </x:c>
      <x:c r="E530" s="24"/>
      <x:c r="F530" s="24" t="n">
        <x:v>68.48684887521625</x:v>
      </x:c>
      <x:c r="G530" s="24"/>
      <x:c r="H530" s="24" t="n">
        <x:v>71.85352997442129</x:v>
      </x:c>
      <x:c r="I530" s="24" t="n">
        <x:v>45.56881161460947</x:v>
      </x:c>
      <x:c r="J530" s="24"/>
      <x:c r="K530" s="24"/>
      <x:c r="L530" s="24" t="n">
        <x:v>69.98363157341224</x:v>
      </x:c>
      <x:c r="M530" s="24"/>
      <x:c r="N530" s="24"/>
      <x:c r="O530" s="24"/>
      <x:c r="P530" s="24"/>
      <x:c r="Q530" s="24"/>
      <x:c r="R530" s="24" t="n">
        <x:v>51.85587880289545</x:v>
      </x:c>
      <x:c r="S530" s="24"/>
      <x:c r="T530" s="24"/>
      <x:c r="U530" s="24"/>
    </x:row>
    <x:row r="531">
      <x:c r="A531" s="24" t="n">
        <x:v>52.900000000000006</x:v>
      </x:c>
      <x:c r="B531" s="24"/>
      <x:c r="C531" s="24" t="n">
        <x:v>79.09570024124116</x:v>
      </x:c>
      <x:c r="D531" s="24" t="n">
        <x:v>68.05637156443895</x:v>
      </x:c>
      <x:c r="E531" s="24"/>
      <x:c r="F531" s="24" t="n">
        <x:v>69.02331364715066</x:v>
      </x:c>
      <x:c r="G531" s="24"/>
      <x:c r="H531" s="24" t="n">
        <x:v>72.40180897148632</x:v>
      </x:c>
      <x:c r="I531" s="24" t="n">
        <x:v>62.94068512415534</x:v>
      </x:c>
      <x:c r="J531" s="24"/>
      <x:c r="K531" s="24"/>
      <x:c r="L531" s="24" t="n">
        <x:v>69.9006054864513</x:v>
      </x:c>
      <x:c r="M531" s="24"/>
      <x:c r="N531" s="24"/>
      <x:c r="O531" s="24"/>
      <x:c r="P531" s="24"/>
      <x:c r="Q531" s="24"/>
      <x:c r="R531" s="24" t="n">
        <x:v>54.949010141054444</x:v>
      </x:c>
      <x:c r="S531" s="24"/>
      <x:c r="T531" s="24"/>
      <x:c r="U531" s="24"/>
    </x:row>
    <x:row r="532">
      <x:c r="A532" s="24" t="n">
        <x:v>53</x:v>
      </x:c>
      <x:c r="B532" s="24"/>
      <x:c r="C532" s="24" t="n">
        <x:v>79.09570024124116</x:v>
      </x:c>
      <x:c r="D532" s="24" t="n">
        <x:v>67.57055114820575</x:v>
      </x:c>
      <x:c r="E532" s="24"/>
      <x:c r="F532" s="24" t="n">
        <x:v>69.22755193130372</x:v>
      </x:c>
      <x:c r="G532" s="24"/>
      <x:c r="H532" s="24" t="n">
        <x:v>73.06954890072457</x:v>
      </x:c>
      <x:c r="I532" s="24" t="n">
        <x:v>63.94884811601631</x:v>
      </x:c>
      <x:c r="J532" s="24"/>
      <x:c r="K532" s="24"/>
      <x:c r="L532" s="24"/>
      <x:c r="M532" s="24"/>
      <x:c r="N532" s="24"/>
      <x:c r="O532" s="24"/>
      <x:c r="P532" s="24"/>
      <x:c r="Q532" s="24"/>
      <x:c r="R532" s="24" t="n">
        <x:v>58.04214147921322</x:v>
      </x:c>
      <x:c r="S532" s="24"/>
      <x:c r="T532" s="24"/>
      <x:c r="U532" s="24"/>
    </x:row>
    <x:row r="533">
      <x:c r="A533" s="24" t="n">
        <x:v>53.1</x:v>
      </x:c>
      <x:c r="B533" s="24"/>
      <x:c r="C533" s="24" t="n">
        <x:v>75.19343115451662</x:v>
      </x:c>
      <x:c r="D533" s="24" t="n">
        <x:v>67.57055114820575</x:v>
      </x:c>
      <x:c r="E533" s="24"/>
      <x:c r="F533" s="24" t="n">
        <x:v>69.53429890191427</x:v>
      </x:c>
      <x:c r="G533" s="24"/>
      <x:c r="H533" s="24" t="n">
        <x:v>73.21558399378056</x:v>
      </x:c>
      <x:c r="I533" s="24" t="n">
        <x:v>70.08004902056247</x:v>
      </x:c>
      <x:c r="J533" s="24"/>
      <x:c r="K533" s="24"/>
      <x:c r="L533" s="24"/>
      <x:c r="M533" s="24"/>
      <x:c r="N533" s="24"/>
      <x:c r="O533" s="24"/>
      <x:c r="P533" s="24"/>
      <x:c r="Q533" s="24"/>
      <x:c r="R533" s="24" t="n">
        <x:v>76.33238491217872</x:v>
      </x:c>
      <x:c r="S533" s="24"/>
      <x:c r="T533" s="24"/>
      <x:c r="U533" s="24"/>
    </x:row>
    <x:row r="534">
      <x:c r="A534" s="24" t="n">
        <x:v>53.2</x:v>
      </x:c>
      <x:c r="B534" s="24"/>
      <x:c r="C534" s="24" t="n">
        <x:v>67.35597253396686</x:v>
      </x:c>
      <x:c r="D534" s="24" t="n">
        <x:v>68.0716981742407</x:v>
      </x:c>
      <x:c r="E534" s="24"/>
      <x:c r="F534" s="24" t="n">
        <x:v>69.7916406890962</x:v>
      </x:c>
      <x:c r="G534" s="24"/>
      <x:c r="H534" s="24" t="n">
        <x:v>73.18539560405362</x:v>
      </x:c>
      <x:c r="I534" s="24" t="n">
        <x:v>70.08004902056247</x:v>
      </x:c>
      <x:c r="J534" s="24"/>
      <x:c r="K534" s="24"/>
      <x:c r="L534" s="24"/>
      <x:c r="M534" s="24"/>
      <x:c r="N534" s="24"/>
      <x:c r="O534" s="24"/>
      <x:c r="P534" s="24"/>
      <x:c r="Q534" s="24"/>
      <x:c r="R534" s="24" t="n">
        <x:v>76.85869422075682</x:v>
      </x:c>
      <x:c r="S534" s="24"/>
      <x:c r="T534" s="24"/>
      <x:c r="U534" s="24"/>
    </x:row>
    <x:row r="535">
      <x:c r="A535" s="24" t="n">
        <x:v>53.300000000000004</x:v>
      </x:c>
      <x:c r="B535" s="24"/>
      <x:c r="C535" s="24" t="n">
        <x:v>61.231743873760976</x:v>
      </x:c>
      <x:c r="D535" s="24" t="n">
        <x:v>68.07169817424052</x:v>
      </x:c>
      <x:c r="E535" s="24"/>
      <x:c r="F535" s="24" t="n">
        <x:v>70.00127315138477</x:v>
      </x:c>
      <x:c r="G535" s="24"/>
      <x:c r="H535" s="24" t="n">
        <x:v>74.51385023272658</x:v>
      </x:c>
      <x:c r="I535" s="24" t="n">
        <x:v>63.09539180203939</x:v>
      </x:c>
      <x:c r="J535" s="24"/>
      <x:c r="K535" s="24"/>
      <x:c r="L535" s="24"/>
      <x:c r="M535" s="24"/>
      <x:c r="N535" s="24"/>
      <x:c r="O535" s="24"/>
      <x:c r="P535" s="24"/>
      <x:c r="Q535" s="24"/>
      <x:c r="R535" s="24" t="n">
        <x:v>76.02792729954903</x:v>
      </x:c>
      <x:c r="S535" s="24"/>
      <x:c r="T535" s="24"/>
      <x:c r="U535" s="24"/>
    </x:row>
    <x:row r="536">
      <x:c r="A536" s="24" t="n">
        <x:v>53.400000000000006</x:v>
      </x:c>
      <x:c r="B536" s="24"/>
      <x:c r="C536" s="24" t="n">
        <x:v>53.24542986561307</x:v>
      </x:c>
      <x:c r="D536" s="24" t="n">
        <x:v>68.0479432639862</x:v>
      </x:c>
      <x:c r="E536" s="24"/>
      <x:c r="F536" s="24" t="n">
        <x:v>70.38214578876595</x:v>
      </x:c>
      <x:c r="G536" s="24"/>
      <x:c r="H536" s="24" t="n">
        <x:v>74.51385023272658</x:v>
      </x:c>
      <x:c r="I536" s="24" t="n">
        <x:v>61.7415346415805</x:v>
      </x:c>
      <x:c r="J536" s="24"/>
      <x:c r="K536" s="24"/>
      <x:c r="L536" s="24"/>
      <x:c r="M536" s="24"/>
      <x:c r="N536" s="24"/>
      <x:c r="O536" s="24"/>
      <x:c r="P536" s="24"/>
      <x:c r="Q536" s="24"/>
      <x:c r="R536" s="24" t="n">
        <x:v>70.35203761811957</x:v>
      </x:c>
      <x:c r="S536" s="24"/>
      <x:c r="T536" s="24"/>
      <x:c r="U536" s="24"/>
    </x:row>
    <x:row r="537">
      <x:c r="A537" s="24" t="n">
        <x:v>53.5</x:v>
      </x:c>
      <x:c r="B537" s="24"/>
      <x:c r="C537" s="24" t="n">
        <x:v>52.37483209744495</x:v>
      </x:c>
      <x:c r="D537" s="24" t="n">
        <x:v>68.0479432639862</x:v>
      </x:c>
      <x:c r="E537" s="24"/>
      <x:c r="F537" s="24" t="n">
        <x:v>69.76445233098435</x:v>
      </x:c>
      <x:c r="G537" s="24"/>
      <x:c r="H537" s="24" t="n">
        <x:v>74.24916658707676</x:v>
      </x:c>
      <x:c r="I537" s="24" t="n">
        <x:v>63.2605219466564</x:v>
      </x:c>
      <x:c r="J537" s="24"/>
      <x:c r="K537" s="24"/>
      <x:c r="L537" s="24"/>
      <x:c r="M537" s="24"/>
      <x:c r="N537" s="24"/>
      <x:c r="O537" s="24"/>
      <x:c r="P537" s="24"/>
      <x:c r="Q537" s="24"/>
      <x:c r="R537" s="24" t="n">
        <x:v>70.35203761811957</x:v>
      </x:c>
      <x:c r="S537" s="24"/>
      <x:c r="T537" s="24"/>
      <x:c r="U537" s="24"/>
    </x:row>
    <x:row r="538">
      <x:c r="A538" s="24" t="n">
        <x:v>53.6</x:v>
      </x:c>
      <x:c r="B538" s="24"/>
      <x:c r="C538" s="24" t="n">
        <x:v>56.272571694093685</x:v>
      </x:c>
      <x:c r="D538" s="24" t="n">
        <x:v>68.29078105598418</x:v>
      </x:c>
      <x:c r="E538" s="24"/>
      <x:c r="F538" s="24" t="n">
        <x:v>65.55807085503024</x:v>
      </x:c>
      <x:c r="G538" s="24"/>
      <x:c r="H538" s="24" t="n">
        <x:v>74.1698927215885</x:v>
      </x:c>
      <x:c r="I538" s="24" t="n">
        <x:v>67.11646692314538</x:v>
      </x:c>
      <x:c r="J538" s="24"/>
      <x:c r="K538" s="24"/>
      <x:c r="L538" s="24"/>
      <x:c r="M538" s="24"/>
      <x:c r="N538" s="24"/>
      <x:c r="O538" s="24"/>
      <x:c r="P538" s="24"/>
      <x:c r="Q538" s="24"/>
      <x:c r="R538" s="24" t="n">
        <x:v>66.934200199861</x:v>
      </x:c>
      <x:c r="S538" s="24"/>
      <x:c r="T538" s="24"/>
      <x:c r="U538" s="24"/>
    </x:row>
    <x:row r="539">
      <x:c r="A539" s="24" t="n">
        <x:v>53.7</x:v>
      </x:c>
      <x:c r="B539" s="24"/>
      <x:c r="C539" s="24" t="n">
        <x:v>60.17031129074242</x:v>
      </x:c>
      <x:c r="D539" s="24" t="n">
        <x:v>68.29078105598418</x:v>
      </x:c>
      <x:c r="E539" s="24"/>
      <x:c r="F539" s="24" t="n">
        <x:v>62.67875523565763</x:v>
      </x:c>
      <x:c r="G539" s="24"/>
      <x:c r="H539" s="24" t="n">
        <x:v>74.1698927215885</x:v>
      </x:c>
      <x:c r="I539" s="24" t="n">
        <x:v>67.11646692314538</x:v>
      </x:c>
      <x:c r="J539" s="24"/>
      <x:c r="K539" s="24"/>
      <x:c r="L539" s="24"/>
      <x:c r="M539" s="24"/>
      <x:c r="N539" s="24"/>
      <x:c r="O539" s="24"/>
      <x:c r="P539" s="24"/>
      <x:c r="Q539" s="24"/>
      <x:c r="R539" s="24" t="n">
        <x:v>66.59978674816752</x:v>
      </x:c>
      <x:c r="S539" s="24"/>
      <x:c r="T539" s="24"/>
      <x:c r="U539" s="24"/>
    </x:row>
    <x:row r="540">
      <x:c r="A540" s="24" t="n">
        <x:v>53.800000000000004</x:v>
      </x:c>
      <x:c r="B540" s="24"/>
      <x:c r="C540" s="24" t="n">
        <x:v>64.06805088739115</x:v>
      </x:c>
      <x:c r="D540" s="24" t="n">
        <x:v>67.00195745013812</x:v>
      </x:c>
      <x:c r="E540" s="24"/>
      <x:c r="F540" s="24" t="n">
        <x:v>73.80659535618365</x:v>
      </x:c>
      <x:c r="G540" s="24"/>
      <x:c r="H540" s="24" t="n">
        <x:v>72.9500260930051</x:v>
      </x:c>
      <x:c r="I540" s="24" t="n">
        <x:v>67.00191944246319</x:v>
      </x:c>
      <x:c r="J540" s="24"/>
      <x:c r="K540" s="24"/>
      <x:c r="L540" s="24"/>
      <x:c r="M540" s="24"/>
      <x:c r="N540" s="24"/>
      <x:c r="O540" s="24"/>
      <x:c r="P540" s="24"/>
      <x:c r="Q540" s="24"/>
      <x:c r="R540" s="24" t="n">
        <x:v>66.20711733119715</x:v>
      </x:c>
      <x:c r="S540" s="24"/>
      <x:c r="T540" s="24"/>
      <x:c r="U540" s="24"/>
    </x:row>
    <x:row r="541">
      <x:c r="A541" s="24" t="n">
        <x:v>53.900000000000006</x:v>
      </x:c>
      <x:c r="B541" s="24"/>
      <x:c r="C541" s="24" t="n">
        <x:v>67.96579048403989</x:v>
      </x:c>
      <x:c r="D541" s="24" t="n">
        <x:v>66.22692333127307</x:v>
      </x:c>
      <x:c r="E541" s="24"/>
      <x:c r="F541" s="24" t="n">
        <x:v>79.03355602001997</x:v>
      </x:c>
      <x:c r="G541" s="24"/>
      <x:c r="H541" s="24" t="n">
        <x:v>90.58174390951046</x:v>
      </x:c>
      <x:c r="I541" s="24" t="n">
        <x:v>67.21201277489965</x:v>
      </x:c>
      <x:c r="J541" s="24"/>
      <x:c r="K541" s="24"/>
      <x:c r="L541" s="24"/>
      <x:c r="M541" s="24"/>
      <x:c r="N541" s="24"/>
      <x:c r="O541" s="24"/>
      <x:c r="P541" s="24"/>
      <x:c r="Q541" s="24"/>
      <x:c r="R541" s="24" t="n">
        <x:v>66.60033364568378</x:v>
      </x:c>
      <x:c r="S541" s="24"/>
      <x:c r="T541" s="24"/>
      <x:c r="U541" s="24"/>
    </x:row>
    <x:row r="542">
      <x:c r="A542" s="24" t="n">
        <x:v>54</x:v>
      </x:c>
      <x:c r="B542" s="24"/>
      <x:c r="C542" s="24" t="n">
        <x:v>71.86353008068835</x:v>
      </x:c>
      <x:c r="D542" s="24" t="n">
        <x:v>79.55734489511428</x:v>
      </x:c>
      <x:c r="E542" s="24"/>
      <x:c r="F542" s="24" t="n">
        <x:v>79.03355602001997</x:v>
      </x:c>
      <x:c r="G542" s="24"/>
      <x:c r="H542" s="24" t="n">
        <x:v>90.58174390951046</x:v>
      </x:c>
      <x:c r="I542" s="24" t="n">
        <x:v>68.11178629474028</x:v>
      </x:c>
      <x:c r="J542" s="24"/>
      <x:c r="K542" s="24"/>
      <x:c r="L542" s="24"/>
      <x:c r="M542" s="24"/>
      <x:c r="N542" s="24"/>
      <x:c r="O542" s="24"/>
      <x:c r="P542" s="24"/>
      <x:c r="Q542" s="24"/>
      <x:c r="R542" s="24" t="n">
        <x:v>68.7407183184854</x:v>
      </x:c>
      <x:c r="S542" s="24"/>
      <x:c r="T542" s="24"/>
      <x:c r="U542" s="24"/>
    </x:row>
    <x:row r="543">
      <x:c r="A543" s="24" t="n">
        <x:v>54.1</x:v>
      </x:c>
      <x:c r="B543" s="24"/>
      <x:c r="C543" s="24" t="n">
        <x:v>75.76126967733708</x:v>
      </x:c>
      <x:c r="D543" s="24" t="n">
        <x:v>82.69575293330983</x:v>
      </x:c>
      <x:c r="E543" s="24"/>
      <x:c r="F543" s="24" t="n">
        <x:v>69.56594902661215</x:v>
      </x:c>
      <x:c r="G543" s="24"/>
      <x:c r="H543" s="24" t="n">
        <x:v>84.36330843886176</x:v>
      </x:c>
      <x:c r="I543" s="24" t="n">
        <x:v>70.29615942057475</x:v>
      </x:c>
      <x:c r="J543" s="24"/>
      <x:c r="K543" s="24"/>
      <x:c r="L543" s="24"/>
      <x:c r="M543" s="24"/>
      <x:c r="N543" s="24"/>
      <x:c r="O543" s="24"/>
      <x:c r="P543" s="24"/>
      <x:c r="Q543" s="24"/>
      <x:c r="R543" s="24" t="n">
        <x:v>68.93844169230482</x:v>
      </x:c>
      <x:c r="S543" s="24"/>
      <x:c r="T543" s="24"/>
      <x:c r="U543" s="24"/>
    </x:row>
    <x:row r="544">
      <x:c r="A544" s="24" t="n">
        <x:v>54.2</x:v>
      </x:c>
      <x:c r="B544" s="24"/>
      <x:c r="C544" s="24" t="n">
        <x:v>76.54081759666666</x:v>
      </x:c>
      <x:c r="D544" s="24" t="n">
        <x:v>82.69575293330983</x:v>
      </x:c>
      <x:c r="E544" s="24"/>
      <x:c r="F544" s="24" t="n">
        <x:v>59.046899608065075</x:v>
      </x:c>
      <x:c r="G544" s="24"/>
      <x:c r="H544" s="24" t="n">
        <x:v>77.66036417025593</x:v>
      </x:c>
      <x:c r="I544" s="24" t="n">
        <x:v>70.29615942057475</x:v>
      </x:c>
      <x:c r="J544" s="24"/>
      <x:c r="K544" s="24"/>
      <x:c r="L544" s="24"/>
      <x:c r="M544" s="24"/>
      <x:c r="N544" s="24"/>
      <x:c r="O544" s="24"/>
      <x:c r="P544" s="24"/>
      <x:c r="Q544" s="24"/>
      <x:c r="R544" s="24" t="n">
        <x:v>68.86418084100517</x:v>
      </x:c>
      <x:c r="S544" s="24"/>
      <x:c r="T544" s="24"/>
      <x:c r="U544" s="24"/>
    </x:row>
    <x:row r="545">
      <x:c r="A545" s="24" t="n">
        <x:v>54.300000000000004</x:v>
      </x:c>
      <x:c r="B545" s="24"/>
      <x:c r="C545" s="24" t="n">
        <x:v>75.96198157830632</x:v>
      </x:c>
      <x:c r="D545" s="24" t="n">
        <x:v>75.35866898572296</x:v>
      </x:c>
      <x:c r="E545" s="24"/>
      <x:c r="F545" s="24" t="n">
        <x:v>57.071652588549334</x:v>
      </x:c>
      <x:c r="G545" s="24"/>
      <x:c r="H545" s="24" t="n">
        <x:v>74.53337288027478</x:v>
      </x:c>
      <x:c r="I545" s="24" t="n">
        <x:v>67.32350330737216</x:v>
      </x:c>
      <x:c r="J545" s="24"/>
      <x:c r="K545" s="24"/>
      <x:c r="L545" s="24"/>
      <x:c r="M545" s="24"/>
      <x:c r="N545" s="24"/>
      <x:c r="O545" s="24"/>
      <x:c r="P545" s="24"/>
      <x:c r="Q545" s="24"/>
      <x:c r="R545" s="24" t="n">
        <x:v>66.46717567376895</x:v>
      </x:c>
      <x:c r="S545" s="24"/>
      <x:c r="T545" s="24"/>
      <x:c r="U545" s="24"/>
    </x:row>
    <x:row r="546">
      <x:c r="A546" s="24" t="n">
        <x:v>54.400000000000006</x:v>
      </x:c>
      <x:c r="B546" s="24"/>
      <x:c r="C546" s="24" t="n">
        <x:v>69.87643013888099</x:v>
      </x:c>
      <x:c r="D546" s="24" t="n">
        <x:v>66.15560989078341</x:v>
      </x:c>
      <x:c r="E546" s="24"/>
      <x:c r="F546" s="24" t="n">
        <x:v>54.602593814154794</x:v>
      </x:c>
      <x:c r="G546" s="24"/>
      <x:c r="H546" s="24" t="n">
        <x:v>74.53337288027461</x:v>
      </x:c>
      <x:c r="I546" s="24" t="n">
        <x:v>73.69588379348909</x:v>
      </x:c>
      <x:c r="J546" s="24"/>
      <x:c r="K546" s="24"/>
      <x:c r="L546" s="24"/>
      <x:c r="M546" s="24"/>
      <x:c r="N546" s="24"/>
      <x:c r="O546" s="24"/>
      <x:c r="P546" s="24"/>
      <x:c r="Q546" s="24"/>
      <x:c r="R546" s="24" t="n">
        <x:v>66.26282827373512</x:v>
      </x:c>
      <x:c r="S546" s="24"/>
      <x:c r="T546" s="24"/>
      <x:c r="U546" s="24"/>
    </x:row>
    <x:row r="547">
      <x:c r="A547" s="24" t="n">
        <x:v>54.5</x:v>
      </x:c>
      <x:c r="B547" s="24"/>
      <x:c r="C547" s="24" t="n">
        <x:v>65.22058385241212</x:v>
      </x:c>
      <x:c r="D547" s="24" t="n">
        <x:v>55.48691511366546</x:v>
      </x:c>
      <x:c r="E547" s="24"/>
      <x:c r="F547" s="24" t="n">
        <x:v>54.1979987905889</x:v>
      </x:c>
      <x:c r="G547" s="24"/>
      <x:c r="H547" s="24" t="n">
        <x:v>70.65864044627119</x:v>
      </x:c>
      <x:c r="I547" s="24" t="n">
        <x:v>80.27271815885422</x:v>
      </x:c>
      <x:c r="J547" s="24"/>
      <x:c r="K547" s="24"/>
      <x:c r="L547" s="24"/>
      <x:c r="M547" s="24"/>
      <x:c r="N547" s="24"/>
      <x:c r="O547" s="24"/>
      <x:c r="P547" s="24"/>
      <x:c r="Q547" s="24"/>
      <x:c r="R547" s="24" t="n">
        <x:v>78.1559456167723</x:v>
      </x:c>
      <x:c r="S547" s="24"/>
      <x:c r="T547" s="24"/>
      <x:c r="U547" s="24"/>
    </x:row>
    <x:row r="548">
      <x:c r="A548" s="24" t="n">
        <x:v>54.6</x:v>
      </x:c>
      <x:c r="B548" s="24"/>
      <x:c r="C548" s="24" t="n">
        <x:v>67.58715003085386</x:v>
      </x:c>
      <x:c r="D548" s="24" t="n">
        <x:v>52.39175843351897</x:v>
      </x:c>
      <x:c r="E548" s="24"/>
      <x:c r="F548" s="24" t="n">
        <x:v>62.05125877033525</x:v>
      </x:c>
      <x:c r="G548" s="24"/>
      <x:c r="H548" s="24" t="n">
        <x:v>70.24054180627543</x:v>
      </x:c>
      <x:c r="I548" s="24" t="n">
        <x:v>80.27271815885422</x:v>
      </x:c>
      <x:c r="J548" s="24"/>
      <x:c r="K548" s="24"/>
      <x:c r="L548" s="24"/>
      <x:c r="M548" s="24"/>
      <x:c r="N548" s="24"/>
      <x:c r="O548" s="24"/>
      <x:c r="P548" s="24"/>
      <x:c r="Q548" s="24"/>
      <x:c r="R548" s="24" t="n">
        <x:v>78.1559456167723</x:v>
      </x:c>
      <x:c r="S548" s="24"/>
      <x:c r="T548" s="24"/>
      <x:c r="U548" s="24"/>
    </x:row>
    <x:row r="549">
      <x:c r="A549" s="24" t="n">
        <x:v>54.7</x:v>
      </x:c>
      <x:c r="B549" s="24"/>
      <x:c r="C549" s="24" t="n">
        <x:v>69.78554226233315</x:v>
      </x:c>
      <x:c r="D549" s="24" t="n">
        <x:v>52.39175843351897</x:v>
      </x:c>
      <x:c r="E549" s="24"/>
      <x:c r="F549" s="24" t="n">
        <x:v>65.19256276223368</x:v>
      </x:c>
      <x:c r="G549" s="24"/>
      <x:c r="H549" s="24" t="n">
        <x:v>73.39805296487492</x:v>
      </x:c>
      <x:c r="I549" s="24" t="n">
        <x:v>70.48127023155129</x:v>
      </x:c>
      <x:c r="J549" s="24"/>
      <x:c r="K549" s="24"/>
      <x:c r="L549" s="24"/>
      <x:c r="M549" s="24"/>
      <x:c r="N549" s="24"/>
      <x:c r="O549" s="24"/>
      <x:c r="P549" s="24"/>
      <x:c r="Q549" s="24"/>
      <x:c r="R549" s="24" t="n">
        <x:v>73.63261405331404</x:v>
      </x:c>
      <x:c r="S549" s="24"/>
      <x:c r="T549" s="24"/>
      <x:c r="U549" s="24"/>
    </x:row>
    <x:row r="550">
      <x:c r="A550" s="24" t="n">
        <x:v>54.800000000000004</x:v>
      </x:c>
      <x:c r="B550" s="24"/>
      <x:c r="C550" s="24" t="n">
        <x:v>69.78554226233315</x:v>
      </x:c>
      <x:c r="D550" s="24" t="n">
        <x:v>52.39175843352052</x:v>
      </x:c>
      <x:c r="E550" s="24"/>
      <x:c r="F550" s="24" t="n">
        <x:v>72.15252843445568</x:v>
      </x:c>
      <x:c r="G550" s="24"/>
      <x:c r="H550" s="24" t="n">
        <x:v>75.43766246919469</x:v>
      </x:c>
      <x:c r="I550" s="24" t="n">
        <x:v>62.327211884042384</x:v>
      </x:c>
      <x:c r="J550" s="24"/>
      <x:c r="K550" s="24"/>
      <x:c r="L550" s="24"/>
      <x:c r="M550" s="24"/>
      <x:c r="N550" s="24"/>
      <x:c r="O550" s="24"/>
      <x:c r="P550" s="24"/>
      <x:c r="Q550" s="24"/>
      <x:c r="R550" s="24" t="n">
        <x:v>65.0367163871874</x:v>
      </x:c>
      <x:c r="S550" s="24"/>
      <x:c r="T550" s="24"/>
      <x:c r="U550" s="24"/>
    </x:row>
    <x:row r="551">
      <x:c r="A551" s="24" t="n">
        <x:v>54.900000000000006</x:v>
      </x:c>
      <x:c r="B551" s="24"/>
      <x:c r="C551" s="24" t="n">
        <x:v>69.74533792563781</x:v>
      </x:c>
      <x:c r="D551" s="24" t="n">
        <x:v>65.17973090389688</x:v>
      </x:c>
      <x:c r="E551" s="24"/>
      <x:c r="F551" s="24" t="n">
        <x:v>73.17600482970873</x:v>
      </x:c>
      <x:c r="G551" s="24"/>
      <x:c r="H551" s="24" t="n">
        <x:v>75.43766246919387</x:v>
      </x:c>
      <x:c r="I551" s="24" t="n">
        <x:v>45.56881161460947</x:v>
      </x:c>
      <x:c r="J551" s="24"/>
      <x:c r="K551" s="24"/>
      <x:c r="L551" s="24"/>
      <x:c r="M551" s="24"/>
      <x:c r="N551" s="24"/>
      <x:c r="O551" s="24"/>
      <x:c r="P551" s="24"/>
      <x:c r="Q551" s="24"/>
      <x:c r="R551" s="24" t="n">
        <x:v>65.55139093024907</x:v>
      </x:c>
      <x:c r="S551" s="24"/>
      <x:c r="T551" s="24"/>
      <x:c r="U551" s="24"/>
    </x:row>
    <x:row r="552">
      <x:c r="A552" s="24" t="n">
        <x:v>55</x:v>
      </x:c>
      <x:c r="B552" s="24"/>
      <x:c r="C552" s="24" t="n">
        <x:v>70.3756625691997</x:v>
      </x:c>
      <x:c r="D552" s="24" t="n">
        <x:v>65.17973090389688</x:v>
      </x:c>
      <x:c r="E552" s="24"/>
      <x:c r="F552" s="24" t="n">
        <x:v>72.98337572237091</x:v>
      </x:c>
      <x:c r="G552" s="24"/>
      <x:c r="H552" s="24" t="n">
        <x:v>47.50917001791066</x:v>
      </x:c>
      <x:c r="I552" s="24" t="n">
        <x:v>45.56881161460947</x:v>
      </x:c>
      <x:c r="J552" s="24"/>
      <x:c r="K552" s="24"/>
      <x:c r="L552" s="24"/>
      <x:c r="M552" s="24"/>
      <x:c r="N552" s="24"/>
      <x:c r="O552" s="24"/>
      <x:c r="P552" s="24"/>
      <x:c r="Q552" s="24"/>
      <x:c r="R552" s="24" t="n">
        <x:v>66.06606547331072</x:v>
      </x:c>
      <x:c r="S552" s="24"/>
      <x:c r="T552" s="24"/>
      <x:c r="U552" s="24"/>
    </x:row>
    <x:row r="553">
      <x:c r="A553" s="24" t="n">
        <x:v>55.1</x:v>
      </x:c>
      <x:c r="B553" s="24"/>
      <x:c r="C553" s="24" t="n">
        <x:v>70.3756625691997</x:v>
      </x:c>
      <x:c r="D553" s="24" t="n">
        <x:v>72.14537236877477</x:v>
      </x:c>
      <x:c r="E553" s="24"/>
      <x:c r="F553" s="24" t="n">
        <x:v>63.9932017491756</x:v>
      </x:c>
      <x:c r="G553" s="24"/>
      <x:c r="H553" s="24" t="n">
        <x:v>67.97582514969767</x:v>
      </x:c>
      <x:c r="I553" s="24" t="n">
        <x:v>56.91652387741259</x:v>
      </x:c>
      <x:c r="J553" s="24"/>
      <x:c r="K553" s="24"/>
      <x:c r="L553" s="24"/>
      <x:c r="M553" s="24"/>
      <x:c r="N553" s="24"/>
      <x:c r="O553" s="24"/>
      <x:c r="P553" s="24"/>
      <x:c r="Q553" s="24"/>
      <x:c r="R553" s="24" t="n">
        <x:v>66.5807400163724</x:v>
      </x:c>
      <x:c r="S553" s="24"/>
      <x:c r="T553" s="24"/>
      <x:c r="U553" s="24"/>
    </x:row>
    <x:row r="554">
      <x:c r="A554" s="24" t="n">
        <x:v>55.2</x:v>
      </x:c>
      <x:c r="B554" s="24"/>
      <x:c r="C554" s="24" t="n">
        <x:v>70.90914736115482</x:v>
      </x:c>
      <x:c r="D554" s="24" t="n">
        <x:v>75.26399029906993</x:v>
      </x:c>
      <x:c r="E554" s="24"/>
      <x:c r="F554" s="24" t="n">
        <x:v>60.741636055042285</x:v>
      </x:c>
      <x:c r="G554" s="24"/>
      <x:c r="H554" s="24" t="n">
        <x:v>69.6472040138149</x:v>
      </x:c>
      <x:c r="I554" s="24" t="n">
        <x:v>72.00153871868471</x:v>
      </x:c>
      <x:c r="J554" s="24"/>
      <x:c r="K554" s="24"/>
      <x:c r="L554" s="24"/>
      <x:c r="M554" s="24"/>
      <x:c r="N554" s="24"/>
      <x:c r="O554" s="24"/>
      <x:c r="P554" s="24"/>
      <x:c r="Q554" s="24"/>
      <x:c r="R554" s="24" t="n">
        <x:v>67.09541455943409</x:v>
      </x:c>
      <x:c r="S554" s="24"/>
      <x:c r="T554" s="24"/>
      <x:c r="U554" s="24"/>
    </x:row>
    <x:row r="555">
      <x:c r="A555" s="24" t="n">
        <x:v>55.300000000000004</x:v>
      </x:c>
      <x:c r="B555" s="24"/>
      <x:c r="C555" s="24" t="n">
        <x:v>71.72348523359689</x:v>
      </x:c>
      <x:c r="D555" s="24" t="n">
        <x:v>75.26399029906972</x:v>
      </x:c>
      <x:c r="E555" s="24"/>
      <x:c r="F555" s="24" t="n">
        <x:v>67.94953492676561</x:v>
      </x:c>
      <x:c r="G555" s="24"/>
      <x:c r="H555" s="24" t="n">
        <x:v>72.78497404694664</x:v>
      </x:c>
      <x:c r="I555" s="24" t="n">
        <x:v>73.03669474160444</x:v>
      </x:c>
      <x:c r="J555" s="24"/>
      <x:c r="K555" s="24"/>
      <x:c r="L555" s="24"/>
      <x:c r="M555" s="24"/>
      <x:c r="N555" s="24"/>
      <x:c r="O555" s="24"/>
      <x:c r="P555" s="24"/>
      <x:c r="Q555" s="24"/>
      <x:c r="R555" s="24" t="n">
        <x:v>67.61008910249576</x:v>
      </x:c>
      <x:c r="S555" s="24"/>
      <x:c r="T555" s="24"/>
      <x:c r="U555" s="24"/>
    </x:row>
    <x:row r="556">
      <x:c r="A556" s="24" t="n">
        <x:v>55.400000000000006</x:v>
      </x:c>
      <x:c r="B556" s="24"/>
      <x:c r="C556" s="24" t="n">
        <x:v>71.61952812396227</x:v>
      </x:c>
      <x:c r="D556" s="24" t="n">
        <x:v>71.19130808809633</x:v>
      </x:c>
      <x:c r="E556" s="24"/>
      <x:c r="F556" s="24" t="n">
        <x:v>68.57698019272091</x:v>
      </x:c>
      <x:c r="G556" s="24"/>
      <x:c r="H556" s="24" t="n">
        <x:v>72.7849740469464</x:v>
      </x:c>
      <x:c r="I556" s="24" t="n">
        <x:v>72.33689483478204</x:v>
      </x:c>
      <x:c r="J556" s="24"/>
      <x:c r="K556" s="24"/>
      <x:c r="L556" s="24"/>
      <x:c r="M556" s="24"/>
      <x:c r="N556" s="24"/>
      <x:c r="O556" s="24"/>
      <x:c r="P556" s="24"/>
      <x:c r="Q556" s="24"/>
      <x:c r="R556" s="24" t="n">
        <x:v>68.12476364555745</x:v>
      </x:c>
      <x:c r="S556" s="24"/>
      <x:c r="T556" s="24"/>
      <x:c r="U556" s="24"/>
    </x:row>
    <x:row r="557">
      <x:c r="A557" s="24" t="n">
        <x:v>55.5</x:v>
      </x:c>
      <x:c r="B557" s="24"/>
      <x:c r="C557" s="24" t="n">
        <x:v>71.61952812396227</x:v>
      </x:c>
      <x:c r="D557" s="24" t="n">
        <x:v>66.08214552684863</x:v>
      </x:c>
      <x:c r="E557" s="24"/>
      <x:c r="F557" s="24" t="n">
        <x:v>68.57698019272091</x:v>
      </x:c>
      <x:c r="G557" s="24"/>
      <x:c r="H557" s="24" t="n">
        <x:v>72.2601165135398</x:v>
      </x:c>
      <x:c r="I557" s="24" t="n">
        <x:v>62.429577717010375</x:v>
      </x:c>
      <x:c r="J557" s="24"/>
      <x:c r="K557" s="24"/>
      <x:c r="L557" s="24"/>
      <x:c r="M557" s="24"/>
      <x:c r="N557" s="24"/>
      <x:c r="O557" s="24"/>
      <x:c r="P557" s="24"/>
      <x:c r="Q557" s="24"/>
      <x:c r="R557" s="24" t="n">
        <x:v>68.22769855416976</x:v>
      </x:c>
      <x:c r="S557" s="24"/>
      <x:c r="T557" s="24"/>
      <x:c r="U557" s="24"/>
    </x:row>
    <x:row r="558">
      <x:c r="A558" s="24" t="n">
        <x:v>55.6</x:v>
      </x:c>
      <x:c r="B558" s="24"/>
      <x:c r="C558" s="24" t="n">
        <x:v>72.50096601484614</x:v>
      </x:c>
      <x:c r="D558" s="24" t="n">
        <x:v>65.45553805387283</x:v>
      </x:c>
      <x:c r="E558" s="24"/>
      <x:c r="F558" s="24" t="n">
        <x:v>67.80260290703723</x:v>
      </x:c>
      <x:c r="G558" s="24"/>
      <x:c r="H558" s="24" t="n">
        <x:v>72.2601165135398</x:v>
      </x:c>
      <x:c r="I558" s="24" t="n">
        <x:v>65.45053248391105</x:v>
      </x:c>
      <x:c r="J558" s="24"/>
      <x:c r="K558" s="24"/>
      <x:c r="L558" s="24"/>
      <x:c r="M558" s="24"/>
      <x:c r="N558" s="24"/>
      <x:c r="O558" s="24"/>
      <x:c r="P558" s="24"/>
      <x:c r="Q558" s="24"/>
      <x:c r="R558" s="24" t="n">
        <x:v>64.82638792544589</x:v>
      </x:c>
      <x:c r="S558" s="24"/>
      <x:c r="T558" s="24"/>
      <x:c r="U558" s="24"/>
    </x:row>
    <x:row r="559">
      <x:c r="A559" s="24" t="n">
        <x:v>55.7</x:v>
      </x:c>
      <x:c r="B559" s="24"/>
      <x:c r="C559" s="24" t="n">
        <x:v>72.50096601484614</x:v>
      </x:c>
      <x:c r="D559" s="24" t="n">
        <x:v>65.91770729224633</x:v>
      </x:c>
      <x:c r="E559" s="24"/>
      <x:c r="F559" s="24" t="n">
        <x:v>68.63655697804505</x:v>
      </x:c>
      <x:c r="G559" s="24"/>
      <x:c r="H559" s="24" t="n">
        <x:v>73.19472253175906</x:v>
      </x:c>
      <x:c r="I559" s="24" t="n">
        <x:v>67.8816290517816</x:v>
      </x:c>
      <x:c r="J559" s="24"/>
      <x:c r="K559" s="24"/>
      <x:c r="L559" s="24"/>
      <x:c r="M559" s="24"/>
      <x:c r="N559" s="24"/>
      <x:c r="O559" s="24"/>
      <x:c r="P559" s="24"/>
      <x:c r="Q559" s="24"/>
      <x:c r="R559" s="24" t="n">
        <x:v>66.32364333547162</x:v>
      </x:c>
      <x:c r="S559" s="24"/>
      <x:c r="T559" s="24"/>
      <x:c r="U559" s="24"/>
    </x:row>
    <x:row r="560">
      <x:c r="A560" s="24" t="n">
        <x:v>55.800000000000004</x:v>
      </x:c>
      <x:c r="B560" s="24"/>
      <x:c r="C560" s="24" t="n">
        <x:v>77.42992483621617</x:v>
      </x:c>
      <x:c r="D560" s="24" t="n">
        <x:v>66.8563837482578</x:v>
      </x:c>
      <x:c r="E560" s="24"/>
      <x:c r="F560" s="24" t="n">
        <x:v>69.98281989181305</x:v>
      </x:c>
      <x:c r="G560" s="24"/>
      <x:c r="H560" s="24" t="n">
        <x:v>74.07421311581705</x:v>
      </x:c>
      <x:c r="I560" s="24" t="n">
        <x:v>67.92174461424322</x:v>
      </x:c>
      <x:c r="J560" s="24"/>
      <x:c r="K560" s="24"/>
      <x:c r="L560" s="24"/>
      <x:c r="M560" s="24"/>
      <x:c r="N560" s="24"/>
      <x:c r="O560" s="24"/>
      <x:c r="P560" s="24"/>
      <x:c r="Q560" s="24"/>
      <x:c r="R560" s="24" t="n">
        <x:v>66.44217709379325</x:v>
      </x:c>
      <x:c r="S560" s="24"/>
      <x:c r="T560" s="24"/>
      <x:c r="U560" s="24"/>
    </x:row>
    <x:row r="561">
      <x:c r="A561" s="24" t="n">
        <x:v>55.900000000000006</x:v>
      </x:c>
      <x:c r="B561" s="24"/>
      <x:c r="C561" s="24" t="n">
        <x:v>78.29076539322324</x:v>
      </x:c>
      <x:c r="D561" s="24" t="n">
        <x:v>66.8563837482578</x:v>
      </x:c>
      <x:c r="E561" s="24"/>
      <x:c r="F561" s="24" t="n">
        <x:v>69.98281989181305</x:v>
      </x:c>
      <x:c r="G561" s="24"/>
      <x:c r="H561" s="24" t="n">
        <x:v>74.79414498836576</x:v>
      </x:c>
      <x:c r="I561" s="24" t="n">
        <x:v>67.92174461424322</x:v>
      </x:c>
      <x:c r="J561" s="24"/>
      <x:c r="K561" s="24"/>
      <x:c r="L561" s="24"/>
      <x:c r="M561" s="24"/>
      <x:c r="N561" s="24"/>
      <x:c r="O561" s="24"/>
      <x:c r="P561" s="24"/>
      <x:c r="Q561" s="24"/>
      <x:c r="R561" s="24" t="n">
        <x:v>66.44217709379325</x:v>
      </x:c>
      <x:c r="S561" s="24"/>
      <x:c r="T561" s="24"/>
      <x:c r="U561" s="24"/>
    </x:row>
    <x:row r="562">
      <x:c r="A562" s="24" t="n">
        <x:v>56</x:v>
      </x:c>
      <x:c r="B562" s="24"/>
      <x:c r="C562" s="24" t="n">
        <x:v>77.39100367149494</x:v>
      </x:c>
      <x:c r="D562" s="24" t="n">
        <x:v>67.32202340802189</x:v>
      </x:c>
      <x:c r="E562" s="24"/>
      <x:c r="F562" s="24" t="n">
        <x:v>69.37540002403261</x:v>
      </x:c>
      <x:c r="G562" s="24"/>
      <x:c r="H562" s="24" t="n">
        <x:v>74.79414498836576</x:v>
      </x:c>
      <x:c r="I562" s="24" t="n">
        <x:v>66.33136334438694</x:v>
      </x:c>
      <x:c r="J562" s="24"/>
      <x:c r="K562" s="24"/>
      <x:c r="L562" s="24"/>
      <x:c r="M562" s="24"/>
      <x:c r="N562" s="24"/>
      <x:c r="O562" s="24"/>
      <x:c r="P562" s="24"/>
      <x:c r="Q562" s="24"/>
      <x:c r="R562" s="24" t="n">
        <x:v>67.12128664359525</x:v>
      </x:c>
      <x:c r="S562" s="24"/>
      <x:c r="T562" s="24"/>
      <x:c r="U562" s="24"/>
    </x:row>
    <x:row r="563">
      <x:c r="A563" s="24" t="n">
        <x:v>56.1</x:v>
      </x:c>
      <x:c r="B563" s="24"/>
      <x:c r="C563" s="24" t="n">
        <x:v>64.34648986415436</x:v>
      </x:c>
      <x:c r="D563" s="24" t="n">
        <x:v>67.32202340802189</x:v>
      </x:c>
      <x:c r="E563" s="24"/>
      <x:c r="F563" s="24" t="n">
        <x:v>70.2753927216102</x:v>
      </x:c>
      <x:c r="G563" s="24"/>
      <x:c r="H563" s="24" t="n">
        <x:v>73.69090974116963</x:v>
      </x:c>
      <x:c r="I563" s="24" t="n">
        <x:v>67.50808935419528</x:v>
      </x:c>
      <x:c r="J563" s="24"/>
      <x:c r="K563" s="24"/>
      <x:c r="L563" s="24"/>
      <x:c r="M563" s="24"/>
      <x:c r="N563" s="24"/>
      <x:c r="O563" s="24"/>
      <x:c r="P563" s="24"/>
      <x:c r="Q563" s="24"/>
      <x:c r="R563" s="24" t="n">
        <x:v>67.21398193494926</x:v>
      </x:c>
      <x:c r="S563" s="24"/>
      <x:c r="T563" s="24"/>
      <x:c r="U563" s="24"/>
    </x:row>
    <x:row r="564">
      <x:c r="A564" s="24" t="n">
        <x:v>56.2</x:v>
      </x:c>
      <x:c r="B564" s="24"/>
      <x:c r="C564" s="24" t="n">
        <x:v>54.61156981041512</x:v>
      </x:c>
      <x:c r="D564" s="24" t="n">
        <x:v>67.39757167755288</x:v>
      </x:c>
      <x:c r="E564" s="24"/>
      <x:c r="F564" s="24" t="n">
        <x:v>69.45621549307033</x:v>
      </x:c>
      <x:c r="G564" s="24"/>
      <x:c r="H564" s="24" t="n">
        <x:v>82.68838156785321</x:v>
      </x:c>
      <x:c r="I564" s="24" t="n">
        <x:v>67.71337723854072</x:v>
      </x:c>
      <x:c r="J564" s="24"/>
      <x:c r="K564" s="24"/>
      <x:c r="L564" s="24"/>
      <x:c r="M564" s="24"/>
      <x:c r="N564" s="24"/>
      <x:c r="O564" s="24"/>
      <x:c r="P564" s="24"/>
      <x:c r="Q564" s="24"/>
      <x:c r="R564" s="24" t="n">
        <x:v>67.21398193494926</x:v>
      </x:c>
      <x:c r="S564" s="24"/>
      <x:c r="T564" s="24"/>
      <x:c r="U564" s="24"/>
    </x:row>
    <x:row r="565">
      <x:c r="A565" s="24" t="n">
        <x:v>56.300000000000004</x:v>
      </x:c>
      <x:c r="B565" s="24"/>
      <x:c r="C565" s="24" t="n">
        <x:v>54.61156981041512</x:v>
      </x:c>
      <x:c r="D565" s="24" t="n">
        <x:v>67.86217861587234</x:v>
      </x:c>
      <x:c r="E565" s="24"/>
      <x:c r="F565" s="24" t="n">
        <x:v>68.16688449562616</x:v>
      </x:c>
      <x:c r="G565" s="24"/>
      <x:c r="H565" s="24" t="n">
        <x:v>82.68838156785321</x:v>
      </x:c>
      <x:c r="I565" s="24" t="n">
        <x:v>67.71337723854072</x:v>
      </x:c>
      <x:c r="J565" s="24"/>
      <x:c r="K565" s="24"/>
      <x:c r="L565" s="24"/>
      <x:c r="M565" s="24"/>
      <x:c r="N565" s="24"/>
      <x:c r="O565" s="24"/>
      <x:c r="P565" s="24"/>
      <x:c r="Q565" s="24"/>
      <x:c r="R565" s="24" t="n">
        <x:v>67.41553330825593</x:v>
      </x:c>
      <x:c r="S565" s="24"/>
      <x:c r="T565" s="24"/>
      <x:c r="U565" s="24"/>
    </x:row>
    <x:row r="566">
      <x:c r="A566" s="24" t="n">
        <x:v>56.400000000000006</x:v>
      </x:c>
      <x:c r="B566" s="24"/>
      <x:c r="C566" s="24" t="n">
        <x:v>51.595284178115094</x:v>
      </x:c>
      <x:c r="D566" s="24" t="n">
        <x:v>67.86217861587232</x:v>
      </x:c>
      <x:c r="E566" s="24"/>
      <x:c r="F566" s="24" t="n">
        <x:v>65.94249660139876</x:v>
      </x:c>
      <x:c r="G566" s="24"/>
      <x:c r="H566" s="24" t="n">
        <x:v>80.12170150282004</x:v>
      </x:c>
      <x:c r="I566" s="24" t="n">
        <x:v>67.3739248878192</x:v>
      </x:c>
      <x:c r="J566" s="24"/>
      <x:c r="K566" s="24"/>
      <x:c r="L566" s="24"/>
      <x:c r="M566" s="24"/>
      <x:c r="N566" s="24"/>
      <x:c r="O566" s="24"/>
      <x:c r="P566" s="24"/>
      <x:c r="Q566" s="24"/>
      <x:c r="R566" s="24" t="n">
        <x:v>68.18677795365556</x:v>
      </x:c>
      <x:c r="S566" s="24"/>
      <x:c r="T566" s="24"/>
      <x:c r="U566" s="24"/>
    </x:row>
    <x:row r="567">
      <x:c r="A567" s="24" t="n">
        <x:v>56.5</x:v>
      </x:c>
      <x:c r="B567" s="24"/>
      <x:c r="C567" s="24" t="n">
        <x:v>51.595284178115094</x:v>
      </x:c>
      <x:c r="D567" s="24" t="n">
        <x:v>67.3642152382127</x:v>
      </x:c>
      <x:c r="E567" s="24"/>
      <x:c r="F567" s="24" t="n">
        <x:v>82.49658114007195</x:v>
      </x:c>
      <x:c r="G567" s="24"/>
      <x:c r="H567" s="24" t="n">
        <x:v>71.88389800334278</x:v>
      </x:c>
      <x:c r="I567" s="24" t="n">
        <x:v>65.99083155084972</x:v>
      </x:c>
      <x:c r="J567" s="24"/>
      <x:c r="K567" s="24"/>
      <x:c r="L567" s="24"/>
      <x:c r="M567" s="24"/>
      <x:c r="N567" s="24"/>
      <x:c r="O567" s="24"/>
      <x:c r="P567" s="24"/>
      <x:c r="Q567" s="24"/>
      <x:c r="R567" s="24" t="n">
        <x:v>68.18677795365556</x:v>
      </x:c>
      <x:c r="S567" s="24"/>
      <x:c r="T567" s="24"/>
      <x:c r="U567" s="24"/>
    </x:row>
    <x:row r="568">
      <x:c r="A568" s="24" t="n">
        <x:v>56.6</x:v>
      </x:c>
      <x:c r="B568" s="24"/>
      <x:c r="C568" s="24" t="n">
        <x:v>64.79168386812647</x:v>
      </x:c>
      <x:c r="D568" s="24" t="n">
        <x:v>69.23262738290005</x:v>
      </x:c>
      <x:c r="E568" s="24"/>
      <x:c r="F568" s="24" t="n">
        <x:v>82.49658114007195</x:v>
      </x:c>
      <x:c r="G568" s="24"/>
      <x:c r="H568" s="24" t="n">
        <x:v>67.13034978996576</x:v>
      </x:c>
      <x:c r="I568" s="24" t="n">
        <x:v>79.74701631818937</x:v>
      </x:c>
      <x:c r="J568" s="24"/>
      <x:c r="K568" s="24"/>
      <x:c r="L568" s="24"/>
      <x:c r="M568" s="24"/>
      <x:c r="N568" s="24"/>
      <x:c r="O568" s="24"/>
      <x:c r="P568" s="24"/>
      <x:c r="Q568" s="24"/>
      <x:c r="R568" s="24" t="n">
        <x:v>67.29635568674436</x:v>
      </x:c>
      <x:c r="S568" s="24"/>
      <x:c r="T568" s="24"/>
      <x:c r="U568" s="24"/>
    </x:row>
    <x:row r="569">
      <x:c r="A569" s="24" t="n">
        <x:v>56.7</x:v>
      </x:c>
      <x:c r="B569" s="24"/>
      <x:c r="C569" s="24" t="n">
        <x:v>64.79168386812647</x:v>
      </x:c>
      <x:c r="D569" s="24" t="n">
        <x:v>69.29719459745758</x:v>
      </x:c>
      <x:c r="E569" s="24"/>
      <x:c r="F569" s="24" t="n">
        <x:v>77.79458689119949</x:v>
      </x:c>
      <x:c r="G569" s="24"/>
      <x:c r="H569" s="24"/>
      <x:c r="I569" s="24" t="n">
        <x:v>79.74701631818937</x:v>
      </x:c>
      <x:c r="J569" s="24"/>
      <x:c r="K569" s="24"/>
      <x:c r="L569" s="24"/>
      <x:c r="M569" s="24"/>
      <x:c r="N569" s="24"/>
      <x:c r="O569" s="24"/>
      <x:c r="P569" s="24"/>
      <x:c r="Q569" s="24"/>
      <x:c r="R569" s="24" t="n">
        <x:v>79.94028552931792</x:v>
      </x:c>
      <x:c r="S569" s="24"/>
      <x:c r="T569" s="24"/>
      <x:c r="U569" s="24"/>
    </x:row>
    <x:row r="570">
      <x:c r="A570" s="24" t="n">
        <x:v>56.800000000000004</x:v>
      </x:c>
      <x:c r="B570" s="24"/>
      <x:c r="C570" s="24" t="n">
        <x:v>63.20348232791782</x:v>
      </x:c>
      <x:c r="D570" s="24" t="n">
        <x:v>68.16005450562697</x:v>
      </x:c>
      <x:c r="E570" s="24"/>
      <x:c r="F570" s="24" t="n">
        <x:v>68.1325613314794</x:v>
      </x:c>
      <x:c r="G570" s="24"/>
      <x:c r="H570" s="24"/>
      <x:c r="I570" s="24" t="n">
        <x:v>75.38191617914389</x:v>
      </x:c>
      <x:c r="J570" s="24"/>
      <x:c r="K570" s="24"/>
      <x:c r="L570" s="24"/>
      <x:c r="M570" s="24"/>
      <x:c r="N570" s="24"/>
      <x:c r="O570" s="24"/>
      <x:c r="P570" s="24"/>
      <x:c r="Q570" s="24"/>
      <x:c r="R570" s="24" t="n">
        <x:v>80.60562522621093</x:v>
      </x:c>
      <x:c r="S570" s="24"/>
      <x:c r="T570" s="24"/>
      <x:c r="U570" s="24"/>
    </x:row>
    <x:row r="571">
      <x:c r="A571" s="24" t="n">
        <x:v>56.900000000000006</x:v>
      </x:c>
      <x:c r="B571" s="24"/>
      <x:c r="C571" s="24" t="n">
        <x:v>51.85787551310352</x:v>
      </x:c>
      <x:c r="D571" s="24" t="n">
        <x:v>67.30678206463313</x:v>
      </x:c>
      <x:c r="E571" s="24"/>
      <x:c r="F571" s="24" t="n">
        <x:v>58.67963919123852</x:v>
      </x:c>
      <x:c r="G571" s="24"/>
      <x:c r="H571" s="24"/>
      <x:c r="I571" s="24" t="n">
        <x:v>67.20374909893782</x:v>
      </x:c>
      <x:c r="J571" s="24"/>
      <x:c r="K571" s="24"/>
      <x:c r="L571" s="24"/>
      <x:c r="M571" s="24"/>
      <x:c r="N571" s="24"/>
      <x:c r="O571" s="24"/>
      <x:c r="P571" s="24"/>
      <x:c r="Q571" s="24"/>
      <x:c r="R571" s="24" t="n">
        <x:v>79.86334063238704</x:v>
      </x:c>
      <x:c r="S571" s="24"/>
      <x:c r="T571" s="24"/>
      <x:c r="U571" s="24"/>
    </x:row>
    <x:row r="572">
      <x:c r="A572" s="24" t="n">
        <x:v>57</x:v>
      </x:c>
      <x:c r="B572" s="24"/>
      <x:c r="C572" s="24" t="n">
        <x:v>69.89739465646105</x:v>
      </x:c>
      <x:c r="D572" s="24" t="n">
        <x:v>66.5882010494234</x:v>
      </x:c>
      <x:c r="E572" s="24"/>
      <x:c r="F572" s="24" t="n">
        <x:v>58.67963919123852</x:v>
      </x:c>
      <x:c r="G572" s="24"/>
      <x:c r="H572" s="24"/>
      <x:c r="I572" s="24" t="n">
        <x:v>57.8197299176213</x:v>
      </x:c>
      <x:c r="J572" s="24"/>
      <x:c r="K572" s="24"/>
      <x:c r="L572" s="24"/>
      <x:c r="M572" s="24"/>
      <x:c r="N572" s="24"/>
      <x:c r="O572" s="24"/>
      <x:c r="P572" s="24"/>
      <x:c r="Q572" s="24"/>
      <x:c r="R572" s="24" t="n">
        <x:v>68.4991341567954</x:v>
      </x:c>
      <x:c r="S572" s="24"/>
      <x:c r="T572" s="24"/>
      <x:c r="U572" s="24"/>
    </x:row>
    <x:row r="573">
      <x:c r="A573" s="24" t="n">
        <x:v>57.1</x:v>
      </x:c>
      <x:c r="B573" s="24"/>
      <x:c r="C573" s="24" t="n">
        <x:v>75.74375561470067</x:v>
      </x:c>
      <x:c r="D573" s="24" t="n">
        <x:v>81.1627993080221</x:v>
      </x:c>
      <x:c r="E573" s="24"/>
      <x:c r="F573" s="24" t="n">
        <x:v>54.378710674964516</x:v>
      </x:c>
      <x:c r="G573" s="24"/>
      <x:c r="H573" s="24"/>
      <x:c r="I573" s="24" t="n">
        <x:v>45.56881161460947</x:v>
      </x:c>
      <x:c r="J573" s="24"/>
      <x:c r="K573" s="24"/>
      <x:c r="L573" s="24"/>
      <x:c r="M573" s="24"/>
      <x:c r="N573" s="24"/>
      <x:c r="O573" s="24"/>
      <x:c r="P573" s="24"/>
      <x:c r="Q573" s="24"/>
      <x:c r="R573" s="24" t="n">
        <x:v>50</x:v>
      </x:c>
      <x:c r="S573" s="24"/>
      <x:c r="T573" s="24"/>
      <x:c r="U573" s="24"/>
    </x:row>
    <x:row r="574">
      <x:c r="A574" s="24" t="n">
        <x:v>57.2</x:v>
      </x:c>
      <x:c r="B574" s="24"/>
      <x:c r="C574" s="24" t="n">
        <x:v>75.74375561470067</x:v>
      </x:c>
      <x:c r="D574" s="24" t="n">
        <x:v>81.1627993080221</x:v>
      </x:c>
      <x:c r="E574" s="24"/>
      <x:c r="F574" s="24" t="n">
        <x:v>63.135530076588815</x:v>
      </x:c>
      <x:c r="G574" s="24"/>
      <x:c r="H574" s="24"/>
      <x:c r="I574" s="24" t="n">
        <x:v>65.55644491239451</x:v>
      </x:c>
      <x:c r="J574" s="24"/>
      <x:c r="K574" s="24"/>
      <x:c r="L574" s="24"/>
      <x:c r="M574" s="24"/>
      <x:c r="N574" s="24"/>
      <x:c r="O574" s="24"/>
      <x:c r="P574" s="24"/>
      <x:c r="Q574" s="24"/>
      <x:c r="R574" s="24" t="n">
        <x:v>50</x:v>
      </x:c>
      <x:c r="S574" s="24"/>
      <x:c r="T574" s="24"/>
      <x:c r="U574" s="24"/>
    </x:row>
    <x:row r="575">
      <x:c r="A575" s="24" t="n">
        <x:v>57.300000000000004</x:v>
      </x:c>
      <x:c r="B575" s="24"/>
      <x:c r="C575" s="24" t="n">
        <x:v>74.01168391179044</x:v>
      </x:c>
      <x:c r="D575" s="24" t="n">
        <x:v>77.16500766621908</x:v>
      </x:c>
      <x:c r="E575" s="24"/>
      <x:c r="F575" s="24" t="n">
        <x:v>65.5209370626343</x:v>
      </x:c>
      <x:c r="G575" s="24"/>
      <x:c r="H575" s="24"/>
      <x:c r="I575" s="24" t="n">
        <x:v>65.55644491239451</x:v>
      </x:c>
      <x:c r="J575" s="24"/>
      <x:c r="K575" s="24"/>
      <x:c r="L575" s="24"/>
      <x:c r="M575" s="24"/>
      <x:c r="N575" s="24"/>
      <x:c r="O575" s="24"/>
      <x:c r="P575" s="24"/>
      <x:c r="Q575" s="24"/>
      <x:c r="R575" s="24" t="n">
        <x:v>55.10212302366379</x:v>
      </x:c>
      <x:c r="S575" s="24"/>
      <x:c r="T575" s="24"/>
      <x:c r="U575" s="24"/>
    </x:row>
    <x:row r="576">
      <x:c r="A576" s="24" t="n">
        <x:v>57.400000000000006</x:v>
      </x:c>
      <x:c r="B576" s="24"/>
      <x:c r="C576" s="24" t="n">
        <x:v>67.64550384360045</x:v>
      </x:c>
      <x:c r="D576" s="24" t="n">
        <x:v>67.70007181482119</x:v>
      </x:c>
      <x:c r="E576" s="24"/>
      <x:c r="F576" s="24" t="n">
        <x:v>65.52093706263526</x:v>
      </x:c>
      <x:c r="G576" s="24"/>
      <x:c r="H576" s="24"/>
      <x:c r="I576" s="24" t="n">
        <x:v>68.42435393776661</x:v>
      </x:c>
      <x:c r="J576" s="24"/>
      <x:c r="K576" s="24"/>
      <x:c r="L576" s="24"/>
      <x:c r="M576" s="24"/>
      <x:c r="N576" s="24"/>
      <x:c r="O576" s="24"/>
      <x:c r="P576" s="24"/>
      <x:c r="Q576" s="24"/>
      <x:c r="R576" s="24" t="n">
        <x:v>61.904953721881775</x:v>
      </x:c>
      <x:c r="S576" s="24"/>
      <x:c r="T576" s="24"/>
      <x:c r="U576" s="24"/>
    </x:row>
    <x:row r="577">
      <x:c r="A577" s="24" t="n">
        <x:v>57.5</x:v>
      </x:c>
      <x:c r="B577" s="24"/>
      <x:c r="C577" s="24" t="n">
        <x:v>67.34649283634323</x:v>
      </x:c>
      <x:c r="D577" s="24" t="n">
        <x:v>64.7468540561189</x:v>
      </x:c>
      <x:c r="E577" s="24"/>
      <x:c r="F577" s="24" t="n">
        <x:v>70.97080602899328</x:v>
      </x:c>
      <x:c r="G577" s="24"/>
      <x:c r="H577" s="24"/>
      <x:c r="I577" s="24" t="n">
        <x:v>72.38538060222601</x:v>
      </x:c>
      <x:c r="J577" s="24"/>
      <x:c r="K577" s="24"/>
      <x:c r="L577" s="24"/>
      <x:c r="M577" s="24"/>
      <x:c r="N577" s="24"/>
      <x:c r="O577" s="24"/>
      <x:c r="P577" s="24"/>
      <x:c r="Q577" s="24"/>
      <x:c r="R577" s="24" t="n">
        <x:v>61.904953721881775</x:v>
      </x:c>
      <x:c r="S577" s="24"/>
      <x:c r="T577" s="24"/>
      <x:c r="U577" s="24"/>
    </x:row>
    <x:row r="578">
      <x:c r="A578" s="24" t="n">
        <x:v>57.6</x:v>
      </x:c>
      <x:c r="B578" s="24"/>
      <x:c r="C578" s="24" t="n">
        <x:v>68.05400581091196</x:v>
      </x:c>
      <x:c r="D578" s="24" t="n">
        <x:v>64.6608783440031</x:v>
      </x:c>
      <x:c r="E578" s="24"/>
      <x:c r="F578" s="24" t="n">
        <x:v>70.97080602899328</x:v>
      </x:c>
      <x:c r="G578" s="24"/>
      <x:c r="H578" s="24"/>
      <x:c r="I578" s="24" t="n">
        <x:v>72.38538060222601</x:v>
      </x:c>
      <x:c r="J578" s="24"/>
      <x:c r="K578" s="24"/>
      <x:c r="L578" s="24"/>
      <x:c r="M578" s="24"/>
      <x:c r="N578" s="24"/>
      <x:c r="O578" s="24"/>
      <x:c r="P578" s="24"/>
      <x:c r="Q578" s="24"/>
      <x:c r="R578" s="24" t="n">
        <x:v>82.39232769433556</x:v>
      </x:c>
      <x:c r="S578" s="24"/>
      <x:c r="T578" s="24"/>
      <x:c r="U578" s="24"/>
    </x:row>
    <x:row r="579">
      <x:c r="A579" s="24" t="n">
        <x:v>57.7</x:v>
      </x:c>
      <x:c r="B579" s="24"/>
      <x:c r="C579" s="24" t="n">
        <x:v>68.85671515997508</x:v>
      </x:c>
      <x:c r="D579" s="24"/>
      <x:c r="E579" s="24"/>
      <x:c r="F579" s="24" t="n">
        <x:v>63.92125446195278</x:v>
      </x:c>
      <x:c r="G579" s="24"/>
      <x:c r="H579" s="24"/>
      <x:c r="I579" s="24" t="n">
        <x:v>61.08849101540633</x:v>
      </x:c>
      <x:c r="J579" s="24"/>
      <x:c r="K579" s="24"/>
      <x:c r="L579" s="24"/>
      <x:c r="M579" s="24"/>
      <x:c r="N579" s="24"/>
      <x:c r="O579" s="24"/>
      <x:c r="P579" s="24"/>
      <x:c r="Q579" s="24"/>
      <x:c r="R579" s="24" t="n">
        <x:v>82.39232769433556</x:v>
      </x:c>
      <x:c r="S579" s="24"/>
      <x:c r="T579" s="24"/>
      <x:c r="U579" s="24"/>
    </x:row>
    <x:row r="580">
      <x:c r="A580" s="24" t="n">
        <x:v>57.800000000000004</x:v>
      </x:c>
      <x:c r="B580" s="24"/>
      <x:c r="C580" s="24" t="n">
        <x:v>70.25902786779392</x:v>
      </x:c>
      <x:c r="D580" s="24"/>
      <x:c r="E580" s="24"/>
      <x:c r="F580" s="24" t="n">
        <x:v>59.37998403377805</x:v>
      </x:c>
      <x:c r="G580" s="24"/>
      <x:c r="H580" s="24"/>
      <x:c r="I580" s="24" t="n">
        <x:v>61.54406281138209</x:v>
      </x:c>
      <x:c r="J580" s="24"/>
      <x:c r="K580" s="24"/>
      <x:c r="L580" s="24"/>
      <x:c r="M580" s="24"/>
      <x:c r="N580" s="24"/>
      <x:c r="O580" s="24"/>
      <x:c r="P580" s="24"/>
      <x:c r="Q580" s="24"/>
      <x:c r="R580" s="24" t="n">
        <x:v>76.26047874534338</x:v>
      </x:c>
      <x:c r="S580" s="24"/>
      <x:c r="T580" s="24"/>
      <x:c r="U580" s="24"/>
    </x:row>
    <x:row r="581">
      <x:c r="A581" s="24" t="n">
        <x:v>57.900000000000006</x:v>
      </x:c>
      <x:c r="B581" s="24"/>
      <x:c r="C581" s="24" t="n">
        <x:v>70.25902786779392</x:v>
      </x:c>
      <x:c r="D581" s="24"/>
      <x:c r="E581" s="24"/>
      <x:c r="F581" s="24" t="n">
        <x:v>67.10268322640748</x:v>
      </x:c>
      <x:c r="G581" s="24"/>
      <x:c r="H581" s="24"/>
      <x:c r="I581" s="24" t="n">
        <x:v>67.22246841736661</x:v>
      </x:c>
      <x:c r="J581" s="24"/>
      <x:c r="K581" s="24"/>
      <x:c r="L581" s="24"/>
      <x:c r="M581" s="24"/>
      <x:c r="N581" s="24"/>
      <x:c r="O581" s="24"/>
      <x:c r="P581" s="24"/>
      <x:c r="Q581" s="24"/>
      <x:c r="R581" s="24" t="n">
        <x:v>72.32167826509493</x:v>
      </x:c>
      <x:c r="S581" s="24"/>
      <x:c r="T581" s="24"/>
      <x:c r="U581" s="24"/>
    </x:row>
    <x:row r="582">
      <x:c r="A582" s="24" t="n">
        <x:v>58</x:v>
      </x:c>
      <x:c r="B582" s="24"/>
      <x:c r="C582" s="24" t="n">
        <x:v>69.46638270677003</x:v>
      </x:c>
      <x:c r="D582" s="24"/>
      <x:c r="E582" s="24"/>
      <x:c r="F582" s="24" t="n">
        <x:v>67.94651185293917</x:v>
      </x:c>
      <x:c r="G582" s="24"/>
      <x:c r="H582" s="24"/>
      <x:c r="I582" s="24" t="n">
        <x:v>68.53290835426228</x:v>
      </x:c>
      <x:c r="J582" s="24"/>
      <x:c r="K582" s="24"/>
      <x:c r="L582" s="24"/>
      <x:c r="M582" s="24"/>
      <x:c r="N582" s="24"/>
      <x:c r="O582" s="24"/>
      <x:c r="P582" s="24"/>
      <x:c r="Q582" s="24"/>
      <x:c r="R582" s="24" t="n">
        <x:v>69.45720925024082</x:v>
      </x:c>
      <x:c r="S582" s="24"/>
      <x:c r="T582" s="24"/>
      <x:c r="U582" s="24"/>
    </x:row>
    <x:row r="583">
      <x:c r="A583" s="24" t="n">
        <x:v>58.1</x:v>
      </x:c>
      <x:c r="B583" s="24"/>
      <x:c r="C583" s="24" t="n">
        <x:v>70.37698216484513</x:v>
      </x:c>
      <x:c r="D583" s="24"/>
      <x:c r="E583" s="24"/>
      <x:c r="F583" s="24" t="n">
        <x:v>67.61338638052197</x:v>
      </x:c>
      <x:c r="G583" s="24"/>
      <x:c r="H583" s="24"/>
      <x:c r="I583" s="24" t="n">
        <x:v>68.84508561521763</x:v>
      </x:c>
      <x:c r="J583" s="24"/>
      <x:c r="K583" s="24"/>
      <x:c r="L583" s="24"/>
      <x:c r="M583" s="24"/>
      <x:c r="N583" s="24"/>
      <x:c r="O583" s="24"/>
      <x:c r="P583" s="24"/>
      <x:c r="Q583" s="24"/>
      <x:c r="R583" s="24" t="n">
        <x:v>67.17638908292267</x:v>
      </x:c>
      <x:c r="S583" s="24"/>
      <x:c r="T583" s="24"/>
      <x:c r="U583" s="24"/>
    </x:row>
    <x:row r="584">
      <x:c r="A584" s="24" t="n">
        <x:v>58.2</x:v>
      </x:c>
      <x:c r="B584" s="24"/>
      <x:c r="C584" s="24" t="n">
        <x:v>70.99372873903252</x:v>
      </x:c>
      <x:c r="D584" s="24"/>
      <x:c r="E584" s="24"/>
      <x:c r="F584" s="24" t="n">
        <x:v>67.61338638052197</x:v>
      </x:c>
      <x:c r="G584" s="24"/>
      <x:c r="H584" s="24"/>
      <x:c r="I584" s="24" t="n">
        <x:v>68.84508561521763</x:v>
      </x:c>
      <x:c r="J584" s="24"/>
      <x:c r="K584" s="24"/>
      <x:c r="L584" s="24"/>
      <x:c r="M584" s="24"/>
      <x:c r="N584" s="24"/>
      <x:c r="O584" s="24"/>
      <x:c r="P584" s="24"/>
      <x:c r="Q584" s="24"/>
      <x:c r="R584" s="24" t="n">
        <x:v>66.46797477614092</x:v>
      </x:c>
      <x:c r="S584" s="24"/>
      <x:c r="T584" s="24"/>
      <x:c r="U584" s="24"/>
    </x:row>
    <x:row r="585">
      <x:c r="A585" s="24" t="n">
        <x:v>58.300000000000004</x:v>
      </x:c>
      <x:c r="B585" s="24"/>
      <x:c r="C585" s="24" t="n">
        <x:v>70.72198879348544</x:v>
      </x:c>
      <x:c r="D585" s="24"/>
      <x:c r="E585" s="24"/>
      <x:c r="F585" s="24" t="n">
        <x:v>68.87116756171487</x:v>
      </x:c>
      <x:c r="G585" s="24"/>
      <x:c r="H585" s="24"/>
      <x:c r="I585" s="24" t="n">
        <x:v>68.19639106952096</x:v>
      </x:c>
      <x:c r="J585" s="24"/>
      <x:c r="K585" s="24"/>
      <x:c r="L585" s="24"/>
      <x:c r="M585" s="24"/>
      <x:c r="N585" s="24"/>
      <x:c r="O585" s="24"/>
      <x:c r="P585" s="24"/>
      <x:c r="Q585" s="24"/>
      <x:c r="R585" s="24" t="n">
        <x:v>66.96731418838024</x:v>
      </x:c>
      <x:c r="S585" s="24"/>
      <x:c r="T585" s="24"/>
      <x:c r="U585" s="24"/>
    </x:row>
    <x:row r="586">
      <x:c r="A586" s="24" t="n">
        <x:v>58.400000000000006</x:v>
      </x:c>
      <x:c r="B586" s="24"/>
      <x:c r="C586" s="24" t="n">
        <x:v>86.63860232907915</x:v>
      </x:c>
      <x:c r="D586" s="24"/>
      <x:c r="E586" s="24"/>
      <x:c r="F586" s="24" t="n">
        <x:v>69.10156835215119</x:v>
      </x:c>
      <x:c r="G586" s="24"/>
      <x:c r="H586" s="24"/>
      <x:c r="I586" s="24" t="n">
        <x:v>69.23322178420486</x:v>
      </x:c>
      <x:c r="J586" s="24"/>
      <x:c r="K586" s="24"/>
      <x:c r="L586" s="24"/>
      <x:c r="M586" s="24"/>
      <x:c r="N586" s="24"/>
      <x:c r="O586" s="24"/>
      <x:c r="P586" s="24"/>
      <x:c r="Q586" s="24"/>
      <x:c r="R586" s="24" t="n">
        <x:v>66.96731418838036</x:v>
      </x:c>
      <x:c r="S586" s="24"/>
      <x:c r="T586" s="24"/>
      <x:c r="U586" s="24"/>
    </x:row>
    <x:row r="587">
      <x:c r="A587" s="24" t="n">
        <x:v>58.5</x:v>
      </x:c>
      <x:c r="B587" s="24"/>
      <x:c r="C587" s="24" t="n">
        <x:v>91.3851562457086</x:v>
      </x:c>
      <x:c r="D587" s="24"/>
      <x:c r="E587" s="24"/>
      <x:c r="F587" s="24" t="n">
        <x:v>69.24965011928998</x:v>
      </x:c>
      <x:c r="G587" s="24"/>
      <x:c r="H587" s="24"/>
      <x:c r="I587" s="24" t="n">
        <x:v>69.23322178420486</x:v>
      </x:c>
      <x:c r="J587" s="24"/>
      <x:c r="K587" s="24"/>
      <x:c r="L587" s="24"/>
      <x:c r="M587" s="24"/>
      <x:c r="N587" s="24"/>
      <x:c r="O587" s="24"/>
      <x:c r="P587" s="24"/>
      <x:c r="Q587" s="24"/>
      <x:c r="R587" s="24" t="n">
        <x:v>68.57169967014173</x:v>
      </x:c>
      <x:c r="S587" s="24"/>
      <x:c r="T587" s="24"/>
      <x:c r="U587" s="24"/>
    </x:row>
    <x:row r="588">
      <x:c r="A588" s="24" t="n">
        <x:v>58.6</x:v>
      </x:c>
      <x:c r="B588" s="24"/>
      <x:c r="C588" s="24" t="n">
        <x:v>91.3851562457086</x:v>
      </x:c>
      <x:c r="D588" s="24"/>
      <x:c r="E588" s="24"/>
      <x:c r="F588" s="24" t="n">
        <x:v>69.34649622073286</x:v>
      </x:c>
      <x:c r="G588" s="24"/>
      <x:c r="H588" s="24"/>
      <x:c r="I588" s="24" t="n">
        <x:v>67.99436472779716</x:v>
      </x:c>
      <x:c r="J588" s="24"/>
      <x:c r="K588" s="24"/>
      <x:c r="L588" s="24"/>
      <x:c r="M588" s="24"/>
      <x:c r="N588" s="24"/>
      <x:c r="O588" s="24"/>
      <x:c r="P588" s="24"/>
      <x:c r="Q588" s="24"/>
      <x:c r="R588" s="24" t="n">
        <x:v>68.57169967014173</x:v>
      </x:c>
      <x:c r="S588" s="24"/>
      <x:c r="T588" s="24"/>
      <x:c r="U588" s="24"/>
    </x:row>
    <x:row r="589">
      <x:c r="A589" s="24" t="n">
        <x:v>58.7</x:v>
      </x:c>
      <x:c r="B589" s="24"/>
      <x:c r="C589" s="24" t="n">
        <x:v>83.64808476510261</x:v>
      </x:c>
      <x:c r="D589" s="24"/>
      <x:c r="E589" s="24"/>
      <x:c r="F589" s="24" t="n">
        <x:v>69.34649622073286</x:v>
      </x:c>
      <x:c r="G589" s="24"/>
      <x:c r="H589" s="24"/>
      <x:c r="I589" s="24" t="n">
        <x:v>65.63715441056146</x:v>
      </x:c>
      <x:c r="J589" s="24"/>
      <x:c r="K589" s="24"/>
      <x:c r="L589" s="24"/>
      <x:c r="M589" s="24"/>
      <x:c r="N589" s="24"/>
      <x:c r="O589" s="24"/>
      <x:c r="P589" s="24"/>
      <x:c r="Q589" s="24"/>
      <x:c r="R589" s="24" t="n">
        <x:v>66.34609862710258</x:v>
      </x:c>
      <x:c r="S589" s="24"/>
      <x:c r="T589" s="24"/>
      <x:c r="U589" s="24"/>
    </x:row>
    <x:row r="590">
      <x:c r="A590" s="24" t="n">
        <x:v>58.800000000000004</x:v>
      </x:c>
      <x:c r="B590" s="24"/>
      <x:c r="C590" s="24" t="n">
        <x:v>76.68831680035112</x:v>
      </x:c>
      <x:c r="D590" s="24"/>
      <x:c r="E590" s="24"/>
      <x:c r="F590" s="24" t="n">
        <x:v>69.96918670938325</x:v>
      </x:c>
      <x:c r="G590" s="24"/>
      <x:c r="H590" s="24"/>
      <x:c r="I590" s="24" t="n">
        <x:v>79.17566961764929</x:v>
      </x:c>
      <x:c r="J590" s="24"/>
      <x:c r="K590" s="24"/>
      <x:c r="L590" s="24"/>
      <x:c r="M590" s="24"/>
      <x:c r="N590" s="24"/>
      <x:c r="O590" s="24"/>
      <x:c r="P590" s="24"/>
      <x:c r="Q590" s="24"/>
      <x:c r="R590" s="24" t="n">
        <x:v>66.2741631764743</x:v>
      </x:c>
      <x:c r="S590" s="24"/>
      <x:c r="T590" s="24"/>
      <x:c r="U590" s="24"/>
    </x:row>
    <x:row r="591">
      <x:c r="A591" s="24" t="n">
        <x:v>58.900000000000006</x:v>
      </x:c>
      <x:c r="B591" s="24"/>
      <x:c r="C591" s="24" t="n">
        <x:v>74.53212405348835</x:v>
      </x:c>
      <x:c r="D591" s="24"/>
      <x:c r="E591" s="24"/>
      <x:c r="F591" s="24" t="n">
        <x:v>69.96918670938325</x:v>
      </x:c>
      <x:c r="G591" s="24"/>
      <x:c r="H591" s="24"/>
      <x:c r="I591" s="24" t="n">
        <x:v>80.01707222719064</x:v>
      </x:c>
      <x:c r="J591" s="24"/>
      <x:c r="K591" s="24"/>
      <x:c r="L591" s="24"/>
      <x:c r="M591" s="24"/>
      <x:c r="N591" s="24"/>
      <x:c r="O591" s="24"/>
      <x:c r="P591" s="24"/>
      <x:c r="Q591" s="24"/>
      <x:c r="R591" s="24" t="n">
        <x:v>62.18244460243424</x:v>
      </x:c>
      <x:c r="S591" s="24"/>
      <x:c r="T591" s="24"/>
      <x:c r="U591" s="24"/>
    </x:row>
    <x:row r="592">
      <x:c r="A592" s="24" t="n">
        <x:v>59</x:v>
      </x:c>
      <x:c r="B592" s="24"/>
      <x:c r="C592" s="24" t="n">
        <x:v>72.95847155907609</x:v>
      </x:c>
      <x:c r="D592" s="24"/>
      <x:c r="E592" s="24"/>
      <x:c r="F592" s="24" t="n">
        <x:v>66.83995233785453</x:v>
      </x:c>
      <x:c r="G592" s="24"/>
      <x:c r="H592" s="24"/>
      <x:c r="I592" s="24" t="n">
        <x:v>78.93106969502404</x:v>
      </x:c>
      <x:c r="J592" s="24"/>
      <x:c r="K592" s="24"/>
      <x:c r="L592" s="24"/>
      <x:c r="M592" s="24"/>
      <x:c r="N592" s="24"/>
      <x:c r="O592" s="24"/>
      <x:c r="P592" s="24"/>
      <x:c r="Q592" s="24"/>
      <x:c r="R592" s="24" t="n">
        <x:v>73.37605060822514</x:v>
      </x:c>
      <x:c r="S592" s="24"/>
      <x:c r="T592" s="24"/>
      <x:c r="U592" s="24"/>
    </x:row>
    <x:row r="593">
      <x:c r="A593" s="24" t="n">
        <x:v>59.1</x:v>
      </x:c>
      <x:c r="B593" s="24"/>
      <x:c r="C593" s="24" t="n">
        <x:v>68.90744904827852</x:v>
      </x:c>
      <x:c r="D593" s="24"/>
      <x:c r="E593" s="24"/>
      <x:c r="F593" s="24" t="n">
        <x:v>81.03795870066944</x:v>
      </x:c>
      <x:c r="G593" s="24"/>
      <x:c r="H593" s="24"/>
      <x:c r="I593" s="24" t="n">
        <x:v>68.50641982650158</x:v>
      </x:c>
      <x:c r="J593" s="24"/>
      <x:c r="K593" s="24"/>
      <x:c r="L593" s="24"/>
      <x:c r="M593" s="24"/>
      <x:c r="N593" s="24"/>
      <x:c r="O593" s="24"/>
      <x:c r="P593" s="24"/>
      <x:c r="Q593" s="24"/>
      <x:c r="R593" s="24" t="n">
        <x:v>77.43997416120312</x:v>
      </x:c>
      <x:c r="S593" s="24"/>
      <x:c r="T593" s="24"/>
      <x:c r="U593" s="24"/>
    </x:row>
    <x:row r="594">
      <x:c r="A594" s="24" t="n">
        <x:v>59.2</x:v>
      </x:c>
      <x:c r="B594" s="24"/>
      <x:c r="C594" s="24" t="n">
        <x:v>68.90744904827852</x:v>
      </x:c>
      <x:c r="D594" s="24"/>
      <x:c r="E594" s="24"/>
      <x:c r="F594" s="24" t="n">
        <x:v>82.36007189790783</x:v>
      </x:c>
      <x:c r="G594" s="24"/>
      <x:c r="H594" s="24"/>
      <x:c r="I594" s="24" t="n">
        <x:v>58.05291398562406</x:v>
      </x:c>
      <x:c r="J594" s="24"/>
      <x:c r="K594" s="24"/>
      <x:c r="L594" s="24"/>
      <x:c r="M594" s="24"/>
      <x:c r="N594" s="24"/>
      <x:c r="O594" s="24"/>
      <x:c r="P594" s="24"/>
      <x:c r="Q594" s="24"/>
      <x:c r="R594" s="24" t="n">
        <x:v>77.43997416120312</x:v>
      </x:c>
      <x:c r="S594" s="24"/>
      <x:c r="T594" s="24"/>
      <x:c r="U594" s="24"/>
    </x:row>
    <x:row r="595">
      <x:c r="A595" s="24" t="n">
        <x:v>59.300000000000004</x:v>
      </x:c>
      <x:c r="B595" s="24"/>
      <x:c r="C595" s="24" t="n">
        <x:v>51.595284178115094</x:v>
      </x:c>
      <x:c r="D595" s="24"/>
      <x:c r="E595" s="24"/>
      <x:c r="F595" s="24" t="n">
        <x:v>82.36007189790698</x:v>
      </x:c>
      <x:c r="G595" s="24"/>
      <x:c r="H595" s="24"/>
      <x:c r="I595" s="24" t="n">
        <x:v>45.56881161460947</x:v>
      </x:c>
      <x:c r="J595" s="24"/>
      <x:c r="K595" s="24"/>
      <x:c r="L595" s="24"/>
      <x:c r="M595" s="24"/>
      <x:c r="N595" s="24"/>
      <x:c r="O595" s="24"/>
      <x:c r="P595" s="24"/>
      <x:c r="Q595" s="24"/>
      <x:c r="R595" s="24" t="n">
        <x:v>67.29143638477909</x:v>
      </x:c>
      <x:c r="S595" s="24"/>
      <x:c r="T595" s="24"/>
      <x:c r="U595" s="24"/>
    </x:row>
    <x:row r="596">
      <x:c r="A596" s="24" t="n">
        <x:v>59.400000000000006</x:v>
      </x:c>
      <x:c r="B596" s="24"/>
      <x:c r="C596" s="24" t="n">
        <x:v>51.595284178115094</x:v>
      </x:c>
      <x:c r="D596" s="24"/>
      <x:c r="E596" s="24"/>
      <x:c r="F596" s="24" t="n">
        <x:v>71.14803501600716</x:v>
      </x:c>
      <x:c r="G596" s="24"/>
      <x:c r="H596" s="24"/>
      <x:c r="I596" s="24" t="n">
        <x:v>64.66488031481414</x:v>
      </x:c>
      <x:c r="J596" s="24"/>
      <x:c r="K596" s="24"/>
      <x:c r="L596" s="24"/>
      <x:c r="M596" s="24"/>
      <x:c r="N596" s="24"/>
      <x:c r="O596" s="24"/>
      <x:c r="P596" s="24"/>
      <x:c r="Q596" s="24"/>
      <x:c r="R596" s="24" t="n">
        <x:v>55.72195567053008</x:v>
      </x:c>
      <x:c r="S596" s="24"/>
      <x:c r="T596" s="24"/>
      <x:c r="U596" s="24"/>
    </x:row>
    <x:row r="597">
      <x:c r="A597" s="24" t="n">
        <x:v>59.5</x:v>
      </x:c>
      <x:c r="B597" s="24"/>
      <x:c r="C597" s="24" t="n">
        <x:v>51.595284178115094</x:v>
      </x:c>
      <x:c r="D597" s="24"/>
      <x:c r="E597" s="24"/>
      <x:c r="F597" s="24" t="n">
        <x:v>56.68764592844049</x:v>
      </x:c>
      <x:c r="G597" s="24"/>
      <x:c r="H597" s="24"/>
      <x:c r="I597" s="24" t="n">
        <x:v>65.65253648684838</x:v>
      </x:c>
      <x:c r="J597" s="24"/>
      <x:c r="K597" s="24"/>
      <x:c r="L597" s="24"/>
      <x:c r="M597" s="24"/>
      <x:c r="N597" s="24"/>
      <x:c r="O597" s="24"/>
      <x:c r="P597" s="24"/>
      <x:c r="Q597" s="24"/>
      <x:c r="R597" s="24" t="n">
        <x:v>56.7082316078941</x:v>
      </x:c>
      <x:c r="S597" s="24"/>
      <x:c r="T597" s="24"/>
      <x:c r="U597" s="24"/>
    </x:row>
    <x:row r="598">
      <x:c r="A598" s="24" t="n">
        <x:v>59.6</x:v>
      </x:c>
      <x:c r="B598" s="24"/>
      <x:c r="C598" s="24" t="n">
        <x:v>71.85021974986114</x:v>
      </x:c>
      <x:c r="D598" s="24"/>
      <x:c r="E598" s="24"/>
      <x:c r="F598" s="24" t="n">
        <x:v>52.62734679463941</x:v>
      </x:c>
      <x:c r="G598" s="24"/>
      <x:c r="H598" s="24"/>
      <x:c r="I598" s="24" t="n">
        <x:v>62.01629182608531</x:v>
      </x:c>
      <x:c r="J598" s="24"/>
      <x:c r="K598" s="24"/>
      <x:c r="L598" s="24"/>
      <x:c r="M598" s="24"/>
      <x:c r="N598" s="24"/>
      <x:c r="O598" s="24"/>
      <x:c r="P598" s="24"/>
      <x:c r="Q598" s="24"/>
      <x:c r="R598" s="24" t="n">
        <x:v>57.69450754525819</x:v>
      </x:c>
      <x:c r="S598" s="24"/>
      <x:c r="T598" s="24"/>
      <x:c r="U598" s="24"/>
    </x:row>
    <x:row r="599">
      <x:c r="A599" s="24" t="n">
        <x:v>59.7</x:v>
      </x:c>
      <x:c r="B599" s="24"/>
      <x:c r="C599" s="24" t="n">
        <x:v>76.0663576341008</x:v>
      </x:c>
      <x:c r="D599" s="24"/>
      <x:c r="E599" s="24"/>
      <x:c r="F599" s="24" t="n">
        <x:v>54.71954371188894</x:v>
      </x:c>
      <x:c r="G599" s="24"/>
      <x:c r="H599" s="24"/>
      <x:c r="I599" s="24" t="n">
        <x:v>74.14869914961022</x:v>
      </x:c>
      <x:c r="J599" s="24"/>
      <x:c r="K599" s="24"/>
      <x:c r="L599" s="24"/>
      <x:c r="M599" s="24"/>
      <x:c r="N599" s="24"/>
      <x:c r="O599" s="24"/>
      <x:c r="P599" s="24"/>
      <x:c r="Q599" s="24"/>
      <x:c r="R599" s="24" t="n">
        <x:v>58.68078348262228</x:v>
      </x:c>
      <x:c r="S599" s="24"/>
      <x:c r="T599" s="24"/>
      <x:c r="U599" s="24"/>
    </x:row>
    <x:row r="600">
      <x:c r="A600" s="24" t="n">
        <x:v>59.800000000000004</x:v>
      </x:c>
      <x:c r="B600" s="24"/>
      <x:c r="C600" s="24" t="n">
        <x:v>76.0663576341008</x:v>
      </x:c>
      <x:c r="D600" s="24"/>
      <x:c r="E600" s="24"/>
      <x:c r="F600" s="24" t="n">
        <x:v>59.950036005012024</x:v>
      </x:c>
      <x:c r="G600" s="24"/>
      <x:c r="H600" s="24"/>
      <x:c r="I600" s="24" t="n">
        <x:v>74.14869914961022</x:v>
      </x:c>
      <x:c r="J600" s="24"/>
      <x:c r="K600" s="24"/>
      <x:c r="L600" s="24"/>
      <x:c r="M600" s="24"/>
      <x:c r="N600" s="24"/>
      <x:c r="O600" s="24"/>
      <x:c r="P600" s="24"/>
      <x:c r="Q600" s="24"/>
      <x:c r="R600" s="24" t="n">
        <x:v>77.09974713132941</x:v>
      </x:c>
      <x:c r="S600" s="24"/>
      <x:c r="T600" s="24"/>
      <x:c r="U600" s="24"/>
    </x:row>
    <x:row r="601">
      <x:c r="A601" s="24" t="n">
        <x:v>59.900000000000006</x:v>
      </x:c>
      <x:c r="B601" s="24"/>
      <x:c r="C601" s="24" t="n">
        <x:v>71.08677075711442</x:v>
      </x:c>
      <x:c r="D601" s="24"/>
      <x:c r="E601" s="24"/>
      <x:c r="F601" s="24" t="n">
        <x:v>65.18052829813473</x:v>
      </x:c>
      <x:c r="G601" s="24"/>
      <x:c r="H601" s="24"/>
      <x:c r="I601" s="24" t="n">
        <x:v>69.60117917220448</x:v>
      </x:c>
      <x:c r="J601" s="24"/>
      <x:c r="K601" s="24"/>
      <x:c r="L601" s="24"/>
      <x:c r="M601" s="24"/>
      <x:c r="N601" s="24"/>
      <x:c r="O601" s="24"/>
      <x:c r="P601" s="24"/>
      <x:c r="Q601" s="24"/>
      <x:c r="R601" s="24" t="n">
        <x:v>77.41241773174698</x:v>
      </x:c>
      <x:c r="S601" s="24"/>
      <x:c r="T601" s="24"/>
      <x:c r="U601" s="24"/>
    </x:row>
    <x:row r="602">
      <x:c r="A602" s="24" t="n">
        <x:v>60</x:v>
      </x:c>
      <x:c r="B602" s="24"/>
      <x:c r="C602" s="24" t="n">
        <x:v>60.32716870941703</x:v>
      </x:c>
      <x:c r="D602" s="24"/>
      <x:c r="E602" s="24"/>
      <x:c r="F602" s="24" t="n">
        <x:v>65.18052829813473</x:v>
      </x:c>
      <x:c r="G602" s="24"/>
      <x:c r="H602" s="24"/>
      <x:c r="I602" s="24" t="n">
        <x:v>56.83194597363995</x:v>
      </x:c>
      <x:c r="J602" s="24"/>
      <x:c r="K602" s="24"/>
      <x:c r="L602" s="24"/>
      <x:c r="M602" s="24"/>
      <x:c r="N602" s="24"/>
      <x:c r="O602" s="24"/>
      <x:c r="P602" s="24"/>
      <x:c r="Q602" s="24"/>
      <x:c r="R602" s="24" t="n">
        <x:v>75.71060634321054</x:v>
      </x:c>
      <x:c r="S602" s="24"/>
      <x:c r="T602" s="24"/>
      <x:c r="U602" s="24"/>
    </x:row>
    <x:row r="603">
      <x:c r="A603" s="24" t="n">
        <x:v>60.1</x:v>
      </x:c>
      <x:c r="B603" s="24"/>
      <x:c r="C603" s="24" t="n">
        <x:v>62.88502941470012</x:v>
      </x:c>
      <x:c r="D603" s="24"/>
      <x:c r="E603" s="24"/>
      <x:c r="F603" s="24" t="n">
        <x:v>72.4451239277197</x:v>
      </x:c>
      <x:c r="G603" s="24"/>
      <x:c r="H603" s="24"/>
      <x:c r="I603" s="24" t="n">
        <x:v>67.82142803549314</x:v>
      </x:c>
      <x:c r="J603" s="24"/>
      <x:c r="K603" s="24"/>
      <x:c r="L603" s="24"/>
      <x:c r="M603" s="24"/>
      <x:c r="N603" s="24"/>
      <x:c r="O603" s="24"/>
      <x:c r="P603" s="24"/>
      <x:c r="Q603" s="24"/>
      <x:c r="R603" s="24" t="n">
        <x:v>70.9670557969705</x:v>
      </x:c>
      <x:c r="S603" s="24"/>
      <x:c r="T603" s="24"/>
      <x:c r="U603" s="24"/>
    </x:row>
    <x:row r="604">
      <x:c r="A604" s="24" t="n">
        <x:v>60.2</x:v>
      </x:c>
      <x:c r="B604" s="24"/>
      <x:c r="C604" s="24" t="n">
        <x:v>69.21426316076354</x:v>
      </x:c>
      <x:c r="D604" s="24"/>
      <x:c r="E604" s="24"/>
      <x:c r="F604" s="24" t="n">
        <x:v>72.4451239277197</x:v>
      </x:c>
      <x:c r="G604" s="24"/>
      <x:c r="H604" s="24"/>
      <x:c r="I604" s="24" t="n">
        <x:v>68.11350411420781</x:v>
      </x:c>
      <x:c r="J604" s="24"/>
      <x:c r="K604" s="24"/>
      <x:c r="L604" s="24"/>
      <x:c r="M604" s="24"/>
      <x:c r="N604" s="24"/>
      <x:c r="O604" s="24"/>
      <x:c r="P604" s="24"/>
      <x:c r="Q604" s="24"/>
      <x:c r="R604" s="24" t="n">
        <x:v>70.9670557969705</x:v>
      </x:c>
      <x:c r="S604" s="24"/>
      <x:c r="T604" s="24"/>
      <x:c r="U604" s="24"/>
    </x:row>
    <x:row r="605">
      <x:c r="A605" s="24" t="n">
        <x:v>60.300000000000004</x:v>
      </x:c>
      <x:c r="B605" s="24"/>
      <x:c r="C605" s="24" t="n">
        <x:v>69.21426316076354</x:v>
      </x:c>
      <x:c r="D605" s="24"/>
      <x:c r="E605" s="24"/>
      <x:c r="F605" s="24" t="n">
        <x:v>70.00838979033739</x:v>
      </x:c>
      <x:c r="G605" s="24"/>
      <x:c r="H605" s="24"/>
      <x:c r="I605" s="24" t="n">
        <x:v>68.62476589648976</x:v>
      </x:c>
      <x:c r="J605" s="24"/>
      <x:c r="K605" s="24"/>
      <x:c r="L605" s="24"/>
      <x:c r="M605" s="24"/>
      <x:c r="N605" s="24"/>
      <x:c r="O605" s="24"/>
      <x:c r="P605" s="24"/>
      <x:c r="Q605" s="24"/>
      <x:c r="R605" s="24" t="n">
        <x:v>66.82007706303773</x:v>
      </x:c>
      <x:c r="S605" s="24"/>
      <x:c r="T605" s="24"/>
      <x:c r="U605" s="24"/>
    </x:row>
    <x:row r="606">
      <x:c r="A606" s="24" t="n">
        <x:v>60.400000000000006</x:v>
      </x:c>
      <x:c r="B606" s="24"/>
      <x:c r="C606" s="24" t="n">
        <x:v>68.22738605452047</x:v>
      </x:c>
      <x:c r="D606" s="24"/>
      <x:c r="E606" s="24"/>
      <x:c r="F606" s="24" t="n">
        <x:v>60.65030152362633</x:v>
      </x:c>
      <x:c r="G606" s="24"/>
      <x:c r="H606" s="24"/>
      <x:c r="I606" s="24" t="n">
        <x:v>69.21210586193214</x:v>
      </x:c>
      <x:c r="J606" s="24"/>
      <x:c r="K606" s="24"/>
      <x:c r="L606" s="24"/>
      <x:c r="M606" s="24"/>
      <x:c r="N606" s="24"/>
      <x:c r="O606" s="24"/>
      <x:c r="P606" s="24"/>
      <x:c r="Q606" s="24"/>
      <x:c r="R606" s="24" t="n">
        <x:v>66.82007706303762</x:v>
      </x:c>
      <x:c r="S606" s="24"/>
      <x:c r="T606" s="24"/>
      <x:c r="U606" s="24"/>
    </x:row>
    <x:row r="607">
      <x:c r="A607" s="24" t="n">
        <x:v>60.5</x:v>
      </x:c>
      <x:c r="B607" s="24"/>
      <x:c r="C607" s="24" t="n">
        <x:v>68.52974012794914</x:v>
      </x:c>
      <x:c r="D607" s="24"/>
      <x:c r="E607" s="24"/>
      <x:c r="F607" s="24" t="n">
        <x:v>65.06661613365681</x:v>
      </x:c>
      <x:c r="G607" s="24"/>
      <x:c r="H607" s="24"/>
      <x:c r="I607" s="24" t="n">
        <x:v>69.21210586193214</x:v>
      </x:c>
      <x:c r="J607" s="24"/>
      <x:c r="K607" s="24"/>
      <x:c r="L607" s="24"/>
      <x:c r="M607" s="24"/>
      <x:c r="N607" s="24"/>
      <x:c r="O607" s="24"/>
      <x:c r="P607" s="24"/>
      <x:c r="Q607" s="24"/>
      <x:c r="R607" s="24" t="n">
        <x:v>66.56683279102224</x:v>
      </x:c>
      <x:c r="S607" s="24"/>
      <x:c r="T607" s="24"/>
      <x:c r="U607" s="24"/>
    </x:row>
    <x:row r="608">
      <x:c r="A608" s="24" t="n">
        <x:v>60.6</x:v>
      </x:c>
      <x:c r="B608" s="24"/>
      <x:c r="C608" s="24" t="n">
        <x:v>68.76713075854602</x:v>
      </x:c>
      <x:c r="D608" s="24"/>
      <x:c r="E608" s="24"/>
      <x:c r="F608" s="24" t="n">
        <x:v>68.2530251935087</x:v>
      </x:c>
      <x:c r="G608" s="24"/>
      <x:c r="H608" s="24"/>
      <x:c r="I608" s="24" t="n">
        <x:v>68.37917589843795</x:v>
      </x:c>
      <x:c r="J608" s="24"/>
      <x:c r="K608" s="24"/>
      <x:c r="L608" s="24"/>
      <x:c r="M608" s="24"/>
      <x:c r="N608" s="24"/>
      <x:c r="O608" s="24"/>
      <x:c r="P608" s="24"/>
      <x:c r="Q608" s="24"/>
      <x:c r="R608" s="24" t="n">
        <x:v>66.80637740605862</x:v>
      </x:c>
      <x:c r="S608" s="24"/>
      <x:c r="T608" s="24"/>
      <x:c r="U608" s="24"/>
    </x:row>
    <x:row r="609">
      <x:c r="A609" s="24" t="n">
        <x:v>60.7</x:v>
      </x:c>
      <x:c r="B609" s="24"/>
      <x:c r="C609" s="24" t="n">
        <x:v>68.76713075854602</x:v>
      </x:c>
      <x:c r="D609" s="24"/>
      <x:c r="E609" s="24"/>
      <x:c r="F609" s="24" t="n">
        <x:v>68.46912144520363</x:v>
      </x:c>
      <x:c r="G609" s="24"/>
      <x:c r="H609" s="24"/>
      <x:c r="I609" s="24" t="n">
        <x:v>69.23269133167841</x:v>
      </x:c>
      <x:c r="J609" s="24"/>
      <x:c r="K609" s="24"/>
      <x:c r="L609" s="24"/>
      <x:c r="M609" s="24"/>
      <x:c r="N609" s="24"/>
      <x:c r="O609" s="24"/>
      <x:c r="P609" s="24"/>
      <x:c r="Q609" s="24"/>
      <x:c r="R609" s="24" t="n">
        <x:v>68.55419322966769</x:v>
      </x:c>
      <x:c r="S609" s="24"/>
      <x:c r="T609" s="24"/>
      <x:c r="U609" s="24"/>
    </x:row>
    <x:row r="610">
      <x:c r="A610" s="24" t="n">
        <x:v>60.800000000000004</x:v>
      </x:c>
      <x:c r="B610" s="24"/>
      <x:c r="C610" s="24" t="n">
        <x:v>71.46048826961201</x:v>
      </x:c>
      <x:c r="D610" s="24"/>
      <x:c r="E610" s="24"/>
      <x:c r="F610" s="24" t="n">
        <x:v>68.46912144520363</x:v>
      </x:c>
      <x:c r="G610" s="24"/>
      <x:c r="H610" s="24"/>
      <x:c r="I610" s="24" t="n">
        <x:v>69.23269133167841</x:v>
      </x:c>
      <x:c r="J610" s="24"/>
      <x:c r="K610" s="24"/>
      <x:c r="L610" s="24"/>
      <x:c r="M610" s="24"/>
      <x:c r="N610" s="24"/>
      <x:c r="O610" s="24"/>
      <x:c r="P610" s="24"/>
      <x:c r="Q610" s="24"/>
      <x:c r="R610" s="24" t="n">
        <x:v>83.3978209371218</x:v>
      </x:c>
      <x:c r="S610" s="24"/>
      <x:c r="T610" s="24"/>
      <x:c r="U610" s="24"/>
    </x:row>
    <x:row r="611">
      <x:c r="A611" s="24" t="n">
        <x:v>60.900000000000006</x:v>
      </x:c>
      <x:c r="B611" s="24"/>
      <x:c r="C611" s="24" t="n">
        <x:v>71.6672411976576</x:v>
      </x:c>
      <x:c r="D611" s="24"/>
      <x:c r="E611" s="24"/>
      <x:c r="F611" s="24" t="n">
        <x:v>69.00583895354713</x:v>
      </x:c>
      <x:c r="G611" s="24"/>
      <x:c r="H611" s="24"/>
      <x:c r="I611" s="24" t="n">
        <x:v>66.22446900421568</x:v>
      </x:c>
      <x:c r="J611" s="24"/>
      <x:c r="K611" s="24"/>
      <x:c r="L611" s="24"/>
      <x:c r="M611" s="24"/>
      <x:c r="N611" s="24"/>
      <x:c r="O611" s="24"/>
      <x:c r="P611" s="24"/>
      <x:c r="Q611" s="24"/>
      <x:c r="R611" s="24" t="n">
        <x:v>86.58096472736983</x:v>
      </x:c>
      <x:c r="S611" s="24"/>
      <x:c r="T611" s="24"/>
      <x:c r="U611" s="24"/>
    </x:row>
    <x:row r="612">
      <x:c r="A612" s="24" t="n">
        <x:v>61</x:v>
      </x:c>
      <x:c r="B612" s="24"/>
      <x:c r="C612" s="24" t="n">
        <x:v>71.16342208520207</x:v>
      </x:c>
      <x:c r="D612" s="24"/>
      <x:c r="E612" s="24"/>
      <x:c r="F612" s="24" t="n">
        <x:v>69.71199055866448</x:v>
      </x:c>
      <x:c r="G612" s="24"/>
      <x:c r="H612" s="24"/>
      <x:c r="I612" s="24" t="n">
        <x:v>66.22446900421568</x:v>
      </x:c>
      <x:c r="J612" s="24"/>
      <x:c r="K612" s="24"/>
      <x:c r="L612" s="24"/>
      <x:c r="M612" s="24"/>
      <x:c r="N612" s="24"/>
      <x:c r="O612" s="24"/>
      <x:c r="P612" s="24"/>
      <x:c r="Q612" s="24"/>
      <x:c r="R612" s="24" t="n">
        <x:v>86.58096472736983</x:v>
      </x:c>
      <x:c r="S612" s="24"/>
      <x:c r="T612" s="24"/>
      <x:c r="U612" s="24"/>
    </x:row>
    <x:row r="613">
      <x:c r="A613" s="24" t="n">
        <x:v>61.1</x:v>
      </x:c>
      <x:c r="B613" s="24"/>
      <x:c r="C613" s="24" t="n">
        <x:v>68.55138019998688</x:v>
      </x:c>
      <x:c r="D613" s="24"/>
      <x:c r="E613" s="24"/>
      <x:c r="F613" s="24" t="n">
        <x:v>69.71199055866448</x:v>
      </x:c>
      <x:c r="G613" s="24"/>
      <x:c r="H613" s="24"/>
      <x:c r="I613" s="24" t="n">
        <x:v>74.27159005396967</x:v>
      </x:c>
      <x:c r="J613" s="24"/>
      <x:c r="K613" s="24"/>
      <x:c r="L613" s="24"/>
      <x:c r="M613" s="24"/>
      <x:c r="N613" s="24"/>
      <x:c r="O613" s="24"/>
      <x:c r="P613" s="24"/>
      <x:c r="Q613" s="24"/>
      <x:c r="R613" s="24" t="n">
        <x:v>82.3929385282637</x:v>
      </x:c>
      <x:c r="S613" s="24"/>
      <x:c r="T613" s="24"/>
      <x:c r="U613" s="24"/>
    </x:row>
    <x:row r="614">
      <x:c r="A614" s="24" t="n">
        <x:v>61.2</x:v>
      </x:c>
      <x:c r="B614" s="24"/>
      <x:c r="C614" s="24" t="n">
        <x:v>84.12826648329174</x:v>
      </x:c>
      <x:c r="D614" s="24"/>
      <x:c r="E614" s="24"/>
      <x:c r="F614" s="24" t="n">
        <x:v>69.41978642293526</x:v>
      </x:c>
      <x:c r="G614" s="24"/>
      <x:c r="H614" s="24"/>
      <x:c r="I614" s="24" t="n">
        <x:v>76.33367852900096</x:v>
      </x:c>
      <x:c r="J614" s="24"/>
      <x:c r="K614" s="24"/>
      <x:c r="L614" s="24"/>
      <x:c r="M614" s="24"/>
      <x:c r="N614" s="24"/>
      <x:c r="O614" s="24"/>
      <x:c r="P614" s="24"/>
      <x:c r="Q614" s="24"/>
      <x:c r="R614" s="24" t="n">
        <x:v>77.8987633573563</x:v>
      </x:c>
      <x:c r="S614" s="24"/>
      <x:c r="T614" s="24"/>
      <x:c r="U614" s="24"/>
    </x:row>
    <x:row r="615">
      <x:c r="A615" s="24" t="n">
        <x:v>61.300000000000004</x:v>
      </x:c>
      <x:c r="B615" s="24"/>
      <x:c r="C615" s="24" t="n">
        <x:v>84.12826648329174</x:v>
      </x:c>
      <x:c r="D615" s="24"/>
      <x:c r="E615" s="24"/>
      <x:c r="F615" s="24" t="n">
        <x:v>69.53915242863074</x:v>
      </x:c>
      <x:c r="G615" s="24"/>
      <x:c r="H615" s="24"/>
      <x:c r="I615" s="24" t="n">
        <x:v>76.33367852900095</x:v>
      </x:c>
      <x:c r="J615" s="24"/>
      <x:c r="K615" s="24"/>
      <x:c r="L615" s="24"/>
      <x:c r="M615" s="24"/>
      <x:c r="N615" s="24"/>
      <x:c r="O615" s="24"/>
      <x:c r="P615" s="24"/>
      <x:c r="Q615" s="24"/>
      <x:c r="R615" s="24" t="n">
        <x:v>68.71214574759782</x:v>
      </x:c>
      <x:c r="S615" s="24"/>
      <x:c r="T615" s="24"/>
      <x:c r="U615" s="24"/>
    </x:row>
    <x:row r="616">
      <x:c r="A616" s="24" t="n">
        <x:v>61.400000000000006</x:v>
      </x:c>
      <x:c r="B616" s="24"/>
      <x:c r="C616" s="24" t="n">
        <x:v>79.17789014001588</x:v>
      </x:c>
      <x:c r="D616" s="24"/>
      <x:c r="E616" s="24"/>
      <x:c r="F616" s="24" t="n">
        <x:v>71.34033750714208</x:v>
      </x:c>
      <x:c r="G616" s="24"/>
      <x:c r="H616" s="24"/>
      <x:c r="I616" s="24" t="n">
        <x:v>66.18573819300791</x:v>
      </x:c>
      <x:c r="J616" s="24"/>
      <x:c r="K616" s="24"/>
      <x:c r="L616" s="24"/>
      <x:c r="M616" s="24"/>
      <x:c r="N616" s="24"/>
      <x:c r="O616" s="24"/>
      <x:c r="P616" s="24"/>
      <x:c r="Q616" s="24"/>
      <x:c r="R616" s="24" t="n">
        <x:v>62.37055818310417</x:v>
      </x:c>
      <x:c r="S616" s="24"/>
      <x:c r="T616" s="24"/>
      <x:c r="U616" s="24"/>
    </x:row>
    <x:row r="617">
      <x:c r="A617" s="24" t="n">
        <x:v>61.5</x:v>
      </x:c>
      <x:c r="B617" s="24"/>
      <x:c r="C617" s="24" t="n">
        <x:v>71.3152945539686</x:v>
      </x:c>
      <x:c r="D617" s="24"/>
      <x:c r="E617" s="24"/>
      <x:c r="F617" s="24" t="n">
        <x:v>71.34033750714208</x:v>
      </x:c>
      <x:c r="G617" s="24"/>
      <x:c r="H617" s="24"/>
      <x:c r="I617" s="24" t="n">
        <x:v>45.56881161460947</x:v>
      </x:c>
      <x:c r="J617" s="24"/>
      <x:c r="K617" s="24"/>
      <x:c r="L617" s="24"/>
      <x:c r="M617" s="24"/>
      <x:c r="N617" s="24"/>
      <x:c r="O617" s="24"/>
      <x:c r="P617" s="24"/>
      <x:c r="Q617" s="24"/>
      <x:c r="R617" s="24" t="n">
        <x:v>63.86621263704418</x:v>
      </x:c>
      <x:c r="S617" s="24"/>
      <x:c r="T617" s="24"/>
      <x:c r="U617" s="24"/>
    </x:row>
    <x:row r="618">
      <x:c r="A618" s="24" t="n">
        <x:v>61.6</x:v>
      </x:c>
      <x:c r="B618" s="24"/>
      <x:c r="C618" s="24" t="n">
        <x:v>64.1976526076345</x:v>
      </x:c>
      <x:c r="D618" s="24"/>
      <x:c r="E618" s="24"/>
      <x:c r="F618" s="24" t="n">
        <x:v>67.633933002006</x:v>
      </x:c>
      <x:c r="G618" s="24"/>
      <x:c r="H618" s="24"/>
      <x:c r="I618" s="24" t="n">
        <x:v>45.56881161460947</x:v>
      </x:c>
      <x:c r="J618" s="24"/>
      <x:c r="K618" s="24"/>
      <x:c r="L618" s="24"/>
      <x:c r="M618" s="24"/>
      <x:c r="N618" s="24"/>
      <x:c r="O618" s="24"/>
      <x:c r="P618" s="24"/>
      <x:c r="Q618" s="24"/>
      <x:c r="R618" s="24" t="n">
        <x:v>65.36186709098429</x:v>
      </x:c>
      <x:c r="S618" s="24"/>
      <x:c r="T618" s="24"/>
      <x:c r="U618" s="24"/>
    </x:row>
    <x:row r="619">
      <x:c r="A619" s="24" t="n">
        <x:v>61.7</x:v>
      </x:c>
      <x:c r="B619" s="24"/>
      <x:c r="C619" s="24" t="n">
        <x:v>62.79121632517269</x:v>
      </x:c>
      <x:c r="D619" s="24"/>
      <x:c r="E619" s="24"/>
      <x:c r="F619" s="24" t="n">
        <x:v>62.78008663166794</x:v>
      </x:c>
      <x:c r="G619" s="24"/>
      <x:c r="H619" s="24"/>
      <x:c r="I619" s="24" t="n">
        <x:v>45.56881161460947</x:v>
      </x:c>
      <x:c r="J619" s="24"/>
      <x:c r="K619" s="24"/>
      <x:c r="L619" s="24"/>
      <x:c r="M619" s="24"/>
      <x:c r="N619" s="24"/>
      <x:c r="O619" s="24"/>
      <x:c r="P619" s="24"/>
      <x:c r="Q619" s="24"/>
      <x:c r="R619" s="24" t="n">
        <x:v>80.19385898031237</x:v>
      </x:c>
      <x:c r="S619" s="24"/>
      <x:c r="T619" s="24"/>
      <x:c r="U619" s="24"/>
    </x:row>
    <x:row r="620">
      <x:c r="A620" s="24" t="n">
        <x:v>61.800000000000004</x:v>
      </x:c>
      <x:c r="B620" s="24"/>
      <x:c r="C620" s="24" t="n">
        <x:v>61.38478004271088</x:v>
      </x:c>
      <x:c r="D620" s="24"/>
      <x:c r="E620" s="24"/>
      <x:c r="F620" s="24" t="n">
        <x:v>73.17151072997673</x:v>
      </x:c>
      <x:c r="G620" s="24"/>
      <x:c r="H620" s="24"/>
      <x:c r="I620" s="24" t="n">
        <x:v>62.58086608723798</x:v>
      </x:c>
      <x:c r="J620" s="24"/>
      <x:c r="K620" s="24"/>
      <x:c r="L620" s="24"/>
      <x:c r="M620" s="24"/>
      <x:c r="N620" s="24"/>
      <x:c r="O620" s="24"/>
      <x:c r="P620" s="24"/>
      <x:c r="Q620" s="24"/>
      <x:c r="R620" s="24" t="n">
        <x:v>81.90336366871395</x:v>
      </x:c>
      <x:c r="S620" s="24"/>
      <x:c r="T620" s="24"/>
      <x:c r="U620" s="24"/>
    </x:row>
    <x:row r="621">
      <x:c r="A621" s="24" t="n">
        <x:v>61.900000000000006</x:v>
      </x:c>
      <x:c r="B621" s="24"/>
      <x:c r="C621" s="24" t="n">
        <x:v>61.48105025314989</x:v>
      </x:c>
      <x:c r="D621" s="24"/>
      <x:c r="E621" s="24"/>
      <x:c r="F621" s="24" t="n">
        <x:v>80.86119913133427</x:v>
      </x:c>
      <x:c r="G621" s="24"/>
      <x:c r="H621" s="24"/>
      <x:c r="I621" s="24" t="n">
        <x:v>73.30049592748566</x:v>
      </x:c>
      <x:c r="J621" s="24"/>
      <x:c r="K621" s="24"/>
      <x:c r="L621" s="24"/>
      <x:c r="M621" s="24"/>
      <x:c r="N621" s="24"/>
      <x:c r="O621" s="24"/>
      <x:c r="P621" s="24"/>
      <x:c r="Q621" s="24"/>
      <x:c r="R621" s="24" t="n">
        <x:v>81.90336366871351</x:v>
      </x:c>
      <x:c r="S621" s="24"/>
      <x:c r="T621" s="24"/>
      <x:c r="U621" s="24"/>
    </x:row>
    <x:row r="622">
      <x:c r="A622" s="24" t="n">
        <x:v>62</x:v>
      </x:c>
      <x:c r="B622" s="24"/>
      <x:c r="C622" s="24" t="n">
        <x:v>61.48105025314989</x:v>
      </x:c>
      <x:c r="D622" s="24"/>
      <x:c r="E622" s="24"/>
      <x:c r="F622" s="24" t="n">
        <x:v>80.86119913133427</x:v>
      </x:c>
      <x:c r="G622" s="24"/>
      <x:c r="H622" s="24"/>
      <x:c r="I622" s="24" t="n">
        <x:v>73.32730718561191</x:v>
      </x:c>
      <x:c r="J622" s="24"/>
      <x:c r="K622" s="24"/>
      <x:c r="L622" s="24"/>
      <x:c r="M622" s="24"/>
      <x:c r="N622" s="24"/>
      <x:c r="O622" s="24"/>
      <x:c r="P622" s="24"/>
      <x:c r="Q622" s="24"/>
      <x:c r="R622" s="24" t="n">
        <x:v>73.80290208416537</x:v>
      </x:c>
      <x:c r="S622" s="24"/>
      <x:c r="T622" s="24"/>
      <x:c r="U622" s="24"/>
    </x:row>
    <x:row r="623">
      <x:c r="A623" s="24" t="n">
        <x:v>62.1</x:v>
      </x:c>
      <x:c r="B623" s="24"/>
      <x:c r="C623" s="24" t="n">
        <x:v>61.12909965537227</x:v>
      </x:c>
      <x:c r="D623" s="24"/>
      <x:c r="E623" s="24"/>
      <x:c r="F623" s="24" t="n">
        <x:v>73.58482658653071</x:v>
      </x:c>
      <x:c r="G623" s="24"/>
      <x:c r="H623" s="24"/>
      <x:c r="I623" s="24" t="n">
        <x:v>72.14711196901138</x:v>
      </x:c>
      <x:c r="J623" s="24"/>
      <x:c r="K623" s="24"/>
      <x:c r="L623" s="24"/>
      <x:c r="M623" s="24"/>
      <x:c r="N623" s="24"/>
      <x:c r="O623" s="24"/>
      <x:c r="P623" s="24"/>
      <x:c r="Q623" s="24"/>
      <x:c r="R623" s="24" t="n">
        <x:v>73.80290208416537</x:v>
      </x:c>
      <x:c r="S623" s="24"/>
      <x:c r="T623" s="24"/>
      <x:c r="U623" s="24"/>
    </x:row>
    <x:row r="624">
      <x:c r="A624" s="24" t="n">
        <x:v>62.2</x:v>
      </x:c>
      <x:c r="B624" s="24"/>
      <x:c r="C624" s="24" t="n">
        <x:v>59.106081674027365</x:v>
      </x:c>
      <x:c r="D624" s="24"/>
      <x:c r="E624" s="24"/>
      <x:c r="F624" s="24" t="n">
        <x:v>60.900955653807976</x:v>
      </x:c>
      <x:c r="G624" s="24"/>
      <x:c r="H624" s="24"/>
      <x:c r="I624" s="24" t="n">
        <x:v>55.124970474292056</x:v>
      </x:c>
      <x:c r="J624" s="24"/>
      <x:c r="K624" s="24"/>
      <x:c r="L624" s="24"/>
      <x:c r="M624" s="24"/>
      <x:c r="N624" s="24"/>
      <x:c r="O624" s="24"/>
      <x:c r="P624" s="24"/>
      <x:c r="Q624" s="24"/>
      <x:c r="R624" s="24" t="n">
        <x:v>68.99342172724413</x:v>
      </x:c>
      <x:c r="S624" s="24"/>
      <x:c r="T624" s="24"/>
      <x:c r="U624" s="24"/>
    </x:row>
    <x:row r="625">
      <x:c r="A625" s="24" t="n">
        <x:v>62.300000000000004</x:v>
      </x:c>
      <x:c r="B625" s="24"/>
      <x:c r="C625" s="24" t="n">
        <x:v>71.62407750054751</x:v>
      </x:c>
      <x:c r="D625" s="24"/>
      <x:c r="E625" s="24"/>
      <x:c r="F625" s="24" t="n">
        <x:v>57.355123285592754</x:v>
      </x:c>
      <x:c r="G625" s="24"/>
      <x:c r="H625" s="24"/>
      <x:c r="I625" s="24" t="n">
        <x:v>63.55583430520916</x:v>
      </x:c>
      <x:c r="J625" s="24"/>
      <x:c r="K625" s="24"/>
      <x:c r="L625" s="24"/>
      <x:c r="M625" s="24"/>
      <x:c r="N625" s="24"/>
      <x:c r="O625" s="24"/>
      <x:c r="P625" s="24"/>
      <x:c r="Q625" s="24"/>
      <x:c r="R625" s="24"/>
      <x:c r="S625" s="24"/>
      <x:c r="T625" s="24"/>
      <x:c r="U625" s="24"/>
    </x:row>
    <x:row r="626">
      <x:c r="A626" s="24" t="n">
        <x:v>62.400000000000006</x:v>
      </x:c>
      <x:c r="B626" s="24"/>
      <x:c r="C626" s="24" t="n">
        <x:v>74.12767666585101</x:v>
      </x:c>
      <x:c r="D626" s="24"/>
      <x:c r="E626" s="24"/>
      <x:c r="F626" s="24" t="n">
        <x:v>52.62734679463941</x:v>
      </x:c>
      <x:c r="G626" s="24"/>
      <x:c r="H626" s="24"/>
      <x:c r="I626" s="24" t="n">
        <x:v>69.7170714596383</x:v>
      </x:c>
      <x:c r="J626" s="24"/>
      <x:c r="K626" s="24"/>
      <x:c r="L626" s="24"/>
      <x:c r="M626" s="24"/>
      <x:c r="N626" s="24"/>
      <x:c r="O626" s="24"/>
      <x:c r="P626" s="24"/>
      <x:c r="Q626" s="24"/>
      <x:c r="R626" s="24"/>
      <x:c r="S626" s="24"/>
      <x:c r="T626" s="24"/>
      <x:c r="U626" s="24"/>
    </x:row>
    <x:row r="627">
      <x:c r="A627" s="24" t="n">
        <x:v>62.5</x:v>
      </x:c>
      <x:c r="B627" s="24"/>
      <x:c r="C627" s="24" t="n">
        <x:v>72.42580034746614</x:v>
      </x:c>
      <x:c r="D627" s="24"/>
      <x:c r="E627" s="24"/>
      <x:c r="F627" s="24" t="n">
        <x:v>56.86086584914402</x:v>
      </x:c>
      <x:c r="G627" s="24"/>
      <x:c r="H627" s="24"/>
      <x:c r="I627" s="24" t="n">
        <x:v>69.7170714596383</x:v>
      </x:c>
      <x:c r="J627" s="24"/>
      <x:c r="K627" s="24"/>
      <x:c r="L627" s="24"/>
      <x:c r="M627" s="24"/>
      <x:c r="N627" s="24"/>
      <x:c r="O627" s="24"/>
      <x:c r="P627" s="24"/>
      <x:c r="Q627" s="24"/>
      <x:c r="R627" s="24"/>
      <x:c r="S627" s="24"/>
      <x:c r="T627" s="24"/>
      <x:c r="U627" s="24"/>
    </x:row>
    <x:row r="628">
      <x:c r="A628" s="24" t="n">
        <x:v>62.6</x:v>
      </x:c>
      <x:c r="B628" s="24"/>
      <x:c r="C628" s="24" t="n">
        <x:v>61.33006567340479</x:v>
      </x:c>
      <x:c r="D628" s="24"/>
      <x:c r="E628" s="24"/>
      <x:c r="F628" s="24" t="n">
        <x:v>62.15276466727497</x:v>
      </x:c>
      <x:c r="G628" s="24"/>
      <x:c r="H628" s="24"/>
      <x:c r="I628" s="24" t="n">
        <x:v>67.69869824846339</x:v>
      </x:c>
      <x:c r="J628" s="24"/>
      <x:c r="K628" s="24"/>
      <x:c r="L628" s="24"/>
      <x:c r="M628" s="24"/>
      <x:c r="N628" s="24"/>
      <x:c r="O628" s="24"/>
      <x:c r="P628" s="24"/>
      <x:c r="Q628" s="24"/>
      <x:c r="R628" s="24"/>
      <x:c r="S628" s="24"/>
      <x:c r="T628" s="24"/>
      <x:c r="U628" s="24"/>
    </x:row>
    <x:row r="629">
      <x:c r="A629" s="24" t="n">
        <x:v>62.7</x:v>
      </x:c>
      <x:c r="B629" s="24"/>
      <x:c r="C629" s="24" t="n">
        <x:v>60.03764247476587</x:v>
      </x:c>
      <x:c r="D629" s="24"/>
      <x:c r="E629" s="24"/>
      <x:c r="F629" s="24" t="n">
        <x:v>65.32790395815324</x:v>
      </x:c>
      <x:c r="G629" s="24"/>
      <x:c r="H629" s="24"/>
      <x:c r="I629" s="24" t="n">
        <x:v>68.91441599598366</x:v>
      </x:c>
      <x:c r="J629" s="24"/>
      <x:c r="K629" s="24"/>
      <x:c r="L629" s="24"/>
      <x:c r="M629" s="24"/>
      <x:c r="N629" s="24"/>
      <x:c r="O629" s="24"/>
      <x:c r="P629" s="24"/>
      <x:c r="Q629" s="24"/>
      <x:c r="R629" s="24"/>
      <x:c r="S629" s="24"/>
      <x:c r="T629" s="24"/>
      <x:c r="U629" s="24"/>
    </x:row>
    <x:row r="630">
      <x:c r="A630" s="24" t="n">
        <x:v>62.800000000000004</x:v>
      </x:c>
      <x:c r="B630" s="24"/>
      <x:c r="C630" s="24" t="n">
        <x:v>64.78866656239592</x:v>
      </x:c>
      <x:c r="D630" s="24"/>
      <x:c r="E630" s="24"/>
      <x:c r="F630" s="24" t="n">
        <x:v>70.42235848153096</x:v>
      </x:c>
      <x:c r="G630" s="24"/>
      <x:c r="H630" s="24"/>
      <x:c r="I630" s="24" t="n">
        <x:v>68.91441599598366</x:v>
      </x:c>
      <x:c r="J630" s="24"/>
      <x:c r="K630" s="24"/>
      <x:c r="L630" s="24"/>
      <x:c r="M630" s="24"/>
      <x:c r="N630" s="24"/>
      <x:c r="O630" s="24"/>
      <x:c r="P630" s="24"/>
      <x:c r="Q630" s="24"/>
      <x:c r="R630" s="24"/>
      <x:c r="S630" s="24"/>
      <x:c r="T630" s="24"/>
      <x:c r="U630" s="24"/>
    </x:row>
    <x:row r="631">
      <x:c r="A631" s="24" t="n">
        <x:v>62.900000000000006</x:v>
      </x:c>
      <x:c r="B631" s="24"/>
      <x:c r="C631" s="24" t="n">
        <x:v>65.769134499468</x:v>
      </x:c>
      <x:c r="D631" s="24"/>
      <x:c r="E631" s="24"/>
      <x:c r="F631" s="24" t="n">
        <x:v>72.96958574321891</x:v>
      </x:c>
      <x:c r="G631" s="24"/>
      <x:c r="H631" s="24"/>
      <x:c r="I631" s="24" t="n">
        <x:v>68.96504131560991</x:v>
      </x:c>
      <x:c r="J631" s="24"/>
      <x:c r="K631" s="24"/>
      <x:c r="L631" s="24"/>
      <x:c r="M631" s="24"/>
      <x:c r="N631" s="24"/>
      <x:c r="O631" s="24"/>
      <x:c r="P631" s="24"/>
      <x:c r="Q631" s="24"/>
      <x:c r="R631" s="24"/>
      <x:c r="S631" s="24"/>
      <x:c r="T631" s="24"/>
      <x:c r="U631" s="24"/>
    </x:row>
    <x:row r="632">
      <x:c r="A632" s="24" t="n">
        <x:v>63</x:v>
      </x:c>
      <x:c r="B632" s="24"/>
      <x:c r="C632" s="24" t="n">
        <x:v>66.17679367716568</x:v>
      </x:c>
      <x:c r="D632" s="24"/>
      <x:c r="E632" s="24"/>
      <x:c r="F632" s="24" t="n">
        <x:v>72.92606500781412</x:v>
      </x:c>
      <x:c r="G632" s="24"/>
      <x:c r="H632" s="24"/>
      <x:c r="I632" s="24" t="n">
        <x:v>68.96504131560991</x:v>
      </x:c>
      <x:c r="J632" s="24"/>
      <x:c r="K632" s="24"/>
      <x:c r="L632" s="24"/>
      <x:c r="M632" s="24"/>
      <x:c r="N632" s="24"/>
      <x:c r="O632" s="24"/>
      <x:c r="P632" s="24"/>
      <x:c r="Q632" s="24"/>
      <x:c r="R632" s="24"/>
      <x:c r="S632" s="24"/>
      <x:c r="T632" s="24"/>
      <x:c r="U632" s="24"/>
    </x:row>
    <x:row r="633">
      <x:c r="A633" s="24" t="n">
        <x:v>63.1</x:v>
      </x:c>
      <x:c r="B633" s="24"/>
      <x:c r="C633" s="24" t="n">
        <x:v>67.16733663921893</x:v>
      </x:c>
      <x:c r="D633" s="24"/>
      <x:c r="E633" s="24"/>
      <x:c r="F633" s="24" t="n">
        <x:v>66.44521676508491</x:v>
      </x:c>
      <x:c r="G633" s="24"/>
      <x:c r="H633" s="24"/>
      <x:c r="I633" s="24" t="n">
        <x:v>68.88957776001726</x:v>
      </x:c>
      <x:c r="J633" s="24"/>
      <x:c r="K633" s="24"/>
      <x:c r="L633" s="24"/>
      <x:c r="M633" s="24"/>
      <x:c r="N633" s="24"/>
      <x:c r="O633" s="24"/>
      <x:c r="P633" s="24"/>
      <x:c r="Q633" s="24"/>
      <x:c r="R633" s="24"/>
      <x:c r="S633" s="24"/>
      <x:c r="T633" s="24"/>
      <x:c r="U633" s="24"/>
    </x:row>
    <x:row r="634">
      <x:c r="A634" s="24" t="n">
        <x:v>63.2</x:v>
      </x:c>
      <x:c r="B634" s="24"/>
      <x:c r="C634" s="24" t="n">
        <x:v>67.82690617273704</x:v>
      </x:c>
      <x:c r="D634" s="24"/>
      <x:c r="E634" s="24"/>
      <x:c r="F634" s="24" t="n">
        <x:v>61.476845254467726</x:v>
      </x:c>
      <x:c r="G634" s="24"/>
      <x:c r="H634" s="24"/>
      <x:c r="I634" s="24" t="n">
        <x:v>65.86198351797326</x:v>
      </x:c>
      <x:c r="J634" s="24"/>
      <x:c r="K634" s="24"/>
      <x:c r="L634" s="24"/>
      <x:c r="M634" s="24"/>
      <x:c r="N634" s="24"/>
      <x:c r="O634" s="24"/>
      <x:c r="P634" s="24"/>
      <x:c r="Q634" s="24"/>
      <x:c r="R634" s="24"/>
      <x:c r="S634" s="24"/>
      <x:c r="T634" s="24"/>
      <x:c r="U634" s="24"/>
    </x:row>
    <x:row r="635">
      <x:c r="A635" s="24" t="n">
        <x:v>63.300000000000004</x:v>
      </x:c>
      <x:c r="B635" s="24"/>
      <x:c r="C635" s="24" t="n">
        <x:v>67.82690617273647</x:v>
      </x:c>
      <x:c r="D635" s="24"/>
      <x:c r="E635" s="24"/>
      <x:c r="F635" s="24" t="n">
        <x:v>66.71090335389637</x:v>
      </x:c>
      <x:c r="G635" s="24"/>
      <x:c r="H635" s="24"/>
      <x:c r="I635" s="24" t="n">
        <x:v>64.91163974726408</x:v>
      </x:c>
      <x:c r="J635" s="24"/>
      <x:c r="K635" s="24"/>
      <x:c r="L635" s="24"/>
      <x:c r="M635" s="24"/>
      <x:c r="N635" s="24"/>
      <x:c r="O635" s="24"/>
      <x:c r="P635" s="24"/>
      <x:c r="Q635" s="24"/>
      <x:c r="R635" s="24"/>
      <x:c r="S635" s="24"/>
      <x:c r="T635" s="24"/>
      <x:c r="U635" s="24"/>
    </x:row>
    <x:row r="636">
      <x:c r="A636" s="24" t="n">
        <x:v>63.400000000000006</x:v>
      </x:c>
      <x:c r="B636" s="24"/>
      <x:c r="C636" s="24" t="n">
        <x:v>65.92084816392017</x:v>
      </x:c>
      <x:c r="D636" s="24"/>
      <x:c r="E636" s="24"/>
      <x:c r="F636" s="24" t="n">
        <x:v>68.80273399757226</x:v>
      </x:c>
      <x:c r="G636" s="24"/>
      <x:c r="H636" s="24"/>
      <x:c r="I636" s="24" t="n">
        <x:v>63.07639350590935</x:v>
      </x:c>
      <x:c r="J636" s="24"/>
      <x:c r="K636" s="24"/>
      <x:c r="L636" s="24"/>
      <x:c r="M636" s="24"/>
      <x:c r="N636" s="24"/>
      <x:c r="O636" s="24"/>
      <x:c r="P636" s="24"/>
      <x:c r="Q636" s="24"/>
      <x:c r="R636" s="24"/>
      <x:c r="S636" s="24"/>
      <x:c r="T636" s="24"/>
      <x:c r="U636" s="24"/>
    </x:row>
    <x:row r="637">
      <x:c r="A637" s="24" t="n">
        <x:v>63.5</x:v>
      </x:c>
      <x:c r="B637" s="24"/>
      <x:c r="C637" s="24" t="n">
        <x:v>66.77421467704987</x:v>
      </x:c>
      <x:c r="D637" s="24"/>
      <x:c r="E637" s="24"/>
      <x:c r="F637" s="24" t="n">
        <x:v>69.31164275298359</x:v>
      </x:c>
      <x:c r="G637" s="24"/>
      <x:c r="H637" s="24"/>
      <x:c r="I637" s="24" t="n">
        <x:v>78.27327666080853</x:v>
      </x:c>
      <x:c r="J637" s="24"/>
      <x:c r="K637" s="24"/>
      <x:c r="L637" s="24"/>
      <x:c r="M637" s="24"/>
      <x:c r="N637" s="24"/>
      <x:c r="O637" s="24"/>
      <x:c r="P637" s="24"/>
      <x:c r="Q637" s="24"/>
      <x:c r="R637" s="24"/>
      <x:c r="S637" s="24"/>
      <x:c r="T637" s="24"/>
      <x:c r="U637" s="24"/>
    </x:row>
    <x:row r="638">
      <x:c r="A638" s="24" t="n">
        <x:v>63.6</x:v>
      </x:c>
      <x:c r="B638" s="24"/>
      <x:c r="C638" s="24" t="n">
        <x:v>67.68281543300998</x:v>
      </x:c>
      <x:c r="D638" s="24"/>
      <x:c r="E638" s="24"/>
      <x:c r="F638" s="24" t="n">
        <x:v>69.97731937791671</x:v>
      </x:c>
      <x:c r="G638" s="24"/>
      <x:c r="H638" s="24"/>
      <x:c r="I638" s="24" t="n">
        <x:v>78.27327666080853</x:v>
      </x:c>
      <x:c r="J638" s="24"/>
      <x:c r="K638" s="24"/>
      <x:c r="L638" s="24"/>
      <x:c r="M638" s="24"/>
      <x:c r="N638" s="24"/>
      <x:c r="O638" s="24"/>
      <x:c r="P638" s="24"/>
      <x:c r="Q638" s="24"/>
      <x:c r="R638" s="24"/>
      <x:c r="S638" s="24"/>
      <x:c r="T638" s="24"/>
      <x:c r="U638" s="24"/>
    </x:row>
    <x:row r="639">
      <x:c r="A639" s="24" t="n">
        <x:v>63.7</x:v>
      </x:c>
      <x:c r="B639" s="24"/>
      <x:c r="C639" s="24" t="n">
        <x:v>67.7707426487479</x:v>
      </x:c>
      <x:c r="D639" s="24"/>
      <x:c r="E639" s="24"/>
      <x:c r="F639" s="24" t="n">
        <x:v>70.34442707559982</x:v>
      </x:c>
      <x:c r="G639" s="24"/>
      <x:c r="H639" s="24"/>
      <x:c r="I639" s="24" t="n">
        <x:v>69.72540868670967</x:v>
      </x:c>
      <x:c r="J639" s="24"/>
      <x:c r="K639" s="24"/>
      <x:c r="L639" s="24"/>
      <x:c r="M639" s="24"/>
      <x:c r="N639" s="24"/>
      <x:c r="O639" s="24"/>
      <x:c r="P639" s="24"/>
      <x:c r="Q639" s="24"/>
      <x:c r="R639" s="24"/>
      <x:c r="S639" s="24"/>
      <x:c r="T639" s="24"/>
      <x:c r="U639" s="24"/>
    </x:row>
    <x:row r="640">
      <x:c r="A640" s="24" t="n">
        <x:v>63.800000000000004</x:v>
      </x:c>
      <x:c r="B640" s="24"/>
      <x:c r="C640" s="24" t="n">
        <x:v>68.02124410787135</x:v>
      </x:c>
      <x:c r="D640" s="24"/>
      <x:c r="E640" s="24"/>
      <x:c r="F640" s="24" t="n">
        <x:v>70.40736314678385</x:v>
      </x:c>
      <x:c r="G640" s="24"/>
      <x:c r="H640" s="24"/>
      <x:c r="I640" s="24" t="n">
        <x:v>55.86302233984698</x:v>
      </x:c>
      <x:c r="J640" s="24"/>
      <x:c r="K640" s="24"/>
      <x:c r="L640" s="24"/>
      <x:c r="M640" s="24"/>
      <x:c r="N640" s="24"/>
      <x:c r="O640" s="24"/>
      <x:c r="P640" s="24"/>
      <x:c r="Q640" s="24"/>
      <x:c r="R640" s="24"/>
      <x:c r="S640" s="24"/>
      <x:c r="T640" s="24"/>
      <x:c r="U640" s="24"/>
    </x:row>
    <x:row r="641">
      <x:c r="A641" s="24" t="n">
        <x:v>63.900000000000006</x:v>
      </x:c>
      <x:c r="B641" s="24"/>
      <x:c r="C641" s="24" t="n">
        <x:v>78.39386437140924</x:v>
      </x:c>
      <x:c r="D641" s="24"/>
      <x:c r="E641" s="24"/>
      <x:c r="F641" s="24" t="n">
        <x:v>70.20582794181665</x:v>
      </x:c>
      <x:c r="G641" s="24"/>
      <x:c r="H641" s="24"/>
      <x:c r="I641" s="24" t="n">
        <x:v>45.56881161460947</x:v>
      </x:c>
      <x:c r="J641" s="24"/>
      <x:c r="K641" s="24"/>
      <x:c r="L641" s="24"/>
      <x:c r="M641" s="24"/>
      <x:c r="N641" s="24"/>
      <x:c r="O641" s="24"/>
      <x:c r="P641" s="24"/>
      <x:c r="Q641" s="24"/>
      <x:c r="R641" s="24"/>
      <x:c r="S641" s="24"/>
      <x:c r="T641" s="24"/>
      <x:c r="U641" s="24"/>
    </x:row>
    <x:row r="642">
      <x:c r="A642" s="24" t="n">
        <x:v>64</x:v>
      </x:c>
      <x:c r="B642" s="24"/>
      <x:c r="C642" s="24" t="n">
        <x:v>79.38455772479216</x:v>
      </x:c>
      <x:c r="D642" s="24"/>
      <x:c r="E642" s="24"/>
      <x:c r="F642" s="24" t="n">
        <x:v>70.9034768978342</x:v>
      </x:c>
      <x:c r="G642" s="24"/>
      <x:c r="H642" s="24"/>
      <x:c r="I642" s="24" t="n">
        <x:v>45.56881161460947</x:v>
      </x:c>
      <x:c r="J642" s="24"/>
      <x:c r="K642" s="24"/>
      <x:c r="L642" s="24"/>
      <x:c r="M642" s="24"/>
      <x:c r="N642" s="24"/>
      <x:c r="O642" s="24"/>
      <x:c r="P642" s="24"/>
      <x:c r="Q642" s="24"/>
      <x:c r="R642" s="24"/>
      <x:c r="S642" s="24"/>
      <x:c r="T642" s="24"/>
      <x:c r="U642" s="24"/>
    </x:row>
    <x:row r="643">
      <x:c r="A643" s="24" t="n">
        <x:v>64.10000000000001</x:v>
      </x:c>
      <x:c r="B643" s="24"/>
      <x:c r="C643" s="24" t="n">
        <x:v>79.38455772479087</x:v>
      </x:c>
      <x:c r="D643" s="24"/>
      <x:c r="E643" s="24"/>
      <x:c r="F643" s="24" t="n">
        <x:v>70.9034768978342</x:v>
      </x:c>
      <x:c r="G643" s="24"/>
      <x:c r="H643" s="24"/>
      <x:c r="I643" s="24" t="n">
        <x:v>65.61432239415709</x:v>
      </x:c>
      <x:c r="J643" s="24"/>
      <x:c r="K643" s="24"/>
      <x:c r="L643" s="24"/>
      <x:c r="M643" s="24"/>
      <x:c r="N643" s="24"/>
      <x:c r="O643" s="24"/>
      <x:c r="P643" s="24"/>
      <x:c r="Q643" s="24"/>
      <x:c r="R643" s="24"/>
      <x:c r="S643" s="24"/>
      <x:c r="T643" s="24"/>
      <x:c r="U643" s="24"/>
    </x:row>
    <x:row r="644">
      <x:c r="A644" s="24" t="n">
        <x:v>64.2</x:v>
      </x:c>
      <x:c r="B644" s="24"/>
      <x:c r="C644" s="24" t="n">
        <x:v>69.20459901335492</x:v>
      </x:c>
      <x:c r="D644" s="24"/>
      <x:c r="E644" s="24"/>
      <x:c r="F644" s="24" t="n">
        <x:v>70.59775416723198</x:v>
      </x:c>
      <x:c r="G644" s="24"/>
      <x:c r="H644" s="24"/>
      <x:c r="I644" s="24" t="n">
        <x:v>68.3977948132392</x:v>
      </x:c>
      <x:c r="J644" s="24"/>
      <x:c r="K644" s="24"/>
      <x:c r="L644" s="24"/>
      <x:c r="M644" s="24"/>
      <x:c r="N644" s="24"/>
      <x:c r="O644" s="24"/>
      <x:c r="P644" s="24"/>
      <x:c r="Q644" s="24"/>
      <x:c r="R644" s="24"/>
      <x:c r="S644" s="24"/>
      <x:c r="T644" s="24"/>
      <x:c r="U644" s="24"/>
    </x:row>
    <x:row r="645">
      <x:c r="A645" s="24" t="n">
        <x:v>64.3</x:v>
      </x:c>
      <x:c r="B645" s="24"/>
      <x:c r="C645" s="24" t="n">
        <x:v>58.89243471754105</x:v>
      </x:c>
      <x:c r="D645" s="24"/>
      <x:c r="E645" s="24"/>
      <x:c r="F645" s="24" t="n">
        <x:v>67.9455033200118</x:v>
      </x:c>
      <x:c r="G645" s="24"/>
      <x:c r="H645" s="24"/>
      <x:c r="I645" s="24" t="n">
        <x:v>69.98685920302239</x:v>
      </x:c>
      <x:c r="J645" s="24"/>
      <x:c r="K645" s="24"/>
      <x:c r="L645" s="24"/>
      <x:c r="M645" s="24"/>
      <x:c r="N645" s="24"/>
      <x:c r="O645" s="24"/>
      <x:c r="P645" s="24"/>
      <x:c r="Q645" s="24"/>
      <x:c r="R645" s="24"/>
      <x:c r="S645" s="24"/>
      <x:c r="T645" s="24"/>
      <x:c r="U645" s="24"/>
    </x:row>
    <x:row r="646">
      <x:c r="A646" s="24" t="n">
        <x:v>64.4</x:v>
      </x:c>
      <x:c r="B646" s="24"/>
      <x:c r="C646" s="24" t="n">
        <x:v>51.595284178115094</x:v>
      </x:c>
      <x:c r="D646" s="24"/>
      <x:c r="E646" s="24"/>
      <x:c r="F646" s="24" t="n">
        <x:v>61.35825239242442</x:v>
      </x:c>
      <x:c r="G646" s="24"/>
      <x:c r="H646" s="24"/>
      <x:c r="I646" s="24" t="n">
        <x:v>69.98685920302239</x:v>
      </x:c>
      <x:c r="J646" s="24"/>
      <x:c r="K646" s="24"/>
      <x:c r="L646" s="24"/>
      <x:c r="M646" s="24"/>
      <x:c r="N646" s="24"/>
      <x:c r="O646" s="24"/>
      <x:c r="P646" s="24"/>
      <x:c r="Q646" s="24"/>
      <x:c r="R646" s="24"/>
      <x:c r="S646" s="24"/>
      <x:c r="T646" s="24"/>
      <x:c r="U646" s="24"/>
    </x:row>
    <x:row r="647">
      <x:c r="A647" s="24" t="n">
        <x:v>64.5</x:v>
      </x:c>
      <x:c r="B647" s="24"/>
      <x:c r="C647" s="24" t="n">
        <x:v>51.595284178115094</x:v>
      </x:c>
      <x:c r="D647" s="24"/>
      <x:c r="E647" s="24"/>
      <x:c r="F647" s="24" t="n">
        <x:v>60.059322915850615</x:v>
      </x:c>
      <x:c r="G647" s="24"/>
      <x:c r="H647" s="24"/>
      <x:c r="I647" s="24" t="n">
        <x:v>61.20419329346748</x:v>
      </x:c>
      <x:c r="J647" s="24"/>
      <x:c r="K647" s="24"/>
      <x:c r="L647" s="24"/>
      <x:c r="M647" s="24"/>
      <x:c r="N647" s="24"/>
      <x:c r="O647" s="24"/>
      <x:c r="P647" s="24"/>
      <x:c r="Q647" s="24"/>
      <x:c r="R647" s="24"/>
      <x:c r="S647" s="24"/>
      <x:c r="T647" s="24"/>
      <x:c r="U647" s="24"/>
    </x:row>
    <x:row r="648">
      <x:c r="A648" s="24" t="n">
        <x:v>64.60000000000001</x:v>
      </x:c>
      <x:c r="B648" s="24"/>
      <x:c r="C648" s="24" t="n">
        <x:v>57.43154548321923</x:v>
      </x:c>
      <x:c r="D648" s="24"/>
      <x:c r="E648" s="24"/>
      <x:c r="F648" s="24" t="n">
        <x:v>76.05247014854868</x:v>
      </x:c>
      <x:c r="G648" s="24"/>
      <x:c r="H648" s="24"/>
      <x:c r="I648" s="24" t="n">
        <x:v>62.345924709155</x:v>
      </x:c>
      <x:c r="J648" s="24"/>
      <x:c r="K648" s="24"/>
      <x:c r="L648" s="24"/>
      <x:c r="M648" s="24"/>
      <x:c r="N648" s="24"/>
      <x:c r="O648" s="24"/>
      <x:c r="P648" s="24"/>
      <x:c r="Q648" s="24"/>
      <x:c r="R648" s="24"/>
      <x:c r="S648" s="24"/>
      <x:c r="T648" s="24"/>
      <x:c r="U648" s="24"/>
    </x:row>
    <x:row r="649">
      <x:c r="A649" s="24" t="n">
        <x:v>64.7</x:v>
      </x:c>
      <x:c r="B649" s="24"/>
      <x:c r="C649" s="24" t="n">
        <x:v>57.850626184041346</x:v>
      </x:c>
      <x:c r="D649" s="24"/>
      <x:c r="E649" s="24"/>
      <x:c r="F649" s="24" t="n">
        <x:v>80.11767709691088</x:v>
      </x:c>
      <x:c r="G649" s="24"/>
      <x:c r="H649" s="24"/>
      <x:c r="I649" s="24" t="n">
        <x:v>67.8301148641682</x:v>
      </x:c>
      <x:c r="J649" s="24"/>
      <x:c r="K649" s="24"/>
      <x:c r="L649" s="24"/>
      <x:c r="M649" s="24"/>
      <x:c r="N649" s="24"/>
      <x:c r="O649" s="24"/>
      <x:c r="P649" s="24"/>
      <x:c r="Q649" s="24"/>
      <x:c r="R649" s="24"/>
      <x:c r="S649" s="24"/>
      <x:c r="T649" s="24"/>
      <x:c r="U649" s="24"/>
    </x:row>
    <x:row r="650">
      <x:c r="A650" s="24" t="n">
        <x:v>64.8</x:v>
      </x:c>
      <x:c r="B650" s="24"/>
      <x:c r="C650" s="24" t="n">
        <x:v>59.2426978166178</x:v>
      </x:c>
      <x:c r="D650" s="24"/>
      <x:c r="E650" s="24"/>
      <x:c r="F650" s="24" t="n">
        <x:v>76.00716304819508</x:v>
      </x:c>
      <x:c r="G650" s="24"/>
      <x:c r="H650" s="24"/>
      <x:c r="I650" s="24" t="n">
        <x:v>67.8301148641682</x:v>
      </x:c>
      <x:c r="J650" s="24"/>
      <x:c r="K650" s="24"/>
      <x:c r="L650" s="24"/>
      <x:c r="M650" s="24"/>
      <x:c r="N650" s="24"/>
      <x:c r="O650" s="24"/>
      <x:c r="P650" s="24"/>
      <x:c r="Q650" s="24"/>
      <x:c r="R650" s="24"/>
      <x:c r="S650" s="24"/>
      <x:c r="T650" s="24"/>
      <x:c r="U650" s="24"/>
    </x:row>
    <x:row r="651">
      <x:c r="A651" s="24" t="n">
        <x:v>64.9</x:v>
      </x:c>
      <x:c r="B651" s="24"/>
      <x:c r="C651" s="24" t="n">
        <x:v>60.67359538712472</x:v>
      </x:c>
      <x:c r="D651" s="24"/>
      <x:c r="E651" s="24"/>
      <x:c r="F651" s="24" t="n">
        <x:v>68.55334285008735</x:v>
      </x:c>
      <x:c r="G651" s="24"/>
      <x:c r="H651" s="24"/>
      <x:c r="I651" s="24" t="n">
        <x:v>67.95493935975588</x:v>
      </x:c>
      <x:c r="J651" s="24"/>
      <x:c r="K651" s="24"/>
      <x:c r="L651" s="24"/>
      <x:c r="M651" s="24"/>
      <x:c r="N651" s="24"/>
      <x:c r="O651" s="24"/>
      <x:c r="P651" s="24"/>
      <x:c r="Q651" s="24"/>
      <x:c r="R651" s="24"/>
      <x:c r="S651" s="24"/>
      <x:c r="T651" s="24"/>
      <x:c r="U651" s="24"/>
    </x:row>
    <x:row r="652">
      <x:c r="A652" s="24" t="n">
        <x:v>65</x:v>
      </x:c>
      <x:c r="B652" s="24"/>
      <x:c r="C652" s="24" t="n">
        <x:v>60.67359538712472</x:v>
      </x:c>
      <x:c r="D652" s="24"/>
      <x:c r="E652" s="24"/>
      <x:c r="F652" s="24" t="n">
        <x:v>52.62734679463941</x:v>
      </x:c>
      <x:c r="G652" s="24"/>
      <x:c r="H652" s="24"/>
      <x:c r="I652" s="24" t="n">
        <x:v>67.91451509106778</x:v>
      </x:c>
      <x:c r="J652" s="24"/>
      <x:c r="K652" s="24"/>
      <x:c r="L652" s="24"/>
      <x:c r="M652" s="24"/>
      <x:c r="N652" s="24"/>
      <x:c r="O652" s="24"/>
      <x:c r="P652" s="24"/>
      <x:c r="Q652" s="24"/>
      <x:c r="R652" s="24"/>
      <x:c r="S652" s="24"/>
      <x:c r="T652" s="24"/>
      <x:c r="U652" s="24"/>
    </x:row>
    <x:row r="653">
      <x:c r="A653" s="24" t="n">
        <x:v>65.10000000000001</x:v>
      </x:c>
      <x:c r="B653" s="24"/>
      <x:c r="C653" s="24" t="n">
        <x:v>72.168322783368</x:v>
      </x:c>
      <x:c r="D653" s="24"/>
      <x:c r="E653" s="24"/>
      <x:c r="F653" s="24" t="n">
        <x:v>55.8591430898533</x:v>
      </x:c>
      <x:c r="G653" s="24"/>
      <x:c r="H653" s="24"/>
      <x:c r="I653" s="24" t="n">
        <x:v>67.91524113760526</x:v>
      </x:c>
      <x:c r="J653" s="24"/>
      <x:c r="K653" s="24"/>
      <x:c r="L653" s="24"/>
      <x:c r="M653" s="24"/>
      <x:c r="N653" s="24"/>
      <x:c r="O653" s="24"/>
      <x:c r="P653" s="24"/>
      <x:c r="Q653" s="24"/>
      <x:c r="R653" s="24"/>
      <x:c r="S653" s="24"/>
      <x:c r="T653" s="24"/>
      <x:c r="U653" s="24"/>
    </x:row>
    <x:row r="654">
      <x:c r="A654" s="24" t="n">
        <x:v>65.2</x:v>
      </x:c>
      <x:c r="B654" s="24"/>
      <x:c r="C654" s="24" t="n">
        <x:v>74.57066793715065</x:v>
      </x:c>
      <x:c r="D654" s="24"/>
      <x:c r="E654" s="24"/>
      <x:c r="F654" s="24" t="n">
        <x:v>57.151861607938486</x:v>
      </x:c>
      <x:c r="G654" s="24"/>
      <x:c r="H654" s="24"/>
      <x:c r="I654" s="24" t="n">
        <x:v>69.13478636827418</x:v>
      </x:c>
      <x:c r="J654" s="24"/>
      <x:c r="K654" s="24"/>
      <x:c r="L654" s="24"/>
      <x:c r="M654" s="24"/>
      <x:c r="N654" s="24"/>
      <x:c r="O654" s="24"/>
      <x:c r="P654" s="24"/>
      <x:c r="Q654" s="24"/>
      <x:c r="R654" s="24"/>
      <x:c r="S654" s="24"/>
      <x:c r="T654" s="24"/>
      <x:c r="U654" s="24"/>
    </x:row>
    <x:row r="655">
      <x:c r="A655" s="24" t="n">
        <x:v>65.3</x:v>
      </x:c>
      <x:c r="B655" s="24"/>
      <x:c r="C655" s="24" t="n">
        <x:v>74.57066793715065</x:v>
      </x:c>
      <x:c r="D655" s="24"/>
      <x:c r="E655" s="24"/>
      <x:c r="F655" s="24" t="n">
        <x:v>59.764035794941364</x:v>
      </x:c>
      <x:c r="G655" s="24"/>
      <x:c r="H655" s="24"/>
      <x:c r="I655" s="24" t="n">
        <x:v>69.13478636827418</x:v>
      </x:c>
      <x:c r="J655" s="24"/>
      <x:c r="K655" s="24"/>
      <x:c r="L655" s="24"/>
      <x:c r="M655" s="24"/>
      <x:c r="N655" s="24"/>
      <x:c r="O655" s="24"/>
      <x:c r="P655" s="24"/>
      <x:c r="Q655" s="24"/>
      <x:c r="R655" s="24"/>
      <x:c r="S655" s="24"/>
      <x:c r="T655" s="24"/>
      <x:c r="U655" s="24"/>
    </x:row>
    <x:row r="656">
      <x:c r="A656" s="24" t="n">
        <x:v>65.4</x:v>
      </x:c>
      <x:c r="B656" s="24"/>
      <x:c r="C656" s="24" t="n">
        <x:v>70.65851488874867</x:v>
      </x:c>
      <x:c r="D656" s="24"/>
      <x:c r="E656" s="24"/>
      <x:c r="F656" s="24" t="n">
        <x:v>62.37620998194425</x:v>
      </x:c>
      <x:c r="G656" s="24"/>
      <x:c r="H656" s="24"/>
      <x:c r="I656" s="24" t="n">
        <x:v>84.49874048531154</x:v>
      </x:c>
      <x:c r="J656" s="24"/>
      <x:c r="K656" s="24"/>
      <x:c r="L656" s="24"/>
      <x:c r="M656" s="24"/>
      <x:c r="N656" s="24"/>
      <x:c r="O656" s="24"/>
      <x:c r="P656" s="24"/>
      <x:c r="Q656" s="24"/>
      <x:c r="R656" s="24"/>
      <x:c r="S656" s="24"/>
      <x:c r="T656" s="24"/>
      <x:c r="U656" s="24"/>
    </x:row>
    <x:row r="657">
      <x:c r="A657" s="24" t="n">
        <x:v>65.5</x:v>
      </x:c>
      <x:c r="B657" s="24"/>
      <x:c r="C657" s="24" t="n">
        <x:v>62.17667074440598</x:v>
      </x:c>
      <x:c r="D657" s="24"/>
      <x:c r="E657" s="24"/>
      <x:c r="F657" s="24" t="n">
        <x:v>64.32324909576462</x:v>
      </x:c>
      <x:c r="G657" s="24"/>
      <x:c r="H657" s="24"/>
      <x:c r="I657" s="24" t="n">
        <x:v>84.84976438558029</x:v>
      </x:c>
      <x:c r="J657" s="24"/>
      <x:c r="K657" s="24"/>
      <x:c r="L657" s="24"/>
      <x:c r="M657" s="24"/>
      <x:c r="N657" s="24"/>
      <x:c r="O657" s="24"/>
      <x:c r="P657" s="24"/>
      <x:c r="Q657" s="24"/>
      <x:c r="R657" s="24"/>
      <x:c r="S657" s="24"/>
      <x:c r="T657" s="24"/>
      <x:c r="U657" s="24"/>
    </x:row>
    <x:row r="658">
      <x:c r="A658" s="24" t="n">
        <x:v>65.60000000000001</x:v>
      </x:c>
      <x:c r="B658" s="24"/>
      <x:c r="C658" s="24" t="n">
        <x:v>64.9463140918632</x:v>
      </x:c>
      <x:c r="D658" s="24"/>
      <x:c r="E658" s="24"/>
      <x:c r="F658" s="24" t="n">
        <x:v>72.11140555104751</x:v>
      </x:c>
      <x:c r="G658" s="24"/>
      <x:c r="H658" s="24"/>
      <x:c r="I658" s="24" t="n">
        <x:v>83.3563672960145</x:v>
      </x:c>
      <x:c r="J658" s="24"/>
      <x:c r="K658" s="24"/>
      <x:c r="L658" s="24"/>
      <x:c r="M658" s="24"/>
      <x:c r="N658" s="24"/>
      <x:c r="O658" s="24"/>
      <x:c r="P658" s="24"/>
      <x:c r="Q658" s="24"/>
      <x:c r="R658" s="24"/>
      <x:c r="S658" s="24"/>
      <x:c r="T658" s="24"/>
      <x:c r="U658" s="24"/>
    </x:row>
    <x:row r="659">
      <x:c r="A659" s="24" t="n">
        <x:v>65.7</x:v>
      </x:c>
      <x:c r="B659" s="24"/>
      <x:c r="C659" s="24" t="n">
        <x:v>65.84716103010537</x:v>
      </x:c>
      <x:c r="D659" s="24"/>
      <x:c r="E659" s="24"/>
      <x:c r="F659" s="24" t="n">
        <x:v>72.11140555104751</x:v>
      </x:c>
      <x:c r="G659" s="24"/>
      <x:c r="H659" s="24"/>
      <x:c r="I659" s="24" t="n">
        <x:v>74.01028511084671</x:v>
      </x:c>
      <x:c r="J659" s="24"/>
      <x:c r="K659" s="24"/>
      <x:c r="L659" s="24"/>
      <x:c r="M659" s="24"/>
      <x:c r="N659" s="24"/>
      <x:c r="O659" s="24"/>
      <x:c r="P659" s="24"/>
      <x:c r="Q659" s="24"/>
      <x:c r="R659" s="24"/>
      <x:c r="S659" s="24"/>
      <x:c r="T659" s="24"/>
      <x:c r="U659" s="24"/>
    </x:row>
    <x:row r="660">
      <x:c r="A660" s="24" t="n">
        <x:v>65.8</x:v>
      </x:c>
      <x:c r="B660" s="24"/>
      <x:c r="C660" s="24" t="n">
        <x:v>68.10092759219583</x:v>
      </x:c>
      <x:c r="D660" s="24"/>
      <x:c r="E660" s="24"/>
      <x:c r="F660" s="24" t="n">
        <x:v>67.39478442338827</x:v>
      </x:c>
      <x:c r="G660" s="24"/>
      <x:c r="H660" s="24"/>
      <x:c r="I660" s="24" t="n">
        <x:v>65.65079732642619</x:v>
      </x:c>
      <x:c r="J660" s="24"/>
      <x:c r="K660" s="24"/>
      <x:c r="L660" s="24"/>
      <x:c r="M660" s="24"/>
      <x:c r="N660" s="24"/>
      <x:c r="O660" s="24"/>
      <x:c r="P660" s="24"/>
      <x:c r="Q660" s="24"/>
      <x:c r="R660" s="24"/>
      <x:c r="S660" s="24"/>
      <x:c r="T660" s="24"/>
      <x:c r="U660" s="24"/>
    </x:row>
    <x:row r="661">
      <x:c r="A661" s="24" t="n">
        <x:v>65.9</x:v>
      </x:c>
      <x:c r="B661" s="24"/>
      <x:c r="C661" s="24" t="n">
        <x:v>68.6574679153718</x:v>
      </x:c>
      <x:c r="D661" s="24"/>
      <x:c r="E661" s="24"/>
      <x:c r="F661" s="24" t="n">
        <x:v>58.71379185055899</x:v>
      </x:c>
      <x:c r="G661" s="24"/>
      <x:c r="H661" s="24"/>
      <x:c r="I661" s="24" t="n">
        <x:v>58.61516296411137</x:v>
      </x:c>
      <x:c r="J661" s="24"/>
      <x:c r="K661" s="24"/>
      <x:c r="L661" s="24"/>
      <x:c r="M661" s="24"/>
      <x:c r="N661" s="24"/>
      <x:c r="O661" s="24"/>
      <x:c r="P661" s="24"/>
      <x:c r="Q661" s="24"/>
      <x:c r="R661" s="24"/>
      <x:c r="S661" s="24"/>
      <x:c r="T661" s="24"/>
      <x:c r="U661" s="24"/>
    </x:row>
    <x:row r="662">
      <x:c r="A662" s="24" t="n">
        <x:v>66</x:v>
      </x:c>
      <x:c r="B662" s="24"/>
      <x:c r="C662" s="24" t="n">
        <x:v>69.12345791416348</x:v>
      </x:c>
      <x:c r="D662" s="24"/>
      <x:c r="E662" s="24"/>
      <x:c r="F662" s="24" t="n">
        <x:v>62.16757183469345</x:v>
      </x:c>
      <x:c r="G662" s="24"/>
      <x:c r="H662" s="24"/>
      <x:c r="I662" s="24" t="n">
        <x:v>63.6135454218616</x:v>
      </x:c>
      <x:c r="J662" s="24"/>
      <x:c r="K662" s="24"/>
      <x:c r="L662" s="24"/>
      <x:c r="M662" s="24"/>
      <x:c r="N662" s="24"/>
      <x:c r="O662" s="24"/>
      <x:c r="P662" s="24"/>
      <x:c r="Q662" s="24"/>
      <x:c r="R662" s="24"/>
      <x:c r="S662" s="24"/>
      <x:c r="T662" s="24"/>
      <x:c r="U662" s="24"/>
    </x:row>
    <x:row r="663">
      <x:c r="A663" s="24" t="n">
        <x:v>66.10000000000001</x:v>
      </x:c>
      <x:c r="B663" s="24"/>
      <x:c r="C663" s="24" t="n">
        <x:v>69.12345791416348</x:v>
      </x:c>
      <x:c r="D663" s="24"/>
      <x:c r="E663" s="24"/>
      <x:c r="F663" s="24" t="n">
        <x:v>67.38687616637348</x:v>
      </x:c>
      <x:c r="G663" s="24"/>
      <x:c r="H663" s="24"/>
      <x:c r="I663" s="24" t="n">
        <x:v>63.61354542186447</x:v>
      </x:c>
      <x:c r="J663" s="24"/>
      <x:c r="K663" s="24"/>
      <x:c r="L663" s="24"/>
      <x:c r="M663" s="24"/>
      <x:c r="N663" s="24"/>
      <x:c r="O663" s="24"/>
      <x:c r="P663" s="24"/>
      <x:c r="Q663" s="24"/>
      <x:c r="R663" s="24"/>
      <x:c r="S663" s="24"/>
      <x:c r="T663" s="24"/>
      <x:c r="U663" s="24"/>
    </x:row>
    <x:row r="664">
      <x:c r="A664" s="24" t="n">
        <x:v>66.2</x:v>
      </x:c>
      <x:c r="B664" s="24"/>
      <x:c r="C664" s="24" t="n">
        <x:v>68.8110047916594</x:v>
      </x:c>
      <x:c r="D664" s="24"/>
      <x:c r="E664" s="24"/>
      <x:c r="F664" s="24" t="n">
        <x:v>67.7844277208307</x:v>
      </x:c>
      <x:c r="G664" s="24"/>
      <x:c r="H664" s="24"/>
      <x:c r="I664" s="24" t="n">
        <x:v>73.86291978471596</x:v>
      </x:c>
      <x:c r="J664" s="24"/>
      <x:c r="K664" s="24"/>
      <x:c r="L664" s="24"/>
      <x:c r="M664" s="24"/>
      <x:c r="N664" s="24"/>
      <x:c r="O664" s="24"/>
      <x:c r="P664" s="24"/>
      <x:c r="Q664" s="24"/>
      <x:c r="R664" s="24"/>
      <x:c r="S664" s="24"/>
      <x:c r="T664" s="24"/>
      <x:c r="U664" s="24"/>
    </x:row>
    <x:row r="665">
      <x:c r="A665" s="24" t="n">
        <x:v>66.3</x:v>
      </x:c>
      <x:c r="B665" s="24"/>
      <x:c r="C665" s="24" t="n">
        <x:v>69.19932285117798</x:v>
      </x:c>
      <x:c r="D665" s="24"/>
      <x:c r="E665" s="24"/>
      <x:c r="F665" s="24" t="n">
        <x:v>69.68227459996446</x:v>
      </x:c>
      <x:c r="G665" s="24"/>
      <x:c r="H665" s="24"/>
      <x:c r="I665" s="24" t="n">
        <x:v>73.86291978471596</x:v>
      </x:c>
      <x:c r="J665" s="24"/>
      <x:c r="K665" s="24"/>
      <x:c r="L665" s="24"/>
      <x:c r="M665" s="24"/>
      <x:c r="N665" s="24"/>
      <x:c r="O665" s="24"/>
      <x:c r="P665" s="24"/>
      <x:c r="Q665" s="24"/>
      <x:c r="R665" s="24"/>
      <x:c r="S665" s="24"/>
      <x:c r="T665" s="24"/>
      <x:c r="U665" s="24"/>
    </x:row>
    <x:row r="666">
      <x:c r="A666" s="24" t="n">
        <x:v>66.4</x:v>
      </x:c>
      <x:c r="B666" s="24"/>
      <x:c r="C666" s="24" t="n">
        <x:v>69.19932285117798</x:v>
      </x:c>
      <x:c r="D666" s="24"/>
      <x:c r="E666" s="24"/>
      <x:c r="F666" s="24" t="n">
        <x:v>69.68227459996446</x:v>
      </x:c>
      <x:c r="G666" s="24"/>
      <x:c r="H666" s="24"/>
      <x:c r="I666" s="24" t="n">
        <x:v>63.13427184260864</x:v>
      </x:c>
      <x:c r="J666" s="24"/>
      <x:c r="K666" s="24"/>
      <x:c r="L666" s="24"/>
      <x:c r="M666" s="24"/>
      <x:c r="N666" s="24"/>
      <x:c r="O666" s="24"/>
      <x:c r="P666" s="24"/>
      <x:c r="Q666" s="24"/>
      <x:c r="R666" s="24"/>
      <x:c r="S666" s="24"/>
      <x:c r="T666" s="24"/>
      <x:c r="U666" s="24"/>
    </x:row>
    <x:row r="667">
      <x:c r="A667" s="24" t="n">
        <x:v>66.5</x:v>
      </x:c>
      <x:c r="B667" s="24"/>
      <x:c r="C667" s="24" t="n">
        <x:v>68.7192731452557</x:v>
      </x:c>
      <x:c r="D667" s="24"/>
      <x:c r="E667" s="24"/>
      <x:c r="F667" s="24" t="n">
        <x:v>69.14793093881485</x:v>
      </x:c>
      <x:c r="G667" s="24"/>
      <x:c r="H667" s="24"/>
      <x:c r="I667" s="24" t="n">
        <x:v>45.56881161460947</x:v>
      </x:c>
      <x:c r="J667" s="24"/>
      <x:c r="K667" s="24"/>
      <x:c r="L667" s="24"/>
      <x:c r="M667" s="24"/>
      <x:c r="N667" s="24"/>
      <x:c r="O667" s="24"/>
      <x:c r="P667" s="24"/>
      <x:c r="Q667" s="24"/>
      <x:c r="R667" s="24"/>
      <x:c r="S667" s="24"/>
      <x:c r="T667" s="24"/>
      <x:c r="U667" s="24"/>
    </x:row>
    <x:row r="668">
      <x:c r="A668" s="24" t="n">
        <x:v>66.60000000000001</x:v>
      </x:c>
      <x:c r="B668" s="24"/>
      <x:c r="C668" s="24" t="n">
        <x:v>67.95521924832912</x:v>
      </x:c>
      <x:c r="D668" s="24"/>
      <x:c r="E668" s="24"/>
      <x:c r="F668" s="24" t="n">
        <x:v>69.21601535723268</x:v>
      </x:c>
      <x:c r="G668" s="24"/>
      <x:c r="H668" s="24"/>
      <x:c r="I668" s="24" t="n">
        <x:v>67.56473209891253</x:v>
      </x:c>
      <x:c r="J668" s="24"/>
      <x:c r="K668" s="24"/>
      <x:c r="L668" s="24"/>
      <x:c r="M668" s="24"/>
      <x:c r="N668" s="24"/>
      <x:c r="O668" s="24"/>
      <x:c r="P668" s="24"/>
      <x:c r="Q668" s="24"/>
      <x:c r="R668" s="24"/>
      <x:c r="S668" s="24"/>
      <x:c r="T668" s="24"/>
      <x:c r="U668" s="24"/>
    </x:row>
    <x:row r="669">
      <x:c r="A669" s="24" t="n">
        <x:v>66.7</x:v>
      </x:c>
      <x:c r="B669" s="24"/>
      <x:c r="C669" s="24" t="n">
        <x:v>72.47238956796834</x:v>
      </x:c>
      <x:c r="D669" s="24"/>
      <x:c r="E669" s="24"/>
      <x:c r="F669" s="24" t="n">
        <x:v>69.90144659677043</x:v>
      </x:c>
      <x:c r="G669" s="24"/>
      <x:c r="H669" s="24"/>
      <x:c r="I669" s="24" t="n">
        <x:v>67.56473209891253</x:v>
      </x:c>
      <x:c r="J669" s="24"/>
      <x:c r="K669" s="24"/>
      <x:c r="L669" s="24"/>
      <x:c r="M669" s="24"/>
      <x:c r="N669" s="24"/>
      <x:c r="O669" s="24"/>
      <x:c r="P669" s="24"/>
      <x:c r="Q669" s="24"/>
      <x:c r="R669" s="24"/>
      <x:c r="S669" s="24"/>
      <x:c r="T669" s="24"/>
      <x:c r="U669" s="24"/>
    </x:row>
    <x:row r="670">
      <x:c r="A670" s="24" t="n">
        <x:v>66.8</x:v>
      </x:c>
      <x:c r="B670" s="24"/>
      <x:c r="C670" s="24" t="n">
        <x:v>79.84727584052374</x:v>
      </x:c>
      <x:c r="D670" s="24"/>
      <x:c r="E670" s="24"/>
      <x:c r="F670" s="24" t="n">
        <x:v>69.90144659677043</x:v>
      </x:c>
      <x:c r="G670" s="24"/>
      <x:c r="H670" s="24"/>
      <x:c r="I670" s="24" t="n">
        <x:v>66.57911969889987</x:v>
      </x:c>
      <x:c r="J670" s="24"/>
      <x:c r="K670" s="24"/>
      <x:c r="L670" s="24"/>
      <x:c r="M670" s="24"/>
      <x:c r="N670" s="24"/>
      <x:c r="O670" s="24"/>
      <x:c r="P670" s="24"/>
      <x:c r="Q670" s="24"/>
      <x:c r="R670" s="24"/>
      <x:c r="S670" s="24"/>
      <x:c r="T670" s="24"/>
      <x:c r="U670" s="24"/>
    </x:row>
    <x:row r="671">
      <x:c r="A671" s="24" t="n">
        <x:v>66.9</x:v>
      </x:c>
      <x:c r="B671" s="24"/>
      <x:c r="C671" s="24" t="n">
        <x:v>79.84727584052374</x:v>
      </x:c>
      <x:c r="D671" s="24"/>
      <x:c r="E671" s="24"/>
      <x:c r="F671" s="24" t="n">
        <x:v>88.61546128273899</x:v>
      </x:c>
      <x:c r="G671" s="24"/>
      <x:c r="H671" s="24"/>
      <x:c r="I671" s="24" t="n">
        <x:v>66.84913935953098</x:v>
      </x:c>
      <x:c r="J671" s="24"/>
      <x:c r="K671" s="24"/>
      <x:c r="L671" s="24"/>
      <x:c r="M671" s="24"/>
      <x:c r="N671" s="24"/>
      <x:c r="O671" s="24"/>
      <x:c r="P671" s="24"/>
      <x:c r="Q671" s="24"/>
      <x:c r="R671" s="24"/>
      <x:c r="S671" s="24"/>
      <x:c r="T671" s="24"/>
      <x:c r="U671" s="24"/>
    </x:row>
    <x:row r="672">
      <x:c r="A672" s="24" t="n">
        <x:v>67</x:v>
      </x:c>
      <x:c r="B672" s="24"/>
      <x:c r="C672" s="24" t="n">
        <x:v>71.38515872626908</x:v>
      </x:c>
      <x:c r="D672" s="24"/>
      <x:c r="E672" s="24"/>
      <x:c r="F672" s="24" t="n">
        <x:v>89.7918330941089</x:v>
      </x:c>
      <x:c r="G672" s="24"/>
      <x:c r="H672" s="24"/>
      <x:c r="I672" s="24" t="n">
        <x:v>66.69067991250701</x:v>
      </x:c>
      <x:c r="J672" s="24"/>
      <x:c r="K672" s="24"/>
      <x:c r="L672" s="24"/>
      <x:c r="M672" s="24"/>
      <x:c r="N672" s="24"/>
      <x:c r="O672" s="24"/>
      <x:c r="P672" s="24"/>
      <x:c r="Q672" s="24"/>
      <x:c r="R672" s="24"/>
      <x:c r="S672" s="24"/>
      <x:c r="T672" s="24"/>
      <x:c r="U672" s="24"/>
    </x:row>
    <x:row r="673">
      <x:c r="A673" s="24" t="n">
        <x:v>67.10000000000001</x:v>
      </x:c>
      <x:c r="B673" s="24"/>
      <x:c r="C673" s="24" t="n">
        <x:v>59.15224301338155</x:v>
      </x:c>
      <x:c r="D673" s="24"/>
      <x:c r="E673" s="24"/>
      <x:c r="F673" s="24" t="n">
        <x:v>89.79183309410773</x:v>
      </x:c>
      <x:c r="G673" s="24"/>
      <x:c r="H673" s="24"/>
      <x:c r="I673" s="24" t="n">
        <x:v>68.10725811480862</x:v>
      </x:c>
      <x:c r="J673" s="24"/>
      <x:c r="K673" s="24"/>
      <x:c r="L673" s="24"/>
      <x:c r="M673" s="24"/>
      <x:c r="N673" s="24"/>
      <x:c r="O673" s="24"/>
      <x:c r="P673" s="24"/>
      <x:c r="Q673" s="24"/>
      <x:c r="R673" s="24"/>
      <x:c r="S673" s="24"/>
      <x:c r="T673" s="24"/>
      <x:c r="U673" s="24"/>
    </x:row>
    <x:row r="674">
      <x:c r="A674" s="24" t="n">
        <x:v>67.2</x:v>
      </x:c>
      <x:c r="B674" s="24"/>
      <x:c r="C674" s="24" t="n">
        <x:v>53.96230050361332</x:v>
      </x:c>
      <x:c r="D674" s="24"/>
      <x:c r="E674" s="24"/>
      <x:c r="F674" s="24" t="n">
        <x:v>78.42163557798884</x:v>
      </x:c>
      <x:c r="G674" s="24"/>
      <x:c r="H674" s="24"/>
      <x:c r="I674" s="24" t="n">
        <x:v>68.68823954558519</x:v>
      </x:c>
      <x:c r="J674" s="24"/>
      <x:c r="K674" s="24"/>
      <x:c r="L674" s="24"/>
      <x:c r="M674" s="24"/>
      <x:c r="N674" s="24"/>
      <x:c r="O674" s="24"/>
      <x:c r="P674" s="24"/>
      <x:c r="Q674" s="24"/>
      <x:c r="R674" s="24"/>
      <x:c r="S674" s="24"/>
      <x:c r="T674" s="24"/>
      <x:c r="U674" s="24"/>
    </x:row>
    <x:row r="675">
      <x:c r="A675" s="24" t="n">
        <x:v>67.3</x:v>
      </x:c>
      <x:c r="B675" s="24"/>
      <x:c r="C675" s="24" t="n">
        <x:v>51.595284178115094</x:v>
      </x:c>
      <x:c r="D675" s="24"/>
      <x:c r="E675" s="24"/>
      <x:c r="F675" s="24" t="n">
        <x:v>74.45481918342037</x:v>
      </x:c>
      <x:c r="G675" s="24"/>
      <x:c r="H675" s="24"/>
      <x:c r="I675" s="24" t="n">
        <x:v>82.77519288551953</x:v>
      </x:c>
      <x:c r="J675" s="24"/>
      <x:c r="K675" s="24"/>
      <x:c r="L675" s="24"/>
      <x:c r="M675" s="24"/>
      <x:c r="N675" s="24"/>
      <x:c r="O675" s="24"/>
      <x:c r="P675" s="24"/>
      <x:c r="Q675" s="24"/>
      <x:c r="R675" s="24"/>
      <x:c r="S675" s="24"/>
      <x:c r="T675" s="24"/>
      <x:c r="U675" s="24"/>
    </x:row>
    <x:row r="676">
      <x:c r="A676" s="24" t="n">
        <x:v>67.4</x:v>
      </x:c>
      <x:c r="B676" s="24"/>
      <x:c r="C676" s="24" t="n">
        <x:v>51.595284178115094</x:v>
      </x:c>
      <x:c r="D676" s="24"/>
      <x:c r="E676" s="24"/>
      <x:c r="F676" s="24" t="n">
        <x:v>73.72380214652392</x:v>
      </x:c>
      <x:c r="G676" s="24"/>
      <x:c r="H676" s="24"/>
      <x:c r="I676" s="24" t="n">
        <x:v>84.56349341019927</x:v>
      </x:c>
      <x:c r="J676" s="24"/>
      <x:c r="K676" s="24"/>
      <x:c r="L676" s="24"/>
      <x:c r="M676" s="24"/>
      <x:c r="N676" s="24"/>
      <x:c r="O676" s="24"/>
      <x:c r="P676" s="24"/>
      <x:c r="Q676" s="24"/>
      <x:c r="R676" s="24"/>
      <x:c r="S676" s="24"/>
      <x:c r="T676" s="24"/>
      <x:c r="U676" s="24"/>
    </x:row>
    <x:row r="677">
      <x:c r="A677" s="24" t="n">
        <x:v>67.5</x:v>
      </x:c>
      <x:c r="B677" s="24"/>
      <x:c r="C677" s="24" t="n">
        <x:v>61.80005269642182</x:v>
      </x:c>
      <x:c r="D677" s="24"/>
      <x:c r="E677" s="24"/>
      <x:c r="F677" s="24" t="n">
        <x:v>68.96154131794349</x:v>
      </x:c>
      <x:c r="G677" s="24"/>
      <x:c r="H677" s="24"/>
      <x:c r="I677" s="24" t="n">
        <x:v>84.56349341019927</x:v>
      </x:c>
      <x:c r="J677" s="24"/>
      <x:c r="K677" s="24"/>
      <x:c r="L677" s="24"/>
      <x:c r="M677" s="24"/>
      <x:c r="N677" s="24"/>
      <x:c r="O677" s="24"/>
      <x:c r="P677" s="24"/>
      <x:c r="Q677" s="24"/>
      <x:c r="R677" s="24"/>
      <x:c r="S677" s="24"/>
      <x:c r="T677" s="24"/>
      <x:c r="U677" s="24"/>
    </x:row>
    <x:row r="678">
      <x:c r="A678" s="24" t="n">
        <x:v>67.60000000000001</x:v>
      </x:c>
      <x:c r="B678" s="24"/>
      <x:c r="C678" s="24" t="n">
        <x:v>65.19563709866371</x:v>
      </x:c>
      <x:c r="D678" s="24"/>
      <x:c r="E678" s="24"/>
      <x:c r="F678" s="24" t="n">
        <x:v>68.1303020489514</x:v>
      </x:c>
      <x:c r="G678" s="24"/>
      <x:c r="H678" s="24"/>
      <x:c r="I678" s="24" t="n">
        <x:v>74.26325730074794</x:v>
      </x:c>
      <x:c r="J678" s="24"/>
      <x:c r="K678" s="24"/>
      <x:c r="L678" s="24"/>
      <x:c r="M678" s="24"/>
      <x:c r="N678" s="24"/>
      <x:c r="O678" s="24"/>
      <x:c r="P678" s="24"/>
      <x:c r="Q678" s="24"/>
      <x:c r="R678" s="24"/>
      <x:c r="S678" s="24"/>
      <x:c r="T678" s="24"/>
      <x:c r="U678" s="24"/>
    </x:row>
    <x:row r="679">
      <x:c r="A679" s="24" t="n">
        <x:v>67.7</x:v>
      </x:c>
      <x:c r="B679" s="24"/>
      <x:c r="C679" s="24" t="n">
        <x:v>65.19563709866371</x:v>
      </x:c>
      <x:c r="D679" s="24"/>
      <x:c r="E679" s="24"/>
      <x:c r="F679" s="24" t="n">
        <x:v>59.99430893262142</x:v>
      </x:c>
      <x:c r="G679" s="24"/>
      <x:c r="H679" s="24"/>
      <x:c r="I679" s="24" t="n">
        <x:v>66.5636697132087</x:v>
      </x:c>
      <x:c r="J679" s="24"/>
      <x:c r="K679" s="24"/>
      <x:c r="L679" s="24"/>
      <x:c r="M679" s="24"/>
      <x:c r="N679" s="24"/>
      <x:c r="O679" s="24"/>
      <x:c r="P679" s="24"/>
      <x:c r="Q679" s="24"/>
      <x:c r="R679" s="24"/>
      <x:c r="S679" s="24"/>
      <x:c r="T679" s="24"/>
      <x:c r="U679" s="24"/>
    </x:row>
    <x:row r="680">
      <x:c r="A680" s="24" t="n">
        <x:v>67.8</x:v>
      </x:c>
      <x:c r="B680" s="24"/>
      <x:c r="C680" s="24" t="n">
        <x:v>54.7019909473878</x:v>
      </x:c>
      <x:c r="D680" s="24"/>
      <x:c r="E680" s="24"/>
      <x:c r="F680" s="24" t="n">
        <x:v>52.62734679463941</x:v>
      </x:c>
      <x:c r="G680" s="24"/>
      <x:c r="H680" s="24"/>
      <x:c r="I680" s="24" t="n">
        <x:v>56.15282061210961</x:v>
      </x:c>
      <x:c r="J680" s="24"/>
      <x:c r="K680" s="24"/>
      <x:c r="L680" s="24"/>
      <x:c r="M680" s="24"/>
      <x:c r="N680" s="24"/>
      <x:c r="O680" s="24"/>
      <x:c r="P680" s="24"/>
      <x:c r="Q680" s="24"/>
      <x:c r="R680" s="24"/>
      <x:c r="S680" s="24"/>
      <x:c r="T680" s="24"/>
      <x:c r="U680" s="24"/>
    </x:row>
    <x:row r="681">
      <x:c r="A681" s="24" t="n">
        <x:v>67.9</x:v>
      </x:c>
      <x:c r="B681" s="24"/>
      <x:c r="C681" s="24" t="n">
        <x:v>70.95997542010724</x:v>
      </x:c>
      <x:c r="D681" s="24"/>
      <x:c r="E681" s="24"/>
      <x:c r="F681" s="24" t="n">
        <x:v>69.23120350357988</x:v>
      </x:c>
      <x:c r="G681" s="24"/>
      <x:c r="H681" s="24"/>
      <x:c r="I681" s="24" t="n">
        <x:v>64.21535381993633</x:v>
      </x:c>
      <x:c r="J681" s="24"/>
      <x:c r="K681" s="24"/>
      <x:c r="L681" s="24"/>
      <x:c r="M681" s="24"/>
      <x:c r="N681" s="24"/>
      <x:c r="O681" s="24"/>
      <x:c r="P681" s="24"/>
      <x:c r="Q681" s="24"/>
      <x:c r="R681" s="24"/>
      <x:c r="S681" s="24"/>
      <x:c r="T681" s="24"/>
      <x:c r="U681" s="24"/>
    </x:row>
    <x:row r="682">
      <x:c r="A682" s="24" t="n">
        <x:v>68</x:v>
      </x:c>
      <x:c r="B682" s="24"/>
      <x:c r="C682" s="24" t="n">
        <x:v>75.36612908902177</x:v>
      </x:c>
      <x:c r="D682" s="24"/>
      <x:c r="E682" s="24"/>
      <x:c r="F682" s="24" t="n">
        <x:v>69.23120350357988</x:v>
      </x:c>
      <x:c r="G682" s="24"/>
      <x:c r="H682" s="24"/>
      <x:c r="I682" s="24" t="n">
        <x:v>64.21535381993633</x:v>
      </x:c>
      <x:c r="J682" s="24"/>
      <x:c r="K682" s="24"/>
      <x:c r="L682" s="24"/>
      <x:c r="M682" s="24"/>
      <x:c r="N682" s="24"/>
      <x:c r="O682" s="24"/>
      <x:c r="P682" s="24"/>
      <x:c r="Q682" s="24"/>
      <x:c r="R682" s="24"/>
      <x:c r="S682" s="24"/>
      <x:c r="T682" s="24"/>
      <x:c r="U682" s="24"/>
    </x:row>
    <x:row r="683">
      <x:c r="A683" s="24" t="n">
        <x:v>68.10000000000001</x:v>
      </x:c>
      <x:c r="B683" s="24"/>
      <x:c r="C683" s="24" t="n">
        <x:v>75.36612908902177</x:v>
      </x:c>
      <x:c r="D683" s="24"/>
      <x:c r="E683" s="24"/>
      <x:c r="F683" s="24" t="n">
        <x:v>64.52761217828228</x:v>
      </x:c>
      <x:c r="G683" s="24"/>
      <x:c r="H683" s="24"/>
      <x:c r="I683" s="24" t="n">
        <x:v>72.97256358561842</x:v>
      </x:c>
      <x:c r="J683" s="24"/>
      <x:c r="K683" s="24"/>
      <x:c r="L683" s="24"/>
      <x:c r="M683" s="24"/>
      <x:c r="N683" s="24"/>
      <x:c r="O683" s="24"/>
      <x:c r="P683" s="24"/>
      <x:c r="Q683" s="24"/>
      <x:c r="R683" s="24"/>
      <x:c r="S683" s="24"/>
      <x:c r="T683" s="24"/>
      <x:c r="U683" s="24"/>
    </x:row>
    <x:row r="684">
      <x:c r="A684" s="24" t="n">
        <x:v>68.2</x:v>
      </x:c>
      <x:c r="B684" s="24"/>
      <x:c r="C684" s="24" t="n">
        <x:v>70.71130293873622</x:v>
      </x:c>
      <x:c r="D684" s="24"/>
      <x:c r="E684" s="24"/>
      <x:c r="F684" s="24" t="n">
        <x:v>52.62734679463941</x:v>
      </x:c>
      <x:c r="G684" s="24"/>
      <x:c r="H684" s="24"/>
      <x:c r="I684" s="24" t="n">
        <x:v>72.97256358561842</x:v>
      </x:c>
      <x:c r="J684" s="24"/>
      <x:c r="K684" s="24"/>
      <x:c r="L684" s="24"/>
      <x:c r="M684" s="24"/>
      <x:c r="N684" s="24"/>
      <x:c r="O684" s="24"/>
      <x:c r="P684" s="24"/>
      <x:c r="Q684" s="24"/>
      <x:c r="R684" s="24"/>
      <x:c r="S684" s="24"/>
      <x:c r="T684" s="24"/>
      <x:c r="U684" s="24"/>
    </x:row>
    <x:row r="685">
      <x:c r="A685" s="24" t="n">
        <x:v>68.3</x:v>
      </x:c>
      <x:c r="B685" s="24"/>
      <x:c r="C685" s="24" t="n">
        <x:v>65.56458080970923</x:v>
      </x:c>
      <x:c r="D685" s="24"/>
      <x:c r="E685" s="24"/>
      <x:c r="F685" s="24" t="n">
        <x:v>63.33433145125634</x:v>
      </x:c>
      <x:c r="G685" s="24"/>
      <x:c r="H685" s="24"/>
      <x:c r="I685" s="24" t="n">
        <x:v>65.38364294957</x:v>
      </x:c>
      <x:c r="J685" s="24"/>
      <x:c r="K685" s="24"/>
      <x:c r="L685" s="24"/>
      <x:c r="M685" s="24"/>
      <x:c r="N685" s="24"/>
      <x:c r="O685" s="24"/>
      <x:c r="P685" s="24"/>
      <x:c r="Q685" s="24"/>
      <x:c r="R685" s="24"/>
      <x:c r="S685" s="24"/>
      <x:c r="T685" s="24"/>
      <x:c r="U685" s="24"/>
    </x:row>
    <x:row r="686">
      <x:c r="A686" s="24" t="n">
        <x:v>68.4</x:v>
      </x:c>
      <x:c r="B686" s="24"/>
      <x:c r="C686" s="24" t="n">
        <x:v>65.89536748372812</x:v>
      </x:c>
      <x:c r="D686" s="24"/>
      <x:c r="E686" s="24"/>
      <x:c r="F686" s="24" t="n">
        <x:v>64.43190337995452</x:v>
      </x:c>
      <x:c r="G686" s="24"/>
      <x:c r="H686" s="24"/>
      <x:c r="I686" s="24" t="n">
        <x:v>45.56881161460947</x:v>
      </x:c>
      <x:c r="J686" s="24"/>
      <x:c r="K686" s="24"/>
      <x:c r="L686" s="24"/>
      <x:c r="M686" s="24"/>
      <x:c r="N686" s="24"/>
      <x:c r="O686" s="24"/>
      <x:c r="P686" s="24"/>
      <x:c r="Q686" s="24"/>
      <x:c r="R686" s="24"/>
      <x:c r="S686" s="24"/>
      <x:c r="T686" s="24"/>
      <x:c r="U686" s="24"/>
    </x:row>
    <x:row r="687">
      <x:c r="A687" s="24" t="n">
        <x:v>68.5</x:v>
      </x:c>
      <x:c r="B687" s="24"/>
      <x:c r="C687" s="24" t="n">
        <x:v>67.57072262564046</x:v>
      </x:c>
      <x:c r="D687" s="24"/>
      <x:c r="E687" s="24"/>
      <x:c r="F687" s="24" t="n">
        <x:v>67.98482537260628</x:v>
      </x:c>
      <x:c r="G687" s="24"/>
      <x:c r="H687" s="24"/>
      <x:c r="I687" s="24" t="n">
        <x:v>68.66436077659586</x:v>
      </x:c>
      <x:c r="J687" s="24"/>
      <x:c r="K687" s="24"/>
      <x:c r="L687" s="24"/>
      <x:c r="M687" s="24"/>
      <x:c r="N687" s="24"/>
      <x:c r="O687" s="24"/>
      <x:c r="P687" s="24"/>
      <x:c r="Q687" s="24"/>
      <x:c r="R687" s="24"/>
      <x:c r="S687" s="24"/>
      <x:c r="T687" s="24"/>
      <x:c r="U687" s="24"/>
    </x:row>
    <x:row r="688">
      <x:c r="A688" s="24" t="n">
        <x:v>68.60000000000001</x:v>
      </x:c>
      <x:c r="B688" s="24"/>
      <x:c r="C688" s="24" t="n">
        <x:v>69.07695336353322</x:v>
      </x:c>
      <x:c r="D688" s="24"/>
      <x:c r="E688" s="24"/>
      <x:c r="F688" s="24" t="n">
        <x:v>67.98482537260628</x:v>
      </x:c>
      <x:c r="G688" s="24"/>
      <x:c r="H688" s="24"/>
      <x:c r="I688" s="24" t="n">
        <x:v>69.28633417799068</x:v>
      </x:c>
      <x:c r="J688" s="24"/>
      <x:c r="K688" s="24"/>
      <x:c r="L688" s="24"/>
      <x:c r="M688" s="24"/>
      <x:c r="N688" s="24"/>
      <x:c r="O688" s="24"/>
      <x:c r="P688" s="24"/>
      <x:c r="Q688" s="24"/>
      <x:c r="R688" s="24"/>
      <x:c r="S688" s="24"/>
      <x:c r="T688" s="24"/>
      <x:c r="U688" s="24"/>
    </x:row>
    <x:row r="689">
      <x:c r="A689" s="24" t="n">
        <x:v>68.7</x:v>
      </x:c>
      <x:c r="B689" s="24"/>
      <x:c r="C689" s="24" t="n">
        <x:v>69.26775889320841</x:v>
      </x:c>
      <x:c r="D689" s="24"/>
      <x:c r="E689" s="24"/>
      <x:c r="F689" s="24" t="n">
        <x:v>68.39996377501788</x:v>
      </x:c>
      <x:c r="G689" s="24"/>
      <x:c r="H689" s="24"/>
      <x:c r="I689" s="24" t="n">
        <x:v>67.89625782751752</x:v>
      </x:c>
      <x:c r="J689" s="24"/>
      <x:c r="K689" s="24"/>
      <x:c r="L689" s="24"/>
      <x:c r="M689" s="24"/>
      <x:c r="N689" s="24"/>
      <x:c r="O689" s="24"/>
      <x:c r="P689" s="24"/>
      <x:c r="Q689" s="24"/>
      <x:c r="R689" s="24"/>
      <x:c r="S689" s="24"/>
      <x:c r="T689" s="24"/>
      <x:c r="U689" s="24"/>
    </x:row>
    <x:row r="690">
      <x:c r="A690" s="24" t="n">
        <x:v>68.8</x:v>
      </x:c>
      <x:c r="B690" s="24"/>
      <x:c r="C690" s="24" t="n">
        <x:v>68.47563077630213</x:v>
      </x:c>
      <x:c r="D690" s="24"/>
      <x:c r="E690" s="24"/>
      <x:c r="F690" s="24" t="n">
        <x:v>69.4397360625099</x:v>
      </x:c>
      <x:c r="G690" s="24"/>
      <x:c r="H690" s="24"/>
      <x:c r="I690" s="24" t="n">
        <x:v>68.66461583398578</x:v>
      </x:c>
      <x:c r="J690" s="24"/>
      <x:c r="K690" s="24"/>
      <x:c r="L690" s="24"/>
      <x:c r="M690" s="24"/>
      <x:c r="N690" s="24"/>
      <x:c r="O690" s="24"/>
      <x:c r="P690" s="24"/>
      <x:c r="Q690" s="24"/>
      <x:c r="R690" s="24"/>
      <x:c r="S690" s="24"/>
      <x:c r="T690" s="24"/>
      <x:c r="U690" s="24"/>
    </x:row>
    <x:row r="691">
      <x:c r="A691" s="24" t="n">
        <x:v>68.9</x:v>
      </x:c>
      <x:c r="B691" s="24"/>
      <x:c r="C691" s="24" t="n">
        <x:v>69.89655934846132</x:v>
      </x:c>
      <x:c r="D691" s="24"/>
      <x:c r="E691" s="24"/>
      <x:c r="F691" s="24" t="n">
        <x:v>69.4397360625099</x:v>
      </x:c>
      <x:c r="G691" s="24"/>
      <x:c r="H691" s="24"/>
      <x:c r="I691" s="24" t="n">
        <x:v>68.66461583398578</x:v>
      </x:c>
      <x:c r="J691" s="24"/>
      <x:c r="K691" s="24"/>
      <x:c r="L691" s="24"/>
      <x:c r="M691" s="24"/>
      <x:c r="N691" s="24"/>
      <x:c r="O691" s="24"/>
      <x:c r="P691" s="24"/>
      <x:c r="Q691" s="24"/>
      <x:c r="R691" s="24"/>
      <x:c r="S691" s="24"/>
      <x:c r="T691" s="24"/>
      <x:c r="U691" s="24"/>
    </x:row>
    <x:row r="692">
      <x:c r="A692" s="24" t="n">
        <x:v>69</x:v>
      </x:c>
      <x:c r="B692" s="24"/>
      <x:c r="C692" s="24" t="n">
        <x:v>70.0827450469409</x:v>
      </x:c>
      <x:c r="D692" s="24"/>
      <x:c r="E692" s="24"/>
      <x:c r="F692" s="24" t="n">
        <x:v>68.33638675435185</x:v>
      </x:c>
      <x:c r="G692" s="24"/>
      <x:c r="H692" s="24"/>
      <x:c r="I692" s="24" t="n">
        <x:v>68.44583289356635</x:v>
      </x:c>
      <x:c r="J692" s="24"/>
      <x:c r="K692" s="24"/>
      <x:c r="L692" s="24"/>
      <x:c r="M692" s="24"/>
      <x:c r="N692" s="24"/>
      <x:c r="O692" s="24"/>
      <x:c r="P692" s="24"/>
      <x:c r="Q692" s="24"/>
      <x:c r="R692" s="24"/>
      <x:c r="S692" s="24"/>
      <x:c r="T692" s="24"/>
      <x:c r="U692" s="24"/>
    </x:row>
    <x:row r="693">
      <x:c r="A693" s="24" t="n">
        <x:v>69.10000000000001</x:v>
      </x:c>
      <x:c r="B693" s="24"/>
      <x:c r="C693" s="24" t="n">
        <x:v>70.08274504694057</x:v>
      </x:c>
      <x:c r="D693" s="24"/>
      <x:c r="E693" s="24"/>
      <x:c r="F693" s="24" t="n">
        <x:v>70.01061143818416</x:v>
      </x:c>
      <x:c r="G693" s="24"/>
      <x:c r="H693" s="24"/>
      <x:c r="I693" s="24" t="n">
        <x:v>69.00679911637546</x:v>
      </x:c>
      <x:c r="J693" s="24"/>
      <x:c r="K693" s="24"/>
      <x:c r="L693" s="24"/>
      <x:c r="M693" s="24"/>
      <x:c r="N693" s="24"/>
      <x:c r="O693" s="24"/>
      <x:c r="P693" s="24"/>
      <x:c r="Q693" s="24"/>
      <x:c r="R693" s="24"/>
      <x:c r="S693" s="24"/>
      <x:c r="T693" s="24"/>
      <x:c r="U693" s="24"/>
    </x:row>
    <x:row r="694">
      <x:c r="A694" s="24" t="n">
        <x:v>69.2</x:v>
      </x:c>
      <x:c r="B694" s="24"/>
      <x:c r="C694" s="24" t="n">
        <x:v>69.45247551235877</x:v>
      </x:c>
      <x:c r="D694" s="24"/>
      <x:c r="E694" s="24"/>
      <x:c r="F694" s="24" t="n">
        <x:v>70.01061143818416</x:v>
      </x:c>
      <x:c r="G694" s="24"/>
      <x:c r="H694" s="24"/>
      <x:c r="I694" s="24" t="n">
        <x:v>69.00679911637546</x:v>
      </x:c>
      <x:c r="J694" s="24"/>
      <x:c r="K694" s="24"/>
      <x:c r="L694" s="24"/>
      <x:c r="M694" s="24"/>
      <x:c r="N694" s="24"/>
      <x:c r="O694" s="24"/>
      <x:c r="P694" s="24"/>
      <x:c r="Q694" s="24"/>
      <x:c r="R694" s="24"/>
      <x:c r="S694" s="24"/>
      <x:c r="T694" s="24"/>
      <x:c r="U694" s="24"/>
    </x:row>
    <x:row r="695">
      <x:c r="A695" s="24" t="n">
        <x:v>69.3</x:v>
      </x:c>
      <x:c r="B695" s="24"/>
      <x:c r="C695" s="24" t="n">
        <x:v>69.23304373618984</x:v>
      </x:c>
      <x:c r="D695" s="24"/>
      <x:c r="E695" s="24"/>
      <x:c r="F695" s="24" t="n">
        <x:v>72.18925625493165</x:v>
      </x:c>
      <x:c r="G695" s="24"/>
      <x:c r="H695" s="24"/>
      <x:c r="I695" s="24" t="n">
        <x:v>73.41805269607468</x:v>
      </x:c>
      <x:c r="J695" s="24"/>
      <x:c r="K695" s="24"/>
      <x:c r="L695" s="24"/>
      <x:c r="M695" s="24"/>
      <x:c r="N695" s="24"/>
      <x:c r="O695" s="24"/>
      <x:c r="P695" s="24"/>
      <x:c r="Q695" s="24"/>
      <x:c r="R695" s="24"/>
      <x:c r="S695" s="24"/>
      <x:c r="T695" s="24"/>
      <x:c r="U695" s="24"/>
    </x:row>
    <x:row r="696">
      <x:c r="A696" s="24" t="n">
        <x:v>69.4</x:v>
      </x:c>
      <x:c r="B696" s="24"/>
      <x:c r="C696" s="24" t="n">
        <x:v>70.27690264172026</x:v>
      </x:c>
      <x:c r="D696" s="24"/>
      <x:c r="E696" s="24"/>
      <x:c r="F696" s="24" t="n">
        <x:v>86.72820799817525</x:v>
      </x:c>
      <x:c r="G696" s="24"/>
      <x:c r="H696" s="24"/>
      <x:c r="I696" s="24" t="n">
        <x:v>80.63126644857365</x:v>
      </x:c>
      <x:c r="J696" s="24"/>
      <x:c r="K696" s="24"/>
      <x:c r="L696" s="24"/>
      <x:c r="M696" s="24"/>
      <x:c r="N696" s="24"/>
      <x:c r="O696" s="24"/>
      <x:c r="P696" s="24"/>
      <x:c r="Q696" s="24"/>
      <x:c r="R696" s="24"/>
      <x:c r="S696" s="24"/>
      <x:c r="T696" s="24"/>
      <x:c r="U696" s="24"/>
    </x:row>
    <x:row r="697">
      <x:c r="A697" s="24" t="n">
        <x:v>69.5</x:v>
      </x:c>
      <x:c r="B697" s="24"/>
      <x:c r="C697" s="24" t="n">
        <x:v>70.27690264172026</x:v>
      </x:c>
      <x:c r="D697" s="24"/>
      <x:c r="E697" s="24"/>
      <x:c r="F697" s="24" t="n">
        <x:v>86.72820799817525</x:v>
      </x:c>
      <x:c r="G697" s="24"/>
      <x:c r="H697" s="24"/>
      <x:c r="I697" s="24" t="n">
        <x:v>80.63126644857365</x:v>
      </x:c>
      <x:c r="J697" s="24"/>
      <x:c r="K697" s="24"/>
      <x:c r="L697" s="24"/>
      <x:c r="M697" s="24"/>
      <x:c r="N697" s="24"/>
      <x:c r="O697" s="24"/>
      <x:c r="P697" s="24"/>
      <x:c r="Q697" s="24"/>
      <x:c r="R697" s="24"/>
      <x:c r="S697" s="24"/>
      <x:c r="T697" s="24"/>
      <x:c r="U697" s="24"/>
    </x:row>
    <x:row r="698">
      <x:c r="A698" s="24" t="n">
        <x:v>69.60000000000001</x:v>
      </x:c>
      <x:c r="B698" s="24"/>
      <x:c r="C698" s="24" t="n">
        <x:v>69.14414646805433</x:v>
      </x:c>
      <x:c r="D698" s="24"/>
      <x:c r="E698" s="24"/>
      <x:c r="F698" s="24" t="n">
        <x:v>80.16449353380756</x:v>
      </x:c>
      <x:c r="G698" s="24"/>
      <x:c r="H698" s="24"/>
      <x:c r="I698" s="24" t="n">
        <x:v>73.51327674651691</x:v>
      </x:c>
      <x:c r="J698" s="24"/>
      <x:c r="K698" s="24"/>
      <x:c r="L698" s="24"/>
      <x:c r="M698" s="24"/>
      <x:c r="N698" s="24"/>
      <x:c r="O698" s="24"/>
      <x:c r="P698" s="24"/>
      <x:c r="Q698" s="24"/>
      <x:c r="R698" s="24"/>
      <x:c r="S698" s="24"/>
      <x:c r="T698" s="24"/>
      <x:c r="U698" s="24"/>
    </x:row>
    <x:row r="699">
      <x:c r="A699" s="24" t="n">
        <x:v>69.7</x:v>
      </x:c>
      <x:c r="B699" s="24"/>
      <x:c r="C699" s="24" t="n">
        <x:v>76.11832006278647</x:v>
      </x:c>
      <x:c r="D699" s="24"/>
      <x:c r="E699" s="24"/>
      <x:c r="F699" s="24" t="n">
        <x:v>69.69193205003708</x:v>
      </x:c>
      <x:c r="G699" s="24"/>
      <x:c r="H699" s="24"/>
      <x:c r="I699" s="24" t="n">
        <x:v>62.36512713201071</x:v>
      </x:c>
      <x:c r="J699" s="24"/>
      <x:c r="K699" s="24"/>
      <x:c r="L699" s="24"/>
      <x:c r="M699" s="24"/>
      <x:c r="N699" s="24"/>
      <x:c r="O699" s="24"/>
      <x:c r="P699" s="24"/>
      <x:c r="Q699" s="24"/>
      <x:c r="R699" s="24"/>
      <x:c r="S699" s="24"/>
      <x:c r="T699" s="24"/>
      <x:c r="U699" s="24"/>
    </x:row>
    <x:row r="700">
      <x:c r="A700" s="24" t="n">
        <x:v>69.8</x:v>
      </x:c>
      <x:c r="B700" s="24"/>
      <x:c r="C700" s="24" t="n">
        <x:v>76.11832006278647</x:v>
      </x:c>
      <x:c r="D700" s="24"/>
      <x:c r="E700" s="24"/>
      <x:c r="F700" s="24" t="n">
        <x:v>66.08761729350684</x:v>
      </x:c>
      <x:c r="G700" s="24"/>
      <x:c r="H700" s="24"/>
      <x:c r="I700" s="24" t="n">
        <x:v>62.13644866298321</x:v>
      </x:c>
      <x:c r="J700" s="24"/>
      <x:c r="K700" s="24"/>
      <x:c r="L700" s="24"/>
      <x:c r="M700" s="24"/>
      <x:c r="N700" s="24"/>
      <x:c r="O700" s="24"/>
      <x:c r="P700" s="24"/>
      <x:c r="Q700" s="24"/>
      <x:c r="R700" s="24"/>
      <x:c r="S700" s="24"/>
      <x:c r="T700" s="24"/>
      <x:c r="U700" s="24"/>
    </x:row>
    <x:row r="701">
      <x:c r="A701" s="24" t="n">
        <x:v>69.9</x:v>
      </x:c>
      <x:c r="B701" s="24"/>
      <x:c r="C701" s="24" t="n">
        <x:v>73.16857685786229</x:v>
      </x:c>
      <x:c r="D701" s="24"/>
      <x:c r="E701" s="24"/>
      <x:c r="F701" s="24" t="n">
        <x:v>65.56005960146601</x:v>
      </x:c>
      <x:c r="G701" s="24"/>
      <x:c r="H701" s="24"/>
      <x:c r="I701" s="24" t="n">
        <x:v>63.11196625533623</x:v>
      </x:c>
      <x:c r="J701" s="24"/>
      <x:c r="K701" s="24"/>
      <x:c r="L701" s="24"/>
      <x:c r="M701" s="24"/>
      <x:c r="N701" s="24"/>
      <x:c r="O701" s="24"/>
      <x:c r="P701" s="24"/>
      <x:c r="Q701" s="24"/>
      <x:c r="R701" s="24"/>
      <x:c r="S701" s="24"/>
      <x:c r="T701" s="24"/>
      <x:c r="U701" s="24"/>
    </x:row>
    <x:row r="702">
      <x:c r="A702" s="24" t="n">
        <x:v>70</x:v>
      </x:c>
      <x:c r="B702" s="24"/>
      <x:c r="C702" s="24" t="n">
        <x:v>60.28172073300888</x:v>
      </x:c>
      <x:c r="D702" s="24"/>
      <x:c r="E702" s="24"/>
      <x:c r="F702" s="24" t="n">
        <x:v>57.65144569568061</x:v>
      </x:c>
      <x:c r="G702" s="24"/>
      <x:c r="H702" s="24"/>
      <x:c r="I702" s="24" t="n">
        <x:v>63.697276810747866</x:v>
      </x:c>
      <x:c r="J702" s="24"/>
      <x:c r="K702" s="24"/>
      <x:c r="L702" s="24"/>
      <x:c r="M702" s="24"/>
      <x:c r="N702" s="24"/>
      <x:c r="O702" s="24"/>
      <x:c r="P702" s="24"/>
      <x:c r="Q702" s="24"/>
      <x:c r="R702" s="24"/>
      <x:c r="S702" s="24"/>
      <x:c r="T702" s="24"/>
      <x:c r="U702" s="24"/>
    </x:row>
    <x:row r="703">
      <x:c r="A703" s="24" t="n">
        <x:v>70.10000000000001</x:v>
      </x:c>
      <x:c r="B703" s="24"/>
      <x:c r="C703" s="24" t="n">
        <x:v>59.524282212660765</x:v>
      </x:c>
      <x:c r="D703" s="24"/>
      <x:c r="E703" s="24"/>
      <x:c r="F703" s="24" t="n">
        <x:v>64.36077099943293</x:v>
      </x:c>
      <x:c r="G703" s="24"/>
      <x:c r="H703" s="24"/>
      <x:c r="I703" s="24" t="n">
        <x:v>68.7812361510604</x:v>
      </x:c>
      <x:c r="J703" s="24"/>
      <x:c r="K703" s="24"/>
      <x:c r="L703" s="24"/>
      <x:c r="M703" s="24"/>
      <x:c r="N703" s="24"/>
      <x:c r="O703" s="24"/>
      <x:c r="P703" s="24"/>
      <x:c r="Q703" s="24"/>
      <x:c r="R703" s="24"/>
      <x:c r="S703" s="24"/>
      <x:c r="T703" s="24"/>
      <x:c r="U703" s="24"/>
    </x:row>
    <x:row r="704">
      <x:c r="A704" s="24" t="n">
        <x:v>70.2</x:v>
      </x:c>
      <x:c r="B704" s="24"/>
      <x:c r="C704" s="24" t="n">
        <x:v>62.63985398025912</x:v>
      </x:c>
      <x:c r="D704" s="24"/>
      <x:c r="E704" s="24"/>
      <x:c r="F704" s="24" t="n">
        <x:v>64.36077099943293</x:v>
      </x:c>
      <x:c r="G704" s="24"/>
      <x:c r="H704" s="24"/>
      <x:c r="I704" s="24" t="n">
        <x:v>68.7812361510604</x:v>
      </x:c>
      <x:c r="J704" s="24"/>
      <x:c r="K704" s="24"/>
      <x:c r="L704" s="24"/>
      <x:c r="M704" s="24"/>
      <x:c r="N704" s="24"/>
      <x:c r="O704" s="24"/>
      <x:c r="P704" s="24"/>
      <x:c r="Q704" s="24"/>
      <x:c r="R704" s="24"/>
      <x:c r="S704" s="24"/>
      <x:c r="T704" s="24"/>
      <x:c r="U704" s="24"/>
    </x:row>
    <x:row r="705">
      <x:c r="A705" s="24" t="n">
        <x:v>70.3</x:v>
      </x:c>
      <x:c r="B705" s="24"/>
      <x:c r="C705" s="24" t="n">
        <x:v>62.98616887962283</x:v>
      </x:c>
      <x:c r="D705" s="24"/>
      <x:c r="E705" s="24"/>
      <x:c r="F705" s="24" t="n">
        <x:v>70.6323818267415</x:v>
      </x:c>
      <x:c r="G705" s="24"/>
      <x:c r="H705" s="24"/>
      <x:c r="I705" s="24" t="n">
        <x:v>66.81910095261279</x:v>
      </x:c>
      <x:c r="J705" s="24"/>
      <x:c r="K705" s="24"/>
      <x:c r="L705" s="24"/>
      <x:c r="M705" s="24"/>
      <x:c r="N705" s="24"/>
      <x:c r="O705" s="24"/>
      <x:c r="P705" s="24"/>
      <x:c r="Q705" s="24"/>
      <x:c r="R705" s="24"/>
      <x:c r="S705" s="24"/>
      <x:c r="T705" s="24"/>
      <x:c r="U705" s="24"/>
    </x:row>
    <x:row r="706">
      <x:c r="A706" s="24" t="n">
        <x:v>70.4</x:v>
      </x:c>
      <x:c r="B706" s="24"/>
      <x:c r="C706" s="24" t="n">
        <x:v>63.16785867573012</x:v>
      </x:c>
      <x:c r="D706" s="24"/>
      <x:c r="E706" s="24"/>
      <x:c r="F706" s="24" t="n">
        <x:v>71.89904681330447</x:v>
      </x:c>
      <x:c r="G706" s="24"/>
      <x:c r="H706" s="24"/>
      <x:c r="I706" s="24" t="n">
        <x:v>56.35244177317161</x:v>
      </x:c>
      <x:c r="J706" s="24"/>
      <x:c r="K706" s="24"/>
      <x:c r="L706" s="24"/>
      <x:c r="M706" s="24"/>
      <x:c r="N706" s="24"/>
      <x:c r="O706" s="24"/>
      <x:c r="P706" s="24"/>
      <x:c r="Q706" s="24"/>
      <x:c r="R706" s="24"/>
      <x:c r="S706" s="24"/>
      <x:c r="T706" s="24"/>
      <x:c r="U706" s="24"/>
    </x:row>
    <x:row r="707">
      <x:c r="A707" s="24" t="n">
        <x:v>70.5</x:v>
      </x:c>
      <x:c r="B707" s="24"/>
      <x:c r="C707" s="24" t="n">
        <x:v>63.86213019333499</x:v>
      </x:c>
      <x:c r="D707" s="24"/>
      <x:c r="E707" s="24"/>
      <x:c r="F707" s="24" t="n">
        <x:v>71.78794549703062</x:v>
      </x:c>
      <x:c r="G707" s="24"/>
      <x:c r="H707" s="24"/>
      <x:c r="I707" s="24" t="n">
        <x:v>67.08714790280007</x:v>
      </x:c>
      <x:c r="J707" s="24"/>
      <x:c r="K707" s="24"/>
      <x:c r="L707" s="24"/>
      <x:c r="M707" s="24"/>
      <x:c r="N707" s="24"/>
      <x:c r="O707" s="24"/>
      <x:c r="P707" s="24"/>
      <x:c r="Q707" s="24"/>
      <x:c r="R707" s="24"/>
      <x:c r="S707" s="24"/>
      <x:c r="T707" s="24"/>
      <x:c r="U707" s="24"/>
    </x:row>
    <x:row r="708">
      <x:c r="A708" s="24" t="n">
        <x:v>70.60000000000001</x:v>
      </x:c>
      <x:c r="B708" s="24"/>
      <x:c r="C708" s="24" t="n">
        <x:v>64.34863735706806</x:v>
      </x:c>
      <x:c r="D708" s="24"/>
      <x:c r="E708" s="24"/>
      <x:c r="F708" s="24" t="n">
        <x:v>58.573553607239994</x:v>
      </x:c>
      <x:c r="G708" s="24"/>
      <x:c r="H708" s="24"/>
      <x:c r="I708" s="24" t="n">
        <x:v>69.16014460002418</x:v>
      </x:c>
      <x:c r="J708" s="24"/>
      <x:c r="K708" s="24"/>
      <x:c r="L708" s="24"/>
      <x:c r="M708" s="24"/>
      <x:c r="N708" s="24"/>
      <x:c r="O708" s="24"/>
      <x:c r="P708" s="24"/>
      <x:c r="Q708" s="24"/>
      <x:c r="R708" s="24"/>
      <x:c r="S708" s="24"/>
      <x:c r="T708" s="24"/>
      <x:c r="U708" s="24"/>
    </x:row>
    <x:row r="709">
      <x:c r="A709" s="24" t="n">
        <x:v>70.7</x:v>
      </x:c>
      <x:c r="B709" s="24"/>
      <x:c r="C709" s="24" t="n">
        <x:v>63.82544655491026</x:v>
      </x:c>
      <x:c r="D709" s="24"/>
      <x:c r="E709" s="24"/>
      <x:c r="F709" s="24" t="n">
        <x:v>52.62734679463941</x:v>
      </x:c>
      <x:c r="G709" s="24"/>
      <x:c r="H709" s="24"/>
      <x:c r="I709" s="24" t="n">
        <x:v>69.33964809976881</x:v>
      </x:c>
      <x:c r="J709" s="24"/>
      <x:c r="K709" s="24"/>
      <x:c r="L709" s="24"/>
      <x:c r="M709" s="24"/>
      <x:c r="N709" s="24"/>
      <x:c r="O709" s="24"/>
      <x:c r="P709" s="24"/>
      <x:c r="Q709" s="24"/>
      <x:c r="R709" s="24"/>
      <x:c r="S709" s="24"/>
      <x:c r="T709" s="24"/>
      <x:c r="U709" s="24"/>
    </x:row>
    <x:row r="710">
      <x:c r="A710" s="24" t="n">
        <x:v>70.8</x:v>
      </x:c>
      <x:c r="B710" s="24"/>
      <x:c r="C710" s="24" t="n">
        <x:v>64.21916435390887</x:v>
      </x:c>
      <x:c r="D710" s="24"/>
      <x:c r="E710" s="24"/>
      <x:c r="F710" s="24" t="n">
        <x:v>66.00280831786573</x:v>
      </x:c>
      <x:c r="G710" s="24"/>
      <x:c r="H710" s="24"/>
      <x:c r="I710" s="24" t="n">
        <x:v>69.33964809976881</x:v>
      </x:c>
      <x:c r="J710" s="24"/>
      <x:c r="K710" s="24"/>
      <x:c r="L710" s="24"/>
      <x:c r="M710" s="24"/>
      <x:c r="N710" s="24"/>
      <x:c r="O710" s="24"/>
      <x:c r="P710" s="24"/>
      <x:c r="Q710" s="24"/>
      <x:c r="R710" s="24"/>
      <x:c r="S710" s="24"/>
      <x:c r="T710" s="24"/>
      <x:c r="U710" s="24"/>
    </x:row>
    <x:row r="711">
      <x:c r="A711" s="24" t="n">
        <x:v>70.9</x:v>
      </x:c>
      <x:c r="B711" s="24"/>
      <x:c r="C711" s="24" t="n">
        <x:v>70.59508101018824</x:v>
      </x:c>
      <x:c r="D711" s="24"/>
      <x:c r="E711" s="24"/>
      <x:c r="F711" s="24" t="n">
        <x:v>67.97648163875746</x:v>
      </x:c>
      <x:c r="G711" s="24"/>
      <x:c r="H711" s="24"/>
      <x:c r="I711" s="24" t="n">
        <x:v>68.45722807846148</x:v>
      </x:c>
      <x:c r="J711" s="24"/>
      <x:c r="K711" s="24"/>
      <x:c r="L711" s="24"/>
      <x:c r="M711" s="24"/>
      <x:c r="N711" s="24"/>
      <x:c r="O711" s="24"/>
      <x:c r="P711" s="24"/>
      <x:c r="Q711" s="24"/>
      <x:c r="R711" s="24"/>
      <x:c r="S711" s="24"/>
      <x:c r="T711" s="24"/>
      <x:c r="U711" s="24"/>
    </x:row>
    <x:row r="712">
      <x:c r="A712" s="24" t="n">
        <x:v>71</x:v>
      </x:c>
      <x:c r="B712" s="24"/>
      <x:c r="C712" s="24" t="n">
        <x:v>74.83760277594394</x:v>
      </x:c>
      <x:c r="D712" s="24"/>
      <x:c r="E712" s="24"/>
      <x:c r="F712" s="24" t="n">
        <x:v>69.0419874039352</x:v>
      </x:c>
      <x:c r="G712" s="24"/>
      <x:c r="H712" s="24"/>
      <x:c r="I712" s="24" t="n">
        <x:v>69.00119615029965</x:v>
      </x:c>
      <x:c r="J712" s="24"/>
      <x:c r="K712" s="24"/>
      <x:c r="L712" s="24"/>
      <x:c r="M712" s="24"/>
      <x:c r="N712" s="24"/>
      <x:c r="O712" s="24"/>
      <x:c r="P712" s="24"/>
      <x:c r="Q712" s="24"/>
      <x:c r="R712" s="24"/>
      <x:c r="S712" s="24"/>
      <x:c r="T712" s="24"/>
      <x:c r="U712" s="24"/>
    </x:row>
    <x:row r="713">
      <x:c r="A713" s="24" t="n">
        <x:v>71.10000000000001</x:v>
      </x:c>
      <x:c r="B713" s="24"/>
      <x:c r="C713" s="24"/>
      <x:c r="D713" s="24"/>
      <x:c r="E713" s="24"/>
      <x:c r="F713" s="24" t="n">
        <x:v>69.52182323460886</x:v>
      </x:c>
      <x:c r="G713" s="24"/>
      <x:c r="H713" s="24"/>
      <x:c r="I713" s="24" t="n">
        <x:v>69.00119615029968</x:v>
      </x:c>
      <x:c r="J713" s="24"/>
      <x:c r="K713" s="24"/>
      <x:c r="L713" s="24"/>
      <x:c r="M713" s="24"/>
      <x:c r="N713" s="24"/>
      <x:c r="O713" s="24"/>
      <x:c r="P713" s="24"/>
      <x:c r="Q713" s="24"/>
      <x:c r="R713" s="24"/>
      <x:c r="S713" s="24"/>
      <x:c r="T713" s="24"/>
      <x:c r="U713" s="24"/>
    </x:row>
    <x:row r="714">
      <x:c r="A714" s="24" t="n">
        <x:v>71.2</x:v>
      </x:c>
      <x:c r="B714" s="24"/>
      <x:c r="C714" s="24"/>
      <x:c r="D714" s="24"/>
      <x:c r="E714" s="24"/>
      <x:c r="F714" s="24" t="n">
        <x:v>69.1899556392497</x:v>
      </x:c>
      <x:c r="G714" s="24"/>
      <x:c r="H714" s="24"/>
      <x:c r="I714" s="24" t="n">
        <x:v>69.04856320266201</x:v>
      </x:c>
      <x:c r="J714" s="24"/>
      <x:c r="K714" s="24"/>
      <x:c r="L714" s="24"/>
      <x:c r="M714" s="24"/>
      <x:c r="N714" s="24"/>
      <x:c r="O714" s="24"/>
      <x:c r="P714" s="24"/>
      <x:c r="Q714" s="24"/>
      <x:c r="R714" s="24"/>
      <x:c r="S714" s="24"/>
      <x:c r="T714" s="24"/>
      <x:c r="U714" s="24"/>
    </x:row>
    <x:row r="715">
      <x:c r="A715" s="24" t="n">
        <x:v>71.3</x:v>
      </x:c>
      <x:c r="B715" s="24"/>
      <x:c r="C715" s="24"/>
      <x:c r="D715" s="24"/>
      <x:c r="E715" s="24"/>
      <x:c r="F715" s="24" t="n">
        <x:v>67.86510141224626</x:v>
      </x:c>
      <x:c r="G715" s="24"/>
      <x:c r="H715" s="24"/>
      <x:c r="I715" s="24" t="n">
        <x:v>68.12415597732601</x:v>
      </x:c>
      <x:c r="J715" s="24"/>
      <x:c r="K715" s="24"/>
      <x:c r="L715" s="24"/>
      <x:c r="M715" s="24"/>
      <x:c r="N715" s="24"/>
      <x:c r="O715" s="24"/>
      <x:c r="P715" s="24"/>
      <x:c r="Q715" s="24"/>
      <x:c r="R715" s="24"/>
      <x:c r="S715" s="24"/>
      <x:c r="T715" s="24"/>
      <x:c r="U715" s="24"/>
    </x:row>
    <x:row r="716">
      <x:c r="A716" s="24" t="n">
        <x:v>71.4</x:v>
      </x:c>
      <x:c r="B716" s="24"/>
      <x:c r="C716" s="24"/>
      <x:c r="D716" s="24"/>
      <x:c r="E716" s="24"/>
      <x:c r="F716" s="24" t="n">
        <x:v>68.03425210156038</x:v>
      </x:c>
      <x:c r="G716" s="24"/>
      <x:c r="H716" s="24"/>
      <x:c r="I716" s="24" t="n">
        <x:v>79.37856743961271</x:v>
      </x:c>
      <x:c r="J716" s="24"/>
      <x:c r="K716" s="24"/>
      <x:c r="L716" s="24"/>
      <x:c r="M716" s="24"/>
      <x:c r="N716" s="24"/>
      <x:c r="O716" s="24"/>
      <x:c r="P716" s="24"/>
      <x:c r="Q716" s="24"/>
      <x:c r="R716" s="24"/>
      <x:c r="S716" s="24"/>
      <x:c r="T716" s="24"/>
      <x:c r="U716" s="24"/>
    </x:row>
    <x:row r="717">
      <x:c r="A717" s="24" t="n">
        <x:v>71.5</x:v>
      </x:c>
      <x:c r="B717" s="24"/>
      <x:c r="C717" s="24"/>
      <x:c r="D717" s="24"/>
      <x:c r="E717" s="24"/>
      <x:c r="F717" s="24" t="n">
        <x:v>68.03425210156038</x:v>
      </x:c>
      <x:c r="G717" s="24"/>
      <x:c r="H717" s="24"/>
      <x:c r="I717" s="24" t="n">
        <x:v>79.37856743961271</x:v>
      </x:c>
      <x:c r="J717" s="24"/>
      <x:c r="K717" s="24"/>
      <x:c r="L717" s="24"/>
      <x:c r="M717" s="24"/>
      <x:c r="N717" s="24"/>
      <x:c r="O717" s="24"/>
      <x:c r="P717" s="24"/>
      <x:c r="Q717" s="24"/>
      <x:c r="R717" s="24"/>
      <x:c r="S717" s="24"/>
      <x:c r="T717" s="24"/>
      <x:c r="U717" s="24"/>
    </x:row>
    <x:row r="718">
      <x:c r="A718" s="24" t="n">
        <x:v>71.60000000000001</x:v>
      </x:c>
      <x:c r="B718" s="24"/>
      <x:c r="C718" s="24"/>
      <x:c r="D718" s="24"/>
      <x:c r="E718" s="24"/>
      <x:c r="F718" s="24" t="n">
        <x:v>71.19738163656487</x:v>
      </x:c>
      <x:c r="G718" s="24"/>
      <x:c r="H718" s="24"/>
      <x:c r="I718" s="24" t="n">
        <x:v>77.18248120753653</x:v>
      </x:c>
      <x:c r="J718" s="24"/>
      <x:c r="K718" s="24"/>
      <x:c r="L718" s="24"/>
      <x:c r="M718" s="24"/>
      <x:c r="N718" s="24"/>
      <x:c r="O718" s="24"/>
      <x:c r="P718" s="24"/>
      <x:c r="Q718" s="24"/>
      <x:c r="R718" s="24"/>
      <x:c r="S718" s="24"/>
      <x:c r="T718" s="24"/>
      <x:c r="U718" s="24"/>
    </x:row>
    <x:row r="719">
      <x:c r="A719" s="24" t="n">
        <x:v>71.7</x:v>
      </x:c>
      <x:c r="B719" s="24"/>
      <x:c r="C719" s="24"/>
      <x:c r="D719" s="24"/>
      <x:c r="E719" s="24"/>
      <x:c r="F719" s="24" t="n">
        <x:v>71.19738163656487</x:v>
      </x:c>
      <x:c r="G719" s="24"/>
      <x:c r="H719" s="24"/>
      <x:c r="I719" s="24" t="n">
        <x:v>68.98228799114565</x:v>
      </x:c>
      <x:c r="J719" s="24"/>
      <x:c r="K719" s="24"/>
      <x:c r="L719" s="24"/>
      <x:c r="M719" s="24"/>
      <x:c r="N719" s="24"/>
      <x:c r="O719" s="24"/>
      <x:c r="P719" s="24"/>
      <x:c r="Q719" s="24"/>
      <x:c r="R719" s="24"/>
      <x:c r="S719" s="24"/>
      <x:c r="T719" s="24"/>
      <x:c r="U719" s="24"/>
    </x:row>
    <x:row r="720">
      <x:c r="A720" s="24" t="n">
        <x:v>71.8</x:v>
      </x:c>
      <x:c r="B720" s="24"/>
      <x:c r="C720" s="24"/>
      <x:c r="D720" s="24"/>
      <x:c r="E720" s="24"/>
      <x:c r="F720" s="24" t="n">
        <x:v>85.32171892680483</x:v>
      </x:c>
      <x:c r="G720" s="24"/>
      <x:c r="H720" s="24"/>
      <x:c r="I720" s="24" t="n">
        <x:v>67.23559213729573</x:v>
      </x:c>
      <x:c r="J720" s="24"/>
      <x:c r="K720" s="24"/>
      <x:c r="L720" s="24"/>
      <x:c r="M720" s="24"/>
      <x:c r="N720" s="24"/>
      <x:c r="O720" s="24"/>
      <x:c r="P720" s="24"/>
      <x:c r="Q720" s="24"/>
      <x:c r="R720" s="24"/>
      <x:c r="S720" s="24"/>
      <x:c r="T720" s="24"/>
      <x:c r="U720" s="24"/>
    </x:row>
    <x:row r="721">
      <x:c r="A721" s="24" t="n">
        <x:v>71.9</x:v>
      </x:c>
      <x:c r="B721" s="24"/>
      <x:c r="C721" s="24"/>
      <x:c r="D721" s="24"/>
      <x:c r="E721" s="24"/>
      <x:c r="F721" s="24" t="n">
        <x:v>85.32171892680483</x:v>
      </x:c>
      <x:c r="G721" s="24"/>
      <x:c r="H721" s="24"/>
      <x:c r="I721" s="24" t="n">
        <x:v>67.0394911855171</x:v>
      </x:c>
      <x:c r="J721" s="24"/>
      <x:c r="K721" s="24"/>
      <x:c r="L721" s="24"/>
      <x:c r="M721" s="24"/>
      <x:c r="N721" s="24"/>
      <x:c r="O721" s="24"/>
      <x:c r="P721" s="24"/>
      <x:c r="Q721" s="24"/>
      <x:c r="R721" s="24"/>
      <x:c r="S721" s="24"/>
      <x:c r="T721" s="24"/>
      <x:c r="U721" s="24"/>
    </x:row>
    <x:row r="722">
      <x:c r="A722" s="24" t="n">
        <x:v>72</x:v>
      </x:c>
      <x:c r="B722" s="24"/>
      <x:c r="C722" s="24"/>
      <x:c r="D722" s="24"/>
      <x:c r="E722" s="24"/>
      <x:c r="F722" s="24" t="n">
        <x:v>82.60800291587833</x:v>
      </x:c>
      <x:c r="G722" s="24"/>
      <x:c r="H722" s="24"/>
      <x:c r="I722" s="24" t="n">
        <x:v>66.84339023373849</x:v>
      </x:c>
      <x:c r="J722" s="24"/>
      <x:c r="K722" s="24"/>
      <x:c r="L722" s="24"/>
      <x:c r="M722" s="24"/>
      <x:c r="N722" s="24"/>
      <x:c r="O722" s="24"/>
      <x:c r="P722" s="24"/>
      <x:c r="Q722" s="24"/>
      <x:c r="R722" s="24"/>
      <x:c r="S722" s="24"/>
      <x:c r="T722" s="24"/>
      <x:c r="U722" s="24"/>
    </x:row>
    <x:row r="723">
      <x:c r="A723" s="24" t="n">
        <x:v>72.10000000000001</x:v>
      </x:c>
      <x:c r="B723" s="24"/>
      <x:c r="C723" s="24"/>
      <x:c r="D723" s="24"/>
      <x:c r="E723" s="24"/>
      <x:c r="F723" s="24" t="n">
        <x:v>73.76854763983654</x:v>
      </x:c>
      <x:c r="G723" s="24"/>
      <x:c r="H723" s="24"/>
      <x:c r="I723" s="24" t="n">
        <x:v>66.84339023373849</x:v>
      </x:c>
      <x:c r="J723" s="24"/>
      <x:c r="K723" s="24"/>
      <x:c r="L723" s="24"/>
      <x:c r="M723" s="24"/>
      <x:c r="N723" s="24"/>
      <x:c r="O723" s="24"/>
      <x:c r="P723" s="24"/>
      <x:c r="Q723" s="24"/>
      <x:c r="R723" s="24"/>
      <x:c r="S723" s="24"/>
      <x:c r="T723" s="24"/>
      <x:c r="U723" s="24"/>
    </x:row>
    <x:row r="724">
      <x:c r="A724" s="24" t="n">
        <x:v>72.2</x:v>
      </x:c>
      <x:c r="B724" s="24"/>
      <x:c r="C724" s="24"/>
      <x:c r="D724" s="24"/>
      <x:c r="E724" s="24"/>
      <x:c r="F724" s="24" t="n">
        <x:v>65.98340693228282</x:v>
      </x:c>
      <x:c r="G724" s="24"/>
      <x:c r="H724" s="24"/>
      <x:c r="I724" s="24" t="n">
        <x:v>69.22725872966532</x:v>
      </x:c>
      <x:c r="J724" s="24"/>
      <x:c r="K724" s="24"/>
      <x:c r="L724" s="24"/>
      <x:c r="M724" s="24"/>
      <x:c r="N724" s="24"/>
      <x:c r="O724" s="24"/>
      <x:c r="P724" s="24"/>
      <x:c r="Q724" s="24"/>
      <x:c r="R724" s="24"/>
      <x:c r="S724" s="24"/>
      <x:c r="T724" s="24"/>
      <x:c r="U724" s="24"/>
    </x:row>
    <x:row r="725">
      <x:c r="A725" s="24" t="n">
        <x:v>72.3</x:v>
      </x:c>
      <x:c r="B725" s="24"/>
      <x:c r="C725" s="24"/>
      <x:c r="D725" s="24"/>
      <x:c r="E725" s="24"/>
      <x:c r="F725" s="24" t="n">
        <x:v>62.551427348032725</x:v>
      </x:c>
      <x:c r="G725" s="24"/>
      <x:c r="H725" s="24"/>
      <x:c r="I725" s="24" t="n">
        <x:v>73.67260755303118</x:v>
      </x:c>
      <x:c r="J725" s="24"/>
      <x:c r="K725" s="24"/>
      <x:c r="L725" s="24"/>
      <x:c r="M725" s="24"/>
      <x:c r="N725" s="24"/>
      <x:c r="O725" s="24"/>
      <x:c r="P725" s="24"/>
      <x:c r="Q725" s="24"/>
      <x:c r="R725" s="24"/>
      <x:c r="S725" s="24"/>
      <x:c r="T725" s="24"/>
      <x:c r="U725" s="24"/>
    </x:row>
    <x:row r="726">
      <x:c r="A726" s="24" t="n">
        <x:v>72.4</x:v>
      </x:c>
      <x:c r="B726" s="24"/>
      <x:c r="C726" s="24"/>
      <x:c r="D726" s="24"/>
      <x:c r="E726" s="24"/>
      <x:c r="F726" s="24" t="n">
        <x:v>54.09358958019683</x:v>
      </x:c>
      <x:c r="G726" s="24"/>
      <x:c r="H726" s="24"/>
      <x:c r="I726" s="24" t="n">
        <x:v>73.67260755303118</x:v>
      </x:c>
      <x:c r="J726" s="24"/>
      <x:c r="K726" s="24"/>
      <x:c r="L726" s="24"/>
      <x:c r="M726" s="24"/>
      <x:c r="N726" s="24"/>
      <x:c r="O726" s="24"/>
      <x:c r="P726" s="24"/>
      <x:c r="Q726" s="24"/>
      <x:c r="R726" s="24"/>
      <x:c r="S726" s="24"/>
      <x:c r="T726" s="24"/>
      <x:c r="U726" s="24"/>
    </x:row>
    <x:row r="727">
      <x:c r="A727" s="24" t="n">
        <x:v>72.5</x:v>
      </x:c>
      <x:c r="B727" s="24"/>
      <x:c r="C727" s="24"/>
      <x:c r="D727" s="24"/>
      <x:c r="E727" s="24"/>
      <x:c r="F727" s="24" t="n">
        <x:v>59.77388791954717</x:v>
      </x:c>
      <x:c r="G727" s="24"/>
      <x:c r="H727" s="24"/>
      <x:c r="I727" s="24"/>
      <x:c r="J727" s="24"/>
      <x:c r="K727" s="24"/>
      <x:c r="L727" s="24"/>
      <x:c r="M727" s="24"/>
      <x:c r="N727" s="24"/>
      <x:c r="O727" s="24"/>
      <x:c r="P727" s="24"/>
      <x:c r="Q727" s="24"/>
      <x:c r="R727" s="24"/>
      <x:c r="S727" s="24"/>
      <x:c r="T727" s="24"/>
      <x:c r="U727" s="24"/>
    </x:row>
    <x:row r="728">
      <x:c r="A728" s="24" t="n">
        <x:v>72.60000000000001</x:v>
      </x:c>
      <x:c r="B728" s="24"/>
      <x:c r="C728" s="24"/>
      <x:c r="D728" s="24"/>
      <x:c r="E728" s="24"/>
      <x:c r="F728" s="24" t="n">
        <x:v>63.182066923157706</x:v>
      </x:c>
      <x:c r="G728" s="24"/>
      <x:c r="H728" s="24"/>
      <x:c r="I728" s="24"/>
      <x:c r="J728" s="24"/>
      <x:c r="K728" s="24"/>
      <x:c r="L728" s="24"/>
      <x:c r="M728" s="24"/>
      <x:c r="N728" s="24"/>
      <x:c r="O728" s="24"/>
      <x:c r="P728" s="24"/>
      <x:c r="Q728" s="24"/>
      <x:c r="R728" s="24"/>
      <x:c r="S728" s="24"/>
      <x:c r="T728" s="24"/>
      <x:c r="U728" s="24"/>
    </x:row>
    <x:row r="729">
      <x:c r="A729" s="24" t="n">
        <x:v>72.7</x:v>
      </x:c>
      <x:c r="B729" s="24"/>
      <x:c r="C729" s="24"/>
      <x:c r="D729" s="24"/>
      <x:c r="E729" s="24"/>
      <x:c r="F729" s="24" t="n">
        <x:v>67.13007459217764</x:v>
      </x:c>
      <x:c r="G729" s="24"/>
      <x:c r="H729" s="24"/>
      <x:c r="I729" s="24"/>
      <x:c r="J729" s="24"/>
      <x:c r="K729" s="24"/>
      <x:c r="L729" s="24"/>
      <x:c r="M729" s="24"/>
      <x:c r="N729" s="24"/>
      <x:c r="O729" s="24"/>
      <x:c r="P729" s="24"/>
      <x:c r="Q729" s="24"/>
      <x:c r="R729" s="24"/>
      <x:c r="S729" s="24"/>
      <x:c r="T729" s="24"/>
      <x:c r="U729" s="24"/>
    </x:row>
    <x:row r="730">
      <x:c r="A730" s="24" t="n">
        <x:v>72.8</x:v>
      </x:c>
      <x:c r="B730" s="24"/>
      <x:c r="C730" s="24"/>
      <x:c r="D730" s="24"/>
      <x:c r="E730" s="24"/>
      <x:c r="F730" s="24" t="n">
        <x:v>71.30900319402235</x:v>
      </x:c>
      <x:c r="G730" s="24"/>
      <x:c r="H730" s="24"/>
      <x:c r="I730" s="24"/>
      <x:c r="J730" s="24"/>
      <x:c r="K730" s="24"/>
      <x:c r="L730" s="24"/>
      <x:c r="M730" s="24"/>
      <x:c r="N730" s="24"/>
      <x:c r="O730" s="24"/>
      <x:c r="P730" s="24"/>
      <x:c r="Q730" s="24"/>
      <x:c r="R730" s="24"/>
      <x:c r="S730" s="24"/>
      <x:c r="T730" s="24"/>
      <x:c r="U730" s="24"/>
    </x:row>
    <x:row r="731">
      <x:c r="A731" s="24" t="n">
        <x:v>72.9</x:v>
      </x:c>
      <x:c r="B731" s="24"/>
      <x:c r="C731" s="24"/>
      <x:c r="D731" s="24"/>
      <x:c r="E731" s="24"/>
      <x:c r="F731" s="24" t="n">
        <x:v>71.30900319402235</x:v>
      </x:c>
      <x:c r="G731" s="24"/>
      <x:c r="H731" s="24"/>
      <x:c r="I731" s="24"/>
      <x:c r="J731" s="24"/>
      <x:c r="K731" s="24"/>
      <x:c r="L731" s="24"/>
      <x:c r="M731" s="24"/>
      <x:c r="N731" s="24"/>
      <x:c r="O731" s="24"/>
      <x:c r="P731" s="24"/>
      <x:c r="Q731" s="24"/>
      <x:c r="R731" s="24"/>
      <x:c r="S731" s="24"/>
      <x:c r="T731" s="24"/>
      <x:c r="U731" s="24"/>
    </x:row>
    <x:row r="732">
      <x:c r="A732" s="24" t="n">
        <x:v>73</x:v>
      </x:c>
      <x:c r="B732" s="24"/>
      <x:c r="C732" s="24"/>
      <x:c r="D732" s="24"/>
      <x:c r="E732" s="24"/>
      <x:c r="F732" s="24" t="n">
        <x:v>67.65086909060786</x:v>
      </x:c>
      <x:c r="G732" s="24"/>
      <x:c r="H732" s="24"/>
      <x:c r="I732" s="24"/>
      <x:c r="J732" s="24"/>
      <x:c r="K732" s="24"/>
      <x:c r="L732" s="24"/>
      <x:c r="M732" s="24"/>
      <x:c r="N732" s="24"/>
      <x:c r="O732" s="24"/>
      <x:c r="P732" s="24"/>
      <x:c r="Q732" s="24"/>
      <x:c r="R732" s="24"/>
      <x:c r="S732" s="24"/>
      <x:c r="T732" s="24"/>
      <x:c r="U732" s="24"/>
    </x:row>
    <x:row r="733">
      <x:c r="A733" s="24" t="n">
        <x:v>73.10000000000001</x:v>
      </x:c>
      <x:c r="B733" s="24"/>
      <x:c r="C733" s="24"/>
      <x:c r="D733" s="24"/>
      <x:c r="E733" s="24"/>
      <x:c r="F733" s="24" t="n">
        <x:v>64.96454457796595</x:v>
      </x:c>
      <x:c r="G733" s="24"/>
      <x:c r="H733" s="24"/>
      <x:c r="I733" s="24"/>
      <x:c r="J733" s="24"/>
      <x:c r="K733" s="24"/>
      <x:c r="L733" s="24"/>
      <x:c r="M733" s="24"/>
      <x:c r="N733" s="24"/>
      <x:c r="O733" s="24"/>
      <x:c r="P733" s="24"/>
      <x:c r="Q733" s="24"/>
      <x:c r="R733" s="24"/>
      <x:c r="S733" s="24"/>
      <x:c r="T733" s="24"/>
      <x:c r="U733" s="24"/>
    </x:row>
    <x:row r="734">
      <x:c r="A734" s="24" t="n">
        <x:v>73.2</x:v>
      </x:c>
      <x:c r="B734" s="24"/>
      <x:c r="C734" s="24"/>
      <x:c r="D734" s="24"/>
      <x:c r="E734" s="24"/>
      <x:c r="F734" s="24" t="n">
        <x:v>69.08693890458309</x:v>
      </x:c>
      <x:c r="G734" s="24"/>
      <x:c r="H734" s="24"/>
      <x:c r="I734" s="24"/>
      <x:c r="J734" s="24"/>
      <x:c r="K734" s="24"/>
      <x:c r="L734" s="24"/>
      <x:c r="M734" s="24"/>
      <x:c r="N734" s="24"/>
      <x:c r="O734" s="24"/>
      <x:c r="P734" s="24"/>
      <x:c r="Q734" s="24"/>
      <x:c r="R734" s="24"/>
      <x:c r="S734" s="24"/>
      <x:c r="T734" s="24"/>
      <x:c r="U734" s="24"/>
    </x:row>
    <x:row r="735">
      <x:c r="A735" s="24" t="n">
        <x:v>73.3</x:v>
      </x:c>
      <x:c r="B735" s="24"/>
      <x:c r="C735" s="24"/>
      <x:c r="D735" s="24"/>
      <x:c r="E735" s="24"/>
      <x:c r="F735" s="24" t="n">
        <x:v>69.14116545629881</x:v>
      </x:c>
      <x:c r="G735" s="24"/>
      <x:c r="H735" s="24"/>
      <x:c r="I735" s="24"/>
      <x:c r="J735" s="24"/>
      <x:c r="K735" s="24"/>
      <x:c r="L735" s="24"/>
      <x:c r="M735" s="24"/>
      <x:c r="N735" s="24"/>
      <x:c r="O735" s="24"/>
      <x:c r="P735" s="24"/>
      <x:c r="Q735" s="24"/>
      <x:c r="R735" s="24"/>
      <x:c r="S735" s="24"/>
      <x:c r="T735" s="24"/>
      <x:c r="U735" s="24"/>
    </x:row>
    <x:row r="736">
      <x:c r="A736" s="24" t="n">
        <x:v>73.4</x:v>
      </x:c>
      <x:c r="B736" s="24"/>
      <x:c r="C736" s="24"/>
      <x:c r="D736" s="24"/>
      <x:c r="E736" s="24"/>
      <x:c r="F736" s="24" t="n">
        <x:v>70.09897553222353</x:v>
      </x:c>
      <x:c r="G736" s="24"/>
      <x:c r="H736" s="24"/>
      <x:c r="I736" s="24"/>
      <x:c r="J736" s="24"/>
      <x:c r="K736" s="24"/>
      <x:c r="L736" s="24"/>
      <x:c r="M736" s="24"/>
      <x:c r="N736" s="24"/>
      <x:c r="O736" s="24"/>
      <x:c r="P736" s="24"/>
      <x:c r="Q736" s="24"/>
      <x:c r="R736" s="24"/>
      <x:c r="S736" s="24"/>
      <x:c r="T736" s="24"/>
      <x:c r="U736" s="24"/>
    </x:row>
    <x:row r="737">
      <x:c r="A737" s="24" t="n">
        <x:v>73.5</x:v>
      </x:c>
      <x:c r="B737" s="24"/>
      <x:c r="C737" s="24"/>
      <x:c r="D737" s="24"/>
      <x:c r="E737" s="24"/>
      <x:c r="F737" s="24" t="n">
        <x:v>70.09897553222353</x:v>
      </x:c>
      <x:c r="G737" s="24"/>
      <x:c r="H737" s="24"/>
      <x:c r="I737" s="24"/>
      <x:c r="J737" s="24"/>
      <x:c r="K737" s="24"/>
      <x:c r="L737" s="24"/>
      <x:c r="M737" s="24"/>
      <x:c r="N737" s="24"/>
      <x:c r="O737" s="24"/>
      <x:c r="P737" s="24"/>
      <x:c r="Q737" s="24"/>
      <x:c r="R737" s="24"/>
      <x:c r="S737" s="24"/>
      <x:c r="T737" s="24"/>
      <x:c r="U737" s="24"/>
    </x:row>
    <x:row r="738">
      <x:c r="A738" s="24" t="n">
        <x:v>73.60000000000001</x:v>
      </x:c>
      <x:c r="B738" s="24"/>
      <x:c r="C738" s="24"/>
      <x:c r="D738" s="24"/>
      <x:c r="E738" s="24"/>
      <x:c r="F738" s="24" t="n">
        <x:v>69.80440657924163</x:v>
      </x:c>
      <x:c r="G738" s="24"/>
      <x:c r="H738" s="24"/>
      <x:c r="I738" s="24"/>
      <x:c r="J738" s="24"/>
      <x:c r="K738" s="24"/>
      <x:c r="L738" s="24"/>
      <x:c r="M738" s="24"/>
      <x:c r="N738" s="24"/>
      <x:c r="O738" s="24"/>
      <x:c r="P738" s="24"/>
      <x:c r="Q738" s="24"/>
      <x:c r="R738" s="24"/>
      <x:c r="S738" s="24"/>
      <x:c r="T738" s="24"/>
      <x:c r="U738" s="24"/>
    </x:row>
    <x:row r="739">
      <x:c r="A739" s="24" t="n">
        <x:v>73.7</x:v>
      </x:c>
      <x:c r="B739" s="24"/>
      <x:c r="C739" s="24"/>
      <x:c r="D739" s="24"/>
      <x:c r="E739" s="24"/>
      <x:c r="F739" s="24" t="n">
        <x:v>69.80440657924163</x:v>
      </x:c>
      <x:c r="G739" s="24"/>
      <x:c r="H739" s="24"/>
      <x:c r="I739" s="24"/>
      <x:c r="J739" s="24"/>
      <x:c r="K739" s="24"/>
      <x:c r="L739" s="24"/>
      <x:c r="M739" s="24"/>
      <x:c r="N739" s="24"/>
      <x:c r="O739" s="24"/>
      <x:c r="P739" s="24"/>
      <x:c r="Q739" s="24"/>
      <x:c r="R739" s="24"/>
      <x:c r="S739" s="24"/>
      <x:c r="T739" s="24"/>
      <x:c r="U739" s="24"/>
    </x:row>
    <x:row r="740">
      <x:c r="A740" s="24" t="n">
        <x:v>73.8</x:v>
      </x:c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  <x:c r="O740" s="24"/>
      <x:c r="P740" s="24"/>
      <x:c r="Q740" s="24"/>
      <x:c r="R740" s="24"/>
      <x:c r="S740" s="24"/>
      <x:c r="T740" s="24"/>
      <x:c r="U740" s="24"/>
    </x:row>
    <x:row r="741">
      <x:c r="A741" s="24" t="n">
        <x:v>73.9</x:v>
      </x:c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  <x:c r="O741" s="24"/>
      <x:c r="P741" s="24"/>
      <x:c r="Q741" s="24"/>
      <x:c r="R741" s="24"/>
      <x:c r="S741" s="24"/>
      <x:c r="T741" s="24"/>
      <x:c r="U741" s="24"/>
    </x:row>
    <x:row r="742">
      <x:c r="A742" s="24" t="n">
        <x:v>74</x:v>
      </x:c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  <x:c r="O742" s="24"/>
      <x:c r="P742" s="24"/>
      <x:c r="Q742" s="24"/>
      <x:c r="R742" s="24"/>
      <x:c r="S742" s="24"/>
      <x:c r="T742" s="24"/>
      <x:c r="U742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</x:cols>
  <x:sheetData>
    <x:row r="1">
      <x:c r="A1" s="11" t="str">
        <x:v>相对峰值时间 ms</x:v>
      </x:c>
      <x:c r="B1" s="22" t="str">
        <x:v>FR_INIT_260709_600_常见</x:v>
      </x:c>
      <x:c r="C1" s="22" t="str">
        <x:v>FR_INIT_260709_600_较响</x:v>
      </x:c>
      <x:c r="D1" s="22" t="str">
        <x:v>DD_BASE_260707_700_常见</x:v>
      </x:c>
      <x:c r="E1" s="22" t="str">
        <x:v>DD_BASE_260707_700_较响</x:v>
      </x:c>
      <x:c r="F1" s="22" t="str">
        <x:v>FR_INIT_260709_700_常见</x:v>
      </x:c>
      <x:c r="G1" s="22" t="str">
        <x:v>FR_INIT_260709_700_较响</x:v>
      </x:c>
      <x:c r="H1" s="22" t="str">
        <x:v>DD_BASE_260707_800_常见</x:v>
      </x:c>
      <x:c r="I1" s="22" t="str">
        <x:v>DD_BASE_260707_800_较响</x:v>
      </x:c>
      <x:c r="J1" s="22" t="str">
        <x:v>FR_INIT_260709_800_常见</x:v>
      </x:c>
      <x:c r="K1" s="22" t="str">
        <x:v>FR_INIT_260709_800_较响</x:v>
      </x:c>
      <x:c r="L1" s="22" t="str">
        <x:v>DD_BASE_260707_900_常见</x:v>
      </x:c>
      <x:c r="M1" s="22" t="str">
        <x:v>DD_BASE_260707_900_较响</x:v>
      </x:c>
      <x:c r="N1" s="22" t="str">
        <x:v>FR_INIT_260709_900_常见</x:v>
      </x:c>
      <x:c r="O1" s="22" t="str">
        <x:v>FR_INIT_260709_900_较响</x:v>
      </x:c>
      <x:c r="P1" s="22" t="str">
        <x:v>FR_INIT_260709_1000_常见</x:v>
      </x:c>
      <x:c r="Q1" s="22" t="str">
        <x:v>FR_INIT_260709_1000_较响</x:v>
      </x:c>
      <x:c r="R1" s="22" t="str">
        <x:v>DD_BASE_260707_1125_常见</x:v>
      </x:c>
      <x:c r="S1" s="22" t="str">
        <x:v>DD_BASE_260707_1125_较响</x:v>
      </x:c>
      <x:c r="T1" s="22" t="str">
        <x:v>FR_INIT_260709_1125_常见</x:v>
      </x:c>
      <x:c r="U1" s="22" t="str">
        <x:v>FR_INIT_260709_1125_较响</x:v>
      </x:c>
      <x:c r="V1" s="22" t="str">
        <x:v>FR_0716_CYL_800_常见</x:v>
      </x:c>
      <x:c r="W1" s="22" t="str">
        <x:v>FR_0716_CYL_800_较响</x:v>
      </x:c>
      <x:c r="X1" s="22" t="str">
        <x:v>FR_0716_CYL_900_常见</x:v>
      </x:c>
      <x:c r="Y1" s="22" t="str">
        <x:v>FR_0716_CYL_900_较响</x:v>
      </x:c>
      <x:c r="Z1" s="22" t="str">
        <x:v>FR_0716_CYL_1000_常见</x:v>
      </x:c>
      <x:c r="AA1" s="22" t="str">
        <x:v>FR_0716_CYL_1000_较响</x:v>
      </x:c>
      <x:c r="AB1" s="22" t="str">
        <x:v>FR_0716_CYL_1125_常见</x:v>
      </x:c>
      <x:c r="AC1" s="22" t="str">
        <x:v>FR_0716_CYL_1125_较响</x:v>
      </x:c>
      <x:c r="AD1" s="22" t="str">
        <x:v>FR_0716_SHUTTLE_900_R1_常见</x:v>
      </x:c>
      <x:c r="AE1" s="22" t="str">
        <x:v>FR_0716_SHUTTLE_900_R1_较响</x:v>
      </x:c>
      <x:c r="AF1" s="22" t="str">
        <x:v>FR_0716_SHUTTLE_900_R2_常见</x:v>
      </x:c>
      <x:c r="AG1" s="22" t="str">
        <x:v>FR_0716_SHUTTLE_900_R2_较响</x:v>
      </x:c>
      <x:c r="AH1" s="22" t="str">
        <x:v>FR_0716_SHUTTLE_1000_常见</x:v>
      </x:c>
      <x:c r="AI1" s="22" t="str">
        <x:v>FR_0716_SHUTTLE_1000_较响</x:v>
      </x:c>
      <x:c r="AJ1" s="22" t="str">
        <x:v>FR_0722_B_HEAT_900_常见</x:v>
      </x:c>
      <x:c r="AK1" s="22" t="str">
        <x:v>FR_0722_B_HEAT_900_较响</x:v>
      </x:c>
      <x:c r="AL1" s="22" t="str">
        <x:v>FR_0722_B_HEAT_1000_常见</x:v>
      </x:c>
      <x:c r="AM1" s="22" t="str">
        <x:v>FR_0722_B_HEAT_1000_较响</x:v>
      </x:c>
      <x:c r="AN1" s="22" t="str">
        <x:v>FR_DELIVERY_0723_700_常见</x:v>
      </x:c>
      <x:c r="AO1" s="12" t="str">
        <x:v>FR_DELIVERY_0723_700_较响</x:v>
      </x:c>
    </x:row>
    <x:row r="2">
      <x:c r="A2" s="24" t="n">
        <x:v>-300</x:v>
      </x:c>
      <x:c r="B2" s="24" t="n">
        <x:v>65.63135169739223</x:v>
      </x:c>
      <x:c r="C2" s="24" t="n">
        <x:v>66.2350017091205</x:v>
      </x:c>
      <x:c r="D2" s="24" t="n">
        <x:v>69.97541011305803</x:v>
      </x:c>
      <x:c r="E2" s="24" t="n">
        <x:v>74.59674145146023</x:v>
      </x:c>
      <x:c r="F2" s="24" t="n">
        <x:v>67.11115468359542</x:v>
      </x:c>
      <x:c r="G2" s="24" t="n">
        <x:v>72.843664419877</x:v>
      </x:c>
      <x:c r="H2" s="24" t="n">
        <x:v>66.77276117127916</x:v>
      </x:c>
      <x:c r="I2" s="24" t="n">
        <x:v>68.58391482208881</x:v>
      </x:c>
      <x:c r="J2" s="24" t="n">
        <x:v>65.87870622695854</x:v>
      </x:c>
      <x:c r="K2" s="24" t="n">
        <x:v>70.32699473323787</x:v>
      </x:c>
      <x:c r="L2" s="24" t="n">
        <x:v>66.45597988565837</x:v>
      </x:c>
      <x:c r="M2" s="24" t="n">
        <x:v>68.51251205738663</x:v>
      </x:c>
      <x:c r="N2" s="24" t="n">
        <x:v>67.90022608800464</x:v>
      </x:c>
      <x:c r="O2" s="24" t="n">
        <x:v>72.92475023378567</x:v>
      </x:c>
      <x:c r="P2" s="24" t="n">
        <x:v>70.82442760031833</x:v>
      </x:c>
      <x:c r="Q2" s="24" t="n">
        <x:v>67.00636246154824</x:v>
      </x:c>
      <x:c r="R2" s="24" t="n">
        <x:v>69.74877900717111</x:v>
      </x:c>
      <x:c r="S2" s="24" t="n">
        <x:v>69.0528120434193</x:v>
      </x:c>
      <x:c r="T2" s="24" t="n">
        <x:v>67.17421879425108</x:v>
      </x:c>
      <x:c r="U2" s="24" t="n">
        <x:v>66.37286999532837</x:v>
      </x:c>
      <x:c r="V2" s="24" t="n">
        <x:v>66.93654119334322</x:v>
      </x:c>
      <x:c r="W2" s="24" t="n">
        <x:v>66.76506333521822</x:v>
      </x:c>
      <x:c r="X2" s="24" t="n">
        <x:v>59.3760019731901</x:v>
      </x:c>
      <x:c r="Y2" s="24" t="n">
        <x:v>71.91656146124474</x:v>
      </x:c>
      <x:c r="Z2" s="24" t="n">
        <x:v>63.42201815664477</x:v>
      </x:c>
      <x:c r="AA2" s="24" t="n">
        <x:v>60.852502035866436</x:v>
      </x:c>
      <x:c r="AB2" s="24" t="n">
        <x:v>68.05227710817897</x:v>
      </x:c>
      <x:c r="AC2" s="24" t="n">
        <x:v>70.24437060662744</x:v>
      </x:c>
      <x:c r="AD2" s="24" t="n">
        <x:v>61.05597734056775</x:v>
      </x:c>
      <x:c r="AE2" s="24" t="n">
        <x:v>69.11977149787172</x:v>
      </x:c>
      <x:c r="AF2" s="24" t="n">
        <x:v>60.176933799943555</x:v>
      </x:c>
      <x:c r="AG2" s="24" t="n">
        <x:v>64.07502080271469</x:v>
      </x:c>
      <x:c r="AH2" s="24" t="n">
        <x:v>60.31494286077692</x:v>
      </x:c>
      <x:c r="AI2" s="24" t="n">
        <x:v>66.94819900026974</x:v>
      </x:c>
      <x:c r="AJ2" s="24" t="n">
        <x:v>69.80795206259793</x:v>
      </x:c>
      <x:c r="AK2" s="24" t="n">
        <x:v>71.59953906138695</x:v>
      </x:c>
      <x:c r="AL2" s="24" t="n">
        <x:v>61.97436125808295</x:v>
      </x:c>
      <x:c r="AM2" s="24" t="n">
        <x:v>71.47590853345011</x:v>
      </x:c>
      <x:c r="AN2" s="24" t="n">
        <x:v>67.49177315907221</x:v>
      </x:c>
      <x:c r="AO2" s="24" t="n">
        <x:v>67.22095880220368</x:v>
      </x:c>
    </x:row>
    <x:row r="3">
      <x:c r="A3" s="24" t="n">
        <x:v>-279.99999999999994</x:v>
      </x:c>
      <x:c r="B3" s="24" t="n">
        <x:v>65.91822734969273</x:v>
      </x:c>
      <x:c r="C3" s="24" t="n">
        <x:v>66.07901928963234</x:v>
      </x:c>
      <x:c r="D3" s="24" t="n">
        <x:v>70.09786405673968</x:v>
      </x:c>
      <x:c r="E3" s="24" t="n">
        <x:v>74.5875984958721</x:v>
      </x:c>
      <x:c r="F3" s="24" t="n">
        <x:v>67.23008446941384</x:v>
      </x:c>
      <x:c r="G3" s="24" t="n">
        <x:v>72.39528901720338</x:v>
      </x:c>
      <x:c r="H3" s="24" t="n">
        <x:v>66.7727611712791</x:v>
      </x:c>
      <x:c r="I3" s="24" t="n">
        <x:v>68.55628767072307</x:v>
      </x:c>
      <x:c r="J3" s="24" t="n">
        <x:v>67.45707401202428</x:v>
      </x:c>
      <x:c r="K3" s="24" t="n">
        <x:v>70.32699473323785</x:v>
      </x:c>
      <x:c r="L3" s="24" t="n">
        <x:v>67.84538306791225</x:v>
      </x:c>
      <x:c r="M3" s="24" t="n">
        <x:v>68.27148652122943</x:v>
      </x:c>
      <x:c r="N3" s="24" t="n">
        <x:v>66.89617499713883</x:v>
      </x:c>
      <x:c r="O3" s="24" t="n">
        <x:v>71.89977357835484</x:v>
      </x:c>
      <x:c r="P3" s="24" t="n">
        <x:v>70.7807685194582</x:v>
      </x:c>
      <x:c r="Q3" s="24" t="n">
        <x:v>67.49874272647372</x:v>
      </x:c>
      <x:c r="R3" s="24" t="n">
        <x:v>66.79851756664283</x:v>
      </x:c>
      <x:c r="S3" s="24" t="n">
        <x:v>68.33737826299361</x:v>
      </x:c>
      <x:c r="T3" s="24" t="n">
        <x:v>68.28201806827938</x:v>
      </x:c>
      <x:c r="U3" s="24" t="n">
        <x:v>66.84691840231882</x:v>
      </x:c>
      <x:c r="V3" s="24" t="n">
        <x:v>66.93654119334323</x:v>
      </x:c>
      <x:c r="W3" s="24" t="n">
        <x:v>66.03582537081557</x:v>
      </x:c>
      <x:c r="X3" s="24" t="n">
        <x:v>59.376001973190164</x:v>
      </x:c>
      <x:c r="Y3" s="24" t="n">
        <x:v>71.30913051935704</x:v>
      </x:c>
      <x:c r="Z3" s="24" t="n">
        <x:v>62.79644354293099</x:v>
      </x:c>
      <x:c r="AA3" s="24" t="n">
        <x:v>60.8525020358664</x:v>
      </x:c>
      <x:c r="AB3" s="24" t="n">
        <x:v>68.05227710817893</x:v>
      </x:c>
      <x:c r="AC3" s="24" t="n">
        <x:v>70.51911586409517</x:v>
      </x:c>
      <x:c r="AD3" s="24" t="n">
        <x:v>61.231179214433936</x:v>
      </x:c>
      <x:c r="AE3" s="24" t="n">
        <x:v>70.3298803605092</x:v>
      </x:c>
      <x:c r="AF3" s="24" t="n">
        <x:v>60.17693379994356</x:v>
      </x:c>
      <x:c r="AG3" s="24" t="n">
        <x:v>63.297230511167704</x:v>
      </x:c>
      <x:c r="AH3" s="24" t="n">
        <x:v>60.729584334264246</x:v>
      </x:c>
      <x:c r="AI3" s="24" t="n">
        <x:v>66.87636295592408</x:v>
      </x:c>
      <x:c r="AJ3" s="24" t="n">
        <x:v>69.7653841565917</x:v>
      </x:c>
      <x:c r="AK3" s="24" t="n">
        <x:v>72.34646244126569</x:v>
      </x:c>
      <x:c r="AL3" s="24" t="n">
        <x:v>61.97436125808297</x:v>
      </x:c>
      <x:c r="AM3" s="24" t="n">
        <x:v>70.9876090109006</x:v>
      </x:c>
      <x:c r="AN3" s="24" t="n">
        <x:v>68.0405152484356</x:v>
      </x:c>
      <x:c r="AO3" s="24" t="n">
        <x:v>67.1406491865115</x:v>
      </x:c>
    </x:row>
    <x:row r="4">
      <x:c r="A4" s="24" t="n">
        <x:v>-259.99999999999994</x:v>
      </x:c>
      <x:c r="B4" s="24" t="n">
        <x:v>65.96789439948445</x:v>
      </x:c>
      <x:c r="C4" s="24" t="n">
        <x:v>66.12473916722297</x:v>
      </x:c>
      <x:c r="D4" s="24" t="n">
        <x:v>69.48297437121498</x:v>
      </x:c>
      <x:c r="E4" s="24" t="n">
        <x:v>74.00445273166828</x:v>
      </x:c>
      <x:c r="F4" s="24" t="n">
        <x:v>67.00275678601018</x:v>
      </x:c>
      <x:c r="G4" s="24" t="n">
        <x:v>72.33735806392939</x:v>
      </x:c>
      <x:c r="H4" s="24" t="n">
        <x:v>65.73705477050406</x:v>
      </x:c>
      <x:c r="I4" s="24" t="n">
        <x:v>68.53138691330994</x:v>
      </x:c>
      <x:c r="J4" s="24" t="n">
        <x:v>68.04911878275773</x:v>
      </x:c>
      <x:c r="K4" s="24" t="n">
        <x:v>70.00941233682168</x:v>
      </x:c>
      <x:c r="L4" s="24" t="n">
        <x:v>68.8820292384595</x:v>
      </x:c>
      <x:c r="M4" s="24" t="n">
        <x:v>68.26877765920662</x:v>
      </x:c>
      <x:c r="N4" s="24" t="n">
        <x:v>66.5234933746988</x:v>
      </x:c>
      <x:c r="O4" s="24" t="n">
        <x:v>71.06286510869909</x:v>
      </x:c>
      <x:c r="P4" s="24" t="n">
        <x:v>70.22144681166802</x:v>
      </x:c>
      <x:c r="Q4" s="24" t="n">
        <x:v>68.62182347282386</x:v>
      </x:c>
      <x:c r="R4" s="24" t="n">
        <x:v>65.81276882439575</x:v>
      </x:c>
      <x:c r="S4" s="24" t="n">
        <x:v>67.9227407447739</x:v>
      </x:c>
      <x:c r="T4" s="24" t="n">
        <x:v>68.78802260498833</x:v>
      </x:c>
      <x:c r="U4" s="24" t="n">
        <x:v>65.43505398051819</x:v>
      </x:c>
      <x:c r="V4" s="24" t="n">
        <x:v>67.17680547644404</x:v>
      </x:c>
      <x:c r="W4" s="24" t="n">
        <x:v>65.67427969269579</x:v>
      </x:c>
      <x:c r="X4" s="24" t="n">
        <x:v>60.464772575366744</x:v>
      </x:c>
      <x:c r="Y4" s="24" t="n">
        <x:v>72.06917544597383</x:v>
      </x:c>
      <x:c r="Z4" s="24" t="n">
        <x:v>62.6466048814042</x:v>
      </x:c>
      <x:c r="AA4" s="24" t="n">
        <x:v>60.31938341835379</x:v>
      </x:c>
      <x:c r="AB4" s="24" t="n">
        <x:v>67.42748100345298</x:v>
      </x:c>
      <x:c r="AC4" s="24" t="n">
        <x:v>70.48717447179374</x:v>
      </x:c>
      <x:c r="AD4" s="24" t="n">
        <x:v>62.11846657076078</x:v>
      </x:c>
      <x:c r="AE4" s="24" t="n">
        <x:v>70.14105373834025</x:v>
      </x:c>
      <x:c r="AF4" s="24" t="n">
        <x:v>60.44553038443925</x:v>
      </x:c>
      <x:c r="AG4" s="24" t="n">
        <x:v>62.21929685856172</x:v>
      </x:c>
      <x:c r="AH4" s="24" t="n">
        <x:v>61.69719274887071</x:v>
      </x:c>
      <x:c r="AI4" s="24" t="n">
        <x:v>67.24966814998899</x:v>
      </x:c>
      <x:c r="AJ4" s="24" t="n">
        <x:v>69.71153045558664</x:v>
      </x:c>
      <x:c r="AK4" s="24" t="n">
        <x:v>72.36912980954618</x:v>
      </x:c>
      <x:c r="AL4" s="24" t="n">
        <x:v>63.12777404590045</x:v>
      </x:c>
      <x:c r="AM4" s="24" t="n">
        <x:v>71.41741664158258</x:v>
      </x:c>
      <x:c r="AN4" s="24" t="n">
        <x:v>68.09046982613906</x:v>
      </x:c>
      <x:c r="AO4" s="24" t="n">
        <x:v>67.82275553700019</x:v>
      </x:c>
    </x:row>
    <x:row r="5">
      <x:c r="A5" s="24" t="n">
        <x:v>-239.99999999999994</x:v>
      </x:c>
      <x:c r="B5" s="24" t="n">
        <x:v>65.75847409888567</x:v>
      </x:c>
      <x:c r="C5" s="24" t="n">
        <x:v>66.39423109380861</x:v>
      </x:c>
      <x:c r="D5" s="24" t="n">
        <x:v>69.2879203941186</x:v>
      </x:c>
      <x:c r="E5" s="24" t="n">
        <x:v>73.75543220406007</x:v>
      </x:c>
      <x:c r="F5" s="24" t="n">
        <x:v>65.74748966313496</x:v>
      </x:c>
      <x:c r="G5" s="24" t="n">
        <x:v>72.22194540681049</x:v>
      </x:c>
      <x:c r="H5" s="24" t="n">
        <x:v>64.14301344603516</x:v>
      </x:c>
      <x:c r="I5" s="24" t="n">
        <x:v>68.61838440260283</x:v>
      </x:c>
      <x:c r="J5" s="24" t="n">
        <x:v>67.59096761199515</x:v>
      </x:c>
      <x:c r="K5" s="24" t="n">
        <x:v>70.28163591400643</x:v>
      </x:c>
      <x:c r="L5" s="24" t="n">
        <x:v>69.5109979022807</x:v>
      </x:c>
      <x:c r="M5" s="24" t="n">
        <x:v>67.33338864290536</x:v>
      </x:c>
      <x:c r="N5" s="24" t="n">
        <x:v>65.13910973300426</x:v>
      </x:c>
      <x:c r="O5" s="24" t="n">
        <x:v>71.25441202296622</x:v>
      </x:c>
      <x:c r="P5" s="24" t="n">
        <x:v>70.91730742684396</x:v>
      </x:c>
      <x:c r="Q5" s="24" t="n">
        <x:v>68.17571575159391</x:v>
      </x:c>
      <x:c r="R5" s="24" t="n">
        <x:v>65.63102039878542</x:v>
      </x:c>
      <x:c r="S5" s="24" t="n">
        <x:v>68.82115598592414</x:v>
      </x:c>
      <x:c r="T5" s="24" t="n">
        <x:v>68.4389774781512</x:v>
      </x:c>
      <x:c r="U5" s="24" t="n">
        <x:v>65.90528954525907</x:v>
      </x:c>
      <x:c r="V5" s="24" t="n">
        <x:v>67.5820700017888</x:v>
      </x:c>
      <x:c r="W5" s="24" t="n">
        <x:v>65.16878410930178</x:v>
      </x:c>
      <x:c r="X5" s="24" t="n">
        <x:v>63.68581116557073</x:v>
      </x:c>
      <x:c r="Y5" s="24" t="n">
        <x:v>71.77149067441113</x:v>
      </x:c>
      <x:c r="Z5" s="24" t="n">
        <x:v>64.36060380126635</x:v>
      </x:c>
      <x:c r="AA5" s="24" t="n">
        <x:v>61.01224089717267</x:v>
      </x:c>
      <x:c r="AB5" s="24" t="n">
        <x:v>67.3541538817808</x:v>
      </x:c>
      <x:c r="AC5" s="24" t="n">
        <x:v>70.40866815201761</x:v>
      </x:c>
      <x:c r="AD5" s="24" t="n">
        <x:v>63.545716950750155</x:v>
      </x:c>
      <x:c r="AE5" s="24" t="n">
        <x:v>70.38054810628198</x:v>
      </x:c>
      <x:c r="AF5" s="24" t="n">
        <x:v>60.44421768557416</x:v>
      </x:c>
      <x:c r="AG5" s="24" t="n">
        <x:v>62.11774299016661</x:v>
      </x:c>
      <x:c r="AH5" s="24" t="n">
        <x:v>61.91947858063573</x:v>
      </x:c>
      <x:c r="AI5" s="24" t="n">
        <x:v>67.48566773767175</x:v>
      </x:c>
      <x:c r="AJ5" s="24" t="n">
        <x:v>69.27677615898972</x:v>
      </x:c>
      <x:c r="AK5" s="24" t="n">
        <x:v>72.60207870049544</x:v>
      </x:c>
      <x:c r="AL5" s="24" t="n">
        <x:v>63.17811601193929</x:v>
      </x:c>
      <x:c r="AM5" s="24" t="n">
        <x:v>71.02172158961395</x:v>
      </x:c>
      <x:c r="AN5" s="24" t="n">
        <x:v>67.22457557009407</x:v>
      </x:c>
      <x:c r="AO5" s="24" t="n">
        <x:v>69.04867062478296</x:v>
      </x:c>
    </x:row>
    <x:row r="6">
      <x:c r="A6" s="24" t="n">
        <x:v>-219.99999999999991</x:v>
      </x:c>
      <x:c r="B6" s="24" t="n">
        <x:v>65.4258216799562</x:v>
      </x:c>
      <x:c r="C6" s="24" t="n">
        <x:v>66.68697202301134</x:v>
      </x:c>
      <x:c r="D6" s="24" t="n">
        <x:v>68.83781382216311</x:v>
      </x:c>
      <x:c r="E6" s="24" t="n">
        <x:v>74.0113651114795</x:v>
      </x:c>
      <x:c r="F6" s="24" t="n">
        <x:v>64.69506610849331</x:v>
      </x:c>
      <x:c r="G6" s="24" t="n">
        <x:v>71.01411337430517</x:v>
      </x:c>
      <x:c r="H6" s="24" t="n">
        <x:v>63.52551493548083</x:v>
      </x:c>
      <x:c r="I6" s="24" t="n">
        <x:v>68.40112772098531</x:v>
      </x:c>
      <x:c r="J6" s="24" t="n">
        <x:v>66.99582918866618</x:v>
      </x:c>
      <x:c r="K6" s="24" t="n">
        <x:v>70.18802074636037</x:v>
      </x:c>
      <x:c r="L6" s="24" t="n">
        <x:v>68.25346768969035</x:v>
      </x:c>
      <x:c r="M6" s="24" t="n">
        <x:v>66.7956535210036</x:v>
      </x:c>
      <x:c r="N6" s="24" t="n">
        <x:v>63.65885359086039</x:v>
      </x:c>
      <x:c r="O6" s="24" t="n">
        <x:v>71.16244591294618</x:v>
      </x:c>
      <x:c r="P6" s="24" t="n">
        <x:v>71.01055278300743</x:v>
      </x:c>
      <x:c r="Q6" s="24" t="n">
        <x:v>68.01087801867577</x:v>
      </x:c>
      <x:c r="R6" s="24" t="n">
        <x:v>65.42603511389663</x:v>
      </x:c>
      <x:c r="S6" s="24" t="n">
        <x:v>68.00885645918069</x:v>
      </x:c>
      <x:c r="T6" s="24" t="n">
        <x:v>67.65748886951855</x:v>
      </x:c>
      <x:c r="U6" s="24" t="n">
        <x:v>65.63262642998436</x:v>
      </x:c>
      <x:c r="V6" s="24" t="n">
        <x:v>67.79416650846096</x:v>
      </x:c>
      <x:c r="W6" s="24" t="n">
        <x:v>65.8288144373194</x:v>
      </x:c>
      <x:c r="X6" s="24" t="n">
        <x:v>65.01256078551965</x:v>
      </x:c>
      <x:c r="Y6" s="24" t="n">
        <x:v>70.99374362459895</x:v>
      </x:c>
      <x:c r="Z6" s="24" t="n">
        <x:v>66.78949527263114</x:v>
      </x:c>
      <x:c r="AA6" s="24" t="n">
        <x:v>60.97438191098761</x:v>
      </x:c>
      <x:c r="AB6" s="24" t="n">
        <x:v>67.57661092507207</x:v>
      </x:c>
      <x:c r="AC6" s="24" t="n">
        <x:v>70.51502288316458</x:v>
      </x:c>
      <x:c r="AD6" s="24" t="n">
        <x:v>64.17368417404234</x:v>
      </x:c>
      <x:c r="AE6" s="24" t="n">
        <x:v>70.48068046381424</x:v>
      </x:c>
      <x:c r="AF6" s="24" t="n">
        <x:v>60.30668278869497</x:v>
      </x:c>
      <x:c r="AG6" s="24" t="n">
        <x:v>62.90504730312723</x:v>
      </x:c>
      <x:c r="AH6" s="24" t="n">
        <x:v>64.24648678621273</x:v>
      </x:c>
      <x:c r="AI6" s="24" t="n">
        <x:v>67.80730555326441</x:v>
      </x:c>
      <x:c r="AJ6" s="24" t="n">
        <x:v>68.25561638012853</x:v>
      </x:c>
      <x:c r="AK6" s="24" t="n">
        <x:v>72.5510040531295</x:v>
      </x:c>
      <x:c r="AL6" s="24" t="n">
        <x:v>63.761754452208116</x:v>
      </x:c>
      <x:c r="AM6" s="24" t="n">
        <x:v>70.8045256343806</x:v>
      </x:c>
      <x:c r="AN6" s="24" t="n">
        <x:v>66.60559717447202</x:v>
      </x:c>
      <x:c r="AO6" s="24" t="n">
        <x:v>69.77797478754175</x:v>
      </x:c>
    </x:row>
    <x:row r="7">
      <x:c r="A7" s="24" t="n">
        <x:v>-199.9999999999999</x:v>
      </x:c>
      <x:c r="B7" s="24" t="n">
        <x:v>65.39932020417692</x:v>
      </x:c>
      <x:c r="C7" s="24" t="n">
        <x:v>67.13580027826426</x:v>
      </x:c>
      <x:c r="D7" s="24" t="n">
        <x:v>67.91153378571664</x:v>
      </x:c>
      <x:c r="E7" s="24" t="n">
        <x:v>74.0072115713657</x:v>
      </x:c>
      <x:c r="F7" s="24" t="n">
        <x:v>63.400757714677034</x:v>
      </x:c>
      <x:c r="G7" s="24" t="n">
        <x:v>70.68990854031756</x:v>
      </x:c>
      <x:c r="H7" s="24" t="n">
        <x:v>62.78237120472327</x:v>
      </x:c>
      <x:c r="I7" s="24" t="n">
        <x:v>68.81116374136552</x:v>
      </x:c>
      <x:c r="J7" s="24" t="n">
        <x:v>66.4787633375928</x:v>
      </x:c>
      <x:c r="K7" s="24" t="n">
        <x:v>69.76761333729866</x:v>
      </x:c>
      <x:c r="L7" s="24" t="n">
        <x:v>67.56543819725263</x:v>
      </x:c>
      <x:c r="M7" s="24" t="n">
        <x:v>67.18277186841681</x:v>
      </x:c>
      <x:c r="N7" s="24" t="n">
        <x:v>63.71557602492358</x:v>
      </x:c>
      <x:c r="O7" s="24" t="n">
        <x:v>71.67734967149542</x:v>
      </x:c>
      <x:c r="P7" s="24" t="n">
        <x:v>70.35490108009513</x:v>
      </x:c>
      <x:c r="Q7" s="24" t="n">
        <x:v>67.67292002942878</x:v>
      </x:c>
      <x:c r="R7" s="24" t="n">
        <x:v>65.48903720089899</x:v>
      </x:c>
      <x:c r="S7" s="24" t="n">
        <x:v>68.87284671411545</x:v>
      </x:c>
      <x:c r="T7" s="24" t="n">
        <x:v>67.64852076921805</x:v>
      </x:c>
      <x:c r="U7" s="24" t="n">
        <x:v>65.04580401824144</x:v>
      </x:c>
      <x:c r="V7" s="24" t="n">
        <x:v>66.99220141489492</x:v>
      </x:c>
      <x:c r="W7" s="24" t="n">
        <x:v>66.06065532351244</x:v>
      </x:c>
      <x:c r="X7" s="24" t="n">
        <x:v>65.39166232186551</x:v>
      </x:c>
      <x:c r="Y7" s="24" t="n">
        <x:v>70.92428478815965</x:v>
      </x:c>
      <x:c r="Z7" s="24" t="n">
        <x:v>67.86317703057532</x:v>
      </x:c>
      <x:c r="AA7" s="24" t="n">
        <x:v>62.461707050815434</x:v>
      </x:c>
      <x:c r="AB7" s="24" t="n">
        <x:v>66.63034506246359</x:v>
      </x:c>
      <x:c r="AC7" s="24" t="n">
        <x:v>70.04403730130662</x:v>
      </x:c>
      <x:c r="AD7" s="24" t="n">
        <x:v>64.02355872092139</x:v>
      </x:c>
      <x:c r="AE7" s="24" t="n">
        <x:v>69.10164708483192</x:v>
      </x:c>
      <x:c r="AF7" s="24" t="n">
        <x:v>62.56018968778678</x:v>
      </x:c>
      <x:c r="AG7" s="24" t="n">
        <x:v>63.20266713846001</x:v>
      </x:c>
      <x:c r="AH7" s="24" t="n">
        <x:v>65.24127063042607</x:v>
      </x:c>
      <x:c r="AI7" s="24" t="n">
        <x:v>68.73632850003094</x:v>
      </x:c>
      <x:c r="AJ7" s="24" t="n">
        <x:v>66.79843885079714</x:v>
      </x:c>
      <x:c r="AK7" s="24" t="n">
        <x:v>72.61967378515837</x:v>
      </x:c>
      <x:c r="AL7" s="24" t="n">
        <x:v>64.0357217640636</x:v>
      </x:c>
      <x:c r="AM7" s="24" t="n">
        <x:v>70.93861543100545</x:v>
      </x:c>
      <x:c r="AN7" s="24" t="n">
        <x:v>65.70596455796155</x:v>
      </x:c>
      <x:c r="AO7" s="24" t="n">
        <x:v>69.95196376366829</x:v>
      </x:c>
    </x:row>
    <x:row r="8">
      <x:c r="A8" s="24" t="n">
        <x:v>-179.9999999999999</x:v>
      </x:c>
      <x:c r="B8" s="24" t="n">
        <x:v>65.25133329609562</x:v>
      </x:c>
      <x:c r="C8" s="24" t="n">
        <x:v>68.05891558167231</x:v>
      </x:c>
      <x:c r="D8" s="24" t="n">
        <x:v>67.04471305555752</x:v>
      </x:c>
      <x:c r="E8" s="24" t="n">
        <x:v>74.42774259259028</x:v>
      </x:c>
      <x:c r="F8" s="24" t="n">
        <x:v>63.070648547191354</x:v>
      </x:c>
      <x:c r="G8" s="24" t="n">
        <x:v>70.07721774279572</x:v>
      </x:c>
      <x:c r="H8" s="24" t="n">
        <x:v>62.64072031843279</x:v>
      </x:c>
      <x:c r="I8" s="24" t="n">
        <x:v>69.09658196164744</x:v>
      </x:c>
      <x:c r="J8" s="24" t="n">
        <x:v>66.62369824487132</x:v>
      </x:c>
      <x:c r="K8" s="24" t="n">
        <x:v>69.99546792104627</x:v>
      </x:c>
      <x:c r="L8" s="24" t="n">
        <x:v>66.5770684394792</x:v>
      </x:c>
      <x:c r="M8" s="24" t="n">
        <x:v>68.28142629294621</x:v>
      </x:c>
      <x:c r="N8" s="24" t="n">
        <x:v>63.65951110657318</x:v>
      </x:c>
      <x:c r="O8" s="24" t="n">
        <x:v>72.00938878053174</x:v>
      </x:c>
      <x:c r="P8" s="24" t="n">
        <x:v>69.78086544988278</x:v>
      </x:c>
      <x:c r="Q8" s="24" t="n">
        <x:v>66.64891863105323</x:v>
      </x:c>
      <x:c r="R8" s="24" t="n">
        <x:v>65.98549392125791</x:v>
      </x:c>
      <x:c r="S8" s="24" t="n">
        <x:v>68.87580259563127</x:v>
      </x:c>
      <x:c r="T8" s="24" t="n">
        <x:v>68.32336302497829</x:v>
      </x:c>
      <x:c r="U8" s="24" t="n">
        <x:v>65.68874144352935</x:v>
      </x:c>
      <x:c r="V8" s="24" t="n">
        <x:v>66.76207044189405</x:v>
      </x:c>
      <x:c r="W8" s="24" t="n">
        <x:v>66.54523409171911</x:v>
      </x:c>
      <x:c r="X8" s="24" t="n">
        <x:v>65.6432474999997</x:v>
      </x:c>
      <x:c r="Y8" s="24" t="n">
        <x:v>70.34004725664163</x:v>
      </x:c>
      <x:c r="Z8" s="24" t="n">
        <x:v>68.3324447433076</x:v>
      </x:c>
      <x:c r="AA8" s="24" t="n">
        <x:v>64.68838676972453</x:v>
      </x:c>
      <x:c r="AB8" s="24" t="n">
        <x:v>68.06606756919932</x:v>
      </x:c>
      <x:c r="AC8" s="24" t="n">
        <x:v>70.50081213315892</x:v>
      </x:c>
      <x:c r="AD8" s="24" t="n">
        <x:v>64.02483037706085</x:v>
      </x:c>
      <x:c r="AE8" s="24" t="n">
        <x:v>68.872513175714</x:v>
      </x:c>
      <x:c r="AF8" s="24" t="n">
        <x:v>64.57628330192009</x:v>
      </x:c>
      <x:c r="AG8" s="24" t="n">
        <x:v>63.99115717672881</x:v>
      </x:c>
      <x:c r="AH8" s="24" t="n">
        <x:v>66.53889254520782</x:v>
      </x:c>
      <x:c r="AI8" s="24" t="n">
        <x:v>69.07947695391994</x:v>
      </x:c>
      <x:c r="AJ8" s="24" t="n">
        <x:v>67.2348678618528</x:v>
      </x:c>
      <x:c r="AK8" s="24" t="n">
        <x:v>72.91432557121998</x:v>
      </x:c>
      <x:c r="AL8" s="24" t="n">
        <x:v>64.30076201380254</x:v>
      </x:c>
      <x:c r="AM8" s="24" t="n">
        <x:v>71.49281079936159</x:v>
      </x:c>
      <x:c r="AN8" s="24" t="n">
        <x:v>64.75065681054456</x:v>
      </x:c>
      <x:c r="AO8" s="24" t="n">
        <x:v>69.68925445218508</x:v>
      </x:c>
    </x:row>
    <x:row r="9">
      <x:c r="A9" s="24" t="n">
        <x:v>-159.99999999999986</x:v>
      </x:c>
      <x:c r="B9" s="24" t="n">
        <x:v>64.41486489126436</x:v>
      </x:c>
      <x:c r="C9" s="24" t="n">
        <x:v>68.7121432469858</x:v>
      </x:c>
      <x:c r="D9" s="24" t="n">
        <x:v>66.11760729155591</x:v>
      </x:c>
      <x:c r="E9" s="24" t="n">
        <x:v>73.1556170987907</x:v>
      </x:c>
      <x:c r="F9" s="24" t="n">
        <x:v>64.1380133908294</x:v>
      </x:c>
      <x:c r="G9" s="24" t="n">
        <x:v>69.95180706801337</x:v>
      </x:c>
      <x:c r="H9" s="24" t="n">
        <x:v>62.590618241641685</x:v>
      </x:c>
      <x:c r="I9" s="24" t="n">
        <x:v>69.86568937468623</x:v>
      </x:c>
      <x:c r="J9" s="24" t="n">
        <x:v>69.09105820182454</x:v>
      </x:c>
      <x:c r="K9" s="24" t="n">
        <x:v>70.11632506036678</x:v>
      </x:c>
      <x:c r="L9" s="24" t="n">
        <x:v>66.1595293575611</x:v>
      </x:c>
      <x:c r="M9" s="24" t="n">
        <x:v>69.72055883955412</x:v>
      </x:c>
      <x:c r="N9" s="24" t="n">
        <x:v>63.8222606756361</x:v>
      </x:c>
      <x:c r="O9" s="24" t="n">
        <x:v>71.42009949092542</x:v>
      </x:c>
      <x:c r="P9" s="24" t="n">
        <x:v>69.47583306338569</x:v>
      </x:c>
      <x:c r="Q9" s="24" t="n">
        <x:v>66.88570863044022</x:v>
      </x:c>
      <x:c r="R9" s="24" t="n">
        <x:v>66.60086521085142</x:v>
      </x:c>
      <x:c r="S9" s="24" t="n">
        <x:v>68.04949965849468</x:v>
      </x:c>
      <x:c r="T9" s="24" t="n">
        <x:v>68.562233744299</x:v>
      </x:c>
      <x:c r="U9" s="24" t="n">
        <x:v>65.2382231799769</x:v>
      </x:c>
      <x:c r="V9" s="24" t="n">
        <x:v>65.87535019908488</x:v>
      </x:c>
      <x:c r="W9" s="24" t="n">
        <x:v>67.1736828461378</x:v>
      </x:c>
      <x:c r="X9" s="24" t="n">
        <x:v>64.90090859779524</x:v>
      </x:c>
      <x:c r="Y9" s="24" t="n">
        <x:v>70.20833968493727</x:v>
      </x:c>
      <x:c r="Z9" s="24" t="n">
        <x:v>67.98131886249386</x:v>
      </x:c>
      <x:c r="AA9" s="24" t="n">
        <x:v>66.19615128381956</x:v>
      </x:c>
      <x:c r="AB9" s="24" t="n">
        <x:v>67.99664955764997</x:v>
      </x:c>
      <x:c r="AC9" s="24" t="n">
        <x:v>70.71340722931674</x:v>
      </x:c>
      <x:c r="AD9" s="24" t="n">
        <x:v>63.84694018324697</x:v>
      </x:c>
      <x:c r="AE9" s="24" t="n">
        <x:v>68.73628967585586</x:v>
      </x:c>
      <x:c r="AF9" s="24" t="n">
        <x:v>65.5161863352721</x:v>
      </x:c>
      <x:c r="AG9" s="24" t="n">
        <x:v>76.70728556369858</x:v>
      </x:c>
      <x:c r="AH9" s="24" t="n">
        <x:v>66.76977777637624</x:v>
      </x:c>
      <x:c r="AI9" s="24" t="n">
        <x:v>68.90458015797378</x:v>
      </x:c>
      <x:c r="AJ9" s="24" t="n">
        <x:v>68.31568966516994</x:v>
      </x:c>
      <x:c r="AK9" s="24" t="n">
        <x:v>73.43060758048838</x:v>
      </x:c>
      <x:c r="AL9" s="24" t="n">
        <x:v>64.87102190885903</x:v>
      </x:c>
      <x:c r="AM9" s="24" t="n">
        <x:v>71.53276006223714</x:v>
      </x:c>
      <x:c r="AN9" s="24" t="n">
        <x:v>65.16719860625166</x:v>
      </x:c>
      <x:c r="AO9" s="24" t="n">
        <x:v>69.38076909424714</x:v>
      </x:c>
    </x:row>
    <x:row r="10">
      <x:c r="A10" s="24" t="n">
        <x:v>-139.99999999999986</x:v>
      </x:c>
      <x:c r="B10" s="24" t="n">
        <x:v>66.15678284623802</x:v>
      </x:c>
      <x:c r="C10" s="24" t="n">
        <x:v>69.2521013834646</x:v>
      </x:c>
      <x:c r="D10" s="24" t="n">
        <x:v>65.38385337976473</x:v>
      </x:c>
      <x:c r="E10" s="24" t="n">
        <x:v>72.19856080753655</x:v>
      </x:c>
      <x:c r="F10" s="24" t="n">
        <x:v>65.10461488836313</x:v>
      </x:c>
      <x:c r="G10" s="24" t="n">
        <x:v>69.41736258144154</x:v>
      </x:c>
      <x:c r="H10" s="24" t="n">
        <x:v>62.759573867018354</x:v>
      </x:c>
      <x:c r="I10" s="24" t="n">
        <x:v>71.10394203448436</x:v>
      </x:c>
      <x:c r="J10" s="24" t="n">
        <x:v>70.01810751241992</x:v>
      </x:c>
      <x:c r="K10" s="24" t="n">
        <x:v>69.4285250642959</x:v>
      </x:c>
      <x:c r="L10" s="24" t="n">
        <x:v>64.88434230868799</x:v>
      </x:c>
      <x:c r="M10" s="24" t="n">
        <x:v>69.70135678713174</x:v>
      </x:c>
      <x:c r="N10" s="24" t="n">
        <x:v>64.00578932430165</x:v>
      </x:c>
      <x:c r="O10" s="24" t="n">
        <x:v>71.14677927001262</x:v>
      </x:c>
      <x:c r="P10" s="24" t="n">
        <x:v>69.8211441389567</x:v>
      </x:c>
      <x:c r="Q10" s="24" t="n">
        <x:v>67.18287517506732</x:v>
      </x:c>
      <x:c r="R10" s="24" t="n">
        <x:v>67.29692314795297</x:v>
      </x:c>
      <x:c r="S10" s="24" t="n">
        <x:v>68.34680804215296</x:v>
      </x:c>
      <x:c r="T10" s="24" t="n">
        <x:v>69.05725946282728</x:v>
      </x:c>
      <x:c r="U10" s="24" t="n">
        <x:v>65.32098095412745</x:v>
      </x:c>
      <x:c r="V10" s="24" t="n">
        <x:v>64.61112065398338</x:v>
      </x:c>
      <x:c r="W10" s="24" t="n">
        <x:v>68.1787556123267</x:v>
      </x:c>
      <x:c r="X10" s="24" t="n">
        <x:v>64.6059710034247</x:v>
      </x:c>
      <x:c r="Y10" s="24" t="n">
        <x:v>70.16712031524503</x:v>
      </x:c>
      <x:c r="Z10" s="24" t="n">
        <x:v>67.50102021565637</x:v>
      </x:c>
      <x:c r="AA10" s="24" t="n">
        <x:v>66.91477343015825</x:v>
      </x:c>
      <x:c r="AB10" s="24" t="n">
        <x:v>67.92175057097637</x:v>
      </x:c>
      <x:c r="AC10" s="24" t="n">
        <x:v>70.40458279002617</x:v>
      </x:c>
      <x:c r="AD10" s="24" t="n">
        <x:v>63.754953704529505</x:v>
      </x:c>
      <x:c r="AE10" s="24" t="n">
        <x:v>68.83216398114185</x:v>
      </x:c>
      <x:c r="AF10" s="24" t="n">
        <x:v>66.80212106571352</x:v>
      </x:c>
      <x:c r="AG10" s="24" t="n">
        <x:v>79.89410832515229</x:v>
      </x:c>
      <x:c r="AH10" s="24" t="n">
        <x:v>66.41441618175581</x:v>
      </x:c>
      <x:c r="AI10" s="24" t="n">
        <x:v>68.71525066569666</x:v>
      </x:c>
      <x:c r="AJ10" s="24" t="n">
        <x:v>68.52210920235643</x:v>
      </x:c>
      <x:c r="AK10" s="24" t="n">
        <x:v>73.6819935658366</x:v>
      </x:c>
      <x:c r="AL10" s="24" t="n">
        <x:v>64.79915820565517</x:v>
      </x:c>
      <x:c r="AM10" s="24" t="n">
        <x:v>71.7850617964665</x:v>
      </x:c>
      <x:c r="AN10" s="24" t="n">
        <x:v>65.51040690681292</x:v>
      </x:c>
      <x:c r="AO10" s="24" t="n">
        <x:v>68.21180967940839</x:v>
      </x:c>
    </x:row>
    <x:row r="11">
      <x:c r="A11" s="24" t="n">
        <x:v>-119.99999999999983</x:v>
      </x:c>
      <x:c r="B11" s="24" t="n">
        <x:v>71.19425333845737</x:v>
      </x:c>
      <x:c r="C11" s="24" t="n">
        <x:v>76.4388926095771</x:v>
      </x:c>
      <x:c r="D11" s="24" t="n">
        <x:v>65.40351684752245</x:v>
      </x:c>
      <x:c r="E11" s="24" t="n">
        <x:v>72.20342953470094</x:v>
      </x:c>
      <x:c r="F11" s="24" t="n">
        <x:v>67.14522118798229</x:v>
      </x:c>
      <x:c r="G11" s="24" t="n">
        <x:v>69.43468875946016</x:v>
      </x:c>
      <x:c r="H11" s="24" t="n">
        <x:v>66.39808574542118</x:v>
      </x:c>
      <x:c r="I11" s="24" t="n">
        <x:v>71.07436802928851</x:v>
      </x:c>
      <x:c r="J11" s="24" t="n">
        <x:v>69.8739009505126</x:v>
      </x:c>
      <x:c r="K11" s="24" t="n">
        <x:v>68.65274161973169</x:v>
      </x:c>
      <x:c r="L11" s="24" t="n">
        <x:v>64.1436971807772</x:v>
      </x:c>
      <x:c r="M11" s="24" t="n">
        <x:v>69.25849556519401</x:v>
      </x:c>
      <x:c r="N11" s="24" t="n">
        <x:v>64.00313795638024</x:v>
      </x:c>
      <x:c r="O11" s="24" t="n">
        <x:v>70.38325676345414</x:v>
      </x:c>
      <x:c r="P11" s="24" t="n">
        <x:v>70.0072262801441</x:v>
      </x:c>
      <x:c r="Q11" s="24" t="n">
        <x:v>67.11500337170528</x:v>
      </x:c>
      <x:c r="R11" s="24" t="n">
        <x:v>68.10007832962825</x:v>
      </x:c>
      <x:c r="S11" s="24" t="n">
        <x:v>68.18987863832804</x:v>
      </x:c>
      <x:c r="T11" s="24" t="n">
        <x:v>68.1013955983112</x:v>
      </x:c>
      <x:c r="U11" s="24" t="n">
        <x:v>66.37193345123306</x:v>
      </x:c>
      <x:c r="V11" s="24" t="n">
        <x:v>65.3002230172928</x:v>
      </x:c>
      <x:c r="W11" s="24" t="n">
        <x:v>77.11843984627356</x:v>
      </x:c>
      <x:c r="X11" s="24" t="n">
        <x:v>73.00999393141966</x:v>
      </x:c>
      <x:c r="Y11" s="24" t="n">
        <x:v>70.31748886820233</x:v>
      </x:c>
      <x:c r="Z11" s="24" t="n">
        <x:v>77.10606630151949</x:v>
      </x:c>
      <x:c r="AA11" s="24" t="n">
        <x:v>66.7268454475505</x:v>
      </x:c>
      <x:c r="AB11" s="24" t="n">
        <x:v>67.95982750974031</x:v>
      </x:c>
      <x:c r="AC11" s="24" t="n">
        <x:v>70.79657661590798</x:v>
      </x:c>
      <x:c r="AD11" s="24" t="n">
        <x:v>64.23221371179069</x:v>
      </x:c>
      <x:c r="AE11" s="24" t="n">
        <x:v>68.70508675644156</x:v>
      </x:c>
      <x:c r="AF11" s="24" t="n">
        <x:v>66.87208087758515</x:v>
      </x:c>
      <x:c r="AG11" s="24" t="n">
        <x:v>81.12764700650898</x:v>
      </x:c>
      <x:c r="AH11" s="24" t="n">
        <x:v>66.53186827932271</x:v>
      </x:c>
      <x:c r="AI11" s="24" t="n">
        <x:v>67.76232944421488</x:v>
      </x:c>
      <x:c r="AJ11" s="24" t="n">
        <x:v>68.8025652078982</x:v>
      </x:c>
      <x:c r="AK11" s="24" t="n">
        <x:v>73.64909049139413</x:v>
      </x:c>
      <x:c r="AL11" s="24" t="n">
        <x:v>64.78105161072801</x:v>
      </x:c>
      <x:c r="AM11" s="24" t="n">
        <x:v>71.99048995535792</x:v>
      </x:c>
      <x:c r="AN11" s="24" t="n">
        <x:v>65.00400117420475</x:v>
      </x:c>
      <x:c r="AO11" s="24" t="n">
        <x:v>70.84331246224856</x:v>
      </x:c>
    </x:row>
    <x:row r="12">
      <x:c r="A12" s="24" t="n">
        <x:v>-99.99999999999982</x:v>
      </x:c>
      <x:c r="B12" s="24" t="n">
        <x:v>73.75619324335813</x:v>
      </x:c>
      <x:c r="C12" s="24" t="n">
        <x:v>89.47151745166148</x:v>
      </x:c>
      <x:c r="D12" s="24" t="n">
        <x:v>64.57544258544742</x:v>
      </x:c>
      <x:c r="E12" s="24" t="n">
        <x:v>71.60625473917524</x:v>
      </x:c>
      <x:c r="F12" s="24" t="n">
        <x:v>73.09887326194315</x:v>
      </x:c>
      <x:c r="G12" s="24" t="n">
        <x:v>80.26088037212321</x:v>
      </x:c>
      <x:c r="H12" s="24" t="n">
        <x:v>68.95751685660233</x:v>
      </x:c>
      <x:c r="I12" s="24" t="n">
        <x:v>71.20360658250239</x:v>
      </x:c>
      <x:c r="J12" s="24" t="n">
        <x:v>69.99270477420951</x:v>
      </x:c>
      <x:c r="K12" s="24" t="n">
        <x:v>70.23321810619167</x:v>
      </x:c>
      <x:c r="L12" s="24" t="n">
        <x:v>66.86278229214611</x:v>
      </x:c>
      <x:c r="M12" s="24" t="n">
        <x:v>68.78584466737368</x:v>
      </x:c>
      <x:c r="N12" s="24" t="n">
        <x:v>72.15151153543704</x:v>
      </x:c>
      <x:c r="O12" s="24" t="n">
        <x:v>69.28349199587237</x:v>
      </x:c>
      <x:c r="P12" s="24" t="n">
        <x:v>69.78942379674876</x:v>
      </x:c>
      <x:c r="Q12" s="24" t="n">
        <x:v>74.8088082381943</x:v>
      </x:c>
      <x:c r="R12" s="24" t="n">
        <x:v>69.2463069353097</x:v>
      </x:c>
      <x:c r="S12" s="24" t="n">
        <x:v>78.67858979473559</x:v>
      </x:c>
      <x:c r="T12" s="24" t="n">
        <x:v>66.13350028905488</x:v>
      </x:c>
      <x:c r="U12" s="24" t="n">
        <x:v>67.10375001962626</x:v>
      </x:c>
      <x:c r="V12" s="24" t="n">
        <x:v>76.28009978164323</x:v>
      </x:c>
      <x:c r="W12" s="24" t="n">
        <x:v>80.67387888463102</x:v>
      </x:c>
      <x:c r="X12" s="24" t="n">
        <x:v>76.89675958743548</x:v>
      </x:c>
      <x:c r="Y12" s="24" t="n">
        <x:v>70.46480161973138</x:v>
      </x:c>
      <x:c r="Z12" s="24" t="n">
        <x:v>79.05116937945284</x:v>
      </x:c>
      <x:c r="AA12" s="24" t="n">
        <x:v>72.16341419370468</x:v>
      </x:c>
      <x:c r="AB12" s="24" t="n">
        <x:v>67.01687519909784</x:v>
      </x:c>
      <x:c r="AC12" s="24" t="n">
        <x:v>77.2332296036328</x:v>
      </x:c>
      <x:c r="AD12" s="24" t="n">
        <x:v>75.61170669750446</x:v>
      </x:c>
      <x:c r="AE12" s="24" t="n">
        <x:v>68.98948724796642</x:v>
      </x:c>
      <x:c r="AF12" s="24" t="n">
        <x:v>66.73987521715235</x:v>
      </x:c>
      <x:c r="AG12" s="24" t="n">
        <x:v>81.26179303884462</x:v>
      </x:c>
      <x:c r="AH12" s="24" t="n">
        <x:v>71.6145586585287</x:v>
      </x:c>
      <x:c r="AI12" s="24" t="n">
        <x:v>77.03754228196111</x:v>
      </x:c>
      <x:c r="AJ12" s="24" t="n">
        <x:v>71.8279806551321</x:v>
      </x:c>
      <x:c r="AK12" s="24" t="n">
        <x:v>83.45075670120504</x:v>
      </x:c>
      <x:c r="AL12" s="24" t="n">
        <x:v>68.34137955951218</x:v>
      </x:c>
      <x:c r="AM12" s="24" t="n">
        <x:v>80.64720677962563</x:v>
      </x:c>
      <x:c r="AN12" s="24" t="n">
        <x:v>68.84628476735355</x:v>
      </x:c>
      <x:c r="AO12" s="24" t="n">
        <x:v>76.8608493908267</x:v>
      </x:c>
    </x:row>
    <x:row r="13">
      <x:c r="A13" s="24" t="n">
        <x:v>-79.99999999999979</x:v>
      </x:c>
      <x:c r="B13" s="24" t="n">
        <x:v>76.46344365462014</x:v>
      </x:c>
      <x:c r="C13" s="24" t="n">
        <x:v>91.41139020924807</x:v>
      </x:c>
      <x:c r="D13" s="24" t="n">
        <x:v>65.06149108420196</x:v>
      </x:c>
      <x:c r="E13" s="24" t="n">
        <x:v>71.0724428942401</x:v>
      </x:c>
      <x:c r="F13" s="24" t="n">
        <x:v>74.16157119688513</x:v>
      </x:c>
      <x:c r="G13" s="24" t="n">
        <x:v>84.79502433273395</x:v>
      </x:c>
      <x:c r="H13" s="24" t="n">
        <x:v>71.14206450257986</x:v>
      </x:c>
      <x:c r="I13" s="24" t="n">
        <x:v>79.27121505413767</x:v>
      </x:c>
      <x:c r="J13" s="24" t="n">
        <x:v>69.13108059575706</x:v>
      </x:c>
      <x:c r="K13" s="24" t="n">
        <x:v>81.04042259238433</x:v>
      </x:c>
      <x:c r="L13" s="24" t="n">
        <x:v>69.3959670432501</x:v>
      </x:c>
      <x:c r="M13" s="24" t="n">
        <x:v>72.73707319906399</x:v>
      </x:c>
      <x:c r="N13" s="24" t="n">
        <x:v>77.83853374519903</x:v>
      </x:c>
      <x:c r="O13" s="24" t="n">
        <x:v>73.89412140431652</x:v>
      </x:c>
      <x:c r="P13" s="24" t="n">
        <x:v>68.76643445501885</x:v>
      </x:c>
      <x:c r="Q13" s="24" t="n">
        <x:v>80.19075765350905</x:v>
      </x:c>
      <x:c r="R13" s="24" t="n">
        <x:v>69.31647127603291</x:v>
      </x:c>
      <x:c r="S13" s="24" t="n">
        <x:v>80.4271152365503</x:v>
      </x:c>
      <x:c r="T13" s="24" t="n">
        <x:v>65.39736139903842</x:v>
      </x:c>
      <x:c r="U13" s="24" t="n">
        <x:v>80.68714805847877</x:v>
      </x:c>
      <x:c r="V13" s="24" t="n">
        <x:v>78.60752667490897</x:v>
      </x:c>
      <x:c r="W13" s="24" t="n">
        <x:v>81.6895464769926</x:v>
      </x:c>
      <x:c r="X13" s="24" t="n">
        <x:v>78.62921470471095</x:v>
      </x:c>
      <x:c r="Y13" s="24" t="n">
        <x:v>75.58257399887704</x:v>
      </x:c>
      <x:c r="Z13" s="24" t="n">
        <x:v>80.05129576088784</x:v>
      </x:c>
      <x:c r="AA13" s="24" t="n">
        <x:v>76.93874369215602</x:v>
      </x:c>
      <x:c r="AB13" s="24" t="n">
        <x:v>70.35774745371373</x:v>
      </x:c>
      <x:c r="AC13" s="24" t="n">
        <x:v>78.25368795780216</x:v>
      </x:c>
      <x:c r="AD13" s="24" t="n">
        <x:v>77.65832956148346</x:v>
      </x:c>
      <x:c r="AE13" s="24" t="n">
        <x:v>76.08788445103131</x:v>
      </x:c>
      <x:c r="AF13" s="24" t="n">
        <x:v>68.45569319248699</x:v>
      </x:c>
      <x:c r="AG13" s="24" t="n">
        <x:v>79.63634161188013</x:v>
      </x:c>
      <x:c r="AH13" s="24" t="n">
        <x:v>77.46277347546707</x:v>
      </x:c>
      <x:c r="AI13" s="24" t="n">
        <x:v>82.02946555923626</x:v>
      </x:c>
      <x:c r="AJ13" s="24" t="n">
        <x:v>76.92178129302194</x:v>
      </x:c>
      <x:c r="AK13" s="24" t="n">
        <x:v>85.52354200324753</x:v>
      </x:c>
      <x:c r="AL13" s="24" t="n">
        <x:v>73.0778168708267</x:v>
      </x:c>
      <x:c r="AM13" s="24" t="n">
        <x:v>82.32622327859809</x:v>
      </x:c>
      <x:c r="AN13" s="24" t="n">
        <x:v>76.07345004590887</x:v>
      </x:c>
      <x:c r="AO13" s="24" t="n">
        <x:v>80.41999996549995</x:v>
      </x:c>
    </x:row>
    <x:row r="14">
      <x:c r="A14" s="24" t="n">
        <x:v>-59.99999999999977</x:v>
      </x:c>
      <x:c r="B14" s="24" t="n">
        <x:v>77.01233212818427</x:v>
      </x:c>
      <x:c r="C14" s="24" t="n">
        <x:v>92.09292810202568</x:v>
      </x:c>
      <x:c r="D14" s="24" t="n">
        <x:v>72.64228572471745</x:v>
      </x:c>
      <x:c r="E14" s="24" t="n">
        <x:v>80.03017001496104</x:v>
      </x:c>
      <x:c r="F14" s="24" t="n">
        <x:v>75.55755128830357</x:v>
      </x:c>
      <x:c r="G14" s="24" t="n">
        <x:v>87.00184436638807</x:v>
      </x:c>
      <x:c r="H14" s="24" t="n">
        <x:v>74.02700003511875</x:v>
      </x:c>
      <x:c r="I14" s="24" t="n">
        <x:v>83.44152564518302</x:v>
      </x:c>
      <x:c r="J14" s="24" t="n">
        <x:v>69.76388133592108</x:v>
      </x:c>
      <x:c r="K14" s="24" t="n">
        <x:v>84.89275264767343</x:v>
      </x:c>
      <x:c r="L14" s="24" t="n">
        <x:v>72.0074832793583</x:v>
      </x:c>
      <x:c r="M14" s="24" t="n">
        <x:v>80.65918827428683</x:v>
      </x:c>
      <x:c r="N14" s="24" t="n">
        <x:v>78.58132284340276</x:v>
      </x:c>
      <x:c r="O14" s="24" t="n">
        <x:v>79.31078328612057</x:v>
      </x:c>
      <x:c r="P14" s="24" t="n">
        <x:v>69.01766989099411</x:v>
      </x:c>
      <x:c r="Q14" s="24" t="n">
        <x:v>82.33883049852261</x:v>
      </x:c>
      <x:c r="R14" s="24" t="n">
        <x:v>70.25923758099634</x:v>
      </x:c>
      <x:c r="S14" s="24" t="n">
        <x:v>82.33418854162939</x:v>
      </x:c>
      <x:c r="T14" s="24" t="n">
        <x:v>65.85557291189023</x:v>
      </x:c>
      <x:c r="U14" s="24" t="n">
        <x:v>82.1749167484893</x:v>
      </x:c>
      <x:c r="V14" s="24" t="n">
        <x:v>80.66632879278026</x:v>
      </x:c>
      <x:c r="W14" s="24" t="n">
        <x:v>82.71572138964798</x:v>
      </x:c>
      <x:c r="X14" s="24" t="n">
        <x:v>79.74496497059144</x:v>
      </x:c>
      <x:c r="Y14" s="24" t="n">
        <x:v>78.31388100908697</x:v>
      </x:c>
      <x:c r="Z14" s="24" t="n">
        <x:v>80.34938562787202</x:v>
      </x:c>
      <x:c r="AA14" s="24" t="n">
        <x:v>78.66700487964066</x:v>
      </x:c>
      <x:c r="AB14" s="24" t="n">
        <x:v>75.3520211423894</x:v>
      </x:c>
      <x:c r="AC14" s="24" t="n">
        <x:v>79.48377313993436</x:v>
      </x:c>
      <x:c r="AD14" s="24" t="n">
        <x:v>78.97551640058641</x:v>
      </x:c>
      <x:c r="AE14" s="24" t="n">
        <x:v>79.01226546533795</x:v>
      </x:c>
      <x:c r="AF14" s="24" t="n">
        <x:v>76.46949904438506</x:v>
      </x:c>
      <x:c r="AG14" s="24" t="n">
        <x:v>76.64393744365815</x:v>
      </x:c>
      <x:c r="AH14" s="24" t="n">
        <x:v>79.02355659833279</x:v>
      </x:c>
      <x:c r="AI14" s="24" t="n">
        <x:v>83.4263672591511</x:v>
      </x:c>
      <x:c r="AJ14" s="24" t="n">
        <x:v>80.38971483299716</x:v>
      </x:c>
      <x:c r="AK14" s="24" t="n">
        <x:v>86.43780566555998</x:v>
      </x:c>
      <x:c r="AL14" s="24" t="n">
        <x:v>77.20406947482162</x:v>
      </x:c>
      <x:c r="AM14" s="24" t="n">
        <x:v>83.41391964134101</x:v>
      </x:c>
      <x:c r="AN14" s="24" t="n">
        <x:v>77.59928781297292</x:v>
      </x:c>
      <x:c r="AO14" s="24" t="n">
        <x:v>81.81133211060732</x:v>
      </x:c>
    </x:row>
    <x:row r="15">
      <x:c r="A15" s="24" t="n">
        <x:v>-39.99999999999976</x:v>
      </x:c>
      <x:c r="B15" s="24" t="n">
        <x:v>77.13104405351714</x:v>
      </x:c>
      <x:c r="C15" s="24" t="n">
        <x:v>92.35077499420485</x:v>
      </x:c>
      <x:c r="D15" s="24" t="n">
        <x:v>74.0093311577113</x:v>
      </x:c>
      <x:c r="E15" s="24" t="n">
        <x:v>82.0081180222086</x:v>
      </x:c>
      <x:c r="F15" s="24" t="n">
        <x:v>76.22152221027133</x:v>
      </x:c>
      <x:c r="G15" s="24" t="n">
        <x:v>87.45299512309438</x:v>
      </x:c>
      <x:c r="H15" s="24" t="n">
        <x:v>74.11842171693856</x:v>
      </x:c>
      <x:c r="I15" s="24" t="n">
        <x:v>84.61187302284678</x:v>
      </x:c>
      <x:c r="J15" s="24" t="n">
        <x:v>70.77769570983111</x:v>
      </x:c>
      <x:c r="K15" s="24" t="n">
        <x:v>85.4830674928315</x:v>
      </x:c>
      <x:c r="L15" s="24" t="n">
        <x:v>73.70878623920572</x:v>
      </x:c>
      <x:c r="M15" s="24" t="n">
        <x:v>82.35980390898854</x:v>
      </x:c>
      <x:c r="N15" s="24" t="n">
        <x:v>79.18618029107385</x:v>
      </x:c>
      <x:c r="O15" s="24" t="n">
        <x:v>81.5820363479373</x:v>
      </x:c>
      <x:c r="P15" s="24" t="n">
        <x:v>70.16643629630195</x:v>
      </x:c>
      <x:c r="Q15" s="24" t="n">
        <x:v>83.01691998178389</x:v>
      </x:c>
      <x:c r="R15" s="24" t="n">
        <x:v>70.15505728580446</x:v>
      </x:c>
      <x:c r="S15" s="24" t="n">
        <x:v>82.78817584855726</x:v>
      </x:c>
      <x:c r="T15" s="24" t="n">
        <x:v>69.28779442500351</x:v>
      </x:c>
      <x:c r="U15" s="24" t="n">
        <x:v>82.81202107445009</x:v>
      </x:c>
      <x:c r="V15" s="24" t="n">
        <x:v>81.35730089693489</x:v>
      </x:c>
      <x:c r="W15" s="24" t="n">
        <x:v>82.22956504408876</x:v>
      </x:c>
      <x:c r="X15" s="24" t="n">
        <x:v>79.82851106733887</x:v>
      </x:c>
      <x:c r="Y15" s="24" t="n">
        <x:v>81.36126257331811</x:v>
      </x:c>
      <x:c r="Z15" s="24" t="n">
        <x:v>78.58266970108836</x:v>
      </x:c>
      <x:c r="AA15" s="24" t="n">
        <x:v>80.01473870114343</x:v>
      </x:c>
      <x:c r="AB15" s="24" t="n">
        <x:v>77.16794265946427</x:v>
      </x:c>
      <x:c r="AC15" s="24" t="n">
        <x:v>80.88182837993743</x:v>
      </x:c>
      <x:c r="AD15" s="24" t="n">
        <x:v>79.30790660769705</x:v>
      </x:c>
      <x:c r="AE15" s="24" t="n">
        <x:v>80.12150518043453</x:v>
      </x:c>
      <x:c r="AF15" s="24" t="n">
        <x:v>78.29517984103444</x:v>
      </x:c>
      <x:c r="AG15" s="24" t="n">
        <x:v>72.4889791534619</x:v>
      </x:c>
      <x:c r="AH15" s="24" t="n">
        <x:v>79.51177169389909</x:v>
      </x:c>
      <x:c r="AI15" s="24" t="n">
        <x:v>84.0981365169828</x:v>
      </x:c>
      <x:c r="AJ15" s="24" t="n">
        <x:v>81.44135292996128</x:v>
      </x:c>
      <x:c r="AK15" s="24" t="n">
        <x:v>87.30375690709941</x:v>
      </x:c>
      <x:c r="AL15" s="24" t="n">
        <x:v>78.0328192673859</x:v>
      </x:c>
      <x:c r="AM15" s="24" t="n">
        <x:v>84.49968002029604</x:v>
      </x:c>
      <x:c r="AN15" s="24" t="n">
        <x:v>78.6789257101144</x:v>
      </x:c>
      <x:c r="AO15" s="24" t="n">
        <x:v>82.3486628166588</x:v>
      </x:c>
    </x:row>
    <x:row r="16">
      <x:c r="A16" s="24" t="n">
        <x:v>-19.99999999999974</x:v>
      </x:c>
      <x:c r="B16" s="24" t="n">
        <x:v>76.87424946718112</x:v>
      </x:c>
      <x:c r="C16" s="24" t="n">
        <x:v>89.70465591193738</x:v>
      </x:c>
      <x:c r="D16" s="24" t="n">
        <x:v>74.49442782616394</x:v>
      </x:c>
      <x:c r="E16" s="24" t="n">
        <x:v>83.03105579422508</x:v>
      </x:c>
      <x:c r="F16" s="24" t="n">
        <x:v>74.9292248719574</x:v>
      </x:c>
      <x:c r="G16" s="24" t="n">
        <x:v>86.9068789938428</x:v>
      </x:c>
      <x:c r="H16" s="24" t="n">
        <x:v>74.88254704410973</x:v>
      </x:c>
      <x:c r="I16" s="24" t="n">
        <x:v>85.08357233600061</x:v>
      </x:c>
      <x:c r="J16" s="24" t="n">
        <x:v>71.4685668407559</x:v>
      </x:c>
      <x:c r="K16" s="24" t="n">
        <x:v>85.77459557685457</x:v>
      </x:c>
      <x:c r="L16" s="24" t="n">
        <x:v>74.14815278757601</x:v>
      </x:c>
      <x:c r="M16" s="24" t="n">
        <x:v>82.80784871718927</x:v>
      </x:c>
      <x:c r="N16" s="24" t="n">
        <x:v>78.88317083772131</x:v>
      </x:c>
      <x:c r="O16" s="24" t="n">
        <x:v>82.2707832837446</x:v>
      </x:c>
      <x:c r="P16" s="24" t="n">
        <x:v>72.78336339623256</x:v>
      </x:c>
      <x:c r="Q16" s="24" t="n">
        <x:v>82.68355823030954</x:v>
      </x:c>
      <x:c r="R16" s="24" t="n">
        <x:v>70.2861049358867</x:v>
      </x:c>
      <x:c r="S16" s="24" t="n">
        <x:v>81.44748299981588</x:v>
      </x:c>
      <x:c r="T16" s="24" t="n">
        <x:v>72.13520167671601</x:v>
      </x:c>
      <x:c r="U16" s="24" t="n">
        <x:v>83.4998531930986</x:v>
      </x:c>
      <x:c r="V16" s="24" t="n">
        <x:v>80.53066304328911</x:v>
      </x:c>
      <x:c r="W16" s="24" t="n">
        <x:v>80.70521383581288</x:v>
      </x:c>
      <x:c r="X16" s="24" t="n">
        <x:v>78.99757097265636</x:v>
      </x:c>
      <x:c r="Y16" s="24" t="n">
        <x:v>81.9557879850196</x:v>
      </x:c>
      <x:c r="Z16" s="24" t="n">
        <x:v>76.55399736598667</x:v>
      </x:c>
      <x:c r="AA16" s="24" t="n">
        <x:v>80.04843099423266</x:v>
      </x:c>
      <x:c r="AB16" s="24" t="n">
        <x:v>78.28639961202177</x:v>
      </x:c>
      <x:c r="AC16" s="24" t="n">
        <x:v>80.51520453038144</x:v>
      </x:c>
      <x:c r="AD16" s="24" t="n">
        <x:v>77.30868416996674</x:v>
      </x:c>
      <x:c r="AE16" s="24" t="n">
        <x:v>80.65502488830106</x:v>
      </x:c>
      <x:c r="AF16" s="24" t="n">
        <x:v>79.18738824642571</x:v>
      </x:c>
      <x:c r="AG16" s="24" t="n">
        <x:v>73.99588484361693</x:v>
      </x:c>
      <x:c r="AH16" s="24" t="n">
        <x:v>79.21523741489682</x:v>
      </x:c>
      <x:c r="AI16" s="24" t="n">
        <x:v>83.82320185218025</x:v>
      </x:c>
      <x:c r="AJ16" s="24" t="n">
        <x:v>81.83014430201915</x:v>
      </x:c>
      <x:c r="AK16" s="24" t="n">
        <x:v>86.0190417158184</x:v>
      </x:c>
      <x:c r="AL16" s="24" t="n">
        <x:v>78.37670170160037</x:v>
      </x:c>
      <x:c r="AM16" s="24" t="n">
        <x:v>83.1942146208248</x:v>
      </x:c>
      <x:c r="AN16" s="24" t="n">
        <x:v>78.88695900641618</x:v>
      </x:c>
      <x:c r="AO16" s="24" t="n">
        <x:v>81.71429714500391</x:v>
      </x:c>
    </x:row>
    <x:row r="17">
      <x:c r="A17" s="24" t="n">
        <x:v>2.7755575615628914e-13</x:v>
      </x:c>
      <x:c r="B17" s="24" t="n">
        <x:v>75.96352248312981</x:v>
      </x:c>
      <x:c r="C17" s="24" t="n">
        <x:v>86.71919717103414</x:v>
      </x:c>
      <x:c r="D17" s="24" t="n">
        <x:v>75.00337302403022</x:v>
      </x:c>
      <x:c r="E17" s="24" t="n">
        <x:v>83.19008832003524</x:v>
      </x:c>
      <x:c r="F17" s="24" t="n">
        <x:v>74.35161782014785</x:v>
      </x:c>
      <x:c r="G17" s="24" t="n">
        <x:v>84.96982056055171</x:v>
      </x:c>
      <x:c r="H17" s="24" t="n">
        <x:v>74.62344754552451</x:v>
      </x:c>
      <x:c r="I17" s="24" t="n">
        <x:v>84.37740484335824</x:v>
      </x:c>
      <x:c r="J17" s="24" t="n">
        <x:v>71.7648644286835</x:v>
      </x:c>
      <x:c r="K17" s="24" t="n">
        <x:v>84.46858538706635</x:v>
      </x:c>
      <x:c r="L17" s="24" t="n">
        <x:v>73.75874059982732</x:v>
      </x:c>
      <x:c r="M17" s="24" t="n">
        <x:v>82.71610807190297</x:v>
      </x:c>
      <x:c r="N17" s="24" t="n">
        <x:v>75.49939633603616</x:v>
      </x:c>
      <x:c r="O17" s="24" t="n">
        <x:v>82.25568868262388</x:v>
      </x:c>
      <x:c r="P17" s="24" t="n">
        <x:v>74.22197483064045</x:v>
      </x:c>
      <x:c r="Q17" s="24" t="n">
        <x:v>80.80128154742273</x:v>
      </x:c>
      <x:c r="R17" s="24" t="n">
        <x:v>70.43792172208374</x:v>
      </x:c>
      <x:c r="S17" s="24" t="n">
        <x:v>80.6714669324798</x:v>
      </x:c>
      <x:c r="T17" s="24" t="n">
        <x:v>72.52213625868688</x:v>
      </x:c>
      <x:c r="U17" s="24" t="n">
        <x:v>81.00860917621208</x:v>
      </x:c>
      <x:c r="V17" s="24" t="n">
        <x:v>79.47231397544576</x:v>
      </x:c>
      <x:c r="W17" s="24" t="n">
        <x:v>79.96316305909646</x:v>
      </x:c>
      <x:c r="X17" s="24" t="n">
        <x:v>77.55772455070102</x:v>
      </x:c>
      <x:c r="Y17" s="24" t="n">
        <x:v>81.6581986512956</x:v>
      </x:c>
      <x:c r="Z17" s="24" t="n">
        <x:v>74.2094983844325</x:v>
      </x:c>
      <x:c r="AA17" s="24" t="n">
        <x:v>78.78033931887481</x:v>
      </x:c>
      <x:c r="AB17" s="24" t="n">
        <x:v>78.26548087479803</x:v>
      </x:c>
      <x:c r="AC17" s="24" t="n">
        <x:v>80.32421052062556</x:v>
      </x:c>
      <x:c r="AD17" s="24" t="n">
        <x:v>75.33557176696267</x:v>
      </x:c>
      <x:c r="AE17" s="24" t="n">
        <x:v>79.74008596191007</x:v>
      </x:c>
      <x:c r="AF17" s="24" t="n">
        <x:v>79.56783995267952</x:v>
      </x:c>
      <x:c r="AG17" s="24" t="n">
        <x:v>79.59084179994011</x:v>
      </x:c>
      <x:c r="AH17" s="24" t="n">
        <x:v>76.67042465122206</x:v>
      </x:c>
      <x:c r="AI17" s="24" t="n">
        <x:v>81.70476480487685</x:v>
      </x:c>
      <x:c r="AJ17" s="24" t="n">
        <x:v>81.24886154301547</x:v>
      </x:c>
      <x:c r="AK17" s="24" t="n">
        <x:v>84.63337890067929</x:v>
      </x:c>
      <x:c r="AL17" s="24" t="n">
        <x:v>78.03116471563385</x:v>
      </x:c>
      <x:c r="AM17" s="24" t="n">
        <x:v>82.63415451908413</x:v>
      </x:c>
      <x:c r="AN17" s="24" t="n">
        <x:v>77.28197771057272</x:v>
      </x:c>
      <x:c r="AO17" s="24" t="n">
        <x:v>79.81105827416278</x:v>
      </x:c>
    </x:row>
    <x:row r="18">
      <x:c r="A18" s="24" t="n">
        <x:v>20.000000000000295</x:v>
      </x:c>
      <x:c r="B18" s="24" t="n">
        <x:v>75.74681005715462</x:v>
      </x:c>
      <x:c r="C18" s="24" t="n">
        <x:v>84.10369690848057</x:v>
      </x:c>
      <x:c r="D18" s="24" t="n">
        <x:v>72.85657107389156</x:v>
      </x:c>
      <x:c r="E18" s="24" t="n">
        <x:v>81.10523948300725</x:v>
      </x:c>
      <x:c r="F18" s="24" t="n">
        <x:v>72.86431922728832</x:v>
      </x:c>
      <x:c r="G18" s="24" t="n">
        <x:v>81.43629440442461</x:v>
      </x:c>
      <x:c r="H18" s="24" t="n">
        <x:v>72.582302036378</x:v>
      </x:c>
      <x:c r="I18" s="24" t="n">
        <x:v>81.7305325779389</x:v>
      </x:c>
      <x:c r="J18" s="24" t="n">
        <x:v>71.74990830455418</x:v>
      </x:c>
      <x:c r="K18" s="24" t="n">
        <x:v>80.51677293614827</x:v>
      </x:c>
      <x:c r="L18" s="24" t="n">
        <x:v>72.78239096346456</x:v>
      </x:c>
      <x:c r="M18" s="24" t="n">
        <x:v>80.09515821757947</x:v>
      </x:c>
      <x:c r="N18" s="24" t="n">
        <x:v>74.14754605986039</x:v>
      </x:c>
      <x:c r="O18" s="24" t="n">
        <x:v>80.54757791900637</x:v>
      </x:c>
      <x:c r="P18" s="24" t="n">
        <x:v>74.57833913559772</x:v>
      </x:c>
      <x:c r="Q18" s="24" t="n">
        <x:v>77.62215020128752</x:v>
      </x:c>
      <x:c r="R18" s="24" t="n">
        <x:v>69.80637397737527</x:v>
      </x:c>
      <x:c r="S18" s="24" t="n">
        <x:v>78.29544811986234</x:v>
      </x:c>
      <x:c r="T18" s="24" t="n">
        <x:v>72.4521991199054</x:v>
      </x:c>
      <x:c r="U18" s="24" t="n">
        <x:v>79.5411067097135</x:v>
      </x:c>
      <x:c r="V18" s="24" t="n">
        <x:v>76.72759531506645</x:v>
      </x:c>
      <x:c r="W18" s="24" t="n">
        <x:v>78.42525291156971</x:v>
      </x:c>
      <x:c r="X18" s="24" t="n">
        <x:v>75.86341303351921</x:v>
      </x:c>
      <x:c r="Y18" s="24" t="n">
        <x:v>80.85869963374768</x:v>
      </x:c>
      <x:c r="Z18" s="24" t="n">
        <x:v>73.88857086227691</x:v>
      </x:c>
      <x:c r="AA18" s="24" t="n">
        <x:v>77.45929091293526</x:v>
      </x:c>
      <x:c r="AB18" s="24" t="n">
        <x:v>76.72327060828893</x:v>
      </x:c>
      <x:c r="AC18" s="24" t="n">
        <x:v>79.63594297463483</x:v>
      </x:c>
      <x:c r="AD18" s="24" t="n">
        <x:v>71.82897912265908</x:v>
      </x:c>
      <x:c r="AE18" s="24" t="n">
        <x:v>77.97499055555724</x:v>
      </x:c>
      <x:c r="AF18" s="24" t="n">
        <x:v>77.45072641163699</x:v>
      </x:c>
      <x:c r="AG18" s="24" t="n">
        <x:v>84.13492794865186</x:v>
      </x:c>
      <x:c r="AH18" s="24" t="n">
        <x:v>73.9854979993089</x:v>
      </x:c>
      <x:c r="AI18" s="24" t="n">
        <x:v>80.06273412848505</x:v>
      </x:c>
      <x:c r="AJ18" s="24" t="n">
        <x:v>79.14136786852468</x:v>
      </x:c>
      <x:c r="AK18" s="24" t="n">
        <x:v>83.34081720589823</x:v>
      </x:c>
      <x:c r="AL18" s="24" t="n">
        <x:v>75.37879991237152</x:v>
      </x:c>
      <x:c r="AM18" s="24" t="n">
        <x:v>81.51957790239227</x:v>
      </x:c>
      <x:c r="AN18" s="24" t="n">
        <x:v>76.12501741566068</x:v>
      </x:c>
      <x:c r="AO18" s="24" t="n">
        <x:v>77.92754178559728</x:v>
      </x:c>
    </x:row>
    <x:row r="19">
      <x:c r="A19" s="24" t="n">
        <x:v>40.00000000000031</x:v>
      </x:c>
      <x:c r="B19" s="24" t="n">
        <x:v>74.68834704900597</x:v>
      </x:c>
      <x:c r="C19" s="24" t="n">
        <x:v>81.63833711285362</x:v>
      </x:c>
      <x:c r="D19" s="24" t="n">
        <x:v>71.72133759592596</x:v>
      </x:c>
      <x:c r="E19" s="24" t="n">
        <x:v>78.65297692326293</x:v>
      </x:c>
      <x:c r="F19" s="24" t="n">
        <x:v>71.07261788387817</x:v>
      </x:c>
      <x:c r="G19" s="24" t="n">
        <x:v>79.8187885529435</x:v>
      </x:c>
      <x:c r="H19" s="24" t="n">
        <x:v>72.03619936460954</x:v>
      </x:c>
      <x:c r="I19" s="24" t="n">
        <x:v>80.02777453866969</x:v>
      </x:c>
      <x:c r="J19" s="24" t="n">
        <x:v>71.14567859965946</x:v>
      </x:c>
      <x:c r="K19" s="24" t="n">
        <x:v>78.75993884540972</x:v>
      </x:c>
      <x:c r="L19" s="24" t="n">
        <x:v>70.80866520563924</x:v>
      </x:c>
      <x:c r="M19" s="24" t="n">
        <x:v>77.59716411345548</x:v>
      </x:c>
      <x:c r="N19" s="24" t="n">
        <x:v>72.47691500101435</x:v>
      </x:c>
      <x:c r="O19" s="24" t="n">
        <x:v>77.68664348580234</x:v>
      </x:c>
      <x:c r="P19" s="24" t="n">
        <x:v>74.02710869605704</x:v>
      </x:c>
      <x:c r="Q19" s="24" t="n">
        <x:v>75.18184061146654</x:v>
      </x:c>
      <x:c r="R19" s="24" t="n">
        <x:v>69.7531622640241</x:v>
      </x:c>
      <x:c r="S19" s="24" t="n">
        <x:v>77.50434415179112</x:v>
      </x:c>
      <x:c r="T19" s="24" t="n">
        <x:v>71.20763662092425</x:v>
      </x:c>
      <x:c r="U19" s="24" t="n">
        <x:v>78.23046215554874</x:v>
      </x:c>
      <x:c r="V19" s="24" t="n">
        <x:v>74.52934829232521</x:v>
      </x:c>
      <x:c r="W19" s="24" t="n">
        <x:v>77.60474600603764</x:v>
      </x:c>
      <x:c r="X19" s="24" t="n">
        <x:v>73.55586911119062</x:v>
      </x:c>
      <x:c r="Y19" s="24" t="n">
        <x:v>77.392456843612</x:v>
      </x:c>
      <x:c r="Z19" s="24" t="n">
        <x:v>72.63982379358652</x:v>
      </x:c>
      <x:c r="AA19" s="24" t="n">
        <x:v>74.97536466685477</x:v>
      </x:c>
      <x:c r="AB19" s="24" t="n">
        <x:v>74.91729092420348</x:v>
      </x:c>
      <x:c r="AC19" s="24" t="n">
        <x:v>78.22358802229479</x:v>
      </x:c>
      <x:c r="AD19" s="24" t="n">
        <x:v>69.91175947167424</x:v>
      </x:c>
      <x:c r="AE19" s="24" t="n">
        <x:v>76.46393607469494</x:v>
      </x:c>
      <x:c r="AF19" s="24" t="n">
        <x:v>75.30847609487203</x:v>
      </x:c>
      <x:c r="AG19" s="24" t="n">
        <x:v>85.63693203519121</x:v>
      </x:c>
      <x:c r="AH19" s="24" t="n">
        <x:v>72.31833934642742</x:v>
      </x:c>
      <x:c r="AI19" s="24" t="n">
        <x:v>78.65925777881534</x:v>
      </x:c>
      <x:c r="AJ19" s="24" t="n">
        <x:v>77.81461457480565</x:v>
      </x:c>
      <x:c r="AK19" s="24" t="n">
        <x:v>81.16841540898734</x:v>
      </x:c>
      <x:c r="AL19" s="24" t="n">
        <x:v>73.91002798278306</x:v>
      </x:c>
      <x:c r="AM19" s="24" t="n">
        <x:v>79.06483650571285</x:v>
      </x:c>
      <x:c r="AN19" s="24" t="n">
        <x:v>74.30758753321658</x:v>
      </x:c>
      <x:c r="AO19" s="24" t="n">
        <x:v>76.11122737721377</x:v>
      </x:c>
    </x:row>
    <x:row r="20">
      <x:c r="A20" s="24" t="n">
        <x:v>60.000000000000334</x:v>
      </x:c>
      <x:c r="B20" s="24" t="n">
        <x:v>73.61710705776066</x:v>
      </x:c>
      <x:c r="C20" s="24" t="n">
        <x:v>80.30255478404611</x:v>
      </x:c>
      <x:c r="D20" s="24" t="n">
        <x:v>70.98369064377641</x:v>
      </x:c>
      <x:c r="E20" s="24" t="n">
        <x:v>75.46346307640516</x:v>
      </x:c>
      <x:c r="F20" s="24" t="n">
        <x:v>69.9504375177679</x:v>
      </x:c>
      <x:c r="G20" s="24" t="n">
        <x:v>78.63355328850892</x:v>
      </x:c>
      <x:c r="H20" s="24" t="n">
        <x:v>69.34489925255743</x:v>
      </x:c>
      <x:c r="I20" s="24" t="n">
        <x:v>78.867630060084</x:v>
      </x:c>
      <x:c r="J20" s="24" t="n">
        <x:v>70.75606652527712</x:v>
      </x:c>
      <x:c r="K20" s="24" t="n">
        <x:v>77.55814512370036</x:v>
      </x:c>
      <x:c r="L20" s="24" t="n">
        <x:v>69.07830196198495</x:v>
      </x:c>
      <x:c r="M20" s="24" t="n">
        <x:v>77.07795441219574</x:v>
      </x:c>
      <x:c r="N20" s="24" t="n">
        <x:v>70.35437484922085</x:v>
      </x:c>
      <x:c r="O20" s="24" t="n">
        <x:v>75.86854309727408</x:v>
      </x:c>
      <x:c r="P20" s="24" t="n">
        <x:v>72.50855815382076</x:v>
      </x:c>
      <x:c r="Q20" s="24" t="n">
        <x:v>73.88692092677798</x:v>
      </x:c>
      <x:c r="R20" s="24" t="n">
        <x:v>68.96955496535604</x:v>
      </x:c>
      <x:c r="S20" s="24" t="n">
        <x:v>76.41806964704848</x:v>
      </x:c>
      <x:c r="T20" s="24" t="n">
        <x:v>68.00827446776442</x:v>
      </x:c>
      <x:c r="U20" s="24" t="n">
        <x:v>76.07032789805243</x:v>
      </x:c>
      <x:c r="V20" s="24" t="n">
        <x:v>71.8785526382725</x:v>
      </x:c>
      <x:c r="W20" s="24" t="n">
        <x:v>76.94230939527134</x:v>
      </x:c>
      <x:c r="X20" s="24" t="n">
        <x:v>71.79320861007776</x:v>
      </x:c>
      <x:c r="Y20" s="24" t="n">
        <x:v>75.7161627769816</x:v>
      </x:c>
      <x:c r="Z20" s="24" t="n">
        <x:v>73.50801609972935</x:v>
      </x:c>
      <x:c r="AA20" s="24" t="n">
        <x:v>73.36458215180932</x:v>
      </x:c>
      <x:c r="AB20" s="24" t="n">
        <x:v>72.06684335386792</x:v>
      </x:c>
      <x:c r="AC20" s="24" t="n">
        <x:v>76.13479401635344</x:v>
      </x:c>
      <x:c r="AD20" s="24" t="n">
        <x:v>70.2229356034954</x:v>
      </x:c>
      <x:c r="AE20" s="24" t="n">
        <x:v>75.07120385514402</x:v>
      </x:c>
      <x:c r="AF20" s="24" t="n">
        <x:v>72.7241710548839</x:v>
      </x:c>
      <x:c r="AG20" s="24" t="n">
        <x:v>85.92910625270568</x:v>
      </x:c>
      <x:c r="AH20" s="24" t="n">
        <x:v>71.44230978843112</x:v>
      </x:c>
      <x:c r="AI20" s="24" t="n">
        <x:v>76.68575940122969</x:v>
      </x:c>
      <x:c r="AJ20" s="24" t="n">
        <x:v>76.20217489703168</x:v>
      </x:c>
      <x:c r="AK20" s="24" t="n">
        <x:v>78.84487142426516</x:v>
      </x:c>
      <x:c r="AL20" s="24" t="n">
        <x:v>72.08682498852677</x:v>
      </x:c>
      <x:c r="AM20" s="24" t="n">
        <x:v>77.55655030788856</x:v>
      </x:c>
      <x:c r="AN20" s="24" t="n">
        <x:v>73.01650015899268</x:v>
      </x:c>
      <x:c r="AO20" s="24" t="n">
        <x:v>75.03986975846259</x:v>
      </x:c>
    </x:row>
    <x:row r="21">
      <x:c r="A21" s="24" t="n">
        <x:v>80.00000000000036</x:v>
      </x:c>
      <x:c r="B21" s="24" t="n">
        <x:v>71.55681900500242</x:v>
      </x:c>
      <x:c r="C21" s="24" t="n">
        <x:v>79.15328742440212</x:v>
      </x:c>
      <x:c r="D21" s="24" t="n">
        <x:v>69.25915380421904</x:v>
      </x:c>
      <x:c r="E21" s="24" t="n">
        <x:v>74.31953449460842</x:v>
      </x:c>
      <x:c r="F21" s="24" t="n">
        <x:v>69.15936261823406</x:v>
      </x:c>
      <x:c r="G21" s="24" t="n">
        <x:v>77.39783172438754</x:v>
      </x:c>
      <x:c r="H21" s="24" t="n">
        <x:v>67.76596303272832</x:v>
      </x:c>
      <x:c r="I21" s="24" t="n">
        <x:v>77.84192311261276</x:v>
      </x:c>
      <x:c r="J21" s="24" t="n">
        <x:v>71.32387642076229</x:v>
      </x:c>
      <x:c r="K21" s="24" t="n">
        <x:v>76.15039929464716</x:v>
      </x:c>
      <x:c r="L21" s="24" t="n">
        <x:v>67.91336087770227</x:v>
      </x:c>
      <x:c r="M21" s="24" t="n">
        <x:v>76.7047553409833</x:v>
      </x:c>
      <x:c r="N21" s="24" t="n">
        <x:v>69.71671069126513</x:v>
      </x:c>
      <x:c r="O21" s="24" t="n">
        <x:v>74.17002254144016</x:v>
      </x:c>
      <x:c r="P21" s="24" t="n">
        <x:v>70.57419429849806</x:v>
      </x:c>
      <x:c r="Q21" s="24" t="n">
        <x:v>72.25813146573492</x:v>
      </x:c>
      <x:c r="R21" s="24" t="n">
        <x:v>69.22519718835883</x:v>
      </x:c>
      <x:c r="S21" s="24" t="n">
        <x:v>75.14921823339323</x:v>
      </x:c>
      <x:c r="T21" s="24" t="n">
        <x:v>68.15546806862469</x:v>
      </x:c>
      <x:c r="U21" s="24" t="n">
        <x:v>74.82668704863272</x:v>
      </x:c>
      <x:c r="V21" s="24" t="n">
        <x:v>70.65829136984345</x:v>
      </x:c>
      <x:c r="W21" s="24" t="n">
        <x:v>76.30798604171049</x:v>
      </x:c>
      <x:c r="X21" s="24" t="n">
        <x:v>72.90008189929011</x:v>
      </x:c>
      <x:c r="Y21" s="24" t="n">
        <x:v>73.58392775703435</x:v>
      </x:c>
      <x:c r="Z21" s="24" t="n">
        <x:v>74.95948168983317</x:v>
      </x:c>
      <x:c r="AA21" s="24" t="n">
        <x:v>72.52944395377993</x:v>
      </x:c>
      <x:c r="AB21" s="24" t="n">
        <x:v>70.45467255352278</x:v>
      </x:c>
      <x:c r="AC21" s="24" t="n">
        <x:v>75.20648712806278</x:v>
      </x:c>
      <x:c r="AD21" s="24" t="n">
        <x:v>69.73104397480445</x:v>
      </x:c>
      <x:c r="AE21" s="24" t="n">
        <x:v>73.46235155972039</x:v>
      </x:c>
      <x:c r="AF21" s="24" t="n">
        <x:v>70.14654382524752</x:v>
      </x:c>
      <x:c r="AG21" s="24" t="n">
        <x:v>85.5472608530588</x:v>
      </x:c>
      <x:c r="AH21" s="24" t="n">
        <x:v>70.66834968838427</x:v>
      </x:c>
      <x:c r="AI21" s="24" t="n">
        <x:v>75.30740129337012</x:v>
      </x:c>
      <x:c r="AJ21" s="24" t="n">
        <x:v>74.41723404661359</x:v>
      </x:c>
      <x:c r="AK21" s="24" t="n">
        <x:v>77.11789035930103</x:v>
      </x:c>
      <x:c r="AL21" s="24" t="n">
        <x:v>69.93170052404115</x:v>
      </x:c>
      <x:c r="AM21" s="24" t="n">
        <x:v>74.59045139675032</x:v>
      </x:c>
      <x:c r="AN21" s="24" t="n">
        <x:v>70.59869348887885</x:v>
      </x:c>
      <x:c r="AO21" s="24" t="n">
        <x:v>73.71529327445215</x:v>
      </x:c>
    </x:row>
    <x:row r="22">
      <x:c r="A22" s="24" t="n">
        <x:v>100.00000000000037</x:v>
      </x:c>
      <x:c r="B22" s="24" t="n">
        <x:v>70.89900063882307</x:v>
      </x:c>
      <x:c r="C22" s="24" t="n">
        <x:v>78.72519387137189</x:v>
      </x:c>
      <x:c r="D22" s="24" t="n">
        <x:v>67.39236364087661</x:v>
      </x:c>
      <x:c r="E22" s="24" t="n">
        <x:v>73.21614040095575</x:v>
      </x:c>
      <x:c r="F22" s="24" t="n">
        <x:v>68.23271535000377</x:v>
      </x:c>
      <x:c r="G22" s="24" t="n">
        <x:v>75.86627092321363</x:v>
      </x:c>
      <x:c r="H22" s="24" t="n">
        <x:v>66.84201080265616</x:v>
      </x:c>
      <x:c r="I22" s="24" t="n">
        <x:v>76.77524937756601</x:v>
      </x:c>
      <x:c r="J22" s="24" t="n">
        <x:v>70.77580148102288</x:v>
      </x:c>
      <x:c r="K22" s="24" t="n">
        <x:v>74.3366068286601</x:v>
      </x:c>
      <x:c r="L22" s="24" t="n">
        <x:v>66.40220534569563</x:v>
      </x:c>
      <x:c r="M22" s="24" t="n">
        <x:v>75.34295014867564</x:v>
      </x:c>
      <x:c r="N22" s="24" t="n">
        <x:v>69.01400009242134</x:v>
      </x:c>
      <x:c r="O22" s="24" t="n">
        <x:v>73.0627611897068</x:v>
      </x:c>
      <x:c r="P22" s="24" t="n">
        <x:v>68.51382018133155</x:v>
      </x:c>
      <x:c r="Q22" s="24" t="n">
        <x:v>71.46468550162028</x:v>
      </x:c>
      <x:c r="R22" s="24" t="n">
        <x:v>68.6676281614003</x:v>
      </x:c>
      <x:c r="S22" s="24" t="n">
        <x:v>73.34863510725421</x:v>
      </x:c>
      <x:c r="T22" s="24" t="n">
        <x:v>67.41100180908592</x:v>
      </x:c>
      <x:c r="U22" s="24" t="n">
        <x:v>72.99829693994086</x:v>
      </x:c>
      <x:c r="V22" s="24" t="n">
        <x:v>69.93856435827206</x:v>
      </x:c>
      <x:c r="W22" s="24" t="n">
        <x:v>75.97027926737036</x:v>
      </x:c>
      <x:c r="X22" s="24" t="n">
        <x:v>74.11390197600619</x:v>
      </x:c>
      <x:c r="Y22" s="24" t="n">
        <x:v>72.04785025925513</x:v>
      </x:c>
      <x:c r="Z22" s="24" t="n">
        <x:v>74.63173355442562</x:v>
      </x:c>
      <x:c r="AA22" s="24" t="n">
        <x:v>71.94536687305944</x:v>
      </x:c>
      <x:c r="AB22" s="24" t="n">
        <x:v>69.0944319418595</x:v>
      </x:c>
      <x:c r="AC22" s="24" t="n">
        <x:v>75.01785661417735</x:v>
      </x:c>
      <x:c r="AD22" s="24" t="n">
        <x:v>70.07122763596782</x:v>
      </x:c>
      <x:c r="AE22" s="24" t="n">
        <x:v>71.35350220501522</x:v>
      </x:c>
      <x:c r="AF22" s="24" t="n">
        <x:v>69.86478052349015</x:v>
      </x:c>
      <x:c r="AG22" s="24" t="n">
        <x:v>83.20117858783819</x:v>
      </x:c>
      <x:c r="AH22" s="24" t="n">
        <x:v>70.24790571520484</x:v>
      </x:c>
      <x:c r="AI22" s="24" t="n">
        <x:v>73.27191894934661</x:v>
      </x:c>
      <x:c r="AJ22" s="24" t="n">
        <x:v>73.23034062914446</x:v>
      </x:c>
      <x:c r="AK22" s="24" t="n">
        <x:v>77.66058312927308</x:v>
      </x:c>
      <x:c r="AL22" s="24" t="n">
        <x:v>68.83497765715545</x:v>
      </x:c>
      <x:c r="AM22" s="24" t="n">
        <x:v>75.00015277077273</x:v>
      </x:c>
      <x:c r="AN22" s="24" t="n">
        <x:v>68.5073013565508</x:v>
      </x:c>
      <x:c r="AO22" s="24" t="n">
        <x:v>73.37358631513759</x:v>
      </x:c>
    </x:row>
    <x:row r="23">
      <x:c r="A23" s="24" t="n">
        <x:v>120.00000000000038</x:v>
      </x:c>
      <x:c r="B23" s="24" t="n">
        <x:v>70.05569023731906</x:v>
      </x:c>
      <x:c r="C23" s="24" t="n">
        <x:v>78.11301767112685</x:v>
      </x:c>
      <x:c r="D23" s="24" t="n">
        <x:v>64.66783839702104</x:v>
      </x:c>
      <x:c r="E23" s="24" t="n">
        <x:v>72.21677243089425</x:v>
      </x:c>
      <x:c r="F23" s="24" t="n">
        <x:v>68.14878020093464</x:v>
      </x:c>
      <x:c r="G23" s="24" t="n">
        <x:v>74.89711699869028</x:v>
      </x:c>
      <x:c r="H23" s="24" t="n">
        <x:v>66.16988455602737</x:v>
      </x:c>
      <x:c r="I23" s="24" t="n">
        <x:v>74.73220088122592</x:v>
      </x:c>
      <x:c r="J23" s="24" t="n">
        <x:v>70.53771192409287</x:v>
      </x:c>
      <x:c r="K23" s="24" t="n">
        <x:v>73.26152034935274</x:v>
      </x:c>
      <x:c r="L23" s="24" t="n">
        <x:v>66.2780576888247</x:v>
      </x:c>
      <x:c r="M23" s="24" t="n">
        <x:v>73.82407328958462</x:v>
      </x:c>
      <x:c r="N23" s="24" t="n">
        <x:v>67.82136293246042</x:v>
      </x:c>
      <x:c r="O23" s="24" t="n">
        <x:v>72.00554776939487</x:v>
      </x:c>
      <x:c r="P23" s="24" t="n">
        <x:v>68.84914667169943</x:v>
      </x:c>
      <x:c r="Q23" s="24" t="n">
        <x:v>70.24254157246725</x:v>
      </x:c>
      <x:c r="R23" s="24" t="n">
        <x:v>68.81236056250867</x:v>
      </x:c>
      <x:c r="S23" s="24" t="n">
        <x:v>71.26769582795183</x:v>
      </x:c>
      <x:c r="T23" s="24" t="n">
        <x:v>67.33868883596699</x:v>
      </x:c>
      <x:c r="U23" s="24" t="n">
        <x:v>72.5230898523626</x:v>
      </x:c>
      <x:c r="V23" s="24" t="n">
        <x:v>69.57102002888819</x:v>
      </x:c>
      <x:c r="W23" s="24" t="n">
        <x:v>75.10668578983935</x:v>
      </x:c>
      <x:c r="X23" s="24" t="n">
        <x:v>74.08565526411795</x:v>
      </x:c>
      <x:c r="Y23" s="24" t="n">
        <x:v>71.09633583021197</x:v>
      </x:c>
      <x:c r="Z23" s="24" t="n">
        <x:v>75.02305047653486</x:v>
      </x:c>
      <x:c r="AA23" s="24" t="n">
        <x:v>71.6873971695823</x:v>
      </x:c>
      <x:c r="AB23" s="24" t="n">
        <x:v>67.82296918331045</x:v>
      </x:c>
      <x:c r="AC23" s="24" t="n">
        <x:v>73.88481867816037</x:v>
      </x:c>
      <x:c r="AD23" s="24" t="n">
        <x:v>70.55479616615395</x:v>
      </x:c>
      <x:c r="AE23" s="24" t="n">
        <x:v>69.89013691671973</x:v>
      </x:c>
      <x:c r="AF23" s="24" t="n">
        <x:v>69.64382250152984</x:v>
      </x:c>
      <x:c r="AG23" s="24" t="n">
        <x:v>80.56088625596692</x:v>
      </x:c>
      <x:c r="AH23" s="24" t="n">
        <x:v>70.11024995024513</x:v>
      </x:c>
      <x:c r="AI23" s="24" t="n">
        <x:v>71.51553698569117</x:v>
      </x:c>
      <x:c r="AJ23" s="24" t="n">
        <x:v>71.15336346634227</x:v>
      </x:c>
      <x:c r="AK23" s="24" t="n">
        <x:v>77.28141953981078</x:v>
      </x:c>
      <x:c r="AL23" s="24" t="n">
        <x:v>68.59318390090363</x:v>
      </x:c>
      <x:c r="AM23" s="24" t="n">
        <x:v>75.32316027336142</x:v>
      </x:c>
      <x:c r="AN23" s="24" t="n">
        <x:v>67.26454448989081</x:v>
      </x:c>
      <x:c r="AO23" s="24" t="n">
        <x:v>73.43235267882694</x:v>
      </x:c>
    </x:row>
    <x:row r="24">
      <x:c r="A24" s="24" t="n">
        <x:v>140.0000000000004</x:v>
      </x:c>
      <x:c r="B24" s="24" t="n">
        <x:v>70.3274246529574</x:v>
      </x:c>
      <x:c r="C24" s="24" t="n">
        <x:v>77.0035968279844</x:v>
      </x:c>
      <x:c r="D24" s="24" t="n">
        <x:v>63.91791285461142</x:v>
      </x:c>
      <x:c r="E24" s="24" t="n">
        <x:v>70.45150155664439</x:v>
      </x:c>
      <x:c r="F24" s="24" t="n">
        <x:v>67.34994497544777</x:v>
      </x:c>
      <x:c r="G24" s="24" t="n">
        <x:v>73.78289476007674</x:v>
      </x:c>
      <x:c r="H24" s="24" t="n">
        <x:v>65.47804487920433</x:v>
      </x:c>
      <x:c r="I24" s="24" t="n">
        <x:v>72.77783133797716</x:v>
      </x:c>
      <x:c r="J24" s="24" t="n">
        <x:v>70.19074945163979</x:v>
      </x:c>
      <x:c r="K24" s="24" t="n">
        <x:v>71.15214895429905</x:v>
      </x:c>
      <x:c r="L24" s="24" t="n">
        <x:v>65.56822847245637</x:v>
      </x:c>
      <x:c r="M24" s="24" t="n">
        <x:v>70.69375904506978</x:v>
      </x:c>
      <x:c r="N24" s="24" t="n">
        <x:v>66.95131457463906</x:v>
      </x:c>
      <x:c r="O24" s="24" t="n">
        <x:v>70.39796138739436</x:v>
      </x:c>
      <x:c r="P24" s="24" t="n">
        <x:v>68.2261468242389</x:v>
      </x:c>
      <x:c r="Q24" s="24" t="n">
        <x:v>69.360830317326</x:v>
      </x:c>
      <x:c r="R24" s="24" t="n">
        <x:v>68.51351989628978</x:v>
      </x:c>
      <x:c r="S24" s="24" t="n">
        <x:v>70.00357945523645</x:v>
      </x:c>
      <x:c r="T24" s="24" t="n">
        <x:v>66.77842013531207</x:v>
      </x:c>
      <x:c r="U24" s="24" t="n">
        <x:v>70.09175064675757</x:v>
      </x:c>
      <x:c r="V24" s="24" t="n">
        <x:v>68.9021020723966</x:v>
      </x:c>
      <x:c r="W24" s="24" t="n">
        <x:v>74.69929864265036</x:v>
      </x:c>
      <x:c r="X24" s="24" t="n">
        <x:v>73.50563920654838</x:v>
      </x:c>
      <x:c r="Y24" s="24" t="n">
        <x:v>69.54631756805796</x:v>
      </x:c>
      <x:c r="Z24" s="24" t="n">
        <x:v>74.52656805532592</x:v>
      </x:c>
      <x:c r="AA24" s="24" t="n">
        <x:v>72.1195696034881</x:v>
      </x:c>
      <x:c r="AB24" s="24" t="n">
        <x:v>67.59561244974743</x:v>
      </x:c>
      <x:c r="AC24" s="24" t="n">
        <x:v>72.3735512291485</x:v>
      </x:c>
      <x:c r="AD24" s="24" t="n">
        <x:v>71.57472074637232</x:v>
      </x:c>
      <x:c r="AE24" s="24" t="n">
        <x:v>68.83330719013696</x:v>
      </x:c>
      <x:c r="AF24" s="24" t="n">
        <x:v>70.29185414416531</x:v>
      </x:c>
      <x:c r="AG24" s="24" t="n">
        <x:v>79.34124566813271</x:v>
      </x:c>
      <x:c r="AH24" s="24" t="n">
        <x:v>70.31297437113008</x:v>
      </x:c>
      <x:c r="AI24" s="24" t="n">
        <x:v>70.50566594355685</x:v>
      </x:c>
      <x:c r="AJ24" s="24" t="n">
        <x:v>70.78912031933561</x:v>
      </x:c>
      <x:c r="AK24" s="24" t="n">
        <x:v>77.32727921047868</x:v>
      </x:c>
      <x:c r="AL24" s="24" t="n">
        <x:v>68.1678858820575</x:v>
      </x:c>
      <x:c r="AM24" s="24" t="n">
        <x:v>75.2112002895006</x:v>
      </x:c>
      <x:c r="AN24" s="24" t="n">
        <x:v>66.77020088088376</x:v>
      </x:c>
      <x:c r="AO24" s="24" t="n">
        <x:v>73.32227180372544</x:v>
      </x:c>
    </x:row>
    <x:row r="25">
      <x:c r="A25" s="24" t="n">
        <x:v>160.00000000000043</x:v>
      </x:c>
      <x:c r="B25" s="24" t="n">
        <x:v>69.19688952283403</x:v>
      </x:c>
      <x:c r="C25" s="24" t="n">
        <x:v>77.15340924893935</x:v>
      </x:c>
      <x:c r="D25" s="24" t="n">
        <x:v>64.86590358955465</x:v>
      </x:c>
      <x:c r="E25" s="24" t="n">
        <x:v>69.6716530112535</x:v>
      </x:c>
      <x:c r="F25" s="24" t="n">
        <x:v>67.28277020330475</x:v>
      </x:c>
      <x:c r="G25" s="24" t="n">
        <x:v>73.3313599533475</x:v>
      </x:c>
      <x:c r="H25" s="24" t="n">
        <x:v>65.41279152834048</x:v>
      </x:c>
      <x:c r="I25" s="24" t="n">
        <x:v>71.26555855398979</x:v>
      </x:c>
      <x:c r="J25" s="24" t="n">
        <x:v>68.95008260309376</x:v>
      </x:c>
      <x:c r="K25" s="24" t="n">
        <x:v>70.23934932642184</x:v>
      </x:c>
      <x:c r="L25" s="24" t="n">
        <x:v>65.69453854786408</x:v>
      </x:c>
      <x:c r="M25" s="24" t="n">
        <x:v>68.23663713312467</x:v>
      </x:c>
      <x:c r="N25" s="24" t="n">
        <x:v>66.06637694374518</x:v>
      </x:c>
      <x:c r="O25" s="24" t="n">
        <x:v>67.29375469745622</x:v>
      </x:c>
      <x:c r="P25" s="24" t="n">
        <x:v>67.08721207904465</x:v>
      </x:c>
      <x:c r="Q25" s="24" t="n">
        <x:v>68.87634001892299</x:v>
      </x:c>
      <x:c r="R25" s="24" t="n">
        <x:v>67.92440871604673</x:v>
      </x:c>
      <x:c r="S25" s="24" t="n">
        <x:v>68.9740030612744</x:v>
      </x:c>
      <x:c r="T25" s="24" t="n">
        <x:v>65.12231669188449</x:v>
      </x:c>
      <x:c r="U25" s="24" t="n">
        <x:v>67.76194024327245</x:v>
      </x:c>
      <x:c r="V25" s="24" t="n">
        <x:v>67.73767851483045</x:v>
      </x:c>
      <x:c r="W25" s="24" t="n">
        <x:v>74.42130224971923</x:v>
      </x:c>
      <x:c r="X25" s="24" t="n">
        <x:v>73.37570938347127</x:v>
      </x:c>
      <x:c r="Y25" s="24" t="n">
        <x:v>69.12626575793189</x:v>
      </x:c>
      <x:c r="Z25" s="24" t="n">
        <x:v>73.26168345307217</x:v>
      </x:c>
      <x:c r="AA25" s="24" t="n">
        <x:v>72.0514660502105</x:v>
      </x:c>
      <x:c r="AB25" s="24" t="n">
        <x:v>66.60252029617233</x:v>
      </x:c>
      <x:c r="AC25" s="24" t="n">
        <x:v>71.70614213122147</x:v>
      </x:c>
      <x:c r="AD25" s="24" t="n">
        <x:v>72.62640915033094</x:v>
      </x:c>
      <x:c r="AE25" s="24" t="n">
        <x:v>68.4868774914341</x:v>
      </x:c>
      <x:c r="AF25" s="24" t="n">
        <x:v>70.45787200058793</x:v>
      </x:c>
      <x:c r="AG25" s="24" t="n">
        <x:v>77.68090644027772</x:v>
      </x:c>
      <x:c r="AH25" s="24" t="n">
        <x:v>70.74890646358696</x:v>
      </x:c>
      <x:c r="AI25" s="24" t="n">
        <x:v>68.84267906981576</x:v>
      </x:c>
      <x:c r="AJ25" s="24" t="n">
        <x:v>70.29722241315912</x:v>
      </x:c>
      <x:c r="AK25" s="24" t="n">
        <x:v>77.51390369140444</x:v>
      </x:c>
      <x:c r="AL25" s="24" t="n">
        <x:v>66.60355893769899</x:v>
      </x:c>
      <x:c r="AM25" s="24" t="n">
        <x:v>76.21368451991682</x:v>
      </x:c>
      <x:c r="AN25" s="24" t="n">
        <x:v>66.50332694642661</x:v>
      </x:c>
      <x:c r="AO25" s="24" t="n">
        <x:v>73.11011513063204</x:v>
      </x:c>
    </x:row>
    <x:row r="26">
      <x:c r="A26" s="24" t="n">
        <x:v>180.00000000000043</x:v>
      </x:c>
      <x:c r="B26" s="24" t="n">
        <x:v>67.56288034719046</x:v>
      </x:c>
      <x:c r="C26" s="24" t="n">
        <x:v>76.21060287100846</x:v>
      </x:c>
      <x:c r="D26" s="24" t="n">
        <x:v>65.08644255310739</x:v>
      </x:c>
      <x:c r="E26" s="24" t="n">
        <x:v>67.86046301887787</x:v>
      </x:c>
      <x:c r="F26" s="24" t="n">
        <x:v>66.91640025194006</x:v>
      </x:c>
      <x:c r="G26" s="24" t="n">
        <x:v>71.10787146587566</x:v>
      </x:c>
      <x:c r="H26" s="24" t="n">
        <x:v>65.07770509734675</x:v>
      </x:c>
      <x:c r="I26" s="24" t="n">
        <x:v>71.63201587129355</x:v>
      </x:c>
      <x:c r="J26" s="24" t="n">
        <x:v>68.78619681986699</x:v>
      </x:c>
      <x:c r="K26" s="24" t="n">
        <x:v>70.13901119927206</x:v>
      </x:c>
      <x:c r="L26" s="24" t="n">
        <x:v>65.39797385901247</x:v>
      </x:c>
      <x:c r="M26" s="24" t="n">
        <x:v>68.00195078527818</x:v>
      </x:c>
      <x:c r="N26" s="24" t="n">
        <x:v>65.65552826300005</x:v>
      </x:c>
      <x:c r="O26" s="24" t="n">
        <x:v>66.0774155388328</x:v>
      </x:c>
      <x:c r="P26" s="24" t="n">
        <x:v>66.59604829271005</x:v>
      </x:c>
      <x:c r="Q26" s="24" t="n">
        <x:v>67.24924930826488</x:v>
      </x:c>
      <x:c r="R26" s="24" t="n">
        <x:v>68.38610279145975</x:v>
      </x:c>
      <x:c r="S26" s="24" t="n">
        <x:v>68.25788594253598</x:v>
      </x:c>
      <x:c r="T26" s="24" t="n">
        <x:v>65.10095017297013</x:v>
      </x:c>
      <x:c r="U26" s="24" t="n">
        <x:v>66.96309608130478</x:v>
      </x:c>
      <x:c r="V26" s="24" t="n">
        <x:v>67.1674930305152</x:v>
      </x:c>
      <x:c r="W26" s="24" t="n">
        <x:v>73.79359715782795</x:v>
      </x:c>
      <x:c r="X26" s="24" t="n">
        <x:v>72.70696400621986</x:v>
      </x:c>
      <x:c r="Y26" s="24" t="n">
        <x:v>68.23552425671618</x:v>
      </x:c>
      <x:c r="Z26" s="24" t="n">
        <x:v>72.79029371393001</x:v>
      </x:c>
      <x:c r="AA26" s="24" t="n">
        <x:v>72.23013077885325</x:v>
      </x:c>
      <x:c r="AB26" s="24" t="n">
        <x:v>65.19933728409895</x:v>
      </x:c>
      <x:c r="AC26" s="24" t="n">
        <x:v>70.56919804345758</x:v>
      </x:c>
      <x:c r="AD26" s="24" t="n">
        <x:v>72.55936267791975</x:v>
      </x:c>
      <x:c r="AE26" s="24" t="n">
        <x:v>67.85341880528247</x:v>
      </x:c>
      <x:c r="AF26" s="24" t="n">
        <x:v>70.98454263096929</x:v>
      </x:c>
      <x:c r="AG26" s="24" t="n">
        <x:v>75.97533747182419</x:v>
      </x:c>
      <x:c r="AH26" s="24" t="n">
        <x:v>70.439940468421</x:v>
      </x:c>
      <x:c r="AI26" s="24" t="n">
        <x:v>68.21368375436475</x:v>
      </x:c>
      <x:c r="AJ26" s="24" t="n">
        <x:v>69.77685921611932</x:v>
      </x:c>
      <x:c r="AK26" s="24" t="n">
        <x:v>76.2971400281281</x:v>
      </x:c>
      <x:c r="AL26" s="24" t="n">
        <x:v>66.2890233314911</x:v>
      </x:c>
      <x:c r="AM26" s="24" t="n">
        <x:v>75.42481665416457</x:v>
      </x:c>
      <x:c r="AN26" s="24" t="n">
        <x:v>65.47962346584345</x:v>
      </x:c>
      <x:c r="AO26" s="24" t="n">
        <x:v>72.3237516297276</x:v>
      </x:c>
    </x:row>
    <x:row r="27">
      <x:c r="A27" s="24" t="n">
        <x:v>200.00000000000045</x:v>
      </x:c>
      <x:c r="B27" s="24" t="n">
        <x:v>67.62083164412181</x:v>
      </x:c>
      <x:c r="C27" s="24" t="n">
        <x:v>74.71799242376146</x:v>
      </x:c>
      <x:c r="D27" s="24" t="n">
        <x:v>65.29292346245117</x:v>
      </x:c>
      <x:c r="E27" s="24" t="n">
        <x:v>67.49387115542777</x:v>
      </x:c>
      <x:c r="F27" s="24" t="n">
        <x:v>66.20481671804544</x:v>
      </x:c>
      <x:c r="G27" s="24" t="n">
        <x:v>69.60861511950803</x:v>
      </x:c>
      <x:c r="H27" s="24" t="n">
        <x:v>64.97584395674079</x:v>
      </x:c>
      <x:c r="I27" s="24" t="n">
        <x:v>70.48527132694106</x:v>
      </x:c>
      <x:c r="J27" s="24" t="n">
        <x:v>69.05586048802408</x:v>
      </x:c>
      <x:c r="K27" s="24" t="n">
        <x:v>70.02603680360421</x:v>
      </x:c>
      <x:c r="L27" s="24" t="n">
        <x:v>64.35558460380331</x:v>
      </x:c>
      <x:c r="M27" s="24" t="n">
        <x:v>67.04619161068044</x:v>
      </x:c>
      <x:c r="N27" s="24" t="n">
        <x:v>65.29670476261623</x:v>
      </x:c>
      <x:c r="O27" s="24" t="n">
        <x:v>65.58399614183287</x:v>
      </x:c>
      <x:c r="P27" s="24" t="n">
        <x:v>65.91460522300696</x:v>
      </x:c>
      <x:c r="Q27" s="24" t="n">
        <x:v>66.75676132172407</x:v>
      </x:c>
      <x:c r="R27" s="24" t="n">
        <x:v>68.70696262862513</x:v>
      </x:c>
      <x:c r="S27" s="24" t="n">
        <x:v>67.72027357348722</x:v>
      </x:c>
      <x:c r="T27" s="24" t="n">
        <x:v>64.91661520569366</x:v>
      </x:c>
      <x:c r="U27" s="24" t="n">
        <x:v>66.3747370041809</x:v>
      </x:c>
      <x:c r="V27" s="24" t="n">
        <x:v>66.05081926341667</x:v>
      </x:c>
      <x:c r="W27" s="24" t="n">
        <x:v>73.11386909013233</x:v>
      </x:c>
      <x:c r="X27" s="24" t="n">
        <x:v>72.41240156571762</x:v>
      </x:c>
      <x:c r="Y27" s="24" t="n">
        <x:v>66.71752491193976</x:v>
      </x:c>
      <x:c r="Z27" s="24" t="n">
        <x:v>71.10365241084607</x:v>
      </x:c>
      <x:c r="AA27" s="24" t="n">
        <x:v>72.21750943166892</x:v>
      </x:c>
      <x:c r="AB27" s="24" t="n">
        <x:v>64.1398464304555</x:v>
      </x:c>
      <x:c r="AC27" s="24" t="n">
        <x:v>69.9115826029312</x:v>
      </x:c>
      <x:c r="AD27" s="24" t="n">
        <x:v>72.76489336704367</x:v>
      </x:c>
      <x:c r="AE27" s="24" t="n">
        <x:v>66.19281262355024</x:v>
      </x:c>
      <x:c r="AF27" s="24" t="n">
        <x:v>71.78614641130366</x:v>
      </x:c>
      <x:c r="AG27" s="24" t="n">
        <x:v>75.03586247282732</x:v>
      </x:c>
      <x:c r="AH27" s="24" t="n">
        <x:v>70.20418397535697</x:v>
      </x:c>
      <x:c r="AI27" s="24" t="n">
        <x:v>67.95802618553421</x:v>
      </x:c>
      <x:c r="AJ27" s="24" t="n">
        <x:v>69.78185526466355</x:v>
      </x:c>
      <x:c r="AK27" s="24" t="n">
        <x:v>76.1606579309453</x:v>
      </x:c>
      <x:c r="AL27" s="24" t="n">
        <x:v>65.80076209286375</x:v>
      </x:c>
      <x:c r="AM27" s="24" t="n">
        <x:v>75.36560004347436</x:v>
      </x:c>
      <x:c r="AN27" s="24" t="n">
        <x:v>65.86002142843533</x:v>
      </x:c>
      <x:c r="AO27" s="24" t="n">
        <x:v>70.95858044675212</x:v>
      </x:c>
    </x:row>
    <x:row r="28">
      <x:c r="A28" s="24" t="n">
        <x:v>220.00000000000048</x:v>
      </x:c>
      <x:c r="B28" s="24" t="n">
        <x:v>65.87033412962855</x:v>
      </x:c>
      <x:c r="C28" s="24" t="n">
        <x:v>74.72222383292771</x:v>
      </x:c>
      <x:c r="D28" s="24" t="n">
        <x:v>65.04916684796055</x:v>
      </x:c>
      <x:c r="E28" s="24" t="n">
        <x:v>68.11839494871718</x:v>
      </x:c>
      <x:c r="F28" s="24" t="n">
        <x:v>66.12352884927591</x:v>
      </x:c>
      <x:c r="G28" s="24" t="n">
        <x:v>68.22423158868823</x:v>
      </x:c>
      <x:c r="H28" s="24" t="n">
        <x:v>64.62910838048283</x:v>
      </x:c>
      <x:c r="I28" s="24" t="n">
        <x:v>70.28938007196645</x:v>
      </x:c>
      <x:c r="J28" s="24" t="n">
        <x:v>69.6167423996087</x:v>
      </x:c>
      <x:c r="K28" s="24" t="n">
        <x:v>69.25053503878883</x:v>
      </x:c>
      <x:c r="L28" s="24" t="n">
        <x:v>64.03752516833308</x:v>
      </x:c>
      <x:c r="M28" s="24" t="n">
        <x:v>66.04085497249838</x:v>
      </x:c>
      <x:c r="N28" s="24" t="n">
        <x:v>64.62446647578004</x:v>
      </x:c>
      <x:c r="O28" s="24" t="n">
        <x:v>65.11280306452304</x:v>
      </x:c>
      <x:c r="P28" s="24" t="n">
        <x:v>65.85473859037431</x:v>
      </x:c>
      <x:c r="Q28" s="24" t="n">
        <x:v>66.67092496636882</x:v>
      </x:c>
      <x:c r="R28" s="24" t="n">
        <x:v>68.59367504679018</x:v>
      </x:c>
      <x:c r="S28" s="24" t="n">
        <x:v>65.64172210362922</x:v>
      </x:c>
      <x:c r="T28" s="24" t="n">
        <x:v>65.32269403334018</x:v>
      </x:c>
      <x:c r="U28" s="24" t="n">
        <x:v>66.84121764385361</x:v>
      </x:c>
      <x:c r="V28" s="24" t="n">
        <x:v>64.12250030295277</x:v>
      </x:c>
      <x:c r="W28" s="24" t="n">
        <x:v>72.55023367775098</x:v>
      </x:c>
      <x:c r="X28" s="24" t="n">
        <x:v>72.8880328421466</x:v>
      </x:c>
      <x:c r="Y28" s="24" t="n">
        <x:v>65.01197412955128</x:v>
      </x:c>
      <x:c r="Z28" s="24" t="n">
        <x:v>71.02282798099095</x:v>
      </x:c>
      <x:c r="AA28" s="24" t="n">
        <x:v>71.75808447063002</x:v>
      </x:c>
      <x:c r="AB28" s="24" t="n">
        <x:v>62.25290300516051</x:v>
      </x:c>
      <x:c r="AC28" s="24" t="n">
        <x:v>69.56032797893755</x:v>
      </x:c>
      <x:c r="AD28" s="24" t="n">
        <x:v>72.34190965847935</x:v>
      </x:c>
      <x:c r="AE28" s="24" t="n">
        <x:v>65.63619509913441</x:v>
      </x:c>
      <x:c r="AF28" s="24" t="n">
        <x:v>73.53132120640007</x:v>
      </x:c>
      <x:c r="AG28" s="24" t="n">
        <x:v>73.78503043588056</x:v>
      </x:c>
      <x:c r="AH28" s="24" t="n">
        <x:v>69.49539822979017</x:v>
      </x:c>
      <x:c r="AI28" s="24" t="n">
        <x:v>68.11347907155307</x:v>
      </x:c>
      <x:c r="AJ28" s="24" t="n">
        <x:v>69.19685838850585</x:v>
      </x:c>
      <x:c r="AK28" s="24" t="n">
        <x:v>75.75464565058539</x:v>
      </x:c>
      <x:c r="AL28" s="24" t="n">
        <x:v>65.6877421728513</x:v>
      </x:c>
      <x:c r="AM28" s="24" t="n">
        <x:v>75.43789724169507</x:v>
      </x:c>
      <x:c r="AN28" s="24" t="n">
        <x:v>64.84017232388923</x:v>
      </x:c>
      <x:c r="AO28" s="24" t="n">
        <x:v>69.33589655484967</x:v>
      </x:c>
    </x:row>
    <x:row r="29">
      <x:c r="A29" s="24" t="n">
        <x:v>240.00000000000048</x:v>
      </x:c>
      <x:c r="B29" s="24" t="n">
        <x:v>65.61458093283287</x:v>
      </x:c>
      <x:c r="C29" s="24" t="n">
        <x:v>73.23757338511068</x:v>
      </x:c>
      <x:c r="D29" s="24" t="n">
        <x:v>64.30787452234367</x:v>
      </x:c>
      <x:c r="E29" s="24" t="n">
        <x:v>66.9244905100037</x:v>
      </x:c>
      <x:c r="F29" s="24" t="n">
        <x:v>65.94192087888513</x:v>
      </x:c>
      <x:c r="G29" s="24" t="n">
        <x:v>68.47721579092553</x:v>
      </x:c>
      <x:c r="H29" s="24" t="n">
        <x:v>63.78789320348646</x:v>
      </x:c>
      <x:c r="I29" s="24" t="n">
        <x:v>69.20764838939695</x:v>
      </x:c>
      <x:c r="J29" s="24" t="n">
        <x:v>69.57669592986672</x:v>
      </x:c>
      <x:c r="K29" s="24" t="n">
        <x:v>67.8088033053483</x:v>
      </x:c>
      <x:c r="L29" s="24" t="n">
        <x:v>64.24016257262429</x:v>
      </x:c>
      <x:c r="M29" s="24" t="n">
        <x:v>64.98397205493549</x:v>
      </x:c>
      <x:c r="N29" s="24" t="n">
        <x:v>64.75714433886378</x:v>
      </x:c>
      <x:c r="O29" s="24" t="n">
        <x:v>64.52588160786952</x:v>
      </x:c>
      <x:c r="P29" s="24" t="n">
        <x:v>66.69137875494891</x:v>
      </x:c>
      <x:c r="Q29" s="24" t="n">
        <x:v>65.57189525315637</x:v>
      </x:c>
      <x:c r="R29" s="24" t="n">
        <x:v>68.87633663203876</x:v>
      </x:c>
      <x:c r="S29" s="24" t="n">
        <x:v>64.12298380457662</x:v>
      </x:c>
      <x:c r="T29" s="24" t="n">
        <x:v>65.5476980433891</x:v>
      </x:c>
      <x:c r="U29" s="24" t="n">
        <x:v>66.99622852979199</x:v>
      </x:c>
      <x:c r="V29" s="24" t="n">
        <x:v>63.56383431403542</x:v>
      </x:c>
      <x:c r="W29" s="24" t="n">
        <x:v>71.47046794869198</x:v>
      </x:c>
      <x:c r="X29" s="24" t="n">
        <x:v>72.35371962637726</x:v>
      </x:c>
      <x:c r="Y29" s="24" t="n">
        <x:v>62.71570020910464</x:v>
      </x:c>
      <x:c r="Z29" s="24" t="n">
        <x:v>70.51302552788657</x:v>
      </x:c>
      <x:c r="AA29" s="24" t="n">
        <x:v>70.87771018921418</x:v>
      </x:c>
      <x:c r="AB29" s="24" t="n">
        <x:v>61.448786359896815</x:v>
      </x:c>
      <x:c r="AC29" s="24" t="n">
        <x:v>69.26355058094208</x:v>
      </x:c>
      <x:c r="AD29" s="24" t="n">
        <x:v>71.74753157077345</x:v>
      </x:c>
      <x:c r="AE29" s="24" t="n">
        <x:v>64.10923876943484</x:v>
      </x:c>
      <x:c r="AF29" s="24" t="n">
        <x:v>73.93085957031207</x:v>
      </x:c>
      <x:c r="AG29" s="24" t="n">
        <x:v>72.24320064545557</x:v>
      </x:c>
      <x:c r="AH29" s="24" t="n">
        <x:v>67.95307641085131</x:v>
      </x:c>
      <x:c r="AI29" s="24" t="n">
        <x:v>67.49149663015665</x:v>
      </x:c>
      <x:c r="AJ29" s="24" t="n">
        <x:v>68.72713316890012</x:v>
      </x:c>
      <x:c r="AK29" s="24" t="n">
        <x:v>74.80385089655095</x:v>
      </x:c>
      <x:c r="AL29" s="24" t="n">
        <x:v>65.84014872889833</x:v>
      </x:c>
      <x:c r="AM29" s="24" t="n">
        <x:v>74.46594579868064</x:v>
      </x:c>
      <x:c r="AN29" s="24" t="n">
        <x:v>64.18976231703046</x:v>
      </x:c>
      <x:c r="AO29" s="24" t="n">
        <x:v>69.27626730454709</x:v>
      </x:c>
    </x:row>
    <x:row r="30">
      <x:c r="A30" s="24" t="n">
        <x:v>260.0000000000005</x:v>
      </x:c>
      <x:c r="B30" s="24" t="n">
        <x:v>65.16252755069357</x:v>
      </x:c>
      <x:c r="C30" s="24" t="n">
        <x:v>73.03416834581337</x:v>
      </x:c>
      <x:c r="D30" s="24" t="n">
        <x:v>64.34992465076758</x:v>
      </x:c>
      <x:c r="E30" s="24" t="n">
        <x:v>66.5838039085438</x:v>
      </x:c>
      <x:c r="F30" s="24" t="n">
        <x:v>66.08014027048341</x:v>
      </x:c>
      <x:c r="G30" s="24" t="n">
        <x:v>67.85534022583532</x:v>
      </x:c>
      <x:c r="H30" s="24" t="n">
        <x:v>64.35643985177553</x:v>
      </x:c>
      <x:c r="I30" s="24" t="n">
        <x:v>67.6888271475676</x:v>
      </x:c>
      <x:c r="J30" s="24" t="n">
        <x:v>70.40522763794648</x:v>
      </x:c>
      <x:c r="K30" s="24" t="n">
        <x:v>67.31103779617239</x:v>
      </x:c>
      <x:c r="L30" s="24" t="n">
        <x:v>64.28813062709196</x:v>
      </x:c>
      <x:c r="M30" s="24" t="n">
        <x:v>64.55394807001286</x:v>
      </x:c>
      <x:c r="N30" s="24" t="n">
        <x:v>64.35770078113634</x:v>
      </x:c>
      <x:c r="O30" s="24" t="n">
        <x:v>64.18647857463677</x:v>
      </x:c>
      <x:c r="P30" s="24" t="n">
        <x:v>66.75619191366846</x:v>
      </x:c>
      <x:c r="Q30" s="24" t="n">
        <x:v>64.91312614788112</x:v>
      </x:c>
      <x:c r="R30" s="24" t="n">
        <x:v>68.403288789006</x:v>
      </x:c>
      <x:c r="S30" s="24" t="n">
        <x:v>63.79003573902587</x:v>
      </x:c>
      <x:c r="T30" s="24" t="n">
        <x:v>65.95787999465426</x:v>
      </x:c>
      <x:c r="U30" s="24" t="n">
        <x:v>66.62079754017891</x:v>
      </x:c>
      <x:c r="V30" s="24" t="n">
        <x:v>63.37257166310157</x:v>
      </x:c>
      <x:c r="W30" s="24" t="n">
        <x:v>70.31328505258811</x:v>
      </x:c>
      <x:c r="X30" s="24" t="n">
        <x:v>71.06465323610495</x:v>
      </x:c>
      <x:c r="Y30" s="24" t="n">
        <x:v>62.29343135819744</x:v>
      </x:c>
      <x:c r="Z30" s="24" t="n">
        <x:v>69.81189177251957</x:v>
      </x:c>
      <x:c r="AA30" s="24" t="n">
        <x:v>70.26776057529128</x:v>
      </x:c>
      <x:c r="AB30" s="24" t="n">
        <x:v>60.93311365933592</x:v>
      </x:c>
      <x:c r="AC30" s="24" t="n">
        <x:v>68.15816499460973</x:v>
      </x:c>
      <x:c r="AD30" s="24" t="n">
        <x:v>71.87141961608243</x:v>
      </x:c>
      <x:c r="AE30" s="24" t="n">
        <x:v>63.47904774529817</x:v>
      </x:c>
      <x:c r="AF30" s="24" t="n">
        <x:v>73.74816846134009</x:v>
      </x:c>
      <x:c r="AG30" s="24" t="n">
        <x:v>71.15161398394652</x:v>
      </x:c>
      <x:c r="AH30" s="24" t="n">
        <x:v>67.72518855487986</x:v>
      </x:c>
      <x:c r="AI30" s="24" t="n">
        <x:v>66.88107429403587</x:v>
      </x:c>
      <x:c r="AJ30" s="24" t="n">
        <x:v>67.76431641664006</x:v>
      </x:c>
      <x:c r="AK30" s="24" t="n">
        <x:v>74.58066659151812</x:v>
      </x:c>
      <x:c r="AL30" s="24" t="n">
        <x:v>64.87809447021179</x:v>
      </x:c>
      <x:c r="AM30" s="24" t="n">
        <x:v>73.72085735474086</x:v>
      </x:c>
      <x:c r="AN30" s="24" t="n">
        <x:v>65.58946159206228</x:v>
      </x:c>
      <x:c r="AO30" s="24" t="n">
        <x:v>67.18667760250939</x:v>
      </x:c>
    </x:row>
    <x:row r="31">
      <x:c r="A31" s="24" t="n">
        <x:v>280.0000000000005</x:v>
      </x:c>
      <x:c r="B31" s="24" t="n">
        <x:v>65.23632842240917</x:v>
      </x:c>
      <x:c r="C31" s="24" t="n">
        <x:v>73.62299263795266</x:v>
      </x:c>
      <x:c r="D31" s="24" t="n">
        <x:v>64.42795510487882</x:v>
      </x:c>
      <x:c r="E31" s="24" t="n">
        <x:v>66.64084437293855</x:v>
      </x:c>
      <x:c r="F31" s="24" t="n">
        <x:v>66.14204956754575</x:v>
      </x:c>
      <x:c r="G31" s="24" t="n">
        <x:v>67.28442864070125</x:v>
      </x:c>
      <x:c r="H31" s="24" t="n">
        <x:v>64.74078898623188</x:v>
      </x:c>
      <x:c r="I31" s="24" t="n">
        <x:v>68.34512645003208</x:v>
      </x:c>
      <x:c r="J31" s="24" t="n">
        <x:v>70.35495424780808</x:v>
      </x:c>
      <x:c r="K31" s="24" t="n">
        <x:v>66.20981998696821</x:v>
      </x:c>
      <x:c r="L31" s="24" t="n">
        <x:v>65.73374437140185</x:v>
      </x:c>
      <x:c r="M31" s="24" t="n">
        <x:v>64.50752679366093</x:v>
      </x:c>
      <x:c r="N31" s="24" t="n">
        <x:v>63.62178364523061</x:v>
      </x:c>
      <x:c r="O31" s="24" t="n">
        <x:v>63.69745788243618</x:v>
      </x:c>
      <x:c r="P31" s="24" t="n">
        <x:v>66.22998179935117</x:v>
      </x:c>
      <x:c r="Q31" s="24" t="n">
        <x:v>64.66454906353006</x:v>
      </x:c>
      <x:c r="R31" s="24" t="n">
        <x:v>67.95244194076307</x:v>
      </x:c>
      <x:c r="S31" s="24" t="n">
        <x:v>63.39515370533479</x:v>
      </x:c>
      <x:c r="T31" s="24" t="n">
        <x:v>66.09161176184557</x:v>
      </x:c>
      <x:c r="U31" s="24" t="n">
        <x:v>65.15880612297335</x:v>
      </x:c>
      <x:c r="V31" s="24" t="n">
        <x:v>63.572384944397534</x:v>
      </x:c>
      <x:c r="W31" s="24" t="n">
        <x:v>69.57620547653498</x:v>
      </x:c>
      <x:c r="X31" s="24" t="n">
        <x:v>71.98516254356875</x:v>
      </x:c>
      <x:c r="Y31" s="24" t="n">
        <x:v>62.62766672241164</x:v>
      </x:c>
      <x:c r="Z31" s="24" t="n">
        <x:v>70.28939713188335</x:v>
      </x:c>
      <x:c r="AA31" s="24" t="n">
        <x:v>70.2166364088636</x:v>
      </x:c>
      <x:c r="AB31" s="24" t="n">
        <x:v>60.75142945714476</x:v>
      </x:c>
      <x:c r="AC31" s="24" t="n">
        <x:v>68.24312867596068</x:v>
      </x:c>
      <x:c r="AD31" s="24" t="n">
        <x:v>71.56976843082754</x:v>
      </x:c>
      <x:c r="AE31" s="24" t="n">
        <x:v>63.661354723877615</x:v>
      </x:c>
      <x:c r="AF31" s="24" t="n">
        <x:v>73.38691827992285</x:v>
      </x:c>
      <x:c r="AG31" s="24" t="n">
        <x:v>68.3127781068335</x:v>
      </x:c>
      <x:c r="AH31" s="24" t="n">
        <x:v>67.83253691986042</x:v>
      </x:c>
      <x:c r="AI31" s="24" t="n">
        <x:v>65.01713829385736</x:v>
      </x:c>
      <x:c r="AJ31" s="24" t="n">
        <x:v>67.03411077860586</x:v>
      </x:c>
      <x:c r="AK31" s="24" t="n">
        <x:v>73.03599565812335</x:v>
      </x:c>
      <x:c r="AL31" s="24" t="n">
        <x:v>64.87734664304156</x:v>
      </x:c>
      <x:c r="AM31" s="24" t="n">
        <x:v>72.92246120709417</x:v>
      </x:c>
      <x:c r="AN31" s="24" t="n">
        <x:v>65.79932614068177</x:v>
      </x:c>
      <x:c r="AO31" s="24" t="n">
        <x:v>66.36328374035953</x:v>
      </x:c>
    </x:row>
    <x:row r="32">
      <x:c r="A32" s="24" t="n">
        <x:v>300.00000000000057</x:v>
      </x:c>
      <x:c r="B32" s="24" t="n">
        <x:v>65.58168745922013</x:v>
      </x:c>
      <x:c r="C32" s="24" t="n">
        <x:v>73.36822740997772</x:v>
      </x:c>
      <x:c r="D32" s="24" t="n">
        <x:v>64.1967717408238</x:v>
      </x:c>
      <x:c r="E32" s="24" t="n">
        <x:v>65.9920930190837</x:v>
      </x:c>
      <x:c r="F32" s="24" t="n">
        <x:v>65.90704539537919</x:v>
      </x:c>
      <x:c r="G32" s="24" t="n">
        <x:v>66.97859452948437</x:v>
      </x:c>
      <x:c r="H32" s="24" t="n">
        <x:v>64.78255473474263</x:v>
      </x:c>
      <x:c r="I32" s="24" t="n">
        <x:v>68.03559668094638</x:v>
      </x:c>
      <x:c r="J32" s="24" t="n">
        <x:v>70.69223521782342</x:v>
      </x:c>
      <x:c r="K32" s="24" t="n">
        <x:v>65.66095450914858</x:v>
      </x:c>
      <x:c r="L32" s="24" t="n">
        <x:v>66.51805700696045</x:v>
      </x:c>
      <x:c r="M32" s="24" t="n">
        <x:v>64.07489713139114</x:v>
      </x:c>
      <x:c r="N32" s="24" t="n">
        <x:v>63.447115336073765</x:v>
      </x:c>
      <x:c r="O32" s="24" t="n">
        <x:v>63.35623560459385</x:v>
      </x:c>
      <x:c r="P32" s="24" t="n">
        <x:v>65.47705219881189</x:v>
      </x:c>
      <x:c r="Q32" s="24" t="n">
        <x:v>64.02067566744157</x:v>
      </x:c>
      <x:c r="R32" s="24" t="n">
        <x:v>68.48416452473134</x:v>
      </x:c>
      <x:c r="S32" s="24" t="n">
        <x:v>63.468269591291644</x:v>
      </x:c>
      <x:c r="T32" s="24" t="n">
        <x:v>65.32762529448092</x:v>
      </x:c>
      <x:c r="U32" s="24" t="n">
        <x:v>64.26747265022045</x:v>
      </x:c>
      <x:c r="V32" s="24" t="n">
        <x:v>63.392365771230146</x:v>
      </x:c>
      <x:c r="W32" s="24" t="n">
        <x:v>68.60301265173649</x:v>
      </x:c>
      <x:c r="X32" s="24" t="n">
        <x:v>71.75338947584495</x:v>
      </x:c>
      <x:c r="Y32" s="24" t="n">
        <x:v>62.8479949633241</x:v>
      </x:c>
      <x:c r="Z32" s="24" t="n">
        <x:v>69.83910753360139</x:v>
      </x:c>
      <x:c r="AA32" s="24" t="n">
        <x:v>69.30608451936062</x:v>
      </x:c>
      <x:c r="AB32" s="24" t="n">
        <x:v>60.13015618777224</x:v>
      </x:c>
      <x:c r="AC32" s="24" t="n">
        <x:v>68.50835448467879</x:v>
      </x:c>
      <x:c r="AD32" s="24" t="n">
        <x:v>70.4375876052171</x:v>
      </x:c>
      <x:c r="AE32" s="24" t="n">
        <x:v>62.454112194740574</x:v>
      </x:c>
      <x:c r="AF32" s="24" t="n">
        <x:v>71.57360819557793</x:v>
      </x:c>
      <x:c r="AG32" s="24" t="n">
        <x:v>68.59572776611037</x:v>
      </x:c>
      <x:c r="AH32" s="24" t="n">
        <x:v>67.60592556944765</x:v>
      </x:c>
      <x:c r="AI32" s="24" t="n">
        <x:v>63.40649564703691</x:v>
      </x:c>
      <x:c r="AJ32" s="24" t="n">
        <x:v>66.17864908499821</x:v>
      </x:c>
      <x:c r="AK32" s="24" t="n">
        <x:v>72.52577354212502</x:v>
      </x:c>
      <x:c r="AL32" s="24" t="n">
        <x:v>65.21302486890768</x:v>
      </x:c>
      <x:c r="AM32" s="24" t="n">
        <x:v>72.48250793597803</x:v>
      </x:c>
      <x:c r="AN32" s="24" t="n">
        <x:v>65.69400240525931</x:v>
      </x:c>
      <x:c r="AO32" s="24" t="n">
        <x:v>66.86881698152547</x:v>
      </x:c>
    </x:row>
    <x:row r="33">
      <x:c r="A33" s="24" t="n">
        <x:v>320.00000000000057</x:v>
      </x:c>
      <x:c r="B33" s="24" t="n">
        <x:v>66.03854333001148</x:v>
      </x:c>
      <x:c r="C33" s="24" t="n">
        <x:v>73.08288043885564</x:v>
      </x:c>
      <x:c r="D33" s="24" t="n">
        <x:v>63.46407128560552</x:v>
      </x:c>
      <x:c r="E33" s="24" t="n">
        <x:v>66.90646242931466</x:v>
      </x:c>
      <x:c r="F33" s="24" t="n">
        <x:v>66.24076566980307</x:v>
      </x:c>
      <x:c r="G33" s="24" t="n">
        <x:v>67.24660181470797</x:v>
      </x:c>
      <x:c r="H33" s="24" t="n">
        <x:v>65.4634616895144</x:v>
      </x:c>
      <x:c r="I33" s="24" t="n">
        <x:v>67.47396874050915</x:v>
      </x:c>
      <x:c r="J33" s="24" t="n">
        <x:v>71.11349454182675</x:v>
      </x:c>
      <x:c r="K33" s="24" t="n">
        <x:v>65.97515249827856</x:v>
      </x:c>
      <x:c r="L33" s="24" t="n">
        <x:v>66.5543280981791</x:v>
      </x:c>
      <x:c r="M33" s="24" t="n">
        <x:v>64.4094029346225</x:v>
      </x:c>
      <x:c r="N33" s="24" t="n">
        <x:v>61.71337507789485</x:v>
      </x:c>
      <x:c r="O33" s="24" t="n">
        <x:v>63.33703377252938</x:v>
      </x:c>
      <x:c r="P33" s="24" t="n">
        <x:v>65.48694045114229</x:v>
      </x:c>
      <x:c r="Q33" s="24" t="n">
        <x:v>63.77622366631117</x:v>
      </x:c>
      <x:c r="R33" s="24" t="n">
        <x:v>68.43471406560238</x:v>
      </x:c>
      <x:c r="S33" s="24" t="n">
        <x:v>64.54192402780501</x:v>
      </x:c>
      <x:c r="T33" s="24" t="n">
        <x:v>65.44479481129824</x:v>
      </x:c>
      <x:c r="U33" s="24" t="n">
        <x:v>64.56177471796065</x:v>
      </x:c>
      <x:c r="V33" s="24" t="n">
        <x:v>62.964973248071395</x:v>
      </x:c>
      <x:c r="W33" s="24" t="n">
        <x:v>68.45954877472211</x:v>
      </x:c>
      <x:c r="X33" s="24" t="n">
        <x:v>71.55040869654785</x:v>
      </x:c>
      <x:c r="Y33" s="24" t="n">
        <x:v>62.48063319894747</x:v>
      </x:c>
      <x:c r="Z33" s="24" t="n">
        <x:v>68.9145364524849</x:v>
      </x:c>
      <x:c r="AA33" s="24" t="n">
        <x:v>70.16504170162278</x:v>
      </x:c>
      <x:c r="AB33" s="24" t="n">
        <x:v>60.065722931769606</x:v>
      </x:c>
      <x:c r="AC33" s="24" t="n">
        <x:v>67.99854597317342</x:v>
      </x:c>
      <x:c r="AD33" s="24" t="n">
        <x:v>69.81411688254867</x:v>
      </x:c>
      <x:c r="AE33" s="24" t="n">
        <x:v>62.784157661602684</x:v>
      </x:c>
      <x:c r="AF33" s="24" t="n">
        <x:v>72.03733639145925</x:v>
      </x:c>
      <x:c r="AG33" s="24" t="n">
        <x:v>69.04652741126245</x:v>
      </x:c>
      <x:c r="AH33" s="24" t="n">
        <x:v>67.55460119576459</x:v>
      </x:c>
      <x:c r="AI33" s="24" t="n">
        <x:v>63.952010866110925</x:v>
      </x:c>
      <x:c r="AJ33" s="24" t="n">
        <x:v>65.64568658637471</x:v>
      </x:c>
      <x:c r="AK33" s="24" t="n">
        <x:v>72.65529998665195</x:v>
      </x:c>
      <x:c r="AL33" s="24" t="n">
        <x:v>64.80424453982978</x:v>
      </x:c>
      <x:c r="AM33" s="24" t="n">
        <x:v>72.07181748901355</x:v>
      </x:c>
      <x:c r="AN33" s="24" t="n">
        <x:v>66.14009529194584</x:v>
      </x:c>
      <x:c r="AO33" s="24" t="n">
        <x:v>67.0259888951075</x:v>
      </x:c>
    </x:row>
    <x:row r="34">
      <x:c r="A34" s="24" t="n">
        <x:v>340.00000000000057</x:v>
      </x:c>
      <x:c r="B34" s="24" t="n">
        <x:v>65.42718966496997</x:v>
      </x:c>
      <x:c r="C34" s="24" t="n">
        <x:v>72.06924297624727</x:v>
      </x:c>
      <x:c r="D34" s="24" t="n">
        <x:v>63.94684648368112</x:v>
      </x:c>
      <x:c r="E34" s="24" t="n">
        <x:v>66.61943636900689</x:v>
      </x:c>
      <x:c r="F34" s="24" t="n">
        <x:v>66.96927158158985</x:v>
      </x:c>
      <x:c r="G34" s="24" t="n">
        <x:v>67.49788535425715</x:v>
      </x:c>
      <x:c r="H34" s="24" t="n">
        <x:v>65.9031035914504</x:v>
      </x:c>
      <x:c r="I34" s="24" t="n">
        <x:v>67.26424772699978</x:v>
      </x:c>
      <x:c r="J34" s="24" t="n">
        <x:v>70.48330045710433</x:v>
      </x:c>
      <x:c r="K34" s="24" t="n">
        <x:v>65.62693843762663</x:v>
      </x:c>
      <x:c r="L34" s="24" t="n">
        <x:v>66.73947490467415</x:v>
      </x:c>
      <x:c r="M34" s="24" t="n">
        <x:v>63.88806921965694</x:v>
      </x:c>
      <x:c r="N34" s="24" t="n">
        <x:v>61.20615621813254</x:v>
      </x:c>
      <x:c r="O34" s="24" t="n">
        <x:v>63.102470734362356</x:v>
      </x:c>
      <x:c r="P34" s="24" t="n">
        <x:v>67.31803934405357</x:v>
      </x:c>
      <x:c r="Q34" s="24" t="n">
        <x:v>63.98222984590254</x:v>
      </x:c>
      <x:c r="R34" s="24" t="n">
        <x:v>69.6567625539654</x:v>
      </x:c>
      <x:c r="S34" s="24" t="n">
        <x:v>65.85302285746599</x:v>
      </x:c>
      <x:c r="T34" s="24" t="n">
        <x:v>66.08338277942327</x:v>
      </x:c>
      <x:c r="U34" s="24" t="n">
        <x:v>65.86503157221154</x:v>
      </x:c>
      <x:c r="V34" s="24" t="n">
        <x:v>62.29121894717112</x:v>
      </x:c>
      <x:c r="W34" s="24" t="n">
        <x:v>68.64191253864571</x:v>
      </x:c>
      <x:c r="X34" s="24" t="n">
        <x:v>72.2202242222816</x:v>
      </x:c>
      <x:c r="Y34" s="24" t="n">
        <x:v>62.27937757972421</x:v>
      </x:c>
      <x:c r="Z34" s="24" t="n">
        <x:v>69.98857995589206</x:v>
      </x:c>
      <x:c r="AA34" s="24" t="n">
        <x:v>71.08250689759151</x:v>
      </x:c>
      <x:c r="AB34" s="24" t="n">
        <x:v>59.63175175547708</x:v>
      </x:c>
      <x:c r="AC34" s="24" t="n">
        <x:v>67.81674962706963</x:v>
      </x:c>
      <x:c r="AD34" s="24" t="n">
        <x:v>69.47178197436058</x:v>
      </x:c>
      <x:c r="AE34" s="24" t="n">
        <x:v>63.20822298531417</x:v>
      </x:c>
      <x:c r="AF34" s="24" t="n">
        <x:v>72.30412669593507</x:v>
      </x:c>
      <x:c r="AG34" s="24" t="n">
        <x:v>69.1355126042474</x:v>
      </x:c>
      <x:c r="AH34" s="24" t="n">
        <x:v>67.41371750835084</x:v>
      </x:c>
      <x:c r="AI34" s="24" t="n">
        <x:v>63.729427887822105</x:v>
      </x:c>
      <x:c r="AJ34" s="24" t="n">
        <x:v>65.89579521755475</x:v>
      </x:c>
      <x:c r="AK34" s="24" t="n">
        <x:v>72.05238297908343</x:v>
      </x:c>
      <x:c r="AL34" s="24" t="n">
        <x:v>64.88483387371485</x:v>
      </x:c>
      <x:c r="AM34" s="24" t="n">
        <x:v>72.50002642046897</x:v>
      </x:c>
      <x:c r="AN34" s="24" t="n">
        <x:v>65.24474102434674</x:v>
      </x:c>
      <x:c r="AO34" s="24" t="n">
        <x:v>68.27332553626701</x:v>
      </x:c>
    </x:row>
    <x:row r="35">
      <x:c r="A35" s="24" t="n">
        <x:v>360.0000000000006</x:v>
      </x:c>
      <x:c r="B35" s="24" t="n">
        <x:v>65.27812033254467</x:v>
      </x:c>
      <x:c r="C35" s="24" t="n">
        <x:v>70.89763070653238</x:v>
      </x:c>
      <x:c r="D35" s="24" t="n">
        <x:v>64.50451211710242</x:v>
      </x:c>
      <x:c r="E35" s="24" t="n">
        <x:v>66.97935764936693</x:v>
      </x:c>
      <x:c r="F35" s="24" t="n">
        <x:v>67.23476197014472</x:v>
      </x:c>
      <x:c r="G35" s="24" t="n">
        <x:v>67.59908445530988</x:v>
      </x:c>
      <x:c r="H35" s="24" t="n">
        <x:v>67.65327468964752</x:v>
      </x:c>
      <x:c r="I35" s="24" t="n">
        <x:v>65.95440485068795</x:v>
      </x:c>
      <x:c r="J35" s="24" t="n">
        <x:v>70.73913346209407</x:v>
      </x:c>
      <x:c r="K35" s="24" t="n">
        <x:v>65.1474403789482</x:v>
      </x:c>
      <x:c r="L35" s="24" t="n">
        <x:v>66.62425276306485</x:v>
      </x:c>
      <x:c r="M35" s="24" t="n">
        <x:v>63.67174933819396</x:v>
      </x:c>
      <x:c r="N35" s="24" t="n">
        <x:v>61.11142279271939</x:v>
      </x:c>
      <x:c r="O35" s="24" t="n">
        <x:v>63.11797544350287</x:v>
      </x:c>
      <x:c r="P35" s="24" t="n">
        <x:v>68.25544427700476</x:v>
      </x:c>
      <x:c r="Q35" s="24" t="n">
        <x:v>62.71797611812379</x:v>
      </x:c>
      <x:c r="R35" s="24" t="n">
        <x:v>69.51268558034477</x:v>
      </x:c>
      <x:c r="S35" s="24" t="n">
        <x:v>67.70348861050114</x:v>
      </x:c>
      <x:c r="T35" s="24" t="n">
        <x:v>66.3025209534924</x:v>
      </x:c>
      <x:c r="U35" s="24" t="n">
        <x:v>66.15629462971172</x:v>
      </x:c>
      <x:c r="V35" s="24" t="n">
        <x:v>61.08946751184681</x:v>
      </x:c>
      <x:c r="W35" s="24" t="n">
        <x:v>68.62386378915502</x:v>
      </x:c>
      <x:c r="X35" s="24" t="n">
        <x:v>71.91214403897912</x:v>
      </x:c>
      <x:c r="Y35" s="24" t="n">
        <x:v>61.87804676595572</x:v>
      </x:c>
      <x:c r="Z35" s="24" t="n">
        <x:v>69.76710556551302</x:v>
      </x:c>
      <x:c r="AA35" s="24" t="n">
        <x:v>71.22094769647333</x:v>
      </x:c>
      <x:c r="AB35" s="24" t="n">
        <x:v>60.17070614073746</x:v>
      </x:c>
      <x:c r="AC35" s="24" t="n">
        <x:v>68.09346484036392</x:v>
      </x:c>
      <x:c r="AD35" s="24" t="n">
        <x:v>70.4681209218123</x:v>
      </x:c>
      <x:c r="AE35" s="24" t="n">
        <x:v>63.73791710476529</x:v>
      </x:c>
      <x:c r="AF35" s="24" t="n">
        <x:v>72.57006288288692</x:v>
      </x:c>
      <x:c r="AG35" s="24" t="n">
        <x:v>68.45752566912108</x:v>
      </x:c>
      <x:c r="AH35" s="24" t="n">
        <x:v>66.89122168827235</x:v>
      </x:c>
      <x:c r="AI35" s="24" t="n">
        <x:v>64.24169963819159</x:v>
      </x:c>
      <x:c r="AJ35" s="24" t="n">
        <x:v>65.2126856878271</x:v>
      </x:c>
      <x:c r="AK35" s="24" t="n">
        <x:v>71.93515948342493</x:v>
      </x:c>
      <x:c r="AL35" s="24" t="n">
        <x:v>64.3856512926894</x:v>
      </x:c>
      <x:c r="AM35" s="24" t="n">
        <x:v>72.77185870215997</x:v>
      </x:c>
      <x:c r="AN35" s="24" t="n">
        <x:v>64.38686190166062</x:v>
      </x:c>
      <x:c r="AO35" s="24" t="n">
        <x:v>68.14067981051738</x:v>
      </x:c>
    </x:row>
    <x:row r="36">
      <x:c r="A36" s="24" t="n">
        <x:v>380.0000000000006</x:v>
      </x:c>
      <x:c r="B36" s="24" t="n">
        <x:v>64.61702867281194</x:v>
      </x:c>
      <x:c r="C36" s="24" t="n">
        <x:v>70.55557908902185</x:v>
      </x:c>
      <x:c r="D36" s="24" t="n">
        <x:v>64.86098932845417</x:v>
      </x:c>
      <x:c r="E36" s="24" t="n">
        <x:v>67.14009632406898</x:v>
      </x:c>
      <x:c r="F36" s="24" t="n">
        <x:v>68.51148953701741</x:v>
      </x:c>
      <x:c r="G36" s="24" t="n">
        <x:v>67.78238417664755</x:v>
      </x:c>
      <x:c r="H36" s="24" t="n">
        <x:v>67.85311183446296</x:v>
      </x:c>
      <x:c r="I36" s="24" t="n">
        <x:v>65.89132358309226</x:v>
      </x:c>
      <x:c r="J36" s="24" t="n">
        <x:v>70.59900881878077</x:v>
      </x:c>
      <x:c r="K36" s="24" t="n">
        <x:v>64.49349664348534</x:v>
      </x:c>
      <x:c r="L36" s="24" t="n">
        <x:v>65.91523976910509</x:v>
      </x:c>
      <x:c r="M36" s="24" t="n">
        <x:v>63.37043798459646</x:v>
      </x:c>
      <x:c r="N36" s="24" t="n">
        <x:v>60.67972341006094</x:v>
      </x:c>
      <x:c r="O36" s="24" t="n">
        <x:v>62.593307659427225</x:v>
      </x:c>
      <x:c r="P36" s="24" t="n">
        <x:v>68.30235982346107</x:v>
      </x:c>
      <x:c r="Q36" s="24" t="n">
        <x:v>62.44691161899087</x:v>
      </x:c>
      <x:c r="R36" s="24" t="n">
        <x:v>69.1134668043302</x:v>
      </x:c>
      <x:c r="S36" s="24" t="n">
        <x:v>68.26518006646583</x:v>
      </x:c>
      <x:c r="T36" s="24" t="n">
        <x:v>66.8903682185682</x:v>
      </x:c>
      <x:c r="U36" s="24" t="n">
        <x:v>65.91505782741666</x:v>
      </x:c>
      <x:c r="V36" s="24" t="n">
        <x:v>60.99439539970665</x:v>
      </x:c>
      <x:c r="W36" s="24" t="n">
        <x:v>68.55117672680709</x:v>
      </x:c>
      <x:c r="X36" s="24" t="n">
        <x:v>72.01505017944262</x:v>
      </x:c>
      <x:c r="Y36" s="24" t="n">
        <x:v>61.0527443648889</x:v>
      </x:c>
      <x:c r="Z36" s="24" t="n">
        <x:v>69.00280014665888</x:v>
      </x:c>
      <x:c r="AA36" s="24" t="n">
        <x:v>71.54645315442413</x:v>
      </x:c>
      <x:c r="AB36" s="24" t="n">
        <x:v>60.09636548129672</x:v>
      </x:c>
      <x:c r="AC36" s="24" t="n">
        <x:v>68.27435947056362</x:v>
      </x:c>
      <x:c r="AD36" s="24" t="n">
        <x:v>70.75825942051148</x:v>
      </x:c>
      <x:c r="AE36" s="24" t="n">
        <x:v>64.38765814098036</x:v>
      </x:c>
      <x:c r="AF36" s="24" t="n">
        <x:v>72.72310432238784</x:v>
      </x:c>
      <x:c r="AG36" s="24" t="n">
        <x:v>67.07187137073332</x:v>
      </x:c>
      <x:c r="AH36" s="24" t="n">
        <x:v>66.71432035576017</x:v>
      </x:c>
      <x:c r="AI36" s="24" t="n">
        <x:v>64.32404096488908</x:v>
      </x:c>
      <x:c r="AJ36" s="24" t="n">
        <x:v>64.95268958902565</x:v>
      </x:c>
      <x:c r="AK36" s="24" t="n">
        <x:v>70.53334772535457</x:v>
      </x:c>
      <x:c r="AL36" s="24" t="n">
        <x:v>63.77639990607991</x:v>
      </x:c>
      <x:c r="AM36" s="24" t="n">
        <x:v>71.66354749964157</x:v>
      </x:c>
      <x:c r="AN36" s="24" t="n">
        <x:v>64.57101616647405</x:v>
      </x:c>
      <x:c r="AO36" s="24" t="n">
        <x:v>67.16348281383155</x:v>
      </x:c>
    </x:row>
    <x:row r="37">
      <x:c r="A37" s="24" t="n">
        <x:v>400.0000000000006</x:v>
      </x:c>
      <x:c r="B37" s="24" t="n">
        <x:v>65.18538254598496</x:v>
      </x:c>
      <x:c r="C37" s="24" t="n">
        <x:v>71.54748502068855</x:v>
      </x:c>
      <x:c r="D37" s="24" t="n">
        <x:v>64.91621200318339</x:v>
      </x:c>
      <x:c r="E37" s="24" t="n">
        <x:v>66.5741870445301</x:v>
      </x:c>
      <x:c r="F37" s="24" t="n">
        <x:v>68.8706490851227</x:v>
      </x:c>
      <x:c r="G37" s="24" t="n">
        <x:v>67.13045942158026</x:v>
      </x:c>
      <x:c r="H37" s="24" t="n">
        <x:v>68.43392699632416</x:v>
      </x:c>
      <x:c r="I37" s="24" t="n">
        <x:v>66.35502069712619</x:v>
      </x:c>
      <x:c r="J37" s="24" t="n">
        <x:v>70.48723512533954</x:v>
      </x:c>
      <x:c r="K37" s="24" t="n">
        <x:v>63.915505714469504</x:v>
      </x:c>
      <x:c r="L37" s="24" t="n">
        <x:v>65.96639265318464</x:v>
      </x:c>
      <x:c r="M37" s="24" t="n">
        <x:v>62.60560195882614</x:v>
      </x:c>
      <x:c r="N37" s="24" t="n">
        <x:v>62.23424109062107</x:v>
      </x:c>
      <x:c r="O37" s="24" t="n">
        <x:v>62.16681440020986</x:v>
      </x:c>
      <x:c r="P37" s="24" t="n">
        <x:v>68.13912952758473</x:v>
      </x:c>
      <x:c r="Q37" s="24" t="n">
        <x:v>62.2229318271509</x:v>
      </x:c>
      <x:c r="R37" s="24" t="n">
        <x:v>68.79418096977363</x:v>
      </x:c>
      <x:c r="S37" s="24" t="n">
        <x:v>68.03739727479315</x:v>
      </x:c>
      <x:c r="T37" s="24" t="n">
        <x:v>66.56109985848936</x:v>
      </x:c>
      <x:c r="U37" s="24" t="n">
        <x:v>65.91902249194716</x:v>
      </x:c>
      <x:c r="V37" s="24" t="n">
        <x:v>61.21358787180441</x:v>
      </x:c>
      <x:c r="W37" s="24" t="n">
        <x:v>68.85348251171062</x:v>
      </x:c>
      <x:c r="X37" s="24" t="n">
        <x:v>71.97278884316603</x:v>
      </x:c>
      <x:c r="Y37" s="24" t="n">
        <x:v>60.8542006904319</x:v>
      </x:c>
      <x:c r="Z37" s="24" t="n">
        <x:v>69.86414456084954</x:v>
      </x:c>
      <x:c r="AA37" s="24" t="n">
        <x:v>71.19697831528462</x:v>
      </x:c>
      <x:c r="AB37" s="24" t="n">
        <x:v>59.79441725377806</x:v>
      </x:c>
      <x:c r="AC37" s="24" t="n">
        <x:v>68.73091032219769</x:v>
      </x:c>
      <x:c r="AD37" s="24" t="n">
        <x:v>70.87205057826277</x:v>
      </x:c>
      <x:c r="AE37" s="24" t="n">
        <x:v>64.07886788269941</x:v>
      </x:c>
      <x:c r="AF37" s="24" t="n">
        <x:v>72.24402344909727</x:v>
      </x:c>
      <x:c r="AG37" s="24" t="n">
        <x:v>65.64658244702981</x:v>
      </x:c>
      <x:c r="AH37" s="24" t="n">
        <x:v>67.13436100335468</x:v>
      </x:c>
      <x:c r="AI37" s="24" t="n">
        <x:v>63.610340119083524</x:v>
      </x:c>
      <x:c r="AJ37" s="24" t="n">
        <x:v>65.0418385479793</x:v>
      </x:c>
      <x:c r="AK37" s="24" t="n">
        <x:v>70.40828431168055</x:v>
      </x:c>
      <x:c r="AL37" s="24" t="n">
        <x:v>64.42155941270117</x:v>
      </x:c>
      <x:c r="AM37" s="24" t="n">
        <x:v>70.77322914686619</x:v>
      </x:c>
      <x:c r="AN37" s="24" t="n">
        <x:v>64.82960375080958</x:v>
      </x:c>
      <x:c r="AO37" s="24" t="n">
        <x:v>65.51911201412432</x:v>
      </x:c>
    </x:row>
    <x:row r="38">
      <x:c r="A38" s="24" t="n">
        <x:v>420.0000000000006</x:v>
      </x:c>
      <x:c r="B38" s="24" t="n">
        <x:v>66.08887802574918</x:v>
      </x:c>
      <x:c r="C38" s="24" t="n">
        <x:v>72.16781073148434</x:v>
      </x:c>
      <x:c r="D38" s="24" t="n">
        <x:v>64.08760514584503</x:v>
      </x:c>
      <x:c r="E38" s="24" t="n">
        <x:v>67.4517296131906</x:v>
      </x:c>
      <x:c r="F38" s="24" t="n">
        <x:v>69.23204216891668</x:v>
      </x:c>
      <x:c r="G38" s="24" t="n">
        <x:v>67.03063468238942</x:v>
      </x:c>
      <x:c r="H38" s="24" t="n">
        <x:v>68.7720224770833</x:v>
      </x:c>
      <x:c r="I38" s="24" t="n">
        <x:v>66.3080749599383</x:v>
      </x:c>
      <x:c r="J38" s="24" t="n">
        <x:v>70.20209358418451</x:v>
      </x:c>
      <x:c r="K38" s="24" t="n">
        <x:v>63.214416922049764</x:v>
      </x:c>
      <x:c r="L38" s="24" t="n">
        <x:v>66.34354571533478</x:v>
      </x:c>
      <x:c r="M38" s="24" t="n">
        <x:v>62.91432526423064</x:v>
      </x:c>
      <x:c r="N38" s="24" t="n">
        <x:v>63.03420721787809</x:v>
      </x:c>
      <x:c r="O38" s="24" t="n">
        <x:v>62.582698894239556</x:v>
      </x:c>
      <x:c r="P38" s="24" t="n">
        <x:v>68.01221947457522</x:v>
      </x:c>
      <x:c r="Q38" s="24" t="n">
        <x:v>62.69830211150922</x:v>
      </x:c>
      <x:c r="R38" s="24" t="n">
        <x:v>68.3700935308515</x:v>
      </x:c>
      <x:c r="S38" s="24" t="n">
        <x:v>67.49240651436864</x:v>
      </x:c>
      <x:c r="T38" s="24" t="n">
        <x:v>65.90729842890333</x:v>
      </x:c>
      <x:c r="U38" s="24" t="n">
        <x:v>66.50674397200153</x:v>
      </x:c>
      <x:c r="V38" s="24" t="n">
        <x:v>61.3818951395339</x:v>
      </x:c>
      <x:c r="W38" s="24" t="n">
        <x:v>69.190881576367</x:v>
      </x:c>
      <x:c r="X38" s="24" t="n">
        <x:v>71.89600743309785</x:v>
      </x:c>
      <x:c r="Y38" s="24" t="n">
        <x:v>60.03717545298454</x:v>
      </x:c>
      <x:c r="Z38" s="24" t="n">
        <x:v>70.18609238120189</x:v>
      </x:c>
      <x:c r="AA38" s="24" t="n">
        <x:v>70.07252823762826</x:v>
      </x:c>
      <x:c r="AB38" s="24" t="n">
        <x:v>59.44169990821626</x:v>
      </x:c>
      <x:c r="AC38" s="24" t="n">
        <x:v>68.88949036284934</x:v>
      </x:c>
      <x:c r="AD38" s="24" t="n">
        <x:v>71.17528713065909</x:v>
      </x:c>
      <x:c r="AE38" s="24" t="n">
        <x:v>63.32499382036097</x:v>
      </x:c>
      <x:c r="AF38" s="24" t="n">
        <x:v>72.25441644296966</x:v>
      </x:c>
      <x:c r="AG38" s="24" t="n">
        <x:v>64.99060358242227</x:v>
      </x:c>
      <x:c r="AH38" s="24" t="n">
        <x:v>66.72666286484132</x:v>
      </x:c>
      <x:c r="AI38" s="24" t="n">
        <x:v>63.12688356321638</x:v>
      </x:c>
      <x:c r="AJ38" s="24" t="n">
        <x:v>64.57745398192274</x:v>
      </x:c>
      <x:c r="AK38" s="24" t="n">
        <x:v>70.59397045041067</x:v>
      </x:c>
      <x:c r="AL38" s="24" t="n">
        <x:v>64.57337960928118</x:v>
      </x:c>
      <x:c r="AM38" s="24" t="n">
        <x:v>69.95111566802217</x:v>
      </x:c>
      <x:c r="AN38" s="24" t="n">
        <x:v>64.94988868011175</x:v>
      </x:c>
      <x:c r="AO38" s="24" t="n">
        <x:v>62.50603530585525</x:v>
      </x:c>
    </x:row>
    <x:row r="39">
      <x:c r="A39" s="24" t="n">
        <x:v>440.0000000000007</x:v>
      </x:c>
      <x:c r="B39" s="24" t="n">
        <x:v>65.5003512924341</x:v>
      </x:c>
      <x:c r="C39" s="24" t="n">
        <x:v>72.23055351511785</x:v>
      </x:c>
      <x:c r="D39" s="24" t="n">
        <x:v>63.57478335269845</x:v>
      </x:c>
      <x:c r="E39" s="24" t="n">
        <x:v>67.04392495872256</x:v>
      </x:c>
      <x:c r="F39" s="24" t="n">
        <x:v>69.18834558386997</x:v>
      </x:c>
      <x:c r="G39" s="24" t="n">
        <x:v>67.20172767248211</x:v>
      </x:c>
      <x:c r="H39" s="24" t="n">
        <x:v>68.35056505527851</x:v>
      </x:c>
      <x:c r="I39" s="24" t="n">
        <x:v>66.0342333924372</x:v>
      </x:c>
      <x:c r="J39" s="24" t="n">
        <x:v>69.8004121326856</x:v>
      </x:c>
      <x:c r="K39" s="24" t="n">
        <x:v>63.982905001467856</x:v>
      </x:c>
      <x:c r="L39" s="24" t="n">
        <x:v>67.26781493442218</x:v>
      </x:c>
      <x:c r="M39" s="24" t="n">
        <x:v>62.60405248608527</x:v>
      </x:c>
      <x:c r="N39" s="24" t="n">
        <x:v>62.89720985641708</x:v>
      </x:c>
      <x:c r="O39" s="24" t="n">
        <x:v>63.63093446195791</x:v>
      </x:c>
      <x:c r="P39" s="24" t="n">
        <x:v>68.39581855109678</x:v>
      </x:c>
      <x:c r="Q39" s="24" t="n">
        <x:v>63.14674198341466</x:v>
      </x:c>
      <x:c r="R39" s="24" t="n">
        <x:v>69.35112281357567</x:v>
      </x:c>
      <x:c r="S39" s="24" t="n">
        <x:v>65.94938914282523</x:v>
      </x:c>
      <x:c r="T39" s="24" t="n">
        <x:v>66.93677551765188</x:v>
      </x:c>
      <x:c r="U39" s="24" t="n">
        <x:v>67.06100537748185</x:v>
      </x:c>
      <x:c r="V39" s="24" t="n">
        <x:v>62.195626813160956</x:v>
      </x:c>
      <x:c r="W39" s="24" t="n">
        <x:v>68.6848141418643</x:v>
      </x:c>
      <x:c r="X39" s="24" t="n">
        <x:v>71.60923751247572</x:v>
      </x:c>
      <x:c r="Y39" s="24" t="n">
        <x:v>59.29056011039046</x:v>
      </x:c>
      <x:c r="Z39" s="24" t="n">
        <x:v>69.93398628077166</x:v>
      </x:c>
      <x:c r="AA39" s="24" t="n">
        <x:v>70.00910707909564</x:v>
      </x:c>
      <x:c r="AB39" s="24" t="n">
        <x:v>58.96732243070866</x:v>
      </x:c>
      <x:c r="AC39" s="24" t="n">
        <x:v>68.04126976922467</x:v>
      </x:c>
      <x:c r="AD39" s="24" t="n">
        <x:v>70.55160914328015</x:v>
      </x:c>
      <x:c r="AE39" s="24" t="n">
        <x:v>62.38120091510636</x:v>
      </x:c>
      <x:c r="AF39" s="24" t="n">
        <x:v>72.48154844407019</x:v>
      </x:c>
      <x:c r="AG39" s="24" t="n">
        <x:v>64.56161420961752</x:v>
      </x:c>
      <x:c r="AH39" s="24" t="n">
        <x:v>66.5125633326436</x:v>
      </x:c>
      <x:c r="AI39" s="24" t="n">
        <x:v>61.599542767706744</x:v>
      </x:c>
      <x:c r="AJ39" s="24" t="n">
        <x:v>65.77216918315682</x:v>
      </x:c>
      <x:c r="AK39" s="24" t="n">
        <x:v>71.00422031636094</x:v>
      </x:c>
      <x:c r="AL39" s="24" t="n">
        <x:v>64.38613291002898</x:v>
      </x:c>
      <x:c r="AM39" s="24" t="n">
        <x:v>70.14022476203047</x:v>
      </x:c>
      <x:c r="AN39" s="24" t="n">
        <x:v>64.49733374288164</x:v>
      </x:c>
      <x:c r="AO39" s="24" t="n">
        <x:v>63.41470648867575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60" t="str">
        <x:v>时间 s</x:v>
      </x:c>
      <x:c r="B1" s="60" t="str">
        <x:f>'对比面板'!B$3</x:f>
        <x:v>DD_BASE_260707_700</x:v>
      </x:c>
      <x:c r="C1" s="60" t="str">
        <x:f>'对比面板'!C$3</x:f>
        <x:v>FR_INIT_260709_700</x:v>
      </x:c>
      <x:c r="D1" s="60" t="str">
        <x:f>'对比面板'!D$3</x:f>
        <x:v>FR_DELIVERY_0723_700</x:v>
      </x:c>
      <x:c r="E1" s="60" t="n">
        <x:f>'对比面板'!E$3</x:f>
        <x:v>0</x:v>
      </x:c>
      <x:c r="F1" s="60" t="n">
        <x:f>'对比面板'!F$3</x:f>
        <x:v>0</x:v>
      </x:c>
      <x:c r="G1" s="60" t="n">
        <x:f>'对比面板'!G$3</x:f>
        <x:v>0</x:v>
      </x:c>
      <x:c r="H1" s="60"/>
      <x:c r="I1" s="60" t="str">
        <x:v>相对时间 ms</x:v>
      </x:c>
      <x:c r="J1" s="60" t="str">
        <x:f>'对比面板'!B$3</x:f>
        <x:v>DD_BASE_260707_700</x:v>
      </x:c>
      <x:c r="K1" s="60" t="str">
        <x:f>'对比面板'!C$3</x:f>
        <x:v>FR_INIT_260709_700</x:v>
      </x:c>
      <x:c r="L1" s="60" t="str">
        <x:f>'对比面板'!D$3</x:f>
        <x:v>FR_DELIVERY_0723_700</x:v>
      </x:c>
      <x:c r="M1" s="60" t="n">
        <x:f>'对比面板'!E$3</x:f>
        <x:v>0</x:v>
      </x:c>
      <x:c r="N1" s="60" t="n">
        <x:f>'对比面板'!F$3</x:f>
        <x:v>0</x:v>
      </x:c>
      <x:c r="O1" s="60" t="n">
        <x:f>'对比面板'!G$3</x:f>
        <x:v>0</x:v>
      </x:c>
      <x:c r="P1" s="60"/>
      <x:c r="Q1" s="60" t="str">
        <x:v>相对时间 ms</x:v>
      </x:c>
      <x:c r="R1" s="60" t="str">
        <x:f>'对比面板'!B$3</x:f>
        <x:v>DD_BASE_260707_700</x:v>
      </x:c>
      <x:c r="S1" s="60" t="str">
        <x:f>'对比面板'!C$3</x:f>
        <x:v>FR_INIT_260709_700</x:v>
      </x:c>
      <x:c r="T1" s="60" t="str">
        <x:f>'对比面板'!D$3</x:f>
        <x:v>FR_DELIVERY_0723_700</x:v>
      </x:c>
      <x:c r="U1" s="60" t="n">
        <x:f>'对比面板'!E$3</x:f>
        <x:v>0</x:v>
      </x:c>
      <x:c r="V1" s="60" t="n">
        <x:f>'对比面板'!F$3</x:f>
        <x:v>0</x:v>
      </x:c>
      <x:c r="W1" s="60" t="n">
        <x:f>'对比面板'!G$3</x:f>
        <x:v>0</x:v>
      </x:c>
    </x:row>
    <x:row r="2">
      <x:c r="A2" t="n">
        <x:v>0</x:v>
      </x:c>
      <x:c r="B2" t="str">
        <x:f>IF(B$1="","",IFERROR(INDEX('包络曲线数据'!$B$2:$U$742,ROW()-1,MATCH(B$1,'包络曲线数据'!$B$1:$U$1,0)),""))</x:f>
      </x:c>
      <x:c r="C2" t="str">
        <x:f>IF(C$1="","",IFERROR(INDEX('包络曲线数据'!$B$2:$U$742,ROW()-1,MATCH(C$1,'包络曲线数据'!$B$1:$U$1,0)),""))</x:f>
      </x:c>
      <x:c r="D2" t="str">
        <x:f>IF(D$1="","",IFERROR(INDEX('包络曲线数据'!$B$2:$U$742,ROW()-1,MATCH(D$1,'包络曲线数据'!$B$1:$U$1,0)),""))</x:f>
      </x:c>
      <x:c r="E2" t="str">
        <x:f>IF(E$1="","",IFERROR(INDEX('包络曲线数据'!$B$2:$U$742,ROW()-1,MATCH(E$1,'包络曲线数据'!$B$1:$U$1,0)),""))</x:f>
      </x:c>
      <x:c r="F2" t="str">
        <x:f>IF(F$1="","",IFERROR(INDEX('包络曲线数据'!$B$2:$U$742,ROW()-1,MATCH(F$1,'包络曲线数据'!$B$1:$U$1,0)),""))</x:f>
      </x:c>
      <x:c r="G2" t="str">
        <x:f>IF(G$1="","",IFERROR(INDEX('包络曲线数据'!$B$2:$U$742,ROW()-1,MATCH(G$1,'包络曲线数据'!$B$1:$U$1,0)),""))</x:f>
      </x:c>
      <x:c r="I2" t="n">
        <x:v>-300</x:v>
      </x:c>
      <x:c r="J2" t="n">
        <x:f>IF(J$1="","",IFERROR(INDEX('代表咚声数据'!$B$2:$AO$39,ROW()-1,MATCH(J$1&amp;"_常见",'代表咚声数据'!$B$1:$AO$1,0)),""))</x:f>
        <x:v>69.97541011305803</x:v>
      </x:c>
      <x:c r="K2" t="n">
        <x:f>IF(K$1="","",IFERROR(INDEX('代表咚声数据'!$B$2:$AO$39,ROW()-1,MATCH(K$1&amp;"_常见",'代表咚声数据'!$B$1:$AO$1,0)),""))</x:f>
        <x:v>67.11115468359542</x:v>
      </x:c>
      <x:c r="L2" t="n">
        <x:f>IF(L$1="","",IFERROR(INDEX('代表咚声数据'!$B$2:$AO$39,ROW()-1,MATCH(L$1&amp;"_常见",'代表咚声数据'!$B$1:$AO$1,0)),""))</x:f>
        <x:v>67.49177315907221</x:v>
      </x:c>
      <x:c r="M2" t="str">
        <x:f>IF(M$1="","",IFERROR(INDEX('代表咚声数据'!$B$2:$AO$39,ROW()-1,MATCH(M$1&amp;"_常见",'代表咚声数据'!$B$1:$AO$1,0)),""))</x:f>
      </x:c>
      <x:c r="N2" t="str">
        <x:f>IF(N$1="","",IFERROR(INDEX('代表咚声数据'!$B$2:$AO$39,ROW()-1,MATCH(N$1&amp;"_常见",'代表咚声数据'!$B$1:$AO$1,0)),""))</x:f>
      </x:c>
      <x:c r="O2" t="str">
        <x:f>IF(O$1="","",IFERROR(INDEX('代表咚声数据'!$B$2:$AO$39,ROW()-1,MATCH(O$1&amp;"_常见",'代表咚声数据'!$B$1:$AO$1,0)),""))</x:f>
      </x:c>
      <x:c r="Q2" t="n">
        <x:v>-300</x:v>
      </x:c>
      <x:c r="R2" t="n">
        <x:f>IF(R$1="","",IFERROR(INDEX('代表咚声数据'!$B$2:$AO$39,ROW()-1,MATCH(R$1&amp;"_较响",'代表咚声数据'!$B$1:$AO$1,0)),""))</x:f>
        <x:v>74.59674145146023</x:v>
      </x:c>
      <x:c r="S2" t="n">
        <x:f>IF(S$1="","",IFERROR(INDEX('代表咚声数据'!$B$2:$AO$39,ROW()-1,MATCH(S$1&amp;"_较响",'代表咚声数据'!$B$1:$AO$1,0)),""))</x:f>
        <x:v>72.843664419877</x:v>
      </x:c>
      <x:c r="T2" t="n">
        <x:f>IF(T$1="","",IFERROR(INDEX('代表咚声数据'!$B$2:$AO$39,ROW()-1,MATCH(T$1&amp;"_较响",'代表咚声数据'!$B$1:$AO$1,0)),""))</x:f>
        <x:v>67.22095880220368</x:v>
      </x:c>
      <x:c r="U2" t="str">
        <x:f>IF(U$1="","",IFERROR(INDEX('代表咚声数据'!$B$2:$AO$39,ROW()-1,MATCH(U$1&amp;"_较响",'代表咚声数据'!$B$1:$AO$1,0)),""))</x:f>
      </x:c>
      <x:c r="V2" t="str">
        <x:f>IF(V$1="","",IFERROR(INDEX('代表咚声数据'!$B$2:$AO$39,ROW()-1,MATCH(V$1&amp;"_较响",'代表咚声数据'!$B$1:$AO$1,0)),""))</x:f>
      </x:c>
      <x:c r="W2" t="str">
        <x:f>IF(W$1="","",IFERROR(INDEX('代表咚声数据'!$B$2:$AO$39,ROW()-1,MATCH(W$1&amp;"_较响",'代表咚声数据'!$B$1:$AO$1,0)),""))</x:f>
      </x:c>
    </x:row>
    <x:row r="3">
      <x:c r="A3" t="n">
        <x:v>0.1</x:v>
      </x:c>
      <x:c r="B3" t="n">
        <x:f>IF(B$1="","",IFERROR(INDEX('包络曲线数据'!$B$2:$U$742,ROW()-1,MATCH(B$1,'包络曲线数据'!$B$1:$U$1,0)),""))</x:f>
        <x:v>69.34182664157889</x:v>
      </x:c>
      <x:c r="C3" t="n">
        <x:f>IF(C$1="","",IFERROR(INDEX('包络曲线数据'!$B$2:$U$742,ROW()-1,MATCH(C$1,'包络曲线数据'!$B$1:$U$1,0)),""))</x:f>
        <x:v>72.65581492528518</x:v>
      </x:c>
      <x:c r="D3" t="n">
        <x:f>IF(D$1="","",IFERROR(INDEX('包络曲线数据'!$B$2:$U$742,ROW()-1,MATCH(D$1,'包络曲线数据'!$B$1:$U$1,0)),""))</x:f>
        <x:v>72.28058905438334</x:v>
      </x:c>
      <x:c r="E3" t="str">
        <x:f>IF(E$1="","",IFERROR(INDEX('包络曲线数据'!$B$2:$U$742,ROW()-1,MATCH(E$1,'包络曲线数据'!$B$1:$U$1,0)),""))</x:f>
      </x:c>
      <x:c r="F3" t="str">
        <x:f>IF(F$1="","",IFERROR(INDEX('包络曲线数据'!$B$2:$U$742,ROW()-1,MATCH(F$1,'包络曲线数据'!$B$1:$U$1,0)),""))</x:f>
      </x:c>
      <x:c r="G3" t="str">
        <x:f>IF(G$1="","",IFERROR(INDEX('包络曲线数据'!$B$2:$U$742,ROW()-1,MATCH(G$1,'包络曲线数据'!$B$1:$U$1,0)),""))</x:f>
      </x:c>
      <x:c r="I3" t="n">
        <x:v>-279.99999999999994</x:v>
      </x:c>
      <x:c r="J3" t="n">
        <x:f>IF(J$1="","",IFERROR(INDEX('代表咚声数据'!$B$2:$AO$39,ROW()-1,MATCH(J$1&amp;"_常见",'代表咚声数据'!$B$1:$AO$1,0)),""))</x:f>
        <x:v>70.09786405673968</x:v>
      </x:c>
      <x:c r="K3" t="n">
        <x:f>IF(K$1="","",IFERROR(INDEX('代表咚声数据'!$B$2:$AO$39,ROW()-1,MATCH(K$1&amp;"_常见",'代表咚声数据'!$B$1:$AO$1,0)),""))</x:f>
        <x:v>67.23008446941384</x:v>
      </x:c>
      <x:c r="L3" t="n">
        <x:f>IF(L$1="","",IFERROR(INDEX('代表咚声数据'!$B$2:$AO$39,ROW()-1,MATCH(L$1&amp;"_常见",'代表咚声数据'!$B$1:$AO$1,0)),""))</x:f>
        <x:v>68.0405152484356</x:v>
      </x:c>
      <x:c r="M3" t="str">
        <x:f>IF(M$1="","",IFERROR(INDEX('代表咚声数据'!$B$2:$AO$39,ROW()-1,MATCH(M$1&amp;"_常见",'代表咚声数据'!$B$1:$AO$1,0)),""))</x:f>
      </x:c>
      <x:c r="N3" t="str">
        <x:f>IF(N$1="","",IFERROR(INDEX('代表咚声数据'!$B$2:$AO$39,ROW()-1,MATCH(N$1&amp;"_常见",'代表咚声数据'!$B$1:$AO$1,0)),""))</x:f>
      </x:c>
      <x:c r="O3" t="str">
        <x:f>IF(O$1="","",IFERROR(INDEX('代表咚声数据'!$B$2:$AO$39,ROW()-1,MATCH(O$1&amp;"_常见",'代表咚声数据'!$B$1:$AO$1,0)),""))</x:f>
      </x:c>
      <x:c r="Q3" t="n">
        <x:v>-279.99999999999994</x:v>
      </x:c>
      <x:c r="R3" t="n">
        <x:f>IF(R$1="","",IFERROR(INDEX('代表咚声数据'!$B$2:$AO$39,ROW()-1,MATCH(R$1&amp;"_较响",'代表咚声数据'!$B$1:$AO$1,0)),""))</x:f>
        <x:v>74.5875984958721</x:v>
      </x:c>
      <x:c r="S3" t="n">
        <x:f>IF(S$1="","",IFERROR(INDEX('代表咚声数据'!$B$2:$AO$39,ROW()-1,MATCH(S$1&amp;"_较响",'代表咚声数据'!$B$1:$AO$1,0)),""))</x:f>
        <x:v>72.39528901720338</x:v>
      </x:c>
      <x:c r="T3" t="n">
        <x:f>IF(T$1="","",IFERROR(INDEX('代表咚声数据'!$B$2:$AO$39,ROW()-1,MATCH(T$1&amp;"_较响",'代表咚声数据'!$B$1:$AO$1,0)),""))</x:f>
        <x:v>67.1406491865115</x:v>
      </x:c>
      <x:c r="U3" t="str">
        <x:f>IF(U$1="","",IFERROR(INDEX('代表咚声数据'!$B$2:$AO$39,ROW()-1,MATCH(U$1&amp;"_较响",'代表咚声数据'!$B$1:$AO$1,0)),""))</x:f>
      </x:c>
      <x:c r="V3" t="str">
        <x:f>IF(V$1="","",IFERROR(INDEX('代表咚声数据'!$B$2:$AO$39,ROW()-1,MATCH(V$1&amp;"_较响",'代表咚声数据'!$B$1:$AO$1,0)),""))</x:f>
      </x:c>
      <x:c r="W3" t="str">
        <x:f>IF(W$1="","",IFERROR(INDEX('代表咚声数据'!$B$2:$AO$39,ROW()-1,MATCH(W$1&amp;"_较响",'代表咚声数据'!$B$1:$AO$1,0)),""))</x:f>
      </x:c>
    </x:row>
    <x:row r="4">
      <x:c r="A4" t="n">
        <x:v>0.2</x:v>
      </x:c>
      <x:c r="B4" t="n">
        <x:f>IF(B$1="","",IFERROR(INDEX('包络曲线数据'!$B$2:$U$742,ROW()-1,MATCH(B$1,'包络曲线数据'!$B$1:$U$1,0)),""))</x:f>
        <x:v>68.46570085801291</x:v>
      </x:c>
      <x:c r="C4" t="n">
        <x:f>IF(C$1="","",IFERROR(INDEX('包络曲线数据'!$B$2:$U$742,ROW()-1,MATCH(C$1,'包络曲线数据'!$B$1:$U$1,0)),""))</x:f>
        <x:v>73.49519263212936</x:v>
      </x:c>
      <x:c r="D4" t="n">
        <x:f>IF(D$1="","",IFERROR(INDEX('包络曲线数据'!$B$2:$U$742,ROW()-1,MATCH(D$1,'包络曲线数据'!$B$1:$U$1,0)),""))</x:f>
        <x:v>72.28058905438334</x:v>
      </x:c>
      <x:c r="E4" t="str">
        <x:f>IF(E$1="","",IFERROR(INDEX('包络曲线数据'!$B$2:$U$742,ROW()-1,MATCH(E$1,'包络曲线数据'!$B$1:$U$1,0)),""))</x:f>
      </x:c>
      <x:c r="F4" t="str">
        <x:f>IF(F$1="","",IFERROR(INDEX('包络曲线数据'!$B$2:$U$742,ROW()-1,MATCH(F$1,'包络曲线数据'!$B$1:$U$1,0)),""))</x:f>
      </x:c>
      <x:c r="G4" t="str">
        <x:f>IF(G$1="","",IFERROR(INDEX('包络曲线数据'!$B$2:$U$742,ROW()-1,MATCH(G$1,'包络曲线数据'!$B$1:$U$1,0)),""))</x:f>
      </x:c>
      <x:c r="I4" t="n">
        <x:v>-259.99999999999994</x:v>
      </x:c>
      <x:c r="J4" t="n">
        <x:f>IF(J$1="","",IFERROR(INDEX('代表咚声数据'!$B$2:$AO$39,ROW()-1,MATCH(J$1&amp;"_常见",'代表咚声数据'!$B$1:$AO$1,0)),""))</x:f>
        <x:v>69.48297437121498</x:v>
      </x:c>
      <x:c r="K4" t="n">
        <x:f>IF(K$1="","",IFERROR(INDEX('代表咚声数据'!$B$2:$AO$39,ROW()-1,MATCH(K$1&amp;"_常见",'代表咚声数据'!$B$1:$AO$1,0)),""))</x:f>
        <x:v>67.00275678601018</x:v>
      </x:c>
      <x:c r="L4" t="n">
        <x:f>IF(L$1="","",IFERROR(INDEX('代表咚声数据'!$B$2:$AO$39,ROW()-1,MATCH(L$1&amp;"_常见",'代表咚声数据'!$B$1:$AO$1,0)),""))</x:f>
        <x:v>68.09046982613906</x:v>
      </x:c>
      <x:c r="M4" t="str">
        <x:f>IF(M$1="","",IFERROR(INDEX('代表咚声数据'!$B$2:$AO$39,ROW()-1,MATCH(M$1&amp;"_常见",'代表咚声数据'!$B$1:$AO$1,0)),""))</x:f>
      </x:c>
      <x:c r="N4" t="str">
        <x:f>IF(N$1="","",IFERROR(INDEX('代表咚声数据'!$B$2:$AO$39,ROW()-1,MATCH(N$1&amp;"_常见",'代表咚声数据'!$B$1:$AO$1,0)),""))</x:f>
      </x:c>
      <x:c r="O4" t="str">
        <x:f>IF(O$1="","",IFERROR(INDEX('代表咚声数据'!$B$2:$AO$39,ROW()-1,MATCH(O$1&amp;"_常见",'代表咚声数据'!$B$1:$AO$1,0)),""))</x:f>
      </x:c>
      <x:c r="Q4" t="n">
        <x:v>-259.99999999999994</x:v>
      </x:c>
      <x:c r="R4" t="n">
        <x:f>IF(R$1="","",IFERROR(INDEX('代表咚声数据'!$B$2:$AO$39,ROW()-1,MATCH(R$1&amp;"_较响",'代表咚声数据'!$B$1:$AO$1,0)),""))</x:f>
        <x:v>74.00445273166828</x:v>
      </x:c>
      <x:c r="S4" t="n">
        <x:f>IF(S$1="","",IFERROR(INDEX('代表咚声数据'!$B$2:$AO$39,ROW()-1,MATCH(S$1&amp;"_较响",'代表咚声数据'!$B$1:$AO$1,0)),""))</x:f>
        <x:v>72.33735806392939</x:v>
      </x:c>
      <x:c r="T4" t="n">
        <x:f>IF(T$1="","",IFERROR(INDEX('代表咚声数据'!$B$2:$AO$39,ROW()-1,MATCH(T$1&amp;"_较响",'代表咚声数据'!$B$1:$AO$1,0)),""))</x:f>
        <x:v>67.82275553700019</x:v>
      </x:c>
      <x:c r="U4" t="str">
        <x:f>IF(U$1="","",IFERROR(INDEX('代表咚声数据'!$B$2:$AO$39,ROW()-1,MATCH(U$1&amp;"_较响",'代表咚声数据'!$B$1:$AO$1,0)),""))</x:f>
      </x:c>
      <x:c r="V4" t="str">
        <x:f>IF(V$1="","",IFERROR(INDEX('代表咚声数据'!$B$2:$AO$39,ROW()-1,MATCH(V$1&amp;"_较响",'代表咚声数据'!$B$1:$AO$1,0)),""))</x:f>
      </x:c>
      <x:c r="W4" t="str">
        <x:f>IF(W$1="","",IFERROR(INDEX('代表咚声数据'!$B$2:$AO$39,ROW()-1,MATCH(W$1&amp;"_较响",'代表咚声数据'!$B$1:$AO$1,0)),""))</x:f>
      </x:c>
    </x:row>
    <x:row r="5">
      <x:c r="A5" t="n">
        <x:v>0.30000000000000004</x:v>
      </x:c>
      <x:c r="B5" t="n">
        <x:f>IF(B$1="","",IFERROR(INDEX('包络曲线数据'!$B$2:$U$742,ROW()-1,MATCH(B$1,'包络曲线数据'!$B$1:$U$1,0)),""))</x:f>
        <x:v>68.07655656291658</x:v>
      </x:c>
      <x:c r="C5" t="n">
        <x:f>IF(C$1="","",IFERROR(INDEX('包络曲线数据'!$B$2:$U$742,ROW()-1,MATCH(C$1,'包络曲线数据'!$B$1:$U$1,0)),""))</x:f>
        <x:v>73.65787520918941</x:v>
      </x:c>
      <x:c r="D5" t="n">
        <x:f>IF(D$1="","",IFERROR(INDEX('包络曲线数据'!$B$2:$U$742,ROW()-1,MATCH(D$1,'包络曲线数据'!$B$1:$U$1,0)),""))</x:f>
        <x:v>71.72513749302662</x:v>
      </x:c>
      <x:c r="E5" t="str">
        <x:f>IF(E$1="","",IFERROR(INDEX('包络曲线数据'!$B$2:$U$742,ROW()-1,MATCH(E$1,'包络曲线数据'!$B$1:$U$1,0)),""))</x:f>
      </x:c>
      <x:c r="F5" t="str">
        <x:f>IF(F$1="","",IFERROR(INDEX('包络曲线数据'!$B$2:$U$742,ROW()-1,MATCH(F$1,'包络曲线数据'!$B$1:$U$1,0)),""))</x:f>
      </x:c>
      <x:c r="G5" t="str">
        <x:f>IF(G$1="","",IFERROR(INDEX('包络曲线数据'!$B$2:$U$742,ROW()-1,MATCH(G$1,'包络曲线数据'!$B$1:$U$1,0)),""))</x:f>
      </x:c>
      <x:c r="I5" t="n">
        <x:v>-239.99999999999994</x:v>
      </x:c>
      <x:c r="J5" t="n">
        <x:f>IF(J$1="","",IFERROR(INDEX('代表咚声数据'!$B$2:$AO$39,ROW()-1,MATCH(J$1&amp;"_常见",'代表咚声数据'!$B$1:$AO$1,0)),""))</x:f>
        <x:v>69.2879203941186</x:v>
      </x:c>
      <x:c r="K5" t="n">
        <x:f>IF(K$1="","",IFERROR(INDEX('代表咚声数据'!$B$2:$AO$39,ROW()-1,MATCH(K$1&amp;"_常见",'代表咚声数据'!$B$1:$AO$1,0)),""))</x:f>
        <x:v>65.74748966313496</x:v>
      </x:c>
      <x:c r="L5" t="n">
        <x:f>IF(L$1="","",IFERROR(INDEX('代表咚声数据'!$B$2:$AO$39,ROW()-1,MATCH(L$1&amp;"_常见",'代表咚声数据'!$B$1:$AO$1,0)),""))</x:f>
        <x:v>67.22457557009407</x:v>
      </x:c>
      <x:c r="M5" t="str">
        <x:f>IF(M$1="","",IFERROR(INDEX('代表咚声数据'!$B$2:$AO$39,ROW()-1,MATCH(M$1&amp;"_常见",'代表咚声数据'!$B$1:$AO$1,0)),""))</x:f>
      </x:c>
      <x:c r="N5" t="str">
        <x:f>IF(N$1="","",IFERROR(INDEX('代表咚声数据'!$B$2:$AO$39,ROW()-1,MATCH(N$1&amp;"_常见",'代表咚声数据'!$B$1:$AO$1,0)),""))</x:f>
      </x:c>
      <x:c r="O5" t="str">
        <x:f>IF(O$1="","",IFERROR(INDEX('代表咚声数据'!$B$2:$AO$39,ROW()-1,MATCH(O$1&amp;"_常见",'代表咚声数据'!$B$1:$AO$1,0)),""))</x:f>
      </x:c>
      <x:c r="Q5" t="n">
        <x:v>-239.99999999999994</x:v>
      </x:c>
      <x:c r="R5" t="n">
        <x:f>IF(R$1="","",IFERROR(INDEX('代表咚声数据'!$B$2:$AO$39,ROW()-1,MATCH(R$1&amp;"_较响",'代表咚声数据'!$B$1:$AO$1,0)),""))</x:f>
        <x:v>73.75543220406007</x:v>
      </x:c>
      <x:c r="S5" t="n">
        <x:f>IF(S$1="","",IFERROR(INDEX('代表咚声数据'!$B$2:$AO$39,ROW()-1,MATCH(S$1&amp;"_较响",'代表咚声数据'!$B$1:$AO$1,0)),""))</x:f>
        <x:v>72.22194540681049</x:v>
      </x:c>
      <x:c r="T5" t="n">
        <x:f>IF(T$1="","",IFERROR(INDEX('代表咚声数据'!$B$2:$AO$39,ROW()-1,MATCH(T$1&amp;"_较响",'代表咚声数据'!$B$1:$AO$1,0)),""))</x:f>
        <x:v>69.04867062478296</x:v>
      </x:c>
      <x:c r="U5" t="str">
        <x:f>IF(U$1="","",IFERROR(INDEX('代表咚声数据'!$B$2:$AO$39,ROW()-1,MATCH(U$1&amp;"_较响",'代表咚声数据'!$B$1:$AO$1,0)),""))</x:f>
      </x:c>
      <x:c r="V5" t="str">
        <x:f>IF(V$1="","",IFERROR(INDEX('代表咚声数据'!$B$2:$AO$39,ROW()-1,MATCH(V$1&amp;"_较响",'代表咚声数据'!$B$1:$AO$1,0)),""))</x:f>
      </x:c>
      <x:c r="W5" t="str">
        <x:f>IF(W$1="","",IFERROR(INDEX('代表咚声数据'!$B$2:$AO$39,ROW()-1,MATCH(W$1&amp;"_较响",'代表咚声数据'!$B$1:$AO$1,0)),""))</x:f>
      </x:c>
    </x:row>
    <x:row r="6">
      <x:c r="A6" t="n">
        <x:v>0.4</x:v>
      </x:c>
      <x:c r="B6" t="n">
        <x:f>IF(B$1="","",IFERROR(INDEX('包络曲线数据'!$B$2:$U$742,ROW()-1,MATCH(B$1,'包络曲线数据'!$B$1:$U$1,0)),""))</x:f>
        <x:v>76.47168731768878</x:v>
      </x:c>
      <x:c r="C6" t="n">
        <x:f>IF(C$1="","",IFERROR(INDEX('包络曲线数据'!$B$2:$U$742,ROW()-1,MATCH(C$1,'包络曲线数据'!$B$1:$U$1,0)),""))</x:f>
        <x:v>73.34845193491181</x:v>
      </x:c>
      <x:c r="D6" t="n">
        <x:f>IF(D$1="","",IFERROR(INDEX('包络曲线数据'!$B$2:$U$742,ROW()-1,MATCH(D$1,'包络曲线数据'!$B$1:$U$1,0)),""))</x:f>
        <x:v>71.72513749302662</x:v>
      </x:c>
      <x:c r="E6" t="str">
        <x:f>IF(E$1="","",IFERROR(INDEX('包络曲线数据'!$B$2:$U$742,ROW()-1,MATCH(E$1,'包络曲线数据'!$B$1:$U$1,0)),""))</x:f>
      </x:c>
      <x:c r="F6" t="str">
        <x:f>IF(F$1="","",IFERROR(INDEX('包络曲线数据'!$B$2:$U$742,ROW()-1,MATCH(F$1,'包络曲线数据'!$B$1:$U$1,0)),""))</x:f>
      </x:c>
      <x:c r="G6" t="str">
        <x:f>IF(G$1="","",IFERROR(INDEX('包络曲线数据'!$B$2:$U$742,ROW()-1,MATCH(G$1,'包络曲线数据'!$B$1:$U$1,0)),""))</x:f>
      </x:c>
      <x:c r="I6" t="n">
        <x:v>-219.99999999999991</x:v>
      </x:c>
      <x:c r="J6" t="n">
        <x:f>IF(J$1="","",IFERROR(INDEX('代表咚声数据'!$B$2:$AO$39,ROW()-1,MATCH(J$1&amp;"_常见",'代表咚声数据'!$B$1:$AO$1,0)),""))</x:f>
        <x:v>68.83781382216311</x:v>
      </x:c>
      <x:c r="K6" t="n">
        <x:f>IF(K$1="","",IFERROR(INDEX('代表咚声数据'!$B$2:$AO$39,ROW()-1,MATCH(K$1&amp;"_常见",'代表咚声数据'!$B$1:$AO$1,0)),""))</x:f>
        <x:v>64.69506610849331</x:v>
      </x:c>
      <x:c r="L6" t="n">
        <x:f>IF(L$1="","",IFERROR(INDEX('代表咚声数据'!$B$2:$AO$39,ROW()-1,MATCH(L$1&amp;"_常见",'代表咚声数据'!$B$1:$AO$1,0)),""))</x:f>
        <x:v>66.60559717447202</x:v>
      </x:c>
      <x:c r="M6" t="str">
        <x:f>IF(M$1="","",IFERROR(INDEX('代表咚声数据'!$B$2:$AO$39,ROW()-1,MATCH(M$1&amp;"_常见",'代表咚声数据'!$B$1:$AO$1,0)),""))</x:f>
      </x:c>
      <x:c r="N6" t="str">
        <x:f>IF(N$1="","",IFERROR(INDEX('代表咚声数据'!$B$2:$AO$39,ROW()-1,MATCH(N$1&amp;"_常见",'代表咚声数据'!$B$1:$AO$1,0)),""))</x:f>
      </x:c>
      <x:c r="O6" t="str">
        <x:f>IF(O$1="","",IFERROR(INDEX('代表咚声数据'!$B$2:$AO$39,ROW()-1,MATCH(O$1&amp;"_常见",'代表咚声数据'!$B$1:$AO$1,0)),""))</x:f>
      </x:c>
      <x:c r="Q6" t="n">
        <x:v>-219.99999999999991</x:v>
      </x:c>
      <x:c r="R6" t="n">
        <x:f>IF(R$1="","",IFERROR(INDEX('代表咚声数据'!$B$2:$AO$39,ROW()-1,MATCH(R$1&amp;"_较响",'代表咚声数据'!$B$1:$AO$1,0)),""))</x:f>
        <x:v>74.0113651114795</x:v>
      </x:c>
      <x:c r="S6" t="n">
        <x:f>IF(S$1="","",IFERROR(INDEX('代表咚声数据'!$B$2:$AO$39,ROW()-1,MATCH(S$1&amp;"_较响",'代表咚声数据'!$B$1:$AO$1,0)),""))</x:f>
        <x:v>71.01411337430517</x:v>
      </x:c>
      <x:c r="T6" t="n">
        <x:f>IF(T$1="","",IFERROR(INDEX('代表咚声数据'!$B$2:$AO$39,ROW()-1,MATCH(T$1&amp;"_较响",'代表咚声数据'!$B$1:$AO$1,0)),""))</x:f>
        <x:v>69.77797478754175</x:v>
      </x:c>
      <x:c r="U6" t="str">
        <x:f>IF(U$1="","",IFERROR(INDEX('代表咚声数据'!$B$2:$AO$39,ROW()-1,MATCH(U$1&amp;"_较响",'代表咚声数据'!$B$1:$AO$1,0)),""))</x:f>
      </x:c>
      <x:c r="V6" t="str">
        <x:f>IF(V$1="","",IFERROR(INDEX('代表咚声数据'!$B$2:$AO$39,ROW()-1,MATCH(V$1&amp;"_较响",'代表咚声数据'!$B$1:$AO$1,0)),""))</x:f>
      </x:c>
      <x:c r="W6" t="str">
        <x:f>IF(W$1="","",IFERROR(INDEX('代表咚声数据'!$B$2:$AO$39,ROW()-1,MATCH(W$1&amp;"_较响",'代表咚声数据'!$B$1:$AO$1,0)),""))</x:f>
      </x:c>
    </x:row>
    <x:row r="7">
      <x:c r="A7" t="n">
        <x:v>0.5</x:v>
      </x:c>
      <x:c r="B7" t="n">
        <x:f>IF(B$1="","",IFERROR(INDEX('包络曲线数据'!$B$2:$U$742,ROW()-1,MATCH(B$1,'包络曲线数据'!$B$1:$U$1,0)),""))</x:f>
        <x:v>76.47168731768878</x:v>
      </x:c>
      <x:c r="C7" t="n">
        <x:f>IF(C$1="","",IFERROR(INDEX('包络曲线数据'!$B$2:$U$742,ROW()-1,MATCH(C$1,'包络曲线数据'!$B$1:$U$1,0)),""))</x:f>
        <x:v>73.69803339596241</x:v>
      </x:c>
      <x:c r="D7" t="n">
        <x:f>IF(D$1="","",IFERROR(INDEX('包络曲线数据'!$B$2:$U$742,ROW()-1,MATCH(D$1,'包络曲线数据'!$B$1:$U$1,0)),""))</x:f>
        <x:v>73.80205077839085</x:v>
      </x:c>
      <x:c r="E7" t="str">
        <x:f>IF(E$1="","",IFERROR(INDEX('包络曲线数据'!$B$2:$U$742,ROW()-1,MATCH(E$1,'包络曲线数据'!$B$1:$U$1,0)),""))</x:f>
      </x:c>
      <x:c r="F7" t="str">
        <x:f>IF(F$1="","",IFERROR(INDEX('包络曲线数据'!$B$2:$U$742,ROW()-1,MATCH(F$1,'包络曲线数据'!$B$1:$U$1,0)),""))</x:f>
      </x:c>
      <x:c r="G7" t="str">
        <x:f>IF(G$1="","",IFERROR(INDEX('包络曲线数据'!$B$2:$U$742,ROW()-1,MATCH(G$1,'包络曲线数据'!$B$1:$U$1,0)),""))</x:f>
      </x:c>
      <x:c r="I7" t="n">
        <x:v>-199.9999999999999</x:v>
      </x:c>
      <x:c r="J7" t="n">
        <x:f>IF(J$1="","",IFERROR(INDEX('代表咚声数据'!$B$2:$AO$39,ROW()-1,MATCH(J$1&amp;"_常见",'代表咚声数据'!$B$1:$AO$1,0)),""))</x:f>
        <x:v>67.91153378571664</x:v>
      </x:c>
      <x:c r="K7" t="n">
        <x:f>IF(K$1="","",IFERROR(INDEX('代表咚声数据'!$B$2:$AO$39,ROW()-1,MATCH(K$1&amp;"_常见",'代表咚声数据'!$B$1:$AO$1,0)),""))</x:f>
        <x:v>63.400757714677034</x:v>
      </x:c>
      <x:c r="L7" t="n">
        <x:f>IF(L$1="","",IFERROR(INDEX('代表咚声数据'!$B$2:$AO$39,ROW()-1,MATCH(L$1&amp;"_常见",'代表咚声数据'!$B$1:$AO$1,0)),""))</x:f>
        <x:v>65.70596455796155</x:v>
      </x:c>
      <x:c r="M7" t="str">
        <x:f>IF(M$1="","",IFERROR(INDEX('代表咚声数据'!$B$2:$AO$39,ROW()-1,MATCH(M$1&amp;"_常见",'代表咚声数据'!$B$1:$AO$1,0)),""))</x:f>
      </x:c>
      <x:c r="N7" t="str">
        <x:f>IF(N$1="","",IFERROR(INDEX('代表咚声数据'!$B$2:$AO$39,ROW()-1,MATCH(N$1&amp;"_常见",'代表咚声数据'!$B$1:$AO$1,0)),""))</x:f>
      </x:c>
      <x:c r="O7" t="str">
        <x:f>IF(O$1="","",IFERROR(INDEX('代表咚声数据'!$B$2:$AO$39,ROW()-1,MATCH(O$1&amp;"_常见",'代表咚声数据'!$B$1:$AO$1,0)),""))</x:f>
      </x:c>
      <x:c r="Q7" t="n">
        <x:v>-199.9999999999999</x:v>
      </x:c>
      <x:c r="R7" t="n">
        <x:f>IF(R$1="","",IFERROR(INDEX('代表咚声数据'!$B$2:$AO$39,ROW()-1,MATCH(R$1&amp;"_较响",'代表咚声数据'!$B$1:$AO$1,0)),""))</x:f>
        <x:v>74.0072115713657</x:v>
      </x:c>
      <x:c r="S7" t="n">
        <x:f>IF(S$1="","",IFERROR(INDEX('代表咚声数据'!$B$2:$AO$39,ROW()-1,MATCH(S$1&amp;"_较响",'代表咚声数据'!$B$1:$AO$1,0)),""))</x:f>
        <x:v>70.68990854031756</x:v>
      </x:c>
      <x:c r="T7" t="n">
        <x:f>IF(T$1="","",IFERROR(INDEX('代表咚声数据'!$B$2:$AO$39,ROW()-1,MATCH(T$1&amp;"_较响",'代表咚声数据'!$B$1:$AO$1,0)),""))</x:f>
        <x:v>69.95196376366829</x:v>
      </x:c>
      <x:c r="U7" t="str">
        <x:f>IF(U$1="","",IFERROR(INDEX('代表咚声数据'!$B$2:$AO$39,ROW()-1,MATCH(U$1&amp;"_较响",'代表咚声数据'!$B$1:$AO$1,0)),""))</x:f>
      </x:c>
      <x:c r="V7" t="str">
        <x:f>IF(V$1="","",IFERROR(INDEX('代表咚声数据'!$B$2:$AO$39,ROW()-1,MATCH(V$1&amp;"_较响",'代表咚声数据'!$B$1:$AO$1,0)),""))</x:f>
      </x:c>
      <x:c r="W7" t="str">
        <x:f>IF(W$1="","",IFERROR(INDEX('代表咚声数据'!$B$2:$AO$39,ROW()-1,MATCH(W$1&amp;"_较响",'代表咚声数据'!$B$1:$AO$1,0)),""))</x:f>
      </x:c>
    </x:row>
    <x:row r="8">
      <x:c r="A8" t="n">
        <x:v>0.6000000000000001</x:v>
      </x:c>
      <x:c r="B8" t="n">
        <x:f>IF(B$1="","",IFERROR(INDEX('包络曲线数据'!$B$2:$U$742,ROW()-1,MATCH(B$1,'包络曲线数据'!$B$1:$U$1,0)),""))</x:f>
        <x:v>74.99324879924718</x:v>
      </x:c>
      <x:c r="C8" t="n">
        <x:f>IF(C$1="","",IFERROR(INDEX('包络曲线数据'!$B$2:$U$742,ROW()-1,MATCH(C$1,'包络曲线数据'!$B$1:$U$1,0)),""))</x:f>
        <x:v>73.69803339596241</x:v>
      </x:c>
      <x:c r="D8" t="n">
        <x:f>IF(D$1="","",IFERROR(INDEX('包络曲线数据'!$B$2:$U$742,ROW()-1,MATCH(D$1,'包络曲线数据'!$B$1:$U$1,0)),""))</x:f>
        <x:v>74.179277194153</x:v>
      </x:c>
      <x:c r="E8" t="str">
        <x:f>IF(E$1="","",IFERROR(INDEX('包络曲线数据'!$B$2:$U$742,ROW()-1,MATCH(E$1,'包络曲线数据'!$B$1:$U$1,0)),""))</x:f>
      </x:c>
      <x:c r="F8" t="str">
        <x:f>IF(F$1="","",IFERROR(INDEX('包络曲线数据'!$B$2:$U$742,ROW()-1,MATCH(F$1,'包络曲线数据'!$B$1:$U$1,0)),""))</x:f>
      </x:c>
      <x:c r="G8" t="str">
        <x:f>IF(G$1="","",IFERROR(INDEX('包络曲线数据'!$B$2:$U$742,ROW()-1,MATCH(G$1,'包络曲线数据'!$B$1:$U$1,0)),""))</x:f>
      </x:c>
      <x:c r="I8" t="n">
        <x:v>-179.9999999999999</x:v>
      </x:c>
      <x:c r="J8" t="n">
        <x:f>IF(J$1="","",IFERROR(INDEX('代表咚声数据'!$B$2:$AO$39,ROW()-1,MATCH(J$1&amp;"_常见",'代表咚声数据'!$B$1:$AO$1,0)),""))</x:f>
        <x:v>67.04471305555752</x:v>
      </x:c>
      <x:c r="K8" t="n">
        <x:f>IF(K$1="","",IFERROR(INDEX('代表咚声数据'!$B$2:$AO$39,ROW()-1,MATCH(K$1&amp;"_常见",'代表咚声数据'!$B$1:$AO$1,0)),""))</x:f>
        <x:v>63.070648547191354</x:v>
      </x:c>
      <x:c r="L8" t="n">
        <x:f>IF(L$1="","",IFERROR(INDEX('代表咚声数据'!$B$2:$AO$39,ROW()-1,MATCH(L$1&amp;"_常见",'代表咚声数据'!$B$1:$AO$1,0)),""))</x:f>
        <x:v>64.75065681054456</x:v>
      </x:c>
      <x:c r="M8" t="str">
        <x:f>IF(M$1="","",IFERROR(INDEX('代表咚声数据'!$B$2:$AO$39,ROW()-1,MATCH(M$1&amp;"_常见",'代表咚声数据'!$B$1:$AO$1,0)),""))</x:f>
      </x:c>
      <x:c r="N8" t="str">
        <x:f>IF(N$1="","",IFERROR(INDEX('代表咚声数据'!$B$2:$AO$39,ROW()-1,MATCH(N$1&amp;"_常见",'代表咚声数据'!$B$1:$AO$1,0)),""))</x:f>
      </x:c>
      <x:c r="O8" t="str">
        <x:f>IF(O$1="","",IFERROR(INDEX('代表咚声数据'!$B$2:$AO$39,ROW()-1,MATCH(O$1&amp;"_常见",'代表咚声数据'!$B$1:$AO$1,0)),""))</x:f>
      </x:c>
      <x:c r="Q8" t="n">
        <x:v>-179.9999999999999</x:v>
      </x:c>
      <x:c r="R8" t="n">
        <x:f>IF(R$1="","",IFERROR(INDEX('代表咚声数据'!$B$2:$AO$39,ROW()-1,MATCH(R$1&amp;"_较响",'代表咚声数据'!$B$1:$AO$1,0)),""))</x:f>
        <x:v>74.42774259259028</x:v>
      </x:c>
      <x:c r="S8" t="n">
        <x:f>IF(S$1="","",IFERROR(INDEX('代表咚声数据'!$B$2:$AO$39,ROW()-1,MATCH(S$1&amp;"_较响",'代表咚声数据'!$B$1:$AO$1,0)),""))</x:f>
        <x:v>70.07721774279572</x:v>
      </x:c>
      <x:c r="T8" t="n">
        <x:f>IF(T$1="","",IFERROR(INDEX('代表咚声数据'!$B$2:$AO$39,ROW()-1,MATCH(T$1&amp;"_较响",'代表咚声数据'!$B$1:$AO$1,0)),""))</x:f>
        <x:v>69.68925445218508</x:v>
      </x:c>
      <x:c r="U8" t="str">
        <x:f>IF(U$1="","",IFERROR(INDEX('代表咚声数据'!$B$2:$AO$39,ROW()-1,MATCH(U$1&amp;"_较响",'代表咚声数据'!$B$1:$AO$1,0)),""))</x:f>
      </x:c>
      <x:c r="V8" t="str">
        <x:f>IF(V$1="","",IFERROR(INDEX('代表咚声数据'!$B$2:$AO$39,ROW()-1,MATCH(V$1&amp;"_较响",'代表咚声数据'!$B$1:$AO$1,0)),""))</x:f>
      </x:c>
      <x:c r="W8" t="str">
        <x:f>IF(W$1="","",IFERROR(INDEX('代表咚声数据'!$B$2:$AO$39,ROW()-1,MATCH(W$1&amp;"_较响",'代表咚声数据'!$B$1:$AO$1,0)),""))</x:f>
      </x:c>
    </x:row>
    <x:row r="9">
      <x:c r="A9" t="n">
        <x:v>0.7000000000000001</x:v>
      </x:c>
      <x:c r="B9" t="n">
        <x:f>IF(B$1="","",IFERROR(INDEX('包络曲线数据'!$B$2:$U$742,ROW()-1,MATCH(B$1,'包络曲线数据'!$B$1:$U$1,0)),""))</x:f>
        <x:v>69.00288879589851</x:v>
      </x:c>
      <x:c r="C9" t="n">
        <x:f>IF(C$1="","",IFERROR(INDEX('包络曲线数据'!$B$2:$U$742,ROW()-1,MATCH(C$1,'包络曲线数据'!$B$1:$U$1,0)),""))</x:f>
        <x:v>73.40305553144935</x:v>
      </x:c>
      <x:c r="D9" t="n">
        <x:f>IF(D$1="","",IFERROR(INDEX('包络曲线数据'!$B$2:$U$742,ROW()-1,MATCH(D$1,'包络曲线数据'!$B$1:$U$1,0)),""))</x:f>
        <x:v>78.05966347414382</x:v>
      </x:c>
      <x:c r="E9" t="str">
        <x:f>IF(E$1="","",IFERROR(INDEX('包络曲线数据'!$B$2:$U$742,ROW()-1,MATCH(E$1,'包络曲线数据'!$B$1:$U$1,0)),""))</x:f>
      </x:c>
      <x:c r="F9" t="str">
        <x:f>IF(F$1="","",IFERROR(INDEX('包络曲线数据'!$B$2:$U$742,ROW()-1,MATCH(F$1,'包络曲线数据'!$B$1:$U$1,0)),""))</x:f>
      </x:c>
      <x:c r="G9" t="str">
        <x:f>IF(G$1="","",IFERROR(INDEX('包络曲线数据'!$B$2:$U$742,ROW()-1,MATCH(G$1,'包络曲线数据'!$B$1:$U$1,0)),""))</x:f>
      </x:c>
      <x:c r="I9" t="n">
        <x:v>-159.99999999999986</x:v>
      </x:c>
      <x:c r="J9" t="n">
        <x:f>IF(J$1="","",IFERROR(INDEX('代表咚声数据'!$B$2:$AO$39,ROW()-1,MATCH(J$1&amp;"_常见",'代表咚声数据'!$B$1:$AO$1,0)),""))</x:f>
        <x:v>66.11760729155591</x:v>
      </x:c>
      <x:c r="K9" t="n">
        <x:f>IF(K$1="","",IFERROR(INDEX('代表咚声数据'!$B$2:$AO$39,ROW()-1,MATCH(K$1&amp;"_常见",'代表咚声数据'!$B$1:$AO$1,0)),""))</x:f>
        <x:v>64.1380133908294</x:v>
      </x:c>
      <x:c r="L9" t="n">
        <x:f>IF(L$1="","",IFERROR(INDEX('代表咚声数据'!$B$2:$AO$39,ROW()-1,MATCH(L$1&amp;"_常见",'代表咚声数据'!$B$1:$AO$1,0)),""))</x:f>
        <x:v>65.16719860625166</x:v>
      </x:c>
      <x:c r="M9" t="str">
        <x:f>IF(M$1="","",IFERROR(INDEX('代表咚声数据'!$B$2:$AO$39,ROW()-1,MATCH(M$1&amp;"_常见",'代表咚声数据'!$B$1:$AO$1,0)),""))</x:f>
      </x:c>
      <x:c r="N9" t="str">
        <x:f>IF(N$1="","",IFERROR(INDEX('代表咚声数据'!$B$2:$AO$39,ROW()-1,MATCH(N$1&amp;"_常见",'代表咚声数据'!$B$1:$AO$1,0)),""))</x:f>
      </x:c>
      <x:c r="O9" t="str">
        <x:f>IF(O$1="","",IFERROR(INDEX('代表咚声数据'!$B$2:$AO$39,ROW()-1,MATCH(O$1&amp;"_常见",'代表咚声数据'!$B$1:$AO$1,0)),""))</x:f>
      </x:c>
      <x:c r="Q9" t="n">
        <x:v>-159.99999999999986</x:v>
      </x:c>
      <x:c r="R9" t="n">
        <x:f>IF(R$1="","",IFERROR(INDEX('代表咚声数据'!$B$2:$AO$39,ROW()-1,MATCH(R$1&amp;"_较响",'代表咚声数据'!$B$1:$AO$1,0)),""))</x:f>
        <x:v>73.1556170987907</x:v>
      </x:c>
      <x:c r="S9" t="n">
        <x:f>IF(S$1="","",IFERROR(INDEX('代表咚声数据'!$B$2:$AO$39,ROW()-1,MATCH(S$1&amp;"_较响",'代表咚声数据'!$B$1:$AO$1,0)),""))</x:f>
        <x:v>69.95180706801337</x:v>
      </x:c>
      <x:c r="T9" t="n">
        <x:f>IF(T$1="","",IFERROR(INDEX('代表咚声数据'!$B$2:$AO$39,ROW()-1,MATCH(T$1&amp;"_较响",'代表咚声数据'!$B$1:$AO$1,0)),""))</x:f>
        <x:v>69.38076909424714</x:v>
      </x:c>
      <x:c r="U9" t="str">
        <x:f>IF(U$1="","",IFERROR(INDEX('代表咚声数据'!$B$2:$AO$39,ROW()-1,MATCH(U$1&amp;"_较响",'代表咚声数据'!$B$1:$AO$1,0)),""))</x:f>
      </x:c>
      <x:c r="V9" t="str">
        <x:f>IF(V$1="","",IFERROR(INDEX('代表咚声数据'!$B$2:$AO$39,ROW()-1,MATCH(V$1&amp;"_较响",'代表咚声数据'!$B$1:$AO$1,0)),""))</x:f>
      </x:c>
      <x:c r="W9" t="str">
        <x:f>IF(W$1="","",IFERROR(INDEX('代表咚声数据'!$B$2:$AO$39,ROW()-1,MATCH(W$1&amp;"_较响",'代表咚声数据'!$B$1:$AO$1,0)),""))</x:f>
      </x:c>
    </x:row>
    <x:row r="10">
      <x:c r="A10" t="n">
        <x:v>0.8</x:v>
      </x:c>
      <x:c r="B10" t="n">
        <x:f>IF(B$1="","",IFERROR(INDEX('包络曲线数据'!$B$2:$U$742,ROW()-1,MATCH(B$1,'包络曲线数据'!$B$1:$U$1,0)),""))</x:f>
        <x:v>69.54065817756774</x:v>
      </x:c>
      <x:c r="C10" t="n">
        <x:f>IF(C$1="","",IFERROR(INDEX('包络曲线数据'!$B$2:$U$742,ROW()-1,MATCH(C$1,'包络曲线数据'!$B$1:$U$1,0)),""))</x:f>
        <x:v>72.8762701142371</x:v>
      </x:c>
      <x:c r="D10" t="n">
        <x:f>IF(D$1="","",IFERROR(INDEX('包络曲线数据'!$B$2:$U$742,ROW()-1,MATCH(D$1,'包络曲线数据'!$B$1:$U$1,0)),""))</x:f>
        <x:v>80.57894760867438</x:v>
      </x:c>
      <x:c r="E10" t="str">
        <x:f>IF(E$1="","",IFERROR(INDEX('包络曲线数据'!$B$2:$U$742,ROW()-1,MATCH(E$1,'包络曲线数据'!$B$1:$U$1,0)),""))</x:f>
      </x:c>
      <x:c r="F10" t="str">
        <x:f>IF(F$1="","",IFERROR(INDEX('包络曲线数据'!$B$2:$U$742,ROW()-1,MATCH(F$1,'包络曲线数据'!$B$1:$U$1,0)),""))</x:f>
      </x:c>
      <x:c r="G10" t="str">
        <x:f>IF(G$1="","",IFERROR(INDEX('包络曲线数据'!$B$2:$U$742,ROW()-1,MATCH(G$1,'包络曲线数据'!$B$1:$U$1,0)),""))</x:f>
      </x:c>
      <x:c r="I10" t="n">
        <x:v>-139.99999999999986</x:v>
      </x:c>
      <x:c r="J10" t="n">
        <x:f>IF(J$1="","",IFERROR(INDEX('代表咚声数据'!$B$2:$AO$39,ROW()-1,MATCH(J$1&amp;"_常见",'代表咚声数据'!$B$1:$AO$1,0)),""))</x:f>
        <x:v>65.38385337976473</x:v>
      </x:c>
      <x:c r="K10" t="n">
        <x:f>IF(K$1="","",IFERROR(INDEX('代表咚声数据'!$B$2:$AO$39,ROW()-1,MATCH(K$1&amp;"_常见",'代表咚声数据'!$B$1:$AO$1,0)),""))</x:f>
        <x:v>65.10461488836313</x:v>
      </x:c>
      <x:c r="L10" t="n">
        <x:f>IF(L$1="","",IFERROR(INDEX('代表咚声数据'!$B$2:$AO$39,ROW()-1,MATCH(L$1&amp;"_常见",'代表咚声数据'!$B$1:$AO$1,0)),""))</x:f>
        <x:v>65.51040690681292</x:v>
      </x:c>
      <x:c r="M10" t="str">
        <x:f>IF(M$1="","",IFERROR(INDEX('代表咚声数据'!$B$2:$AO$39,ROW()-1,MATCH(M$1&amp;"_常见",'代表咚声数据'!$B$1:$AO$1,0)),""))</x:f>
      </x:c>
      <x:c r="N10" t="str">
        <x:f>IF(N$1="","",IFERROR(INDEX('代表咚声数据'!$B$2:$AO$39,ROW()-1,MATCH(N$1&amp;"_常见",'代表咚声数据'!$B$1:$AO$1,0)),""))</x:f>
      </x:c>
      <x:c r="O10" t="str">
        <x:f>IF(O$1="","",IFERROR(INDEX('代表咚声数据'!$B$2:$AO$39,ROW()-1,MATCH(O$1&amp;"_常见",'代表咚声数据'!$B$1:$AO$1,0)),""))</x:f>
      </x:c>
      <x:c r="Q10" t="n">
        <x:v>-139.99999999999986</x:v>
      </x:c>
      <x:c r="R10" t="n">
        <x:f>IF(R$1="","",IFERROR(INDEX('代表咚声数据'!$B$2:$AO$39,ROW()-1,MATCH(R$1&amp;"_较响",'代表咚声数据'!$B$1:$AO$1,0)),""))</x:f>
        <x:v>72.19856080753655</x:v>
      </x:c>
      <x:c r="S10" t="n">
        <x:f>IF(S$1="","",IFERROR(INDEX('代表咚声数据'!$B$2:$AO$39,ROW()-1,MATCH(S$1&amp;"_较响",'代表咚声数据'!$B$1:$AO$1,0)),""))</x:f>
        <x:v>69.41736258144154</x:v>
      </x:c>
      <x:c r="T10" t="n">
        <x:f>IF(T$1="","",IFERROR(INDEX('代表咚声数据'!$B$2:$AO$39,ROW()-1,MATCH(T$1&amp;"_较响",'代表咚声数据'!$B$1:$AO$1,0)),""))</x:f>
        <x:v>68.21180967940839</x:v>
      </x:c>
      <x:c r="U10" t="str">
        <x:f>IF(U$1="","",IFERROR(INDEX('代表咚声数据'!$B$2:$AO$39,ROW()-1,MATCH(U$1&amp;"_较响",'代表咚声数据'!$B$1:$AO$1,0)),""))</x:f>
      </x:c>
      <x:c r="V10" t="str">
        <x:f>IF(V$1="","",IFERROR(INDEX('代表咚声数据'!$B$2:$AO$39,ROW()-1,MATCH(V$1&amp;"_较响",'代表咚声数据'!$B$1:$AO$1,0)),""))</x:f>
      </x:c>
      <x:c r="W10" t="str">
        <x:f>IF(W$1="","",IFERROR(INDEX('代表咚声数据'!$B$2:$AO$39,ROW()-1,MATCH(W$1&amp;"_较响",'代表咚声数据'!$B$1:$AO$1,0)),""))</x:f>
      </x:c>
    </x:row>
    <x:row r="11">
      <x:c r="A11" t="n">
        <x:v>0.9</x:v>
      </x:c>
      <x:c r="B11" t="n">
        <x:f>IF(B$1="","",IFERROR(INDEX('包络曲线数据'!$B$2:$U$742,ROW()-1,MATCH(B$1,'包络曲线数据'!$B$1:$U$1,0)),""))</x:f>
        <x:v>69.54065817756774</x:v>
      </x:c>
      <x:c r="C11" t="n">
        <x:f>IF(C$1="","",IFERROR(INDEX('包络曲线数据'!$B$2:$U$742,ROW()-1,MATCH(C$1,'包络曲线数据'!$B$1:$U$1,0)),""))</x:f>
        <x:v>73.32821491972562</x:v>
      </x:c>
      <x:c r="D11" t="n">
        <x:f>IF(D$1="","",IFERROR(INDEX('包络曲线数据'!$B$2:$U$742,ROW()-1,MATCH(D$1,'包络曲线数据'!$B$1:$U$1,0)),""))</x:f>
        <x:v>80.57894760867438</x:v>
      </x:c>
      <x:c r="E11" t="str">
        <x:f>IF(E$1="","",IFERROR(INDEX('包络曲线数据'!$B$2:$U$742,ROW()-1,MATCH(E$1,'包络曲线数据'!$B$1:$U$1,0)),""))</x:f>
      </x:c>
      <x:c r="F11" t="str">
        <x:f>IF(F$1="","",IFERROR(INDEX('包络曲线数据'!$B$2:$U$742,ROW()-1,MATCH(F$1,'包络曲线数据'!$B$1:$U$1,0)),""))</x:f>
      </x:c>
      <x:c r="G11" t="str">
        <x:f>IF(G$1="","",IFERROR(INDEX('包络曲线数据'!$B$2:$U$742,ROW()-1,MATCH(G$1,'包络曲线数据'!$B$1:$U$1,0)),""))</x:f>
      </x:c>
      <x:c r="I11" t="n">
        <x:v>-119.99999999999983</x:v>
      </x:c>
      <x:c r="J11" t="n">
        <x:f>IF(J$1="","",IFERROR(INDEX('代表咚声数据'!$B$2:$AO$39,ROW()-1,MATCH(J$1&amp;"_常见",'代表咚声数据'!$B$1:$AO$1,0)),""))</x:f>
        <x:v>65.40351684752245</x:v>
      </x:c>
      <x:c r="K11" t="n">
        <x:f>IF(K$1="","",IFERROR(INDEX('代表咚声数据'!$B$2:$AO$39,ROW()-1,MATCH(K$1&amp;"_常见",'代表咚声数据'!$B$1:$AO$1,0)),""))</x:f>
        <x:v>67.14522118798229</x:v>
      </x:c>
      <x:c r="L11" t="n">
        <x:f>IF(L$1="","",IFERROR(INDEX('代表咚声数据'!$B$2:$AO$39,ROW()-1,MATCH(L$1&amp;"_常见",'代表咚声数据'!$B$1:$AO$1,0)),""))</x:f>
        <x:v>65.00400117420475</x:v>
      </x:c>
      <x:c r="M11" t="str">
        <x:f>IF(M$1="","",IFERROR(INDEX('代表咚声数据'!$B$2:$AO$39,ROW()-1,MATCH(M$1&amp;"_常见",'代表咚声数据'!$B$1:$AO$1,0)),""))</x:f>
      </x:c>
      <x:c r="N11" t="str">
        <x:f>IF(N$1="","",IFERROR(INDEX('代表咚声数据'!$B$2:$AO$39,ROW()-1,MATCH(N$1&amp;"_常见",'代表咚声数据'!$B$1:$AO$1,0)),""))</x:f>
      </x:c>
      <x:c r="O11" t="str">
        <x:f>IF(O$1="","",IFERROR(INDEX('代表咚声数据'!$B$2:$AO$39,ROW()-1,MATCH(O$1&amp;"_常见",'代表咚声数据'!$B$1:$AO$1,0)),""))</x:f>
      </x:c>
      <x:c r="Q11" t="n">
        <x:v>-119.99999999999983</x:v>
      </x:c>
      <x:c r="R11" t="n">
        <x:f>IF(R$1="","",IFERROR(INDEX('代表咚声数据'!$B$2:$AO$39,ROW()-1,MATCH(R$1&amp;"_较响",'代表咚声数据'!$B$1:$AO$1,0)),""))</x:f>
        <x:v>72.20342953470094</x:v>
      </x:c>
      <x:c r="S11" t="n">
        <x:f>IF(S$1="","",IFERROR(INDEX('代表咚声数据'!$B$2:$AO$39,ROW()-1,MATCH(S$1&amp;"_较响",'代表咚声数据'!$B$1:$AO$1,0)),""))</x:f>
        <x:v>69.43468875946016</x:v>
      </x:c>
      <x:c r="T11" t="n">
        <x:f>IF(T$1="","",IFERROR(INDEX('代表咚声数据'!$B$2:$AO$39,ROW()-1,MATCH(T$1&amp;"_较响",'代表咚声数据'!$B$1:$AO$1,0)),""))</x:f>
        <x:v>70.84331246224856</x:v>
      </x:c>
      <x:c r="U11" t="str">
        <x:f>IF(U$1="","",IFERROR(INDEX('代表咚声数据'!$B$2:$AO$39,ROW()-1,MATCH(U$1&amp;"_较响",'代表咚声数据'!$B$1:$AO$1,0)),""))</x:f>
      </x:c>
      <x:c r="V11" t="str">
        <x:f>IF(V$1="","",IFERROR(INDEX('代表咚声数据'!$B$2:$AO$39,ROW()-1,MATCH(V$1&amp;"_较响",'代表咚声数据'!$B$1:$AO$1,0)),""))</x:f>
      </x:c>
      <x:c r="W11" t="str">
        <x:f>IF(W$1="","",IFERROR(INDEX('代表咚声数据'!$B$2:$AO$39,ROW()-1,MATCH(W$1&amp;"_较响",'代表咚声数据'!$B$1:$AO$1,0)),""))</x:f>
      </x:c>
    </x:row>
    <x:row r="12">
      <x:c r="A12" t="n">
        <x:v>1</x:v>
      </x:c>
      <x:c r="B12" t="n">
        <x:f>IF(B$1="","",IFERROR(INDEX('包络曲线数据'!$B$2:$U$742,ROW()-1,MATCH(B$1,'包络曲线数据'!$B$1:$U$1,0)),""))</x:f>
        <x:v>68.48332257363418</x:v>
      </x:c>
      <x:c r="C12" t="n">
        <x:f>IF(C$1="","",IFERROR(INDEX('包络曲线数据'!$B$2:$U$742,ROW()-1,MATCH(C$1,'包络曲线数据'!$B$1:$U$1,0)),""))</x:f>
        <x:v>73.32821491972562</x:v>
      </x:c>
      <x:c r="D12" t="n">
        <x:f>IF(D$1="","",IFERROR(INDEX('包络曲线数据'!$B$2:$U$742,ROW()-1,MATCH(D$1,'包络曲线数据'!$B$1:$U$1,0)),""))</x:f>
        <x:v>79.25736926990133</x:v>
      </x:c>
      <x:c r="E12" t="str">
        <x:f>IF(E$1="","",IFERROR(INDEX('包络曲线数据'!$B$2:$U$742,ROW()-1,MATCH(E$1,'包络曲线数据'!$B$1:$U$1,0)),""))</x:f>
      </x:c>
      <x:c r="F12" t="str">
        <x:f>IF(F$1="","",IFERROR(INDEX('包络曲线数据'!$B$2:$U$742,ROW()-1,MATCH(F$1,'包络曲线数据'!$B$1:$U$1,0)),""))</x:f>
      </x:c>
      <x:c r="G12" t="str">
        <x:f>IF(G$1="","",IFERROR(INDEX('包络曲线数据'!$B$2:$U$742,ROW()-1,MATCH(G$1,'包络曲线数据'!$B$1:$U$1,0)),""))</x:f>
      </x:c>
      <x:c r="I12" t="n">
        <x:v>-99.99999999999982</x:v>
      </x:c>
      <x:c r="J12" t="n">
        <x:f>IF(J$1="","",IFERROR(INDEX('代表咚声数据'!$B$2:$AO$39,ROW()-1,MATCH(J$1&amp;"_常见",'代表咚声数据'!$B$1:$AO$1,0)),""))</x:f>
        <x:v>64.57544258544742</x:v>
      </x:c>
      <x:c r="K12" t="n">
        <x:f>IF(K$1="","",IFERROR(INDEX('代表咚声数据'!$B$2:$AO$39,ROW()-1,MATCH(K$1&amp;"_常见",'代表咚声数据'!$B$1:$AO$1,0)),""))</x:f>
        <x:v>73.09887326194315</x:v>
      </x:c>
      <x:c r="L12" t="n">
        <x:f>IF(L$1="","",IFERROR(INDEX('代表咚声数据'!$B$2:$AO$39,ROW()-1,MATCH(L$1&amp;"_常见",'代表咚声数据'!$B$1:$AO$1,0)),""))</x:f>
        <x:v>68.84628476735355</x:v>
      </x:c>
      <x:c r="M12" t="str">
        <x:f>IF(M$1="","",IFERROR(INDEX('代表咚声数据'!$B$2:$AO$39,ROW()-1,MATCH(M$1&amp;"_常见",'代表咚声数据'!$B$1:$AO$1,0)),""))</x:f>
      </x:c>
      <x:c r="N12" t="str">
        <x:f>IF(N$1="","",IFERROR(INDEX('代表咚声数据'!$B$2:$AO$39,ROW()-1,MATCH(N$1&amp;"_常见",'代表咚声数据'!$B$1:$AO$1,0)),""))</x:f>
      </x:c>
      <x:c r="O12" t="str">
        <x:f>IF(O$1="","",IFERROR(INDEX('代表咚声数据'!$B$2:$AO$39,ROW()-1,MATCH(O$1&amp;"_常见",'代表咚声数据'!$B$1:$AO$1,0)),""))</x:f>
      </x:c>
      <x:c r="Q12" t="n">
        <x:v>-99.99999999999982</x:v>
      </x:c>
      <x:c r="R12" t="n">
        <x:f>IF(R$1="","",IFERROR(INDEX('代表咚声数据'!$B$2:$AO$39,ROW()-1,MATCH(R$1&amp;"_较响",'代表咚声数据'!$B$1:$AO$1,0)),""))</x:f>
        <x:v>71.60625473917524</x:v>
      </x:c>
      <x:c r="S12" t="n">
        <x:f>IF(S$1="","",IFERROR(INDEX('代表咚声数据'!$B$2:$AO$39,ROW()-1,MATCH(S$1&amp;"_较响",'代表咚声数据'!$B$1:$AO$1,0)),""))</x:f>
        <x:v>80.26088037212321</x:v>
      </x:c>
      <x:c r="T12" t="n">
        <x:f>IF(T$1="","",IFERROR(INDEX('代表咚声数据'!$B$2:$AO$39,ROW()-1,MATCH(T$1&amp;"_较响",'代表咚声数据'!$B$1:$AO$1,0)),""))</x:f>
        <x:v>76.8608493908267</x:v>
      </x:c>
      <x:c r="U12" t="str">
        <x:f>IF(U$1="","",IFERROR(INDEX('代表咚声数据'!$B$2:$AO$39,ROW()-1,MATCH(U$1&amp;"_较响",'代表咚声数据'!$B$1:$AO$1,0)),""))</x:f>
      </x:c>
      <x:c r="V12" t="str">
        <x:f>IF(V$1="","",IFERROR(INDEX('代表咚声数据'!$B$2:$AO$39,ROW()-1,MATCH(V$1&amp;"_较响",'代表咚声数据'!$B$1:$AO$1,0)),""))</x:f>
      </x:c>
      <x:c r="W12" t="str">
        <x:f>IF(W$1="","",IFERROR(INDEX('代表咚声数据'!$B$2:$AO$39,ROW()-1,MATCH(W$1&amp;"_较响",'代表咚声数据'!$B$1:$AO$1,0)),""))</x:f>
      </x:c>
    </x:row>
    <x:row r="13">
      <x:c r="A13" t="n">
        <x:v>1.1</x:v>
      </x:c>
      <x:c r="B13" t="n">
        <x:f>IF(B$1="","",IFERROR(INDEX('包络曲线数据'!$B$2:$U$742,ROW()-1,MATCH(B$1,'包络曲线数据'!$B$1:$U$1,0)),""))</x:f>
        <x:v>68.22408747786668</x:v>
      </x:c>
      <x:c r="C13" t="n">
        <x:f>IF(C$1="","",IFERROR(INDEX('包络曲线数据'!$B$2:$U$742,ROW()-1,MATCH(C$1,'包络曲线数据'!$B$1:$U$1,0)),""))</x:f>
        <x:v>72.1258656441905</x:v>
      </x:c>
      <x:c r="D13" t="n">
        <x:f>IF(D$1="","",IFERROR(INDEX('包络曲线数据'!$B$2:$U$742,ROW()-1,MATCH(D$1,'包络曲线数据'!$B$1:$U$1,0)),""))</x:f>
        <x:v>79.25736926990133</x:v>
      </x:c>
      <x:c r="E13" t="str">
        <x:f>IF(E$1="","",IFERROR(INDEX('包络曲线数据'!$B$2:$U$742,ROW()-1,MATCH(E$1,'包络曲线数据'!$B$1:$U$1,0)),""))</x:f>
      </x:c>
      <x:c r="F13" t="str">
        <x:f>IF(F$1="","",IFERROR(INDEX('包络曲线数据'!$B$2:$U$742,ROW()-1,MATCH(F$1,'包络曲线数据'!$B$1:$U$1,0)),""))</x:f>
      </x:c>
      <x:c r="G13" t="str">
        <x:f>IF(G$1="","",IFERROR(INDEX('包络曲线数据'!$B$2:$U$742,ROW()-1,MATCH(G$1,'包络曲线数据'!$B$1:$U$1,0)),""))</x:f>
      </x:c>
      <x:c r="I13" t="n">
        <x:v>-79.99999999999979</x:v>
      </x:c>
      <x:c r="J13" t="n">
        <x:f>IF(J$1="","",IFERROR(INDEX('代表咚声数据'!$B$2:$AO$39,ROW()-1,MATCH(J$1&amp;"_常见",'代表咚声数据'!$B$1:$AO$1,0)),""))</x:f>
        <x:v>65.06149108420196</x:v>
      </x:c>
      <x:c r="K13" t="n">
        <x:f>IF(K$1="","",IFERROR(INDEX('代表咚声数据'!$B$2:$AO$39,ROW()-1,MATCH(K$1&amp;"_常见",'代表咚声数据'!$B$1:$AO$1,0)),""))</x:f>
        <x:v>74.16157119688513</x:v>
      </x:c>
      <x:c r="L13" t="n">
        <x:f>IF(L$1="","",IFERROR(INDEX('代表咚声数据'!$B$2:$AO$39,ROW()-1,MATCH(L$1&amp;"_常见",'代表咚声数据'!$B$1:$AO$1,0)),""))</x:f>
        <x:v>76.07345004590887</x:v>
      </x:c>
      <x:c r="M13" t="str">
        <x:f>IF(M$1="","",IFERROR(INDEX('代表咚声数据'!$B$2:$AO$39,ROW()-1,MATCH(M$1&amp;"_常见",'代表咚声数据'!$B$1:$AO$1,0)),""))</x:f>
      </x:c>
      <x:c r="N13" t="str">
        <x:f>IF(N$1="","",IFERROR(INDEX('代表咚声数据'!$B$2:$AO$39,ROW()-1,MATCH(N$1&amp;"_常见",'代表咚声数据'!$B$1:$AO$1,0)),""))</x:f>
      </x:c>
      <x:c r="O13" t="str">
        <x:f>IF(O$1="","",IFERROR(INDEX('代表咚声数据'!$B$2:$AO$39,ROW()-1,MATCH(O$1&amp;"_常见",'代表咚声数据'!$B$1:$AO$1,0)),""))</x:f>
      </x:c>
      <x:c r="Q13" t="n">
        <x:v>-79.99999999999979</x:v>
      </x:c>
      <x:c r="R13" t="n">
        <x:f>IF(R$1="","",IFERROR(INDEX('代表咚声数据'!$B$2:$AO$39,ROW()-1,MATCH(R$1&amp;"_较响",'代表咚声数据'!$B$1:$AO$1,0)),""))</x:f>
        <x:v>71.0724428942401</x:v>
      </x:c>
      <x:c r="S13" t="n">
        <x:f>IF(S$1="","",IFERROR(INDEX('代表咚声数据'!$B$2:$AO$39,ROW()-1,MATCH(S$1&amp;"_较响",'代表咚声数据'!$B$1:$AO$1,0)),""))</x:f>
        <x:v>84.79502433273395</x:v>
      </x:c>
      <x:c r="T13" t="n">
        <x:f>IF(T$1="","",IFERROR(INDEX('代表咚声数据'!$B$2:$AO$39,ROW()-1,MATCH(T$1&amp;"_较响",'代表咚声数据'!$B$1:$AO$1,0)),""))</x:f>
        <x:v>80.41999996549995</x:v>
      </x:c>
      <x:c r="U13" t="str">
        <x:f>IF(U$1="","",IFERROR(INDEX('代表咚声数据'!$B$2:$AO$39,ROW()-1,MATCH(U$1&amp;"_较响",'代表咚声数据'!$B$1:$AO$1,0)),""))</x:f>
      </x:c>
      <x:c r="V13" t="str">
        <x:f>IF(V$1="","",IFERROR(INDEX('代表咚声数据'!$B$2:$AO$39,ROW()-1,MATCH(V$1&amp;"_较响",'代表咚声数据'!$B$1:$AO$1,0)),""))</x:f>
      </x:c>
      <x:c r="W13" t="str">
        <x:f>IF(W$1="","",IFERROR(INDEX('代表咚声数据'!$B$2:$AO$39,ROW()-1,MATCH(W$1&amp;"_较响",'代表咚声数据'!$B$1:$AO$1,0)),""))</x:f>
      </x:c>
    </x:row>
    <x:row r="14">
      <x:c r="A14" t="n">
        <x:v>1.2000000000000002</x:v>
      </x:c>
      <x:c r="B14" t="n">
        <x:f>IF(B$1="","",IFERROR(INDEX('包络曲线数据'!$B$2:$U$742,ROW()-1,MATCH(B$1,'包络曲线数据'!$B$1:$U$1,0)),""))</x:f>
        <x:v>68.22408747786668</x:v>
      </x:c>
      <x:c r="C14" t="n">
        <x:f>IF(C$1="","",IFERROR(INDEX('包络曲线数据'!$B$2:$U$742,ROW()-1,MATCH(C$1,'包络曲线数据'!$B$1:$U$1,0)),""))</x:f>
        <x:v>72.93021330029542</x:v>
      </x:c>
      <x:c r="D14" t="n">
        <x:f>IF(D$1="","",IFERROR(INDEX('包络曲线数据'!$B$2:$U$742,ROW()-1,MATCH(D$1,'包络曲线数据'!$B$1:$U$1,0)),""))</x:f>
        <x:v>79.1351065849409</x:v>
      </x:c>
      <x:c r="E14" t="str">
        <x:f>IF(E$1="","",IFERROR(INDEX('包络曲线数据'!$B$2:$U$742,ROW()-1,MATCH(E$1,'包络曲线数据'!$B$1:$U$1,0)),""))</x:f>
      </x:c>
      <x:c r="F14" t="str">
        <x:f>IF(F$1="","",IFERROR(INDEX('包络曲线数据'!$B$2:$U$742,ROW()-1,MATCH(F$1,'包络曲线数据'!$B$1:$U$1,0)),""))</x:f>
      </x:c>
      <x:c r="G14" t="str">
        <x:f>IF(G$1="","",IFERROR(INDEX('包络曲线数据'!$B$2:$U$742,ROW()-1,MATCH(G$1,'包络曲线数据'!$B$1:$U$1,0)),""))</x:f>
      </x:c>
      <x:c r="I14" t="n">
        <x:v>-59.99999999999977</x:v>
      </x:c>
      <x:c r="J14" t="n">
        <x:f>IF(J$1="","",IFERROR(INDEX('代表咚声数据'!$B$2:$AO$39,ROW()-1,MATCH(J$1&amp;"_常见",'代表咚声数据'!$B$1:$AO$1,0)),""))</x:f>
        <x:v>72.64228572471745</x:v>
      </x:c>
      <x:c r="K14" t="n">
        <x:f>IF(K$1="","",IFERROR(INDEX('代表咚声数据'!$B$2:$AO$39,ROW()-1,MATCH(K$1&amp;"_常见",'代表咚声数据'!$B$1:$AO$1,0)),""))</x:f>
        <x:v>75.55755128830357</x:v>
      </x:c>
      <x:c r="L14" t="n">
        <x:f>IF(L$1="","",IFERROR(INDEX('代表咚声数据'!$B$2:$AO$39,ROW()-1,MATCH(L$1&amp;"_常见",'代表咚声数据'!$B$1:$AO$1,0)),""))</x:f>
        <x:v>77.59928781297292</x:v>
      </x:c>
      <x:c r="M14" t="str">
        <x:f>IF(M$1="","",IFERROR(INDEX('代表咚声数据'!$B$2:$AO$39,ROW()-1,MATCH(M$1&amp;"_常见",'代表咚声数据'!$B$1:$AO$1,0)),""))</x:f>
      </x:c>
      <x:c r="N14" t="str">
        <x:f>IF(N$1="","",IFERROR(INDEX('代表咚声数据'!$B$2:$AO$39,ROW()-1,MATCH(N$1&amp;"_常见",'代表咚声数据'!$B$1:$AO$1,0)),""))</x:f>
      </x:c>
      <x:c r="O14" t="str">
        <x:f>IF(O$1="","",IFERROR(INDEX('代表咚声数据'!$B$2:$AO$39,ROW()-1,MATCH(O$1&amp;"_常见",'代表咚声数据'!$B$1:$AO$1,0)),""))</x:f>
      </x:c>
      <x:c r="Q14" t="n">
        <x:v>-59.99999999999977</x:v>
      </x:c>
      <x:c r="R14" t="n">
        <x:f>IF(R$1="","",IFERROR(INDEX('代表咚声数据'!$B$2:$AO$39,ROW()-1,MATCH(R$1&amp;"_较响",'代表咚声数据'!$B$1:$AO$1,0)),""))</x:f>
        <x:v>80.03017001496104</x:v>
      </x:c>
      <x:c r="S14" t="n">
        <x:f>IF(S$1="","",IFERROR(INDEX('代表咚声数据'!$B$2:$AO$39,ROW()-1,MATCH(S$1&amp;"_较响",'代表咚声数据'!$B$1:$AO$1,0)),""))</x:f>
        <x:v>87.00184436638807</x:v>
      </x:c>
      <x:c r="T14" t="n">
        <x:f>IF(T$1="","",IFERROR(INDEX('代表咚声数据'!$B$2:$AO$39,ROW()-1,MATCH(T$1&amp;"_较响",'代表咚声数据'!$B$1:$AO$1,0)),""))</x:f>
        <x:v>81.81133211060732</x:v>
      </x:c>
      <x:c r="U14" t="str">
        <x:f>IF(U$1="","",IFERROR(INDEX('代表咚声数据'!$B$2:$AO$39,ROW()-1,MATCH(U$1&amp;"_较响",'代表咚声数据'!$B$1:$AO$1,0)),""))</x:f>
      </x:c>
      <x:c r="V14" t="str">
        <x:f>IF(V$1="","",IFERROR(INDEX('代表咚声数据'!$B$2:$AO$39,ROW()-1,MATCH(V$1&amp;"_较响",'代表咚声数据'!$B$1:$AO$1,0)),""))</x:f>
      </x:c>
      <x:c r="W14" t="str">
        <x:f>IF(W$1="","",IFERROR(INDEX('代表咚声数据'!$B$2:$AO$39,ROW()-1,MATCH(W$1&amp;"_较响",'代表咚声数据'!$B$1:$AO$1,0)),""))</x:f>
      </x:c>
    </x:row>
    <x:row r="15">
      <x:c r="A15" t="n">
        <x:v>1.3</x:v>
      </x:c>
      <x:c r="B15" t="n">
        <x:f>IF(B$1="","",IFERROR(INDEX('包络曲线数据'!$B$2:$U$742,ROW()-1,MATCH(B$1,'包络曲线数据'!$B$1:$U$1,0)),""))</x:f>
        <x:v>68.9331104045089</x:v>
      </x:c>
      <x:c r="C15" t="n">
        <x:f>IF(C$1="","",IFERROR(INDEX('包络曲线数据'!$B$2:$U$742,ROW()-1,MATCH(C$1,'包络曲线数据'!$B$1:$U$1,0)),""))</x:f>
        <x:v>78.16458095591636</x:v>
      </x:c>
      <x:c r="D15" t="n">
        <x:f>IF(D$1="","",IFERROR(INDEX('包络曲线数据'!$B$2:$U$742,ROW()-1,MATCH(D$1,'包络曲线数据'!$B$1:$U$1,0)),""))</x:f>
        <x:v>76.66427948424565</x:v>
      </x:c>
      <x:c r="E15" t="str">
        <x:f>IF(E$1="","",IFERROR(INDEX('包络曲线数据'!$B$2:$U$742,ROW()-1,MATCH(E$1,'包络曲线数据'!$B$1:$U$1,0)),""))</x:f>
      </x:c>
      <x:c r="F15" t="str">
        <x:f>IF(F$1="","",IFERROR(INDEX('包络曲线数据'!$B$2:$U$742,ROW()-1,MATCH(F$1,'包络曲线数据'!$B$1:$U$1,0)),""))</x:f>
      </x:c>
      <x:c r="G15" t="str">
        <x:f>IF(G$1="","",IFERROR(INDEX('包络曲线数据'!$B$2:$U$742,ROW()-1,MATCH(G$1,'包络曲线数据'!$B$1:$U$1,0)),""))</x:f>
      </x:c>
      <x:c r="I15" t="n">
        <x:v>-39.99999999999976</x:v>
      </x:c>
      <x:c r="J15" t="n">
        <x:f>IF(J$1="","",IFERROR(INDEX('代表咚声数据'!$B$2:$AO$39,ROW()-1,MATCH(J$1&amp;"_常见",'代表咚声数据'!$B$1:$AO$1,0)),""))</x:f>
        <x:v>74.0093311577113</x:v>
      </x:c>
      <x:c r="K15" t="n">
        <x:f>IF(K$1="","",IFERROR(INDEX('代表咚声数据'!$B$2:$AO$39,ROW()-1,MATCH(K$1&amp;"_常见",'代表咚声数据'!$B$1:$AO$1,0)),""))</x:f>
        <x:v>76.22152221027133</x:v>
      </x:c>
      <x:c r="L15" t="n">
        <x:f>IF(L$1="","",IFERROR(INDEX('代表咚声数据'!$B$2:$AO$39,ROW()-1,MATCH(L$1&amp;"_常见",'代表咚声数据'!$B$1:$AO$1,0)),""))</x:f>
        <x:v>78.6789257101144</x:v>
      </x:c>
      <x:c r="M15" t="str">
        <x:f>IF(M$1="","",IFERROR(INDEX('代表咚声数据'!$B$2:$AO$39,ROW()-1,MATCH(M$1&amp;"_常见",'代表咚声数据'!$B$1:$AO$1,0)),""))</x:f>
      </x:c>
      <x:c r="N15" t="str">
        <x:f>IF(N$1="","",IFERROR(INDEX('代表咚声数据'!$B$2:$AO$39,ROW()-1,MATCH(N$1&amp;"_常见",'代表咚声数据'!$B$1:$AO$1,0)),""))</x:f>
      </x:c>
      <x:c r="O15" t="str">
        <x:f>IF(O$1="","",IFERROR(INDEX('代表咚声数据'!$B$2:$AO$39,ROW()-1,MATCH(O$1&amp;"_常见",'代表咚声数据'!$B$1:$AO$1,0)),""))</x:f>
      </x:c>
      <x:c r="Q15" t="n">
        <x:v>-39.99999999999976</x:v>
      </x:c>
      <x:c r="R15" t="n">
        <x:f>IF(R$1="","",IFERROR(INDEX('代表咚声数据'!$B$2:$AO$39,ROW()-1,MATCH(R$1&amp;"_较响",'代表咚声数据'!$B$1:$AO$1,0)),""))</x:f>
        <x:v>82.0081180222086</x:v>
      </x:c>
      <x:c r="S15" t="n">
        <x:f>IF(S$1="","",IFERROR(INDEX('代表咚声数据'!$B$2:$AO$39,ROW()-1,MATCH(S$1&amp;"_较响",'代表咚声数据'!$B$1:$AO$1,0)),""))</x:f>
        <x:v>87.45299512309438</x:v>
      </x:c>
      <x:c r="T15" t="n">
        <x:f>IF(T$1="","",IFERROR(INDEX('代表咚声数据'!$B$2:$AO$39,ROW()-1,MATCH(T$1&amp;"_较响",'代表咚声数据'!$B$1:$AO$1,0)),""))</x:f>
        <x:v>82.3486628166588</x:v>
      </x:c>
      <x:c r="U15" t="str">
        <x:f>IF(U$1="","",IFERROR(INDEX('代表咚声数据'!$B$2:$AO$39,ROW()-1,MATCH(U$1&amp;"_较响",'代表咚声数据'!$B$1:$AO$1,0)),""))</x:f>
      </x:c>
      <x:c r="V15" t="str">
        <x:f>IF(V$1="","",IFERROR(INDEX('代表咚声数据'!$B$2:$AO$39,ROW()-1,MATCH(V$1&amp;"_较响",'代表咚声数据'!$B$1:$AO$1,0)),""))</x:f>
      </x:c>
      <x:c r="W15" t="str">
        <x:f>IF(W$1="","",IFERROR(INDEX('代表咚声数据'!$B$2:$AO$39,ROW()-1,MATCH(W$1&amp;"_较响",'代表咚声数据'!$B$1:$AO$1,0)),""))</x:f>
      </x:c>
    </x:row>
    <x:row r="16">
      <x:c r="A16" t="n">
        <x:v>1.4000000000000001</x:v>
      </x:c>
      <x:c r="B16" t="n">
        <x:f>IF(B$1="","",IFERROR(INDEX('包络曲线数据'!$B$2:$U$742,ROW()-1,MATCH(B$1,'包络曲线数据'!$B$1:$U$1,0)),""))</x:f>
        <x:v>69.18883736493623</x:v>
      </x:c>
      <x:c r="C16" t="n">
        <x:f>IF(C$1="","",IFERROR(INDEX('包络曲线数据'!$B$2:$U$742,ROW()-1,MATCH(C$1,'包络曲线数据'!$B$1:$U$1,0)),""))</x:f>
        <x:v>92.75713763310314</x:v>
      </x:c>
      <x:c r="D16" t="n">
        <x:f>IF(D$1="","",IFERROR(INDEX('包络曲线数据'!$B$2:$U$742,ROW()-1,MATCH(D$1,'包络曲线数据'!$B$1:$U$1,0)),""))</x:f>
        <x:v>73.11235088382813</x:v>
      </x:c>
      <x:c r="E16" t="str">
        <x:f>IF(E$1="","",IFERROR(INDEX('包络曲线数据'!$B$2:$U$742,ROW()-1,MATCH(E$1,'包络曲线数据'!$B$1:$U$1,0)),""))</x:f>
      </x:c>
      <x:c r="F16" t="str">
        <x:f>IF(F$1="","",IFERROR(INDEX('包络曲线数据'!$B$2:$U$742,ROW()-1,MATCH(F$1,'包络曲线数据'!$B$1:$U$1,0)),""))</x:f>
      </x:c>
      <x:c r="G16" t="str">
        <x:f>IF(G$1="","",IFERROR(INDEX('包络曲线数据'!$B$2:$U$742,ROW()-1,MATCH(G$1,'包络曲线数据'!$B$1:$U$1,0)),""))</x:f>
      </x:c>
      <x:c r="I16" t="n">
        <x:v>-19.99999999999974</x:v>
      </x:c>
      <x:c r="J16" t="n">
        <x:f>IF(J$1="","",IFERROR(INDEX('代表咚声数据'!$B$2:$AO$39,ROW()-1,MATCH(J$1&amp;"_常见",'代表咚声数据'!$B$1:$AO$1,0)),""))</x:f>
        <x:v>74.49442782616394</x:v>
      </x:c>
      <x:c r="K16" t="n">
        <x:f>IF(K$1="","",IFERROR(INDEX('代表咚声数据'!$B$2:$AO$39,ROW()-1,MATCH(K$1&amp;"_常见",'代表咚声数据'!$B$1:$AO$1,0)),""))</x:f>
        <x:v>74.9292248719574</x:v>
      </x:c>
      <x:c r="L16" t="n">
        <x:f>IF(L$1="","",IFERROR(INDEX('代表咚声数据'!$B$2:$AO$39,ROW()-1,MATCH(L$1&amp;"_常见",'代表咚声数据'!$B$1:$AO$1,0)),""))</x:f>
        <x:v>78.88695900641618</x:v>
      </x:c>
      <x:c r="M16" t="str">
        <x:f>IF(M$1="","",IFERROR(INDEX('代表咚声数据'!$B$2:$AO$39,ROW()-1,MATCH(M$1&amp;"_常见",'代表咚声数据'!$B$1:$AO$1,0)),""))</x:f>
      </x:c>
      <x:c r="N16" t="str">
        <x:f>IF(N$1="","",IFERROR(INDEX('代表咚声数据'!$B$2:$AO$39,ROW()-1,MATCH(N$1&amp;"_常见",'代表咚声数据'!$B$1:$AO$1,0)),""))</x:f>
      </x:c>
      <x:c r="O16" t="str">
        <x:f>IF(O$1="","",IFERROR(INDEX('代表咚声数据'!$B$2:$AO$39,ROW()-1,MATCH(O$1&amp;"_常见",'代表咚声数据'!$B$1:$AO$1,0)),""))</x:f>
      </x:c>
      <x:c r="Q16" t="n">
        <x:v>-19.99999999999974</x:v>
      </x:c>
      <x:c r="R16" t="n">
        <x:f>IF(R$1="","",IFERROR(INDEX('代表咚声数据'!$B$2:$AO$39,ROW()-1,MATCH(R$1&amp;"_较响",'代表咚声数据'!$B$1:$AO$1,0)),""))</x:f>
        <x:v>83.03105579422508</x:v>
      </x:c>
      <x:c r="S16" t="n">
        <x:f>IF(S$1="","",IFERROR(INDEX('代表咚声数据'!$B$2:$AO$39,ROW()-1,MATCH(S$1&amp;"_较响",'代表咚声数据'!$B$1:$AO$1,0)),""))</x:f>
        <x:v>86.9068789938428</x:v>
      </x:c>
      <x:c r="T16" t="n">
        <x:f>IF(T$1="","",IFERROR(INDEX('代表咚声数据'!$B$2:$AO$39,ROW()-1,MATCH(T$1&amp;"_较响",'代表咚声数据'!$B$1:$AO$1,0)),""))</x:f>
        <x:v>81.71429714500391</x:v>
      </x:c>
      <x:c r="U16" t="str">
        <x:f>IF(U$1="","",IFERROR(INDEX('代表咚声数据'!$B$2:$AO$39,ROW()-1,MATCH(U$1&amp;"_较响",'代表咚声数据'!$B$1:$AO$1,0)),""))</x:f>
      </x:c>
      <x:c r="V16" t="str">
        <x:f>IF(V$1="","",IFERROR(INDEX('代表咚声数据'!$B$2:$AO$39,ROW()-1,MATCH(V$1&amp;"_较响",'代表咚声数据'!$B$1:$AO$1,0)),""))</x:f>
      </x:c>
      <x:c r="W16" t="str">
        <x:f>IF(W$1="","",IFERROR(INDEX('代表咚声数据'!$B$2:$AO$39,ROW()-1,MATCH(W$1&amp;"_较响",'代表咚声数据'!$B$1:$AO$1,0)),""))</x:f>
      </x:c>
    </x:row>
    <x:row r="17">
      <x:c r="A17" t="n">
        <x:v>1.5</x:v>
      </x:c>
      <x:c r="B17" t="n">
        <x:f>IF(B$1="","",IFERROR(INDEX('包络曲线数据'!$B$2:$U$742,ROW()-1,MATCH(B$1,'包络曲线数据'!$B$1:$U$1,0)),""))</x:f>
        <x:v>68.797349970665</x:v>
      </x:c>
      <x:c r="C17" t="n">
        <x:f>IF(C$1="","",IFERROR(INDEX('包络曲线数据'!$B$2:$U$742,ROW()-1,MATCH(C$1,'包络曲线数据'!$B$1:$U$1,0)),""))</x:f>
        <x:v>92.75713763310314</x:v>
      </x:c>
      <x:c r="D17" t="n">
        <x:f>IF(D$1="","",IFERROR(INDEX('包络曲线数据'!$B$2:$U$742,ROW()-1,MATCH(D$1,'包络曲线数据'!$B$1:$U$1,0)),""))</x:f>
        <x:v>69.89260183452126</x:v>
      </x:c>
      <x:c r="E17" t="str">
        <x:f>IF(E$1="","",IFERROR(INDEX('包络曲线数据'!$B$2:$U$742,ROW()-1,MATCH(E$1,'包络曲线数据'!$B$1:$U$1,0)),""))</x:f>
      </x:c>
      <x:c r="F17" t="str">
        <x:f>IF(F$1="","",IFERROR(INDEX('包络曲线数据'!$B$2:$U$742,ROW()-1,MATCH(F$1,'包络曲线数据'!$B$1:$U$1,0)),""))</x:f>
      </x:c>
      <x:c r="G17" t="str">
        <x:f>IF(G$1="","",IFERROR(INDEX('包络曲线数据'!$B$2:$U$742,ROW()-1,MATCH(G$1,'包络曲线数据'!$B$1:$U$1,0)),""))</x:f>
      </x:c>
      <x:c r="I17" t="n">
        <x:v>2.7755575615628914e-13</x:v>
      </x:c>
      <x:c r="J17" t="n">
        <x:f>IF(J$1="","",IFERROR(INDEX('代表咚声数据'!$B$2:$AO$39,ROW()-1,MATCH(J$1&amp;"_常见",'代表咚声数据'!$B$1:$AO$1,0)),""))</x:f>
        <x:v>75.00337302403022</x:v>
      </x:c>
      <x:c r="K17" t="n">
        <x:f>IF(K$1="","",IFERROR(INDEX('代表咚声数据'!$B$2:$AO$39,ROW()-1,MATCH(K$1&amp;"_常见",'代表咚声数据'!$B$1:$AO$1,0)),""))</x:f>
        <x:v>74.35161782014785</x:v>
      </x:c>
      <x:c r="L17" t="n">
        <x:f>IF(L$1="","",IFERROR(INDEX('代表咚声数据'!$B$2:$AO$39,ROW()-1,MATCH(L$1&amp;"_常见",'代表咚声数据'!$B$1:$AO$1,0)),""))</x:f>
        <x:v>77.28197771057272</x:v>
      </x:c>
      <x:c r="M17" t="str">
        <x:f>IF(M$1="","",IFERROR(INDEX('代表咚声数据'!$B$2:$AO$39,ROW()-1,MATCH(M$1&amp;"_常见",'代表咚声数据'!$B$1:$AO$1,0)),""))</x:f>
      </x:c>
      <x:c r="N17" t="str">
        <x:f>IF(N$1="","",IFERROR(INDEX('代表咚声数据'!$B$2:$AO$39,ROW()-1,MATCH(N$1&amp;"_常见",'代表咚声数据'!$B$1:$AO$1,0)),""))</x:f>
      </x:c>
      <x:c r="O17" t="str">
        <x:f>IF(O$1="","",IFERROR(INDEX('代表咚声数据'!$B$2:$AO$39,ROW()-1,MATCH(O$1&amp;"_常见",'代表咚声数据'!$B$1:$AO$1,0)),""))</x:f>
      </x:c>
      <x:c r="Q17" t="n">
        <x:v>2.7755575615628914e-13</x:v>
      </x:c>
      <x:c r="R17" t="n">
        <x:f>IF(R$1="","",IFERROR(INDEX('代表咚声数据'!$B$2:$AO$39,ROW()-1,MATCH(R$1&amp;"_较响",'代表咚声数据'!$B$1:$AO$1,0)),""))</x:f>
        <x:v>83.19008832003524</x:v>
      </x:c>
      <x:c r="S17" t="n">
        <x:f>IF(S$1="","",IFERROR(INDEX('代表咚声数据'!$B$2:$AO$39,ROW()-1,MATCH(S$1&amp;"_较响",'代表咚声数据'!$B$1:$AO$1,0)),""))</x:f>
        <x:v>84.96982056055171</x:v>
      </x:c>
      <x:c r="T17" t="n">
        <x:f>IF(T$1="","",IFERROR(INDEX('代表咚声数据'!$B$2:$AO$39,ROW()-1,MATCH(T$1&amp;"_较响",'代表咚声数据'!$B$1:$AO$1,0)),""))</x:f>
        <x:v>79.81105827416278</x:v>
      </x:c>
      <x:c r="U17" t="str">
        <x:f>IF(U$1="","",IFERROR(INDEX('代表咚声数据'!$B$2:$AO$39,ROW()-1,MATCH(U$1&amp;"_较响",'代表咚声数据'!$B$1:$AO$1,0)),""))</x:f>
      </x:c>
      <x:c r="V17" t="str">
        <x:f>IF(V$1="","",IFERROR(INDEX('代表咚声数据'!$B$2:$AO$39,ROW()-1,MATCH(V$1&amp;"_较响",'代表咚声数据'!$B$1:$AO$1,0)),""))</x:f>
      </x:c>
      <x:c r="W17" t="str">
        <x:f>IF(W$1="","",IFERROR(INDEX('代表咚声数据'!$B$2:$AO$39,ROW()-1,MATCH(W$1&amp;"_较响",'代表咚声数据'!$B$1:$AO$1,0)),""))</x:f>
      </x:c>
    </x:row>
    <x:row r="18">
      <x:c r="A18" t="n">
        <x:v>1.6</x:v>
      </x:c>
      <x:c r="B18" t="n">
        <x:f>IF(B$1="","",IFERROR(INDEX('包络曲线数据'!$B$2:$U$742,ROW()-1,MATCH(B$1,'包络曲线数据'!$B$1:$U$1,0)),""))</x:f>
        <x:v>68.87666206118752</x:v>
      </x:c>
      <x:c r="C18" t="n">
        <x:f>IF(C$1="","",IFERROR(INDEX('包络曲线数据'!$B$2:$U$742,ROW()-1,MATCH(C$1,'包络曲线数据'!$B$1:$U$1,0)),""))</x:f>
        <x:v>84.45264980729094</x:v>
      </x:c>
      <x:c r="D18" t="n">
        <x:f>IF(D$1="","",IFERROR(INDEX('包络曲线数据'!$B$2:$U$742,ROW()-1,MATCH(D$1,'包络曲线数据'!$B$1:$U$1,0)),""))</x:f>
        <x:v>67.71560824575953</x:v>
      </x:c>
      <x:c r="E18" t="str">
        <x:f>IF(E$1="","",IFERROR(INDEX('包络曲线数据'!$B$2:$U$742,ROW()-1,MATCH(E$1,'包络曲线数据'!$B$1:$U$1,0)),""))</x:f>
      </x:c>
      <x:c r="F18" t="str">
        <x:f>IF(F$1="","",IFERROR(INDEX('包络曲线数据'!$B$2:$U$742,ROW()-1,MATCH(F$1,'包络曲线数据'!$B$1:$U$1,0)),""))</x:f>
      </x:c>
      <x:c r="G18" t="str">
        <x:f>IF(G$1="","",IFERROR(INDEX('包络曲线数据'!$B$2:$U$742,ROW()-1,MATCH(G$1,'包络曲线数据'!$B$1:$U$1,0)),""))</x:f>
      </x:c>
      <x:c r="I18" t="n">
        <x:v>20.000000000000295</x:v>
      </x:c>
      <x:c r="J18" t="n">
        <x:f>IF(J$1="","",IFERROR(INDEX('代表咚声数据'!$B$2:$AO$39,ROW()-1,MATCH(J$1&amp;"_常见",'代表咚声数据'!$B$1:$AO$1,0)),""))</x:f>
        <x:v>72.85657107389156</x:v>
      </x:c>
      <x:c r="K18" t="n">
        <x:f>IF(K$1="","",IFERROR(INDEX('代表咚声数据'!$B$2:$AO$39,ROW()-1,MATCH(K$1&amp;"_常见",'代表咚声数据'!$B$1:$AO$1,0)),""))</x:f>
        <x:v>72.86431922728832</x:v>
      </x:c>
      <x:c r="L18" t="n">
        <x:f>IF(L$1="","",IFERROR(INDEX('代表咚声数据'!$B$2:$AO$39,ROW()-1,MATCH(L$1&amp;"_常见",'代表咚声数据'!$B$1:$AO$1,0)),""))</x:f>
        <x:v>76.12501741566068</x:v>
      </x:c>
      <x:c r="M18" t="str">
        <x:f>IF(M$1="","",IFERROR(INDEX('代表咚声数据'!$B$2:$AO$39,ROW()-1,MATCH(M$1&amp;"_常见",'代表咚声数据'!$B$1:$AO$1,0)),""))</x:f>
      </x:c>
      <x:c r="N18" t="str">
        <x:f>IF(N$1="","",IFERROR(INDEX('代表咚声数据'!$B$2:$AO$39,ROW()-1,MATCH(N$1&amp;"_常见",'代表咚声数据'!$B$1:$AO$1,0)),""))</x:f>
      </x:c>
      <x:c r="O18" t="str">
        <x:f>IF(O$1="","",IFERROR(INDEX('代表咚声数据'!$B$2:$AO$39,ROW()-1,MATCH(O$1&amp;"_常见",'代表咚声数据'!$B$1:$AO$1,0)),""))</x:f>
      </x:c>
      <x:c r="Q18" t="n">
        <x:v>20.000000000000295</x:v>
      </x:c>
      <x:c r="R18" t="n">
        <x:f>IF(R$1="","",IFERROR(INDEX('代表咚声数据'!$B$2:$AO$39,ROW()-1,MATCH(R$1&amp;"_较响",'代表咚声数据'!$B$1:$AO$1,0)),""))</x:f>
        <x:v>81.10523948300725</x:v>
      </x:c>
      <x:c r="S18" t="n">
        <x:f>IF(S$1="","",IFERROR(INDEX('代表咚声数据'!$B$2:$AO$39,ROW()-1,MATCH(S$1&amp;"_较响",'代表咚声数据'!$B$1:$AO$1,0)),""))</x:f>
        <x:v>81.43629440442461</x:v>
      </x:c>
      <x:c r="T18" t="n">
        <x:f>IF(T$1="","",IFERROR(INDEX('代表咚声数据'!$B$2:$AO$39,ROW()-1,MATCH(T$1&amp;"_较响",'代表咚声数据'!$B$1:$AO$1,0)),""))</x:f>
        <x:v>77.92754178559728</x:v>
      </x:c>
      <x:c r="U18" t="str">
        <x:f>IF(U$1="","",IFERROR(INDEX('代表咚声数据'!$B$2:$AO$39,ROW()-1,MATCH(U$1&amp;"_较响",'代表咚声数据'!$B$1:$AO$1,0)),""))</x:f>
      </x:c>
      <x:c r="V18" t="str">
        <x:f>IF(V$1="","",IFERROR(INDEX('代表咚声数据'!$B$2:$AO$39,ROW()-1,MATCH(V$1&amp;"_较响",'代表咚声数据'!$B$1:$AO$1,0)),""))</x:f>
      </x:c>
      <x:c r="W18" t="str">
        <x:f>IF(W$1="","",IFERROR(INDEX('代表咚声数据'!$B$2:$AO$39,ROW()-1,MATCH(W$1&amp;"_较响",'代表咚声数据'!$B$1:$AO$1,0)),""))</x:f>
      </x:c>
    </x:row>
    <x:row r="19">
      <x:c r="A19" t="n">
        <x:v>1.7000000000000002</x:v>
      </x:c>
      <x:c r="B19" t="n">
        <x:f>IF(B$1="","",IFERROR(INDEX('包络曲线数据'!$B$2:$U$742,ROW()-1,MATCH(B$1,'包络曲线数据'!$B$1:$U$1,0)),""))</x:f>
        <x:v>69.32245861911998</x:v>
      </x:c>
      <x:c r="C19" t="n">
        <x:f>IF(C$1="","",IFERROR(INDEX('包络曲线数据'!$B$2:$U$742,ROW()-1,MATCH(C$1,'包络曲线数据'!$B$1:$U$1,0)),""))</x:f>
        <x:v>77.93863515367129</x:v>
      </x:c>
      <x:c r="D19" t="n">
        <x:f>IF(D$1="","",IFERROR(INDEX('包络曲线数据'!$B$2:$U$742,ROW()-1,MATCH(D$1,'包络曲线数据'!$B$1:$U$1,0)),""))</x:f>
        <x:v>67.67129029167087</x:v>
      </x:c>
      <x:c r="E19" t="str">
        <x:f>IF(E$1="","",IFERROR(INDEX('包络曲线数据'!$B$2:$U$742,ROW()-1,MATCH(E$1,'包络曲线数据'!$B$1:$U$1,0)),""))</x:f>
      </x:c>
      <x:c r="F19" t="str">
        <x:f>IF(F$1="","",IFERROR(INDEX('包络曲线数据'!$B$2:$U$742,ROW()-1,MATCH(F$1,'包络曲线数据'!$B$1:$U$1,0)),""))</x:f>
      </x:c>
      <x:c r="G19" t="str">
        <x:f>IF(G$1="","",IFERROR(INDEX('包络曲线数据'!$B$2:$U$742,ROW()-1,MATCH(G$1,'包络曲线数据'!$B$1:$U$1,0)),""))</x:f>
      </x:c>
      <x:c r="I19" t="n">
        <x:v>40.00000000000031</x:v>
      </x:c>
      <x:c r="J19" t="n">
        <x:f>IF(J$1="","",IFERROR(INDEX('代表咚声数据'!$B$2:$AO$39,ROW()-1,MATCH(J$1&amp;"_常见",'代表咚声数据'!$B$1:$AO$1,0)),""))</x:f>
        <x:v>71.72133759592596</x:v>
      </x:c>
      <x:c r="K19" t="n">
        <x:f>IF(K$1="","",IFERROR(INDEX('代表咚声数据'!$B$2:$AO$39,ROW()-1,MATCH(K$1&amp;"_常见",'代表咚声数据'!$B$1:$AO$1,0)),""))</x:f>
        <x:v>71.07261788387817</x:v>
      </x:c>
      <x:c r="L19" t="n">
        <x:f>IF(L$1="","",IFERROR(INDEX('代表咚声数据'!$B$2:$AO$39,ROW()-1,MATCH(L$1&amp;"_常见",'代表咚声数据'!$B$1:$AO$1,0)),""))</x:f>
        <x:v>74.30758753321658</x:v>
      </x:c>
      <x:c r="M19" t="str">
        <x:f>IF(M$1="","",IFERROR(INDEX('代表咚声数据'!$B$2:$AO$39,ROW()-1,MATCH(M$1&amp;"_常见",'代表咚声数据'!$B$1:$AO$1,0)),""))</x:f>
      </x:c>
      <x:c r="N19" t="str">
        <x:f>IF(N$1="","",IFERROR(INDEX('代表咚声数据'!$B$2:$AO$39,ROW()-1,MATCH(N$1&amp;"_常见",'代表咚声数据'!$B$1:$AO$1,0)),""))</x:f>
      </x:c>
      <x:c r="O19" t="str">
        <x:f>IF(O$1="","",IFERROR(INDEX('代表咚声数据'!$B$2:$AO$39,ROW()-1,MATCH(O$1&amp;"_常见",'代表咚声数据'!$B$1:$AO$1,0)),""))</x:f>
      </x:c>
      <x:c r="Q19" t="n">
        <x:v>40.00000000000031</x:v>
      </x:c>
      <x:c r="R19" t="n">
        <x:f>IF(R$1="","",IFERROR(INDEX('代表咚声数据'!$B$2:$AO$39,ROW()-1,MATCH(R$1&amp;"_较响",'代表咚声数据'!$B$1:$AO$1,0)),""))</x:f>
        <x:v>78.65297692326293</x:v>
      </x:c>
      <x:c r="S19" t="n">
        <x:f>IF(S$1="","",IFERROR(INDEX('代表咚声数据'!$B$2:$AO$39,ROW()-1,MATCH(S$1&amp;"_较响",'代表咚声数据'!$B$1:$AO$1,0)),""))</x:f>
        <x:v>79.8187885529435</x:v>
      </x:c>
      <x:c r="T19" t="n">
        <x:f>IF(T$1="","",IFERROR(INDEX('代表咚声数据'!$B$2:$AO$39,ROW()-1,MATCH(T$1&amp;"_较响",'代表咚声数据'!$B$1:$AO$1,0)),""))</x:f>
        <x:v>76.11122737721377</x:v>
      </x:c>
      <x:c r="U19" t="str">
        <x:f>IF(U$1="","",IFERROR(INDEX('代表咚声数据'!$B$2:$AO$39,ROW()-1,MATCH(U$1&amp;"_较响",'代表咚声数据'!$B$1:$AO$1,0)),""))</x:f>
      </x:c>
      <x:c r="V19" t="str">
        <x:f>IF(V$1="","",IFERROR(INDEX('代表咚声数据'!$B$2:$AO$39,ROW()-1,MATCH(V$1&amp;"_较响",'代表咚声数据'!$B$1:$AO$1,0)),""))</x:f>
      </x:c>
      <x:c r="W19" t="str">
        <x:f>IF(W$1="","",IFERROR(INDEX('代表咚声数据'!$B$2:$AO$39,ROW()-1,MATCH(W$1&amp;"_较响",'代表咚声数据'!$B$1:$AO$1,0)),""))</x:f>
      </x:c>
    </x:row>
    <x:row r="20">
      <x:c r="A20" t="n">
        <x:v>1.8</x:v>
      </x:c>
      <x:c r="B20" t="n">
        <x:f>IF(B$1="","",IFERROR(INDEX('包络曲线数据'!$B$2:$U$742,ROW()-1,MATCH(B$1,'包络曲线数据'!$B$1:$U$1,0)),""))</x:f>
        <x:v>69.32245861911998</x:v>
      </x:c>
      <x:c r="C20" t="n">
        <x:f>IF(C$1="","",IFERROR(INDEX('包络曲线数据'!$B$2:$U$742,ROW()-1,MATCH(C$1,'包络曲线数据'!$B$1:$U$1,0)),""))</x:f>
        <x:v>69.06210391983996</x:v>
      </x:c>
      <x:c r="D20" t="n">
        <x:f>IF(D$1="","",IFERROR(INDEX('包络曲线数据'!$B$2:$U$742,ROW()-1,MATCH(D$1,'包络曲线数据'!$B$1:$U$1,0)),""))</x:f>
        <x:v>63.83440575710215</x:v>
      </x:c>
      <x:c r="E20" t="str">
        <x:f>IF(E$1="","",IFERROR(INDEX('包络曲线数据'!$B$2:$U$742,ROW()-1,MATCH(E$1,'包络曲线数据'!$B$1:$U$1,0)),""))</x:f>
      </x:c>
      <x:c r="F20" t="str">
        <x:f>IF(F$1="","",IFERROR(INDEX('包络曲线数据'!$B$2:$U$742,ROW()-1,MATCH(F$1,'包络曲线数据'!$B$1:$U$1,0)),""))</x:f>
      </x:c>
      <x:c r="G20" t="str">
        <x:f>IF(G$1="","",IFERROR(INDEX('包络曲线数据'!$B$2:$U$742,ROW()-1,MATCH(G$1,'包络曲线数据'!$B$1:$U$1,0)),""))</x:f>
      </x:c>
      <x:c r="I20" t="n">
        <x:v>60.000000000000334</x:v>
      </x:c>
      <x:c r="J20" t="n">
        <x:f>IF(J$1="","",IFERROR(INDEX('代表咚声数据'!$B$2:$AO$39,ROW()-1,MATCH(J$1&amp;"_常见",'代表咚声数据'!$B$1:$AO$1,0)),""))</x:f>
        <x:v>70.98369064377641</x:v>
      </x:c>
      <x:c r="K20" t="n">
        <x:f>IF(K$1="","",IFERROR(INDEX('代表咚声数据'!$B$2:$AO$39,ROW()-1,MATCH(K$1&amp;"_常见",'代表咚声数据'!$B$1:$AO$1,0)),""))</x:f>
        <x:v>69.9504375177679</x:v>
      </x:c>
      <x:c r="L20" t="n">
        <x:f>IF(L$1="","",IFERROR(INDEX('代表咚声数据'!$B$2:$AO$39,ROW()-1,MATCH(L$1&amp;"_常见",'代表咚声数据'!$B$1:$AO$1,0)),""))</x:f>
        <x:v>73.01650015899268</x:v>
      </x:c>
      <x:c r="M20" t="str">
        <x:f>IF(M$1="","",IFERROR(INDEX('代表咚声数据'!$B$2:$AO$39,ROW()-1,MATCH(M$1&amp;"_常见",'代表咚声数据'!$B$1:$AO$1,0)),""))</x:f>
      </x:c>
      <x:c r="N20" t="str">
        <x:f>IF(N$1="","",IFERROR(INDEX('代表咚声数据'!$B$2:$AO$39,ROW()-1,MATCH(N$1&amp;"_常见",'代表咚声数据'!$B$1:$AO$1,0)),""))</x:f>
      </x:c>
      <x:c r="O20" t="str">
        <x:f>IF(O$1="","",IFERROR(INDEX('代表咚声数据'!$B$2:$AO$39,ROW()-1,MATCH(O$1&amp;"_常见",'代表咚声数据'!$B$1:$AO$1,0)),""))</x:f>
      </x:c>
      <x:c r="Q20" t="n">
        <x:v>60.000000000000334</x:v>
      </x:c>
      <x:c r="R20" t="n">
        <x:f>IF(R$1="","",IFERROR(INDEX('代表咚声数据'!$B$2:$AO$39,ROW()-1,MATCH(R$1&amp;"_较响",'代表咚声数据'!$B$1:$AO$1,0)),""))</x:f>
        <x:v>75.46346307640516</x:v>
      </x:c>
      <x:c r="S20" t="n">
        <x:f>IF(S$1="","",IFERROR(INDEX('代表咚声数据'!$B$2:$AO$39,ROW()-1,MATCH(S$1&amp;"_较响",'代表咚声数据'!$B$1:$AO$1,0)),""))</x:f>
        <x:v>78.63355328850892</x:v>
      </x:c>
      <x:c r="T20" t="n">
        <x:f>IF(T$1="","",IFERROR(INDEX('代表咚声数据'!$B$2:$AO$39,ROW()-1,MATCH(T$1&amp;"_较响",'代表咚声数据'!$B$1:$AO$1,0)),""))</x:f>
        <x:v>75.03986975846259</x:v>
      </x:c>
      <x:c r="U20" t="str">
        <x:f>IF(U$1="","",IFERROR(INDEX('代表咚声数据'!$B$2:$AO$39,ROW()-1,MATCH(U$1&amp;"_较响",'代表咚声数据'!$B$1:$AO$1,0)),""))</x:f>
      </x:c>
      <x:c r="V20" t="str">
        <x:f>IF(V$1="","",IFERROR(INDEX('代表咚声数据'!$B$2:$AO$39,ROW()-1,MATCH(V$1&amp;"_较响",'代表咚声数据'!$B$1:$AO$1,0)),""))</x:f>
      </x:c>
      <x:c r="W20" t="str">
        <x:f>IF(W$1="","",IFERROR(INDEX('代表咚声数据'!$B$2:$AO$39,ROW()-1,MATCH(W$1&amp;"_较响",'代表咚声数据'!$B$1:$AO$1,0)),""))</x:f>
      </x:c>
    </x:row>
    <x:row r="21">
      <x:c r="A21" t="n">
        <x:v>1.9000000000000001</x:v>
      </x:c>
      <x:c r="B21" t="n">
        <x:f>IF(B$1="","",IFERROR(INDEX('包络曲线数据'!$B$2:$U$742,ROW()-1,MATCH(B$1,'包络曲线数据'!$B$1:$U$1,0)),""))</x:f>
        <x:v>84.54038376461594</x:v>
      </x:c>
      <x:c r="C21" t="n">
        <x:f>IF(C$1="","",IFERROR(INDEX('包络曲线数据'!$B$2:$U$742,ROW()-1,MATCH(C$1,'包络曲线数据'!$B$1:$U$1,0)),""))</x:f>
        <x:v>63.10583536545796</x:v>
      </x:c>
      <x:c r="D21" t="n">
        <x:f>IF(D$1="","",IFERROR(INDEX('包络曲线数据'!$B$2:$U$742,ROW()-1,MATCH(D$1,'包络曲线数据'!$B$1:$U$1,0)),""))</x:f>
        <x:v>69.23201237939969</x:v>
      </x:c>
      <x:c r="E21" t="str">
        <x:f>IF(E$1="","",IFERROR(INDEX('包络曲线数据'!$B$2:$U$742,ROW()-1,MATCH(E$1,'包络曲线数据'!$B$1:$U$1,0)),""))</x:f>
      </x:c>
      <x:c r="F21" t="str">
        <x:f>IF(F$1="","",IFERROR(INDEX('包络曲线数据'!$B$2:$U$742,ROW()-1,MATCH(F$1,'包络曲线数据'!$B$1:$U$1,0)),""))</x:f>
      </x:c>
      <x:c r="G21" t="str">
        <x:f>IF(G$1="","",IFERROR(INDEX('包络曲线数据'!$B$2:$U$742,ROW()-1,MATCH(G$1,'包络曲线数据'!$B$1:$U$1,0)),""))</x:f>
      </x:c>
      <x:c r="I21" t="n">
        <x:v>80.00000000000036</x:v>
      </x:c>
      <x:c r="J21" t="n">
        <x:f>IF(J$1="","",IFERROR(INDEX('代表咚声数据'!$B$2:$AO$39,ROW()-1,MATCH(J$1&amp;"_常见",'代表咚声数据'!$B$1:$AO$1,0)),""))</x:f>
        <x:v>69.25915380421904</x:v>
      </x:c>
      <x:c r="K21" t="n">
        <x:f>IF(K$1="","",IFERROR(INDEX('代表咚声数据'!$B$2:$AO$39,ROW()-1,MATCH(K$1&amp;"_常见",'代表咚声数据'!$B$1:$AO$1,0)),""))</x:f>
        <x:v>69.15936261823406</x:v>
      </x:c>
      <x:c r="L21" t="n">
        <x:f>IF(L$1="","",IFERROR(INDEX('代表咚声数据'!$B$2:$AO$39,ROW()-1,MATCH(L$1&amp;"_常见",'代表咚声数据'!$B$1:$AO$1,0)),""))</x:f>
        <x:v>70.59869348887885</x:v>
      </x:c>
      <x:c r="M21" t="str">
        <x:f>IF(M$1="","",IFERROR(INDEX('代表咚声数据'!$B$2:$AO$39,ROW()-1,MATCH(M$1&amp;"_常见",'代表咚声数据'!$B$1:$AO$1,0)),""))</x:f>
      </x:c>
      <x:c r="N21" t="str">
        <x:f>IF(N$1="","",IFERROR(INDEX('代表咚声数据'!$B$2:$AO$39,ROW()-1,MATCH(N$1&amp;"_常见",'代表咚声数据'!$B$1:$AO$1,0)),""))</x:f>
      </x:c>
      <x:c r="O21" t="str">
        <x:f>IF(O$1="","",IFERROR(INDEX('代表咚声数据'!$B$2:$AO$39,ROW()-1,MATCH(O$1&amp;"_常见",'代表咚声数据'!$B$1:$AO$1,0)),""))</x:f>
      </x:c>
      <x:c r="Q21" t="n">
        <x:v>80.00000000000036</x:v>
      </x:c>
      <x:c r="R21" t="n">
        <x:f>IF(R$1="","",IFERROR(INDEX('代表咚声数据'!$B$2:$AO$39,ROW()-1,MATCH(R$1&amp;"_较响",'代表咚声数据'!$B$1:$AO$1,0)),""))</x:f>
        <x:v>74.31953449460842</x:v>
      </x:c>
      <x:c r="S21" t="n">
        <x:f>IF(S$1="","",IFERROR(INDEX('代表咚声数据'!$B$2:$AO$39,ROW()-1,MATCH(S$1&amp;"_较响",'代表咚声数据'!$B$1:$AO$1,0)),""))</x:f>
        <x:v>77.39783172438754</x:v>
      </x:c>
      <x:c r="T21" t="n">
        <x:f>IF(T$1="","",IFERROR(INDEX('代表咚声数据'!$B$2:$AO$39,ROW()-1,MATCH(T$1&amp;"_较响",'代表咚声数据'!$B$1:$AO$1,0)),""))</x:f>
        <x:v>73.71529327445215</x:v>
      </x:c>
      <x:c r="U21" t="str">
        <x:f>IF(U$1="","",IFERROR(INDEX('代表咚声数据'!$B$2:$AO$39,ROW()-1,MATCH(U$1&amp;"_较响",'代表咚声数据'!$B$1:$AO$1,0)),""))</x:f>
      </x:c>
      <x:c r="V21" t="str">
        <x:f>IF(V$1="","",IFERROR(INDEX('代表咚声数据'!$B$2:$AO$39,ROW()-1,MATCH(V$1&amp;"_较响",'代表咚声数据'!$B$1:$AO$1,0)),""))</x:f>
      </x:c>
      <x:c r="W21" t="str">
        <x:f>IF(W$1="","",IFERROR(INDEX('代表咚声数据'!$B$2:$AO$39,ROW()-1,MATCH(W$1&amp;"_较响",'代表咚声数据'!$B$1:$AO$1,0)),""))</x:f>
      </x:c>
    </x:row>
    <x:row r="22">
      <x:c r="A22" t="n">
        <x:v>2</x:v>
      </x:c>
      <x:c r="B22" t="n">
        <x:f>IF(B$1="","",IFERROR(INDEX('包络曲线数据'!$B$2:$U$742,ROW()-1,MATCH(B$1,'包络曲线数据'!$B$1:$U$1,0)),""))</x:f>
        <x:v>85.13412955070646</x:v>
      </x:c>
      <x:c r="C22" t="n">
        <x:f>IF(C$1="","",IFERROR(INDEX('包络曲线数据'!$B$2:$U$742,ROW()-1,MATCH(C$1,'包络曲线数据'!$B$1:$U$1,0)),""))</x:f>
        <x:v>52.39175843351897</x:v>
      </x:c>
      <x:c r="D22" t="n">
        <x:f>IF(D$1="","",IFERROR(INDEX('包络曲线数据'!$B$2:$U$742,ROW()-1,MATCH(D$1,'包络曲线数据'!$B$1:$U$1,0)),""))</x:f>
        <x:v>83.14435804514295</x:v>
      </x:c>
      <x:c r="E22" t="str">
        <x:f>IF(E$1="","",IFERROR(INDEX('包络曲线数据'!$B$2:$U$742,ROW()-1,MATCH(E$1,'包络曲线数据'!$B$1:$U$1,0)),""))</x:f>
      </x:c>
      <x:c r="F22" t="str">
        <x:f>IF(F$1="","",IFERROR(INDEX('包络曲线数据'!$B$2:$U$742,ROW()-1,MATCH(F$1,'包络曲线数据'!$B$1:$U$1,0)),""))</x:f>
      </x:c>
      <x:c r="G22" t="str">
        <x:f>IF(G$1="","",IFERROR(INDEX('包络曲线数据'!$B$2:$U$742,ROW()-1,MATCH(G$1,'包络曲线数据'!$B$1:$U$1,0)),""))</x:f>
      </x:c>
      <x:c r="I22" t="n">
        <x:v>100.00000000000037</x:v>
      </x:c>
      <x:c r="J22" t="n">
        <x:f>IF(J$1="","",IFERROR(INDEX('代表咚声数据'!$B$2:$AO$39,ROW()-1,MATCH(J$1&amp;"_常见",'代表咚声数据'!$B$1:$AO$1,0)),""))</x:f>
        <x:v>67.39236364087661</x:v>
      </x:c>
      <x:c r="K22" t="n">
        <x:f>IF(K$1="","",IFERROR(INDEX('代表咚声数据'!$B$2:$AO$39,ROW()-1,MATCH(K$1&amp;"_常见",'代表咚声数据'!$B$1:$AO$1,0)),""))</x:f>
        <x:v>68.23271535000377</x:v>
      </x:c>
      <x:c r="L22" t="n">
        <x:f>IF(L$1="","",IFERROR(INDEX('代表咚声数据'!$B$2:$AO$39,ROW()-1,MATCH(L$1&amp;"_常见",'代表咚声数据'!$B$1:$AO$1,0)),""))</x:f>
        <x:v>68.5073013565508</x:v>
      </x:c>
      <x:c r="M22" t="str">
        <x:f>IF(M$1="","",IFERROR(INDEX('代表咚声数据'!$B$2:$AO$39,ROW()-1,MATCH(M$1&amp;"_常见",'代表咚声数据'!$B$1:$AO$1,0)),""))</x:f>
      </x:c>
      <x:c r="N22" t="str">
        <x:f>IF(N$1="","",IFERROR(INDEX('代表咚声数据'!$B$2:$AO$39,ROW()-1,MATCH(N$1&amp;"_常见",'代表咚声数据'!$B$1:$AO$1,0)),""))</x:f>
      </x:c>
      <x:c r="O22" t="str">
        <x:f>IF(O$1="","",IFERROR(INDEX('代表咚声数据'!$B$2:$AO$39,ROW()-1,MATCH(O$1&amp;"_常见",'代表咚声数据'!$B$1:$AO$1,0)),""))</x:f>
      </x:c>
      <x:c r="Q22" t="n">
        <x:v>100.00000000000037</x:v>
      </x:c>
      <x:c r="R22" t="n">
        <x:f>IF(R$1="","",IFERROR(INDEX('代表咚声数据'!$B$2:$AO$39,ROW()-1,MATCH(R$1&amp;"_较响",'代表咚声数据'!$B$1:$AO$1,0)),""))</x:f>
        <x:v>73.21614040095575</x:v>
      </x:c>
      <x:c r="S22" t="n">
        <x:f>IF(S$1="","",IFERROR(INDEX('代表咚声数据'!$B$2:$AO$39,ROW()-1,MATCH(S$1&amp;"_较响",'代表咚声数据'!$B$1:$AO$1,0)),""))</x:f>
        <x:v>75.86627092321363</x:v>
      </x:c>
      <x:c r="T22" t="n">
        <x:f>IF(T$1="","",IFERROR(INDEX('代表咚声数据'!$B$2:$AO$39,ROW()-1,MATCH(T$1&amp;"_较响",'代表咚声数据'!$B$1:$AO$1,0)),""))</x:f>
        <x:v>73.37358631513759</x:v>
      </x:c>
      <x:c r="U22" t="str">
        <x:f>IF(U$1="","",IFERROR(INDEX('代表咚声数据'!$B$2:$AO$39,ROW()-1,MATCH(U$1&amp;"_较响",'代表咚声数据'!$B$1:$AO$1,0)),""))</x:f>
      </x:c>
      <x:c r="V22" t="str">
        <x:f>IF(V$1="","",IFERROR(INDEX('代表咚声数据'!$B$2:$AO$39,ROW()-1,MATCH(V$1&amp;"_较响",'代表咚声数据'!$B$1:$AO$1,0)),""))</x:f>
      </x:c>
      <x:c r="W22" t="str">
        <x:f>IF(W$1="","",IFERROR(INDEX('代表咚声数据'!$B$2:$AO$39,ROW()-1,MATCH(W$1&amp;"_较响",'代表咚声数据'!$B$1:$AO$1,0)),""))</x:f>
      </x:c>
    </x:row>
    <x:row r="23">
      <x:c r="A23" t="n">
        <x:v>2.1</x:v>
      </x:c>
      <x:c r="B23" t="n">
        <x:f>IF(B$1="","",IFERROR(INDEX('包络曲线数据'!$B$2:$U$742,ROW()-1,MATCH(B$1,'包络曲线数据'!$B$1:$U$1,0)),""))</x:f>
        <x:v>84.34292252318886</x:v>
      </x:c>
      <x:c r="C23" t="n">
        <x:f>IF(C$1="","",IFERROR(INDEX('包络曲线数据'!$B$2:$U$742,ROW()-1,MATCH(C$1,'包络曲线数据'!$B$1:$U$1,0)),""))</x:f>
        <x:v>52.39175843351897</x:v>
      </x:c>
      <x:c r="D23" t="n">
        <x:f>IF(D$1="","",IFERROR(INDEX('包络曲线数据'!$B$2:$U$742,ROW()-1,MATCH(D$1,'包络曲线数据'!$B$1:$U$1,0)),""))</x:f>
        <x:v>83.14435804514295</x:v>
      </x:c>
      <x:c r="E23" t="str">
        <x:f>IF(E$1="","",IFERROR(INDEX('包络曲线数据'!$B$2:$U$742,ROW()-1,MATCH(E$1,'包络曲线数据'!$B$1:$U$1,0)),""))</x:f>
      </x:c>
      <x:c r="F23" t="str">
        <x:f>IF(F$1="","",IFERROR(INDEX('包络曲线数据'!$B$2:$U$742,ROW()-1,MATCH(F$1,'包络曲线数据'!$B$1:$U$1,0)),""))</x:f>
      </x:c>
      <x:c r="G23" t="str">
        <x:f>IF(G$1="","",IFERROR(INDEX('包络曲线数据'!$B$2:$U$742,ROW()-1,MATCH(G$1,'包络曲线数据'!$B$1:$U$1,0)),""))</x:f>
      </x:c>
      <x:c r="I23" t="n">
        <x:v>120.00000000000038</x:v>
      </x:c>
      <x:c r="J23" t="n">
        <x:f>IF(J$1="","",IFERROR(INDEX('代表咚声数据'!$B$2:$AO$39,ROW()-1,MATCH(J$1&amp;"_常见",'代表咚声数据'!$B$1:$AO$1,0)),""))</x:f>
        <x:v>64.66783839702104</x:v>
      </x:c>
      <x:c r="K23" t="n">
        <x:f>IF(K$1="","",IFERROR(INDEX('代表咚声数据'!$B$2:$AO$39,ROW()-1,MATCH(K$1&amp;"_常见",'代表咚声数据'!$B$1:$AO$1,0)),""))</x:f>
        <x:v>68.14878020093464</x:v>
      </x:c>
      <x:c r="L23" t="n">
        <x:f>IF(L$1="","",IFERROR(INDEX('代表咚声数据'!$B$2:$AO$39,ROW()-1,MATCH(L$1&amp;"_常见",'代表咚声数据'!$B$1:$AO$1,0)),""))</x:f>
        <x:v>67.26454448989081</x:v>
      </x:c>
      <x:c r="M23" t="str">
        <x:f>IF(M$1="","",IFERROR(INDEX('代表咚声数据'!$B$2:$AO$39,ROW()-1,MATCH(M$1&amp;"_常见",'代表咚声数据'!$B$1:$AO$1,0)),""))</x:f>
      </x:c>
      <x:c r="N23" t="str">
        <x:f>IF(N$1="","",IFERROR(INDEX('代表咚声数据'!$B$2:$AO$39,ROW()-1,MATCH(N$1&amp;"_常见",'代表咚声数据'!$B$1:$AO$1,0)),""))</x:f>
      </x:c>
      <x:c r="O23" t="str">
        <x:f>IF(O$1="","",IFERROR(INDEX('代表咚声数据'!$B$2:$AO$39,ROW()-1,MATCH(O$1&amp;"_常见",'代表咚声数据'!$B$1:$AO$1,0)),""))</x:f>
      </x:c>
      <x:c r="Q23" t="n">
        <x:v>120.00000000000038</x:v>
      </x:c>
      <x:c r="R23" t="n">
        <x:f>IF(R$1="","",IFERROR(INDEX('代表咚声数据'!$B$2:$AO$39,ROW()-1,MATCH(R$1&amp;"_较响",'代表咚声数据'!$B$1:$AO$1,0)),""))</x:f>
        <x:v>72.21677243089425</x:v>
      </x:c>
      <x:c r="S23" t="n">
        <x:f>IF(S$1="","",IFERROR(INDEX('代表咚声数据'!$B$2:$AO$39,ROW()-1,MATCH(S$1&amp;"_较响",'代表咚声数据'!$B$1:$AO$1,0)),""))</x:f>
        <x:v>74.89711699869028</x:v>
      </x:c>
      <x:c r="T23" t="n">
        <x:f>IF(T$1="","",IFERROR(INDEX('代表咚声数据'!$B$2:$AO$39,ROW()-1,MATCH(T$1&amp;"_较响",'代表咚声数据'!$B$1:$AO$1,0)),""))</x:f>
        <x:v>73.43235267882694</x:v>
      </x:c>
      <x:c r="U23" t="str">
        <x:f>IF(U$1="","",IFERROR(INDEX('代表咚声数据'!$B$2:$AO$39,ROW()-1,MATCH(U$1&amp;"_较响",'代表咚声数据'!$B$1:$AO$1,0)),""))</x:f>
      </x:c>
      <x:c r="V23" t="str">
        <x:f>IF(V$1="","",IFERROR(INDEX('代表咚声数据'!$B$2:$AO$39,ROW()-1,MATCH(V$1&amp;"_较响",'代表咚声数据'!$B$1:$AO$1,0)),""))</x:f>
      </x:c>
      <x:c r="W23" t="str">
        <x:f>IF(W$1="","",IFERROR(INDEX('代表咚声数据'!$B$2:$AO$39,ROW()-1,MATCH(W$1&amp;"_较响",'代表咚声数据'!$B$1:$AO$1,0)),""))</x:f>
      </x:c>
    </x:row>
    <x:row r="24">
      <x:c r="A24" t="n">
        <x:v>2.2</x:v>
      </x:c>
      <x:c r="B24" t="n">
        <x:f>IF(B$1="","",IFERROR(INDEX('包络曲线数据'!$B$2:$U$742,ROW()-1,MATCH(B$1,'包络曲线数据'!$B$1:$U$1,0)),""))</x:f>
        <x:v>74.82882752817187</x:v>
      </x:c>
      <x:c r="C24" t="n">
        <x:f>IF(C$1="","",IFERROR(INDEX('包络曲线数据'!$B$2:$U$742,ROW()-1,MATCH(C$1,'包络曲线数据'!$B$1:$U$1,0)),""))</x:f>
        <x:v>63.42630528185921</x:v>
      </x:c>
      <x:c r="D24" t="n">
        <x:f>IF(D$1="","",IFERROR(INDEX('包络曲线数据'!$B$2:$U$742,ROW()-1,MATCH(D$1,'包络曲线数据'!$B$1:$U$1,0)),""))</x:f>
        <x:v>81.20890593208792</x:v>
      </x:c>
      <x:c r="E24" t="str">
        <x:f>IF(E$1="","",IFERROR(INDEX('包络曲线数据'!$B$2:$U$742,ROW()-1,MATCH(E$1,'包络曲线数据'!$B$1:$U$1,0)),""))</x:f>
      </x:c>
      <x:c r="F24" t="str">
        <x:f>IF(F$1="","",IFERROR(INDEX('包络曲线数据'!$B$2:$U$742,ROW()-1,MATCH(F$1,'包络曲线数据'!$B$1:$U$1,0)),""))</x:f>
      </x:c>
      <x:c r="G24" t="str">
        <x:f>IF(G$1="","",IFERROR(INDEX('包络曲线数据'!$B$2:$U$742,ROW()-1,MATCH(G$1,'包络曲线数据'!$B$1:$U$1,0)),""))</x:f>
      </x:c>
      <x:c r="I24" t="n">
        <x:v>140.0000000000004</x:v>
      </x:c>
      <x:c r="J24" t="n">
        <x:f>IF(J$1="","",IFERROR(INDEX('代表咚声数据'!$B$2:$AO$39,ROW()-1,MATCH(J$1&amp;"_常见",'代表咚声数据'!$B$1:$AO$1,0)),""))</x:f>
        <x:v>63.91791285461142</x:v>
      </x:c>
      <x:c r="K24" t="n">
        <x:f>IF(K$1="","",IFERROR(INDEX('代表咚声数据'!$B$2:$AO$39,ROW()-1,MATCH(K$1&amp;"_常见",'代表咚声数据'!$B$1:$AO$1,0)),""))</x:f>
        <x:v>67.34994497544777</x:v>
      </x:c>
      <x:c r="L24" t="n">
        <x:f>IF(L$1="","",IFERROR(INDEX('代表咚声数据'!$B$2:$AO$39,ROW()-1,MATCH(L$1&amp;"_常见",'代表咚声数据'!$B$1:$AO$1,0)),""))</x:f>
        <x:v>66.77020088088376</x:v>
      </x:c>
      <x:c r="M24" t="str">
        <x:f>IF(M$1="","",IFERROR(INDEX('代表咚声数据'!$B$2:$AO$39,ROW()-1,MATCH(M$1&amp;"_常见",'代表咚声数据'!$B$1:$AO$1,0)),""))</x:f>
      </x:c>
      <x:c r="N24" t="str">
        <x:f>IF(N$1="","",IFERROR(INDEX('代表咚声数据'!$B$2:$AO$39,ROW()-1,MATCH(N$1&amp;"_常见",'代表咚声数据'!$B$1:$AO$1,0)),""))</x:f>
      </x:c>
      <x:c r="O24" t="str">
        <x:f>IF(O$1="","",IFERROR(INDEX('代表咚声数据'!$B$2:$AO$39,ROW()-1,MATCH(O$1&amp;"_常见",'代表咚声数据'!$B$1:$AO$1,0)),""))</x:f>
      </x:c>
      <x:c r="Q24" t="n">
        <x:v>140.0000000000004</x:v>
      </x:c>
      <x:c r="R24" t="n">
        <x:f>IF(R$1="","",IFERROR(INDEX('代表咚声数据'!$B$2:$AO$39,ROW()-1,MATCH(R$1&amp;"_较响",'代表咚声数据'!$B$1:$AO$1,0)),""))</x:f>
        <x:v>70.45150155664439</x:v>
      </x:c>
      <x:c r="S24" t="n">
        <x:f>IF(S$1="","",IFERROR(INDEX('代表咚声数据'!$B$2:$AO$39,ROW()-1,MATCH(S$1&amp;"_较响",'代表咚声数据'!$B$1:$AO$1,0)),""))</x:f>
        <x:v>73.78289476007674</x:v>
      </x:c>
      <x:c r="T24" t="n">
        <x:f>IF(T$1="","",IFERROR(INDEX('代表咚声数据'!$B$2:$AO$39,ROW()-1,MATCH(T$1&amp;"_较响",'代表咚声数据'!$B$1:$AO$1,0)),""))</x:f>
        <x:v>73.32227180372544</x:v>
      </x:c>
      <x:c r="U24" t="str">
        <x:f>IF(U$1="","",IFERROR(INDEX('代表咚声数据'!$B$2:$AO$39,ROW()-1,MATCH(U$1&amp;"_较响",'代表咚声数据'!$B$1:$AO$1,0)),""))</x:f>
      </x:c>
      <x:c r="V24" t="str">
        <x:f>IF(V$1="","",IFERROR(INDEX('代表咚声数据'!$B$2:$AO$39,ROW()-1,MATCH(V$1&amp;"_较响",'代表咚声数据'!$B$1:$AO$1,0)),""))</x:f>
      </x:c>
      <x:c r="W24" t="str">
        <x:f>IF(W$1="","",IFERROR(INDEX('代表咚声数据'!$B$2:$AO$39,ROW()-1,MATCH(W$1&amp;"_较响",'代表咚声数据'!$B$1:$AO$1,0)),""))</x:f>
      </x:c>
    </x:row>
    <x:row r="25">
      <x:c r="A25" t="n">
        <x:v>2.3000000000000003</x:v>
      </x:c>
      <x:c r="B25" t="n">
        <x:f>IF(B$1="","",IFERROR(INDEX('包络曲线数据'!$B$2:$U$742,ROW()-1,MATCH(B$1,'包络曲线数据'!$B$1:$U$1,0)),""))</x:f>
        <x:v>67.87389212704456</x:v>
      </x:c>
      <x:c r="C25" t="n">
        <x:f>IF(C$1="","",IFERROR(INDEX('包络曲线数据'!$B$2:$U$742,ROW()-1,MATCH(C$1,'包络曲线数据'!$B$1:$U$1,0)),""))</x:f>
        <x:v>63.426305281858966</x:v>
      </x:c>
      <x:c r="D25" t="n">
        <x:f>IF(D$1="","",IFERROR(INDEX('包络曲线数据'!$B$2:$U$742,ROW()-1,MATCH(D$1,'包络曲线数据'!$B$1:$U$1,0)),""))</x:f>
        <x:v>73.75668567038441</x:v>
      </x:c>
      <x:c r="E25" t="str">
        <x:f>IF(E$1="","",IFERROR(INDEX('包络曲线数据'!$B$2:$U$742,ROW()-1,MATCH(E$1,'包络曲线数据'!$B$1:$U$1,0)),""))</x:f>
      </x:c>
      <x:c r="F25" t="str">
        <x:f>IF(F$1="","",IFERROR(INDEX('包络曲线数据'!$B$2:$U$742,ROW()-1,MATCH(F$1,'包络曲线数据'!$B$1:$U$1,0)),""))</x:f>
      </x:c>
      <x:c r="G25" t="str">
        <x:f>IF(G$1="","",IFERROR(INDEX('包络曲线数据'!$B$2:$U$742,ROW()-1,MATCH(G$1,'包络曲线数据'!$B$1:$U$1,0)),""))</x:f>
      </x:c>
      <x:c r="I25" t="n">
        <x:v>160.00000000000043</x:v>
      </x:c>
      <x:c r="J25" t="n">
        <x:f>IF(J$1="","",IFERROR(INDEX('代表咚声数据'!$B$2:$AO$39,ROW()-1,MATCH(J$1&amp;"_常见",'代表咚声数据'!$B$1:$AO$1,0)),""))</x:f>
        <x:v>64.86590358955465</x:v>
      </x:c>
      <x:c r="K25" t="n">
        <x:f>IF(K$1="","",IFERROR(INDEX('代表咚声数据'!$B$2:$AO$39,ROW()-1,MATCH(K$1&amp;"_常见",'代表咚声数据'!$B$1:$AO$1,0)),""))</x:f>
        <x:v>67.28277020330475</x:v>
      </x:c>
      <x:c r="L25" t="n">
        <x:f>IF(L$1="","",IFERROR(INDEX('代表咚声数据'!$B$2:$AO$39,ROW()-1,MATCH(L$1&amp;"_常见",'代表咚声数据'!$B$1:$AO$1,0)),""))</x:f>
        <x:v>66.50332694642661</x:v>
      </x:c>
      <x:c r="M25" t="str">
        <x:f>IF(M$1="","",IFERROR(INDEX('代表咚声数据'!$B$2:$AO$39,ROW()-1,MATCH(M$1&amp;"_常见",'代表咚声数据'!$B$1:$AO$1,0)),""))</x:f>
      </x:c>
      <x:c r="N25" t="str">
        <x:f>IF(N$1="","",IFERROR(INDEX('代表咚声数据'!$B$2:$AO$39,ROW()-1,MATCH(N$1&amp;"_常见",'代表咚声数据'!$B$1:$AO$1,0)),""))</x:f>
      </x:c>
      <x:c r="O25" t="str">
        <x:f>IF(O$1="","",IFERROR(INDEX('代表咚声数据'!$B$2:$AO$39,ROW()-1,MATCH(O$1&amp;"_常见",'代表咚声数据'!$B$1:$AO$1,0)),""))</x:f>
      </x:c>
      <x:c r="Q25" t="n">
        <x:v>160.00000000000043</x:v>
      </x:c>
      <x:c r="R25" t="n">
        <x:f>IF(R$1="","",IFERROR(INDEX('代表咚声数据'!$B$2:$AO$39,ROW()-1,MATCH(R$1&amp;"_较响",'代表咚声数据'!$B$1:$AO$1,0)),""))</x:f>
        <x:v>69.6716530112535</x:v>
      </x:c>
      <x:c r="S25" t="n">
        <x:f>IF(S$1="","",IFERROR(INDEX('代表咚声数据'!$B$2:$AO$39,ROW()-1,MATCH(S$1&amp;"_较响",'代表咚声数据'!$B$1:$AO$1,0)),""))</x:f>
        <x:v>73.3313599533475</x:v>
      </x:c>
      <x:c r="T25" t="n">
        <x:f>IF(T$1="","",IFERROR(INDEX('代表咚声数据'!$B$2:$AO$39,ROW()-1,MATCH(T$1&amp;"_较响",'代表咚声数据'!$B$1:$AO$1,0)),""))</x:f>
        <x:v>73.11011513063204</x:v>
      </x:c>
      <x:c r="U25" t="str">
        <x:f>IF(U$1="","",IFERROR(INDEX('代表咚声数据'!$B$2:$AO$39,ROW()-1,MATCH(U$1&amp;"_较响",'代表咚声数据'!$B$1:$AO$1,0)),""))</x:f>
      </x:c>
      <x:c r="V25" t="str">
        <x:f>IF(V$1="","",IFERROR(INDEX('代表咚声数据'!$B$2:$AO$39,ROW()-1,MATCH(V$1&amp;"_较响",'代表咚声数据'!$B$1:$AO$1,0)),""))</x:f>
      </x:c>
      <x:c r="W25" t="str">
        <x:f>IF(W$1="","",IFERROR(INDEX('代表咚声数据'!$B$2:$AO$39,ROW()-1,MATCH(W$1&amp;"_较响",'代表咚声数据'!$B$1:$AO$1,0)),""))</x:f>
      </x:c>
    </x:row>
    <x:row r="26">
      <x:c r="A26" t="n">
        <x:v>2.4000000000000004</x:v>
      </x:c>
      <x:c r="B26" t="n">
        <x:f>IF(B$1="","",IFERROR(INDEX('包络曲线数据'!$B$2:$U$742,ROW()-1,MATCH(B$1,'包络曲线数据'!$B$1:$U$1,0)),""))</x:f>
        <x:v>67.34847370428079</x:v>
      </x:c>
      <x:c r="C26" t="n">
        <x:f>IF(C$1="","",IFERROR(INDEX('包络曲线数据'!$B$2:$U$742,ROW()-1,MATCH(C$1,'包络曲线数据'!$B$1:$U$1,0)),""))</x:f>
        <x:v>74.81831966011428</x:v>
      </x:c>
      <x:c r="D26" t="n">
        <x:f>IF(D$1="","",IFERROR(INDEX('包络曲线数据'!$B$2:$U$742,ROW()-1,MATCH(D$1,'包络曲线数据'!$B$1:$U$1,0)),""))</x:f>
        <x:v>70.3439791347529</x:v>
      </x:c>
      <x:c r="E26" t="str">
        <x:f>IF(E$1="","",IFERROR(INDEX('包络曲线数据'!$B$2:$U$742,ROW()-1,MATCH(E$1,'包络曲线数据'!$B$1:$U$1,0)),""))</x:f>
      </x:c>
      <x:c r="F26" t="str">
        <x:f>IF(F$1="","",IFERROR(INDEX('包络曲线数据'!$B$2:$U$742,ROW()-1,MATCH(F$1,'包络曲线数据'!$B$1:$U$1,0)),""))</x:f>
      </x:c>
      <x:c r="G26" t="str">
        <x:f>IF(G$1="","",IFERROR(INDEX('包络曲线数据'!$B$2:$U$742,ROW()-1,MATCH(G$1,'包络曲线数据'!$B$1:$U$1,0)),""))</x:f>
      </x:c>
      <x:c r="I26" t="n">
        <x:v>180.00000000000043</x:v>
      </x:c>
      <x:c r="J26" t="n">
        <x:f>IF(J$1="","",IFERROR(INDEX('代表咚声数据'!$B$2:$AO$39,ROW()-1,MATCH(J$1&amp;"_常见",'代表咚声数据'!$B$1:$AO$1,0)),""))</x:f>
        <x:v>65.08644255310739</x:v>
      </x:c>
      <x:c r="K26" t="n">
        <x:f>IF(K$1="","",IFERROR(INDEX('代表咚声数据'!$B$2:$AO$39,ROW()-1,MATCH(K$1&amp;"_常见",'代表咚声数据'!$B$1:$AO$1,0)),""))</x:f>
        <x:v>66.91640025194006</x:v>
      </x:c>
      <x:c r="L26" t="n">
        <x:f>IF(L$1="","",IFERROR(INDEX('代表咚声数据'!$B$2:$AO$39,ROW()-1,MATCH(L$1&amp;"_常见",'代表咚声数据'!$B$1:$AO$1,0)),""))</x:f>
        <x:v>65.47962346584345</x:v>
      </x:c>
      <x:c r="M26" t="str">
        <x:f>IF(M$1="","",IFERROR(INDEX('代表咚声数据'!$B$2:$AO$39,ROW()-1,MATCH(M$1&amp;"_常见",'代表咚声数据'!$B$1:$AO$1,0)),""))</x:f>
      </x:c>
      <x:c r="N26" t="str">
        <x:f>IF(N$1="","",IFERROR(INDEX('代表咚声数据'!$B$2:$AO$39,ROW()-1,MATCH(N$1&amp;"_常见",'代表咚声数据'!$B$1:$AO$1,0)),""))</x:f>
      </x:c>
      <x:c r="O26" t="str">
        <x:f>IF(O$1="","",IFERROR(INDEX('代表咚声数据'!$B$2:$AO$39,ROW()-1,MATCH(O$1&amp;"_常见",'代表咚声数据'!$B$1:$AO$1,0)),""))</x:f>
      </x:c>
      <x:c r="Q26" t="n">
        <x:v>180.00000000000043</x:v>
      </x:c>
      <x:c r="R26" t="n">
        <x:f>IF(R$1="","",IFERROR(INDEX('代表咚声数据'!$B$2:$AO$39,ROW()-1,MATCH(R$1&amp;"_较响",'代表咚声数据'!$B$1:$AO$1,0)),""))</x:f>
        <x:v>67.86046301887787</x:v>
      </x:c>
      <x:c r="S26" t="n">
        <x:f>IF(S$1="","",IFERROR(INDEX('代表咚声数据'!$B$2:$AO$39,ROW()-1,MATCH(S$1&amp;"_较响",'代表咚声数据'!$B$1:$AO$1,0)),""))</x:f>
        <x:v>71.10787146587566</x:v>
      </x:c>
      <x:c r="T26" t="n">
        <x:f>IF(T$1="","",IFERROR(INDEX('代表咚声数据'!$B$2:$AO$39,ROW()-1,MATCH(T$1&amp;"_较响",'代表咚声数据'!$B$1:$AO$1,0)),""))</x:f>
        <x:v>72.3237516297276</x:v>
      </x:c>
      <x:c r="U26" t="str">
        <x:f>IF(U$1="","",IFERROR(INDEX('代表咚声数据'!$B$2:$AO$39,ROW()-1,MATCH(U$1&amp;"_较响",'代表咚声数据'!$B$1:$AO$1,0)),""))</x:f>
      </x:c>
      <x:c r="V26" t="str">
        <x:f>IF(V$1="","",IFERROR(INDEX('代表咚声数据'!$B$2:$AO$39,ROW()-1,MATCH(V$1&amp;"_较响",'代表咚声数据'!$B$1:$AO$1,0)),""))</x:f>
      </x:c>
      <x:c r="W26" t="str">
        <x:f>IF(W$1="","",IFERROR(INDEX('代表咚声数据'!$B$2:$AO$39,ROW()-1,MATCH(W$1&amp;"_较响",'代表咚声数据'!$B$1:$AO$1,0)),""))</x:f>
      </x:c>
    </x:row>
    <x:row r="27">
      <x:c r="A27" t="n">
        <x:v>2.5</x:v>
      </x:c>
      <x:c r="B27" t="n">
        <x:f>IF(B$1="","",IFERROR(INDEX('包络曲线数据'!$B$2:$U$742,ROW()-1,MATCH(B$1,'包络曲线数据'!$B$1:$U$1,0)),""))</x:f>
        <x:v>60.42654883714438</x:v>
      </x:c>
      <x:c r="C27" t="n">
        <x:f>IF(C$1="","",IFERROR(INDEX('包络曲线数据'!$B$2:$U$742,ROW()-1,MATCH(C$1,'包络曲线数据'!$B$1:$U$1,0)),""))</x:f>
        <x:v>77.69523286384792</x:v>
      </x:c>
      <x:c r="D27" t="n">
        <x:f>IF(D$1="","",IFERROR(INDEX('包络曲线数据'!$B$2:$U$742,ROW()-1,MATCH(D$1,'包络曲线数据'!$B$1:$U$1,0)),""))</x:f>
        <x:v>66.7052982982326</x:v>
      </x:c>
      <x:c r="E27" t="str">
        <x:f>IF(E$1="","",IFERROR(INDEX('包络曲线数据'!$B$2:$U$742,ROW()-1,MATCH(E$1,'包络曲线数据'!$B$1:$U$1,0)),""))</x:f>
      </x:c>
      <x:c r="F27" t="str">
        <x:f>IF(F$1="","",IFERROR(INDEX('包络曲线数据'!$B$2:$U$742,ROW()-1,MATCH(F$1,'包络曲线数据'!$B$1:$U$1,0)),""))</x:f>
      </x:c>
      <x:c r="G27" t="str">
        <x:f>IF(G$1="","",IFERROR(INDEX('包络曲线数据'!$B$2:$U$742,ROW()-1,MATCH(G$1,'包络曲线数据'!$B$1:$U$1,0)),""))</x:f>
      </x:c>
      <x:c r="I27" t="n">
        <x:v>200.00000000000045</x:v>
      </x:c>
      <x:c r="J27" t="n">
        <x:f>IF(J$1="","",IFERROR(INDEX('代表咚声数据'!$B$2:$AO$39,ROW()-1,MATCH(J$1&amp;"_常见",'代表咚声数据'!$B$1:$AO$1,0)),""))</x:f>
        <x:v>65.29292346245117</x:v>
      </x:c>
      <x:c r="K27" t="n">
        <x:f>IF(K$1="","",IFERROR(INDEX('代表咚声数据'!$B$2:$AO$39,ROW()-1,MATCH(K$1&amp;"_常见",'代表咚声数据'!$B$1:$AO$1,0)),""))</x:f>
        <x:v>66.20481671804544</x:v>
      </x:c>
      <x:c r="L27" t="n">
        <x:f>IF(L$1="","",IFERROR(INDEX('代表咚声数据'!$B$2:$AO$39,ROW()-1,MATCH(L$1&amp;"_常见",'代表咚声数据'!$B$1:$AO$1,0)),""))</x:f>
        <x:v>65.86002142843533</x:v>
      </x:c>
      <x:c r="M27" t="str">
        <x:f>IF(M$1="","",IFERROR(INDEX('代表咚声数据'!$B$2:$AO$39,ROW()-1,MATCH(M$1&amp;"_常见",'代表咚声数据'!$B$1:$AO$1,0)),""))</x:f>
      </x:c>
      <x:c r="N27" t="str">
        <x:f>IF(N$1="","",IFERROR(INDEX('代表咚声数据'!$B$2:$AO$39,ROW()-1,MATCH(N$1&amp;"_常见",'代表咚声数据'!$B$1:$AO$1,0)),""))</x:f>
      </x:c>
      <x:c r="O27" t="str">
        <x:f>IF(O$1="","",IFERROR(INDEX('代表咚声数据'!$B$2:$AO$39,ROW()-1,MATCH(O$1&amp;"_常见",'代表咚声数据'!$B$1:$AO$1,0)),""))</x:f>
      </x:c>
      <x:c r="Q27" t="n">
        <x:v>200.00000000000045</x:v>
      </x:c>
      <x:c r="R27" t="n">
        <x:f>IF(R$1="","",IFERROR(INDEX('代表咚声数据'!$B$2:$AO$39,ROW()-1,MATCH(R$1&amp;"_较响",'代表咚声数据'!$B$1:$AO$1,0)),""))</x:f>
        <x:v>67.49387115542777</x:v>
      </x:c>
      <x:c r="S27" t="n">
        <x:f>IF(S$1="","",IFERROR(INDEX('代表咚声数据'!$B$2:$AO$39,ROW()-1,MATCH(S$1&amp;"_较响",'代表咚声数据'!$B$1:$AO$1,0)),""))</x:f>
        <x:v>69.60861511950803</x:v>
      </x:c>
      <x:c r="T27" t="n">
        <x:f>IF(T$1="","",IFERROR(INDEX('代表咚声数据'!$B$2:$AO$39,ROW()-1,MATCH(T$1&amp;"_较响",'代表咚声数据'!$B$1:$AO$1,0)),""))</x:f>
        <x:v>70.95858044675212</x:v>
      </x:c>
      <x:c r="U27" t="str">
        <x:f>IF(U$1="","",IFERROR(INDEX('代表咚声数据'!$B$2:$AO$39,ROW()-1,MATCH(U$1&amp;"_较响",'代表咚声数据'!$B$1:$AO$1,0)),""))</x:f>
      </x:c>
      <x:c r="V27" t="str">
        <x:f>IF(V$1="","",IFERROR(INDEX('代表咚声数据'!$B$2:$AO$39,ROW()-1,MATCH(V$1&amp;"_较响",'代表咚声数据'!$B$1:$AO$1,0)),""))</x:f>
      </x:c>
      <x:c r="W27" t="str">
        <x:f>IF(W$1="","",IFERROR(INDEX('代表咚声数据'!$B$2:$AO$39,ROW()-1,MATCH(W$1&amp;"_较响",'代表咚声数据'!$B$1:$AO$1,0)),""))</x:f>
      </x:c>
    </x:row>
    <x:row r="28">
      <x:c r="A28" t="n">
        <x:v>2.6</x:v>
      </x:c>
      <x:c r="B28" t="n">
        <x:f>IF(B$1="","",IFERROR(INDEX('包络曲线数据'!$B$2:$U$742,ROW()-1,MATCH(B$1,'包络曲线数据'!$B$1:$U$1,0)),""))</x:f>
        <x:v>60.52470754544935</x:v>
      </x:c>
      <x:c r="C28" t="n">
        <x:f>IF(C$1="","",IFERROR(INDEX('包络曲线数据'!$B$2:$U$742,ROW()-1,MATCH(C$1,'包络曲线数据'!$B$1:$U$1,0)),""))</x:f>
        <x:v>77.69523286384792</x:v>
      </x:c>
      <x:c r="D28" t="n">
        <x:f>IF(D$1="","",IFERROR(INDEX('包络曲线数据'!$B$2:$U$742,ROW()-1,MATCH(D$1,'包络曲线数据'!$B$1:$U$1,0)),""))</x:f>
        <x:v>60.4135720668542</x:v>
      </x:c>
      <x:c r="E28" t="str">
        <x:f>IF(E$1="","",IFERROR(INDEX('包络曲线数据'!$B$2:$U$742,ROW()-1,MATCH(E$1,'包络曲线数据'!$B$1:$U$1,0)),""))</x:f>
      </x:c>
      <x:c r="F28" t="str">
        <x:f>IF(F$1="","",IFERROR(INDEX('包络曲线数据'!$B$2:$U$742,ROW()-1,MATCH(F$1,'包络曲线数据'!$B$1:$U$1,0)),""))</x:f>
      </x:c>
      <x:c r="G28" t="str">
        <x:f>IF(G$1="","",IFERROR(INDEX('包络曲线数据'!$B$2:$U$742,ROW()-1,MATCH(G$1,'包络曲线数据'!$B$1:$U$1,0)),""))</x:f>
      </x:c>
      <x:c r="I28" t="n">
        <x:v>220.00000000000048</x:v>
      </x:c>
      <x:c r="J28" t="n">
        <x:f>IF(J$1="","",IFERROR(INDEX('代表咚声数据'!$B$2:$AO$39,ROW()-1,MATCH(J$1&amp;"_常见",'代表咚声数据'!$B$1:$AO$1,0)),""))</x:f>
        <x:v>65.04916684796055</x:v>
      </x:c>
      <x:c r="K28" t="n">
        <x:f>IF(K$1="","",IFERROR(INDEX('代表咚声数据'!$B$2:$AO$39,ROW()-1,MATCH(K$1&amp;"_常见",'代表咚声数据'!$B$1:$AO$1,0)),""))</x:f>
        <x:v>66.12352884927591</x:v>
      </x:c>
      <x:c r="L28" t="n">
        <x:f>IF(L$1="","",IFERROR(INDEX('代表咚声数据'!$B$2:$AO$39,ROW()-1,MATCH(L$1&amp;"_常见",'代表咚声数据'!$B$1:$AO$1,0)),""))</x:f>
        <x:v>64.84017232388923</x:v>
      </x:c>
      <x:c r="M28" t="str">
        <x:f>IF(M$1="","",IFERROR(INDEX('代表咚声数据'!$B$2:$AO$39,ROW()-1,MATCH(M$1&amp;"_常见",'代表咚声数据'!$B$1:$AO$1,0)),""))</x:f>
      </x:c>
      <x:c r="N28" t="str">
        <x:f>IF(N$1="","",IFERROR(INDEX('代表咚声数据'!$B$2:$AO$39,ROW()-1,MATCH(N$1&amp;"_常见",'代表咚声数据'!$B$1:$AO$1,0)),""))</x:f>
      </x:c>
      <x:c r="O28" t="str">
        <x:f>IF(O$1="","",IFERROR(INDEX('代表咚声数据'!$B$2:$AO$39,ROW()-1,MATCH(O$1&amp;"_常见",'代表咚声数据'!$B$1:$AO$1,0)),""))</x:f>
      </x:c>
      <x:c r="Q28" t="n">
        <x:v>220.00000000000048</x:v>
      </x:c>
      <x:c r="R28" t="n">
        <x:f>IF(R$1="","",IFERROR(INDEX('代表咚声数据'!$B$2:$AO$39,ROW()-1,MATCH(R$1&amp;"_较响",'代表咚声数据'!$B$1:$AO$1,0)),""))</x:f>
        <x:v>68.11839494871718</x:v>
      </x:c>
      <x:c r="S28" t="n">
        <x:f>IF(S$1="","",IFERROR(INDEX('代表咚声数据'!$B$2:$AO$39,ROW()-1,MATCH(S$1&amp;"_较响",'代表咚声数据'!$B$1:$AO$1,0)),""))</x:f>
        <x:v>68.22423158868823</x:v>
      </x:c>
      <x:c r="T28" t="n">
        <x:f>IF(T$1="","",IFERROR(INDEX('代表咚声数据'!$B$2:$AO$39,ROW()-1,MATCH(T$1&amp;"_较响",'代表咚声数据'!$B$1:$AO$1,0)),""))</x:f>
        <x:v>69.33589655484967</x:v>
      </x:c>
      <x:c r="U28" t="str">
        <x:f>IF(U$1="","",IFERROR(INDEX('代表咚声数据'!$B$2:$AO$39,ROW()-1,MATCH(U$1&amp;"_较响",'代表咚声数据'!$B$1:$AO$1,0)),""))</x:f>
      </x:c>
      <x:c r="V28" t="str">
        <x:f>IF(V$1="","",IFERROR(INDEX('代表咚声数据'!$B$2:$AO$39,ROW()-1,MATCH(V$1&amp;"_较响",'代表咚声数据'!$B$1:$AO$1,0)),""))</x:f>
      </x:c>
      <x:c r="W28" t="str">
        <x:f>IF(W$1="","",IFERROR(INDEX('代表咚声数据'!$B$2:$AO$39,ROW()-1,MATCH(W$1&amp;"_较响",'代表咚声数据'!$B$1:$AO$1,0)),""))</x:f>
      </x:c>
    </x:row>
    <x:row r="29">
      <x:c r="A29" t="n">
        <x:v>2.7</x:v>
      </x:c>
      <x:c r="B29" t="n">
        <x:f>IF(B$1="","",IFERROR(INDEX('包络曲线数据'!$B$2:$U$742,ROW()-1,MATCH(B$1,'包络曲线数据'!$B$1:$U$1,0)),""))</x:f>
        <x:v>61.84578066425069</x:v>
      </x:c>
      <x:c r="C29" t="n">
        <x:f>IF(C$1="","",IFERROR(INDEX('包络曲线数据'!$B$2:$U$742,ROW()-1,MATCH(C$1,'包络曲线数据'!$B$1:$U$1,0)),""))</x:f>
        <x:v>72.25575430389823</x:v>
      </x:c>
      <x:c r="D29" t="n">
        <x:f>IF(D$1="","",IFERROR(INDEX('包络曲线数据'!$B$2:$U$742,ROW()-1,MATCH(D$1,'包络曲线数据'!$B$1:$U$1,0)),""))</x:f>
        <x:v>50</x:v>
      </x:c>
      <x:c r="E29" t="str">
        <x:f>IF(E$1="","",IFERROR(INDEX('包络曲线数据'!$B$2:$U$742,ROW()-1,MATCH(E$1,'包络曲线数据'!$B$1:$U$1,0)),""))</x:f>
      </x:c>
      <x:c r="F29" t="str">
        <x:f>IF(F$1="","",IFERROR(INDEX('包络曲线数据'!$B$2:$U$742,ROW()-1,MATCH(F$1,'包络曲线数据'!$B$1:$U$1,0)),""))</x:f>
      </x:c>
      <x:c r="G29" t="str">
        <x:f>IF(G$1="","",IFERROR(INDEX('包络曲线数据'!$B$2:$U$742,ROW()-1,MATCH(G$1,'包络曲线数据'!$B$1:$U$1,0)),""))</x:f>
      </x:c>
      <x:c r="I29" t="n">
        <x:v>240.00000000000048</x:v>
      </x:c>
      <x:c r="J29" t="n">
        <x:f>IF(J$1="","",IFERROR(INDEX('代表咚声数据'!$B$2:$AO$39,ROW()-1,MATCH(J$1&amp;"_常见",'代表咚声数据'!$B$1:$AO$1,0)),""))</x:f>
        <x:v>64.30787452234367</x:v>
      </x:c>
      <x:c r="K29" t="n">
        <x:f>IF(K$1="","",IFERROR(INDEX('代表咚声数据'!$B$2:$AO$39,ROW()-1,MATCH(K$1&amp;"_常见",'代表咚声数据'!$B$1:$AO$1,0)),""))</x:f>
        <x:v>65.94192087888513</x:v>
      </x:c>
      <x:c r="L29" t="n">
        <x:f>IF(L$1="","",IFERROR(INDEX('代表咚声数据'!$B$2:$AO$39,ROW()-1,MATCH(L$1&amp;"_常见",'代表咚声数据'!$B$1:$AO$1,0)),""))</x:f>
        <x:v>64.18976231703046</x:v>
      </x:c>
      <x:c r="M29" t="str">
        <x:f>IF(M$1="","",IFERROR(INDEX('代表咚声数据'!$B$2:$AO$39,ROW()-1,MATCH(M$1&amp;"_常见",'代表咚声数据'!$B$1:$AO$1,0)),""))</x:f>
      </x:c>
      <x:c r="N29" t="str">
        <x:f>IF(N$1="","",IFERROR(INDEX('代表咚声数据'!$B$2:$AO$39,ROW()-1,MATCH(N$1&amp;"_常见",'代表咚声数据'!$B$1:$AO$1,0)),""))</x:f>
      </x:c>
      <x:c r="O29" t="str">
        <x:f>IF(O$1="","",IFERROR(INDEX('代表咚声数据'!$B$2:$AO$39,ROW()-1,MATCH(O$1&amp;"_常见",'代表咚声数据'!$B$1:$AO$1,0)),""))</x:f>
      </x:c>
      <x:c r="Q29" t="n">
        <x:v>240.00000000000048</x:v>
      </x:c>
      <x:c r="R29" t="n">
        <x:f>IF(R$1="","",IFERROR(INDEX('代表咚声数据'!$B$2:$AO$39,ROW()-1,MATCH(R$1&amp;"_较响",'代表咚声数据'!$B$1:$AO$1,0)),""))</x:f>
        <x:v>66.9244905100037</x:v>
      </x:c>
      <x:c r="S29" t="n">
        <x:f>IF(S$1="","",IFERROR(INDEX('代表咚声数据'!$B$2:$AO$39,ROW()-1,MATCH(S$1&amp;"_较响",'代表咚声数据'!$B$1:$AO$1,0)),""))</x:f>
        <x:v>68.47721579092553</x:v>
      </x:c>
      <x:c r="T29" t="n">
        <x:f>IF(T$1="","",IFERROR(INDEX('代表咚声数据'!$B$2:$AO$39,ROW()-1,MATCH(T$1&amp;"_较响",'代表咚声数据'!$B$1:$AO$1,0)),""))</x:f>
        <x:v>69.27626730454709</x:v>
      </x:c>
      <x:c r="U29" t="str">
        <x:f>IF(U$1="","",IFERROR(INDEX('代表咚声数据'!$B$2:$AO$39,ROW()-1,MATCH(U$1&amp;"_较响",'代表咚声数据'!$B$1:$AO$1,0)),""))</x:f>
      </x:c>
      <x:c r="V29" t="str">
        <x:f>IF(V$1="","",IFERROR(INDEX('代表咚声数据'!$B$2:$AO$39,ROW()-1,MATCH(V$1&amp;"_较响",'代表咚声数据'!$B$1:$AO$1,0)),""))</x:f>
      </x:c>
      <x:c r="W29" t="str">
        <x:f>IF(W$1="","",IFERROR(INDEX('代表咚声数据'!$B$2:$AO$39,ROW()-1,MATCH(W$1&amp;"_较响",'代表咚声数据'!$B$1:$AO$1,0)),""))</x:f>
      </x:c>
    </x:row>
    <x:row r="30">
      <x:c r="A30" t="n">
        <x:v>2.8000000000000003</x:v>
      </x:c>
      <x:c r="B30" t="n">
        <x:f>IF(B$1="","",IFERROR(INDEX('包络曲线数据'!$B$2:$U$742,ROW()-1,MATCH(B$1,'包络曲线数据'!$B$1:$U$1,0)),""))</x:f>
        <x:v>65.14846346125404</x:v>
      </x:c>
      <x:c r="C30" t="n">
        <x:f>IF(C$1="","",IFERROR(INDEX('包络曲线数据'!$B$2:$U$742,ROW()-1,MATCH(C$1,'包络曲线数据'!$B$1:$U$1,0)),""))</x:f>
        <x:v>66.272426018018</x:v>
      </x:c>
      <x:c r="D30" t="n">
        <x:f>IF(D$1="","",IFERROR(INDEX('包络曲线数据'!$B$2:$U$742,ROW()-1,MATCH(D$1,'包络曲线数据'!$B$1:$U$1,0)),""))</x:f>
        <x:v>50</x:v>
      </x:c>
      <x:c r="E30" t="str">
        <x:f>IF(E$1="","",IFERROR(INDEX('包络曲线数据'!$B$2:$U$742,ROW()-1,MATCH(E$1,'包络曲线数据'!$B$1:$U$1,0)),""))</x:f>
      </x:c>
      <x:c r="F30" t="str">
        <x:f>IF(F$1="","",IFERROR(INDEX('包络曲线数据'!$B$2:$U$742,ROW()-1,MATCH(F$1,'包络曲线数据'!$B$1:$U$1,0)),""))</x:f>
      </x:c>
      <x:c r="G30" t="str">
        <x:f>IF(G$1="","",IFERROR(INDEX('包络曲线数据'!$B$2:$U$742,ROW()-1,MATCH(G$1,'包络曲线数据'!$B$1:$U$1,0)),""))</x:f>
      </x:c>
      <x:c r="I30" t="n">
        <x:v>260.0000000000005</x:v>
      </x:c>
      <x:c r="J30" t="n">
        <x:f>IF(J$1="","",IFERROR(INDEX('代表咚声数据'!$B$2:$AO$39,ROW()-1,MATCH(J$1&amp;"_常见",'代表咚声数据'!$B$1:$AO$1,0)),""))</x:f>
        <x:v>64.34992465076758</x:v>
      </x:c>
      <x:c r="K30" t="n">
        <x:f>IF(K$1="","",IFERROR(INDEX('代表咚声数据'!$B$2:$AO$39,ROW()-1,MATCH(K$1&amp;"_常见",'代表咚声数据'!$B$1:$AO$1,0)),""))</x:f>
        <x:v>66.08014027048341</x:v>
      </x:c>
      <x:c r="L30" t="n">
        <x:f>IF(L$1="","",IFERROR(INDEX('代表咚声数据'!$B$2:$AO$39,ROW()-1,MATCH(L$1&amp;"_常见",'代表咚声数据'!$B$1:$AO$1,0)),""))</x:f>
        <x:v>65.58946159206228</x:v>
      </x:c>
      <x:c r="M30" t="str">
        <x:f>IF(M$1="","",IFERROR(INDEX('代表咚声数据'!$B$2:$AO$39,ROW()-1,MATCH(M$1&amp;"_常见",'代表咚声数据'!$B$1:$AO$1,0)),""))</x:f>
      </x:c>
      <x:c r="N30" t="str">
        <x:f>IF(N$1="","",IFERROR(INDEX('代表咚声数据'!$B$2:$AO$39,ROW()-1,MATCH(N$1&amp;"_常见",'代表咚声数据'!$B$1:$AO$1,0)),""))</x:f>
      </x:c>
      <x:c r="O30" t="str">
        <x:f>IF(O$1="","",IFERROR(INDEX('代表咚声数据'!$B$2:$AO$39,ROW()-1,MATCH(O$1&amp;"_常见",'代表咚声数据'!$B$1:$AO$1,0)),""))</x:f>
      </x:c>
      <x:c r="Q30" t="n">
        <x:v>260.0000000000005</x:v>
      </x:c>
      <x:c r="R30" t="n">
        <x:f>IF(R$1="","",IFERROR(INDEX('代表咚声数据'!$B$2:$AO$39,ROW()-1,MATCH(R$1&amp;"_较响",'代表咚声数据'!$B$1:$AO$1,0)),""))</x:f>
        <x:v>66.5838039085438</x:v>
      </x:c>
      <x:c r="S30" t="n">
        <x:f>IF(S$1="","",IFERROR(INDEX('代表咚声数据'!$B$2:$AO$39,ROW()-1,MATCH(S$1&amp;"_较响",'代表咚声数据'!$B$1:$AO$1,0)),""))</x:f>
        <x:v>67.85534022583532</x:v>
      </x:c>
      <x:c r="T30" t="n">
        <x:f>IF(T$1="","",IFERROR(INDEX('代表咚声数据'!$B$2:$AO$39,ROW()-1,MATCH(T$1&amp;"_较响",'代表咚声数据'!$B$1:$AO$1,0)),""))</x:f>
        <x:v>67.18667760250939</x:v>
      </x:c>
      <x:c r="U30" t="str">
        <x:f>IF(U$1="","",IFERROR(INDEX('代表咚声数据'!$B$2:$AO$39,ROW()-1,MATCH(U$1&amp;"_较响",'代表咚声数据'!$B$1:$AO$1,0)),""))</x:f>
      </x:c>
      <x:c r="V30" t="str">
        <x:f>IF(V$1="","",IFERROR(INDEX('代表咚声数据'!$B$2:$AO$39,ROW()-1,MATCH(V$1&amp;"_较响",'代表咚声数据'!$B$1:$AO$1,0)),""))</x:f>
      </x:c>
      <x:c r="W30" t="str">
        <x:f>IF(W$1="","",IFERROR(INDEX('代表咚声数据'!$B$2:$AO$39,ROW()-1,MATCH(W$1&amp;"_较响",'代表咚声数据'!$B$1:$AO$1,0)),""))</x:f>
      </x:c>
    </x:row>
    <x:row r="31">
      <x:c r="A31" t="n">
        <x:v>2.9000000000000004</x:v>
      </x:c>
      <x:c r="B31" t="n">
        <x:f>IF(B$1="","",IFERROR(INDEX('包络曲线数据'!$B$2:$U$742,ROW()-1,MATCH(B$1,'包络曲线数据'!$B$1:$U$1,0)),""))</x:f>
        <x:v>68.45114625825737</x:v>
      </x:c>
      <x:c r="C31" t="n">
        <x:f>IF(C$1="","",IFERROR(INDEX('包络曲线数据'!$B$2:$U$742,ROW()-1,MATCH(C$1,'包络曲线数据'!$B$1:$U$1,0)),""))</x:f>
        <x:v>62.21434026510136</x:v>
      </x:c>
      <x:c r="D31" t="n">
        <x:f>IF(D$1="","",IFERROR(INDEX('包络曲线数据'!$B$2:$U$742,ROW()-1,MATCH(D$1,'包络曲线数据'!$B$1:$U$1,0)),""))</x:f>
        <x:v>61.47842370992233</x:v>
      </x:c>
      <x:c r="E31" t="str">
        <x:f>IF(E$1="","",IFERROR(INDEX('包络曲线数据'!$B$2:$U$742,ROW()-1,MATCH(E$1,'包络曲线数据'!$B$1:$U$1,0)),""))</x:f>
      </x:c>
      <x:c r="F31" t="str">
        <x:f>IF(F$1="","",IFERROR(INDEX('包络曲线数据'!$B$2:$U$742,ROW()-1,MATCH(F$1,'包络曲线数据'!$B$1:$U$1,0)),""))</x:f>
      </x:c>
      <x:c r="G31" t="str">
        <x:f>IF(G$1="","",IFERROR(INDEX('包络曲线数据'!$B$2:$U$742,ROW()-1,MATCH(G$1,'包络曲线数据'!$B$1:$U$1,0)),""))</x:f>
      </x:c>
      <x:c r="I31" t="n">
        <x:v>280.0000000000005</x:v>
      </x:c>
      <x:c r="J31" t="n">
        <x:f>IF(J$1="","",IFERROR(INDEX('代表咚声数据'!$B$2:$AO$39,ROW()-1,MATCH(J$1&amp;"_常见",'代表咚声数据'!$B$1:$AO$1,0)),""))</x:f>
        <x:v>64.42795510487882</x:v>
      </x:c>
      <x:c r="K31" t="n">
        <x:f>IF(K$1="","",IFERROR(INDEX('代表咚声数据'!$B$2:$AO$39,ROW()-1,MATCH(K$1&amp;"_常见",'代表咚声数据'!$B$1:$AO$1,0)),""))</x:f>
        <x:v>66.14204956754575</x:v>
      </x:c>
      <x:c r="L31" t="n">
        <x:f>IF(L$1="","",IFERROR(INDEX('代表咚声数据'!$B$2:$AO$39,ROW()-1,MATCH(L$1&amp;"_常见",'代表咚声数据'!$B$1:$AO$1,0)),""))</x:f>
        <x:v>65.79932614068177</x:v>
      </x:c>
      <x:c r="M31" t="str">
        <x:f>IF(M$1="","",IFERROR(INDEX('代表咚声数据'!$B$2:$AO$39,ROW()-1,MATCH(M$1&amp;"_常见",'代表咚声数据'!$B$1:$AO$1,0)),""))</x:f>
      </x:c>
      <x:c r="N31" t="str">
        <x:f>IF(N$1="","",IFERROR(INDEX('代表咚声数据'!$B$2:$AO$39,ROW()-1,MATCH(N$1&amp;"_常见",'代表咚声数据'!$B$1:$AO$1,0)),""))</x:f>
      </x:c>
      <x:c r="O31" t="str">
        <x:f>IF(O$1="","",IFERROR(INDEX('代表咚声数据'!$B$2:$AO$39,ROW()-1,MATCH(O$1&amp;"_常见",'代表咚声数据'!$B$1:$AO$1,0)),""))</x:f>
      </x:c>
      <x:c r="Q31" t="n">
        <x:v>280.0000000000005</x:v>
      </x:c>
      <x:c r="R31" t="n">
        <x:f>IF(R$1="","",IFERROR(INDEX('代表咚声数据'!$B$2:$AO$39,ROW()-1,MATCH(R$1&amp;"_较响",'代表咚声数据'!$B$1:$AO$1,0)),""))</x:f>
        <x:v>66.64084437293855</x:v>
      </x:c>
      <x:c r="S31" t="n">
        <x:f>IF(S$1="","",IFERROR(INDEX('代表咚声数据'!$B$2:$AO$39,ROW()-1,MATCH(S$1&amp;"_较响",'代表咚声数据'!$B$1:$AO$1,0)),""))</x:f>
        <x:v>67.28442864070125</x:v>
      </x:c>
      <x:c r="T31" t="n">
        <x:f>IF(T$1="","",IFERROR(INDEX('代表咚声数据'!$B$2:$AO$39,ROW()-1,MATCH(T$1&amp;"_较响",'代表咚声数据'!$B$1:$AO$1,0)),""))</x:f>
        <x:v>66.36328374035953</x:v>
      </x:c>
      <x:c r="U31" t="str">
        <x:f>IF(U$1="","",IFERROR(INDEX('代表咚声数据'!$B$2:$AO$39,ROW()-1,MATCH(U$1&amp;"_较响",'代表咚声数据'!$B$1:$AO$1,0)),""))</x:f>
      </x:c>
      <x:c r="V31" t="str">
        <x:f>IF(V$1="","",IFERROR(INDEX('代表咚声数据'!$B$2:$AO$39,ROW()-1,MATCH(V$1&amp;"_较响",'代表咚声数据'!$B$1:$AO$1,0)),""))</x:f>
      </x:c>
      <x:c r="W31" t="str">
        <x:f>IF(W$1="","",IFERROR(INDEX('代表咚声数据'!$B$2:$AO$39,ROW()-1,MATCH(W$1&amp;"_较响",'代表咚声数据'!$B$1:$AO$1,0)),""))</x:f>
      </x:c>
    </x:row>
    <x:row r="32">
      <x:c r="A32" t="n">
        <x:v>3</x:v>
      </x:c>
      <x:c r="B32" t="n">
        <x:f>IF(B$1="","",IFERROR(INDEX('包络曲线数据'!$B$2:$U$742,ROW()-1,MATCH(B$1,'包络曲线数据'!$B$1:$U$1,0)),""))</x:f>
        <x:v>71.7538290552607</x:v>
      </x:c>
      <x:c r="C32" t="n">
        <x:f>IF(C$1="","",IFERROR(INDEX('包络曲线数据'!$B$2:$U$742,ROW()-1,MATCH(C$1,'包络曲线数据'!$B$1:$U$1,0)),""))</x:f>
        <x:v>66.74845448405851</x:v>
      </x:c>
      <x:c r="D32" t="n">
        <x:f>IF(D$1="","",IFERROR(INDEX('包络曲线数据'!$B$2:$U$742,ROW()-1,MATCH(D$1,'包络曲线数据'!$B$1:$U$1,0)),""))</x:f>
        <x:v>67.00038912600291</x:v>
      </x:c>
      <x:c r="E32" t="str">
        <x:f>IF(E$1="","",IFERROR(INDEX('包络曲线数据'!$B$2:$U$742,ROW()-1,MATCH(E$1,'包络曲线数据'!$B$1:$U$1,0)),""))</x:f>
      </x:c>
      <x:c r="F32" t="str">
        <x:f>IF(F$1="","",IFERROR(INDEX('包络曲线数据'!$B$2:$U$742,ROW()-1,MATCH(F$1,'包络曲线数据'!$B$1:$U$1,0)),""))</x:f>
      </x:c>
      <x:c r="G32" t="str">
        <x:f>IF(G$1="","",IFERROR(INDEX('包络曲线数据'!$B$2:$U$742,ROW()-1,MATCH(G$1,'包络曲线数据'!$B$1:$U$1,0)),""))</x:f>
      </x:c>
      <x:c r="I32" t="n">
        <x:v>300.00000000000057</x:v>
      </x:c>
      <x:c r="J32" t="n">
        <x:f>IF(J$1="","",IFERROR(INDEX('代表咚声数据'!$B$2:$AO$39,ROW()-1,MATCH(J$1&amp;"_常见",'代表咚声数据'!$B$1:$AO$1,0)),""))</x:f>
        <x:v>64.1967717408238</x:v>
      </x:c>
      <x:c r="K32" t="n">
        <x:f>IF(K$1="","",IFERROR(INDEX('代表咚声数据'!$B$2:$AO$39,ROW()-1,MATCH(K$1&amp;"_常见",'代表咚声数据'!$B$1:$AO$1,0)),""))</x:f>
        <x:v>65.90704539537919</x:v>
      </x:c>
      <x:c r="L32" t="n">
        <x:f>IF(L$1="","",IFERROR(INDEX('代表咚声数据'!$B$2:$AO$39,ROW()-1,MATCH(L$1&amp;"_常见",'代表咚声数据'!$B$1:$AO$1,0)),""))</x:f>
        <x:v>65.69400240525931</x:v>
      </x:c>
      <x:c r="M32" t="str">
        <x:f>IF(M$1="","",IFERROR(INDEX('代表咚声数据'!$B$2:$AO$39,ROW()-1,MATCH(M$1&amp;"_常见",'代表咚声数据'!$B$1:$AO$1,0)),""))</x:f>
      </x:c>
      <x:c r="N32" t="str">
        <x:f>IF(N$1="","",IFERROR(INDEX('代表咚声数据'!$B$2:$AO$39,ROW()-1,MATCH(N$1&amp;"_常见",'代表咚声数据'!$B$1:$AO$1,0)),""))</x:f>
      </x:c>
      <x:c r="O32" t="str">
        <x:f>IF(O$1="","",IFERROR(INDEX('代表咚声数据'!$B$2:$AO$39,ROW()-1,MATCH(O$1&amp;"_常见",'代表咚声数据'!$B$1:$AO$1,0)),""))</x:f>
      </x:c>
      <x:c r="Q32" t="n">
        <x:v>300.00000000000057</x:v>
      </x:c>
      <x:c r="R32" t="n">
        <x:f>IF(R$1="","",IFERROR(INDEX('代表咚声数据'!$B$2:$AO$39,ROW()-1,MATCH(R$1&amp;"_较响",'代表咚声数据'!$B$1:$AO$1,0)),""))</x:f>
        <x:v>65.9920930190837</x:v>
      </x:c>
      <x:c r="S32" t="n">
        <x:f>IF(S$1="","",IFERROR(INDEX('代表咚声数据'!$B$2:$AO$39,ROW()-1,MATCH(S$1&amp;"_较响",'代表咚声数据'!$B$1:$AO$1,0)),""))</x:f>
        <x:v>66.97859452948437</x:v>
      </x:c>
      <x:c r="T32" t="n">
        <x:f>IF(T$1="","",IFERROR(INDEX('代表咚声数据'!$B$2:$AO$39,ROW()-1,MATCH(T$1&amp;"_较响",'代表咚声数据'!$B$1:$AO$1,0)),""))</x:f>
        <x:v>66.86881698152547</x:v>
      </x:c>
      <x:c r="U32" t="str">
        <x:f>IF(U$1="","",IFERROR(INDEX('代表咚声数据'!$B$2:$AO$39,ROW()-1,MATCH(U$1&amp;"_较响",'代表咚声数据'!$B$1:$AO$1,0)),""))</x:f>
      </x:c>
      <x:c r="V32" t="str">
        <x:f>IF(V$1="","",IFERROR(INDEX('代表咚声数据'!$B$2:$AO$39,ROW()-1,MATCH(V$1&amp;"_较响",'代表咚声数据'!$B$1:$AO$1,0)),""))</x:f>
      </x:c>
      <x:c r="W32" t="str">
        <x:f>IF(W$1="","",IFERROR(INDEX('代表咚声数据'!$B$2:$AO$39,ROW()-1,MATCH(W$1&amp;"_较响",'代表咚声数据'!$B$1:$AO$1,0)),""))</x:f>
      </x:c>
    </x:row>
    <x:row r="33">
      <x:c r="A33" t="n">
        <x:v>3.1</x:v>
      </x:c>
      <x:c r="B33" t="n">
        <x:f>IF(B$1="","",IFERROR(INDEX('包络曲线数据'!$B$2:$U$742,ROW()-1,MATCH(B$1,'包络曲线数据'!$B$1:$U$1,0)),""))</x:f>
        <x:v>75.45832944960279</x:v>
      </x:c>
      <x:c r="C33" t="n">
        <x:f>IF(C$1="","",IFERROR(INDEX('包络曲线数据'!$B$2:$U$742,ROW()-1,MATCH(C$1,'包络曲线数据'!$B$1:$U$1,0)),""))</x:f>
        <x:v>69.01819019590172</x:v>
      </x:c>
      <x:c r="D33" t="n">
        <x:f>IF(D$1="","",IFERROR(INDEX('包络曲线数据'!$B$2:$U$742,ROW()-1,MATCH(D$1,'包络曲线数据'!$B$1:$U$1,0)),""))</x:f>
        <x:v>67.00038912600291</x:v>
      </x:c>
      <x:c r="E33" t="str">
        <x:f>IF(E$1="","",IFERROR(INDEX('包络曲线数据'!$B$2:$U$742,ROW()-1,MATCH(E$1,'包络曲线数据'!$B$1:$U$1,0)),""))</x:f>
      </x:c>
      <x:c r="F33" t="str">
        <x:f>IF(F$1="","",IFERROR(INDEX('包络曲线数据'!$B$2:$U$742,ROW()-1,MATCH(F$1,'包络曲线数据'!$B$1:$U$1,0)),""))</x:f>
      </x:c>
      <x:c r="G33" t="str">
        <x:f>IF(G$1="","",IFERROR(INDEX('包络曲线数据'!$B$2:$U$742,ROW()-1,MATCH(G$1,'包络曲线数据'!$B$1:$U$1,0)),""))</x:f>
      </x:c>
      <x:c r="I33" t="n">
        <x:v>320.00000000000057</x:v>
      </x:c>
      <x:c r="J33" t="n">
        <x:f>IF(J$1="","",IFERROR(INDEX('代表咚声数据'!$B$2:$AO$39,ROW()-1,MATCH(J$1&amp;"_常见",'代表咚声数据'!$B$1:$AO$1,0)),""))</x:f>
        <x:v>63.46407128560552</x:v>
      </x:c>
      <x:c r="K33" t="n">
        <x:f>IF(K$1="","",IFERROR(INDEX('代表咚声数据'!$B$2:$AO$39,ROW()-1,MATCH(K$1&amp;"_常见",'代表咚声数据'!$B$1:$AO$1,0)),""))</x:f>
        <x:v>66.24076566980307</x:v>
      </x:c>
      <x:c r="L33" t="n">
        <x:f>IF(L$1="","",IFERROR(INDEX('代表咚声数据'!$B$2:$AO$39,ROW()-1,MATCH(L$1&amp;"_常见",'代表咚声数据'!$B$1:$AO$1,0)),""))</x:f>
        <x:v>66.14009529194584</x:v>
      </x:c>
      <x:c r="M33" t="str">
        <x:f>IF(M$1="","",IFERROR(INDEX('代表咚声数据'!$B$2:$AO$39,ROW()-1,MATCH(M$1&amp;"_常见",'代表咚声数据'!$B$1:$AO$1,0)),""))</x:f>
      </x:c>
      <x:c r="N33" t="str">
        <x:f>IF(N$1="","",IFERROR(INDEX('代表咚声数据'!$B$2:$AO$39,ROW()-1,MATCH(N$1&amp;"_常见",'代表咚声数据'!$B$1:$AO$1,0)),""))</x:f>
      </x:c>
      <x:c r="O33" t="str">
        <x:f>IF(O$1="","",IFERROR(INDEX('代表咚声数据'!$B$2:$AO$39,ROW()-1,MATCH(O$1&amp;"_常见",'代表咚声数据'!$B$1:$AO$1,0)),""))</x:f>
      </x:c>
      <x:c r="Q33" t="n">
        <x:v>320.00000000000057</x:v>
      </x:c>
      <x:c r="R33" t="n">
        <x:f>IF(R$1="","",IFERROR(INDEX('代表咚声数据'!$B$2:$AO$39,ROW()-1,MATCH(R$1&amp;"_较响",'代表咚声数据'!$B$1:$AO$1,0)),""))</x:f>
        <x:v>66.90646242931466</x:v>
      </x:c>
      <x:c r="S33" t="n">
        <x:f>IF(S$1="","",IFERROR(INDEX('代表咚声数据'!$B$2:$AO$39,ROW()-1,MATCH(S$1&amp;"_较响",'代表咚声数据'!$B$1:$AO$1,0)),""))</x:f>
        <x:v>67.24660181470797</x:v>
      </x:c>
      <x:c r="T33" t="n">
        <x:f>IF(T$1="","",IFERROR(INDEX('代表咚声数据'!$B$2:$AO$39,ROW()-1,MATCH(T$1&amp;"_较响",'代表咚声数据'!$B$1:$AO$1,0)),""))</x:f>
        <x:v>67.0259888951075</x:v>
      </x:c>
      <x:c r="U33" t="str">
        <x:f>IF(U$1="","",IFERROR(INDEX('代表咚声数据'!$B$2:$AO$39,ROW()-1,MATCH(U$1&amp;"_较响",'代表咚声数据'!$B$1:$AO$1,0)),""))</x:f>
      </x:c>
      <x:c r="V33" t="str">
        <x:f>IF(V$1="","",IFERROR(INDEX('代表咚声数据'!$B$2:$AO$39,ROW()-1,MATCH(V$1&amp;"_较响",'代表咚声数据'!$B$1:$AO$1,0)),""))</x:f>
      </x:c>
      <x:c r="W33" t="str">
        <x:f>IF(W$1="","",IFERROR(INDEX('代表咚声数据'!$B$2:$AO$39,ROW()-1,MATCH(W$1&amp;"_较响",'代表咚声数据'!$B$1:$AO$1,0)),""))</x:f>
      </x:c>
    </x:row>
    <x:row r="34">
      <x:c r="A34" t="n">
        <x:v>3.2</x:v>
      </x:c>
      <x:c r="B34" t="n">
        <x:f>IF(B$1="","",IFERROR(INDEX('包络曲线数据'!$B$2:$U$742,ROW()-1,MATCH(B$1,'包络曲线数据'!$B$1:$U$1,0)),""))</x:f>
        <x:v>76.11940077483482</x:v>
      </x:c>
      <x:c r="C34" t="n">
        <x:f>IF(C$1="","",IFERROR(INDEX('包络曲线数据'!$B$2:$U$742,ROW()-1,MATCH(C$1,'包络曲线数据'!$B$1:$U$1,0)),""))</x:f>
        <x:v>69.81519501611459</x:v>
      </x:c>
      <x:c r="D34" t="n">
        <x:f>IF(D$1="","",IFERROR(INDEX('包络曲线数据'!$B$2:$U$742,ROW()-1,MATCH(D$1,'包络曲线数据'!$B$1:$U$1,0)),""))</x:f>
        <x:v>79.38719761204774</x:v>
      </x:c>
      <x:c r="E34" t="str">
        <x:f>IF(E$1="","",IFERROR(INDEX('包络曲线数据'!$B$2:$U$742,ROW()-1,MATCH(E$1,'包络曲线数据'!$B$1:$U$1,0)),""))</x:f>
      </x:c>
      <x:c r="F34" t="str">
        <x:f>IF(F$1="","",IFERROR(INDEX('包络曲线数据'!$B$2:$U$742,ROW()-1,MATCH(F$1,'包络曲线数据'!$B$1:$U$1,0)),""))</x:f>
      </x:c>
      <x:c r="G34" t="str">
        <x:f>IF(G$1="","",IFERROR(INDEX('包络曲线数据'!$B$2:$U$742,ROW()-1,MATCH(G$1,'包络曲线数据'!$B$1:$U$1,0)),""))</x:f>
      </x:c>
      <x:c r="I34" t="n">
        <x:v>340.00000000000057</x:v>
      </x:c>
      <x:c r="J34" t="n">
        <x:f>IF(J$1="","",IFERROR(INDEX('代表咚声数据'!$B$2:$AO$39,ROW()-1,MATCH(J$1&amp;"_常见",'代表咚声数据'!$B$1:$AO$1,0)),""))</x:f>
        <x:v>63.94684648368112</x:v>
      </x:c>
      <x:c r="K34" t="n">
        <x:f>IF(K$1="","",IFERROR(INDEX('代表咚声数据'!$B$2:$AO$39,ROW()-1,MATCH(K$1&amp;"_常见",'代表咚声数据'!$B$1:$AO$1,0)),""))</x:f>
        <x:v>66.96927158158985</x:v>
      </x:c>
      <x:c r="L34" t="n">
        <x:f>IF(L$1="","",IFERROR(INDEX('代表咚声数据'!$B$2:$AO$39,ROW()-1,MATCH(L$1&amp;"_常见",'代表咚声数据'!$B$1:$AO$1,0)),""))</x:f>
        <x:v>65.24474102434674</x:v>
      </x:c>
      <x:c r="M34" t="str">
        <x:f>IF(M$1="","",IFERROR(INDEX('代表咚声数据'!$B$2:$AO$39,ROW()-1,MATCH(M$1&amp;"_常见",'代表咚声数据'!$B$1:$AO$1,0)),""))</x:f>
      </x:c>
      <x:c r="N34" t="str">
        <x:f>IF(N$1="","",IFERROR(INDEX('代表咚声数据'!$B$2:$AO$39,ROW()-1,MATCH(N$1&amp;"_常见",'代表咚声数据'!$B$1:$AO$1,0)),""))</x:f>
      </x:c>
      <x:c r="O34" t="str">
        <x:f>IF(O$1="","",IFERROR(INDEX('代表咚声数据'!$B$2:$AO$39,ROW()-1,MATCH(O$1&amp;"_常见",'代表咚声数据'!$B$1:$AO$1,0)),""))</x:f>
      </x:c>
      <x:c r="Q34" t="n">
        <x:v>340.00000000000057</x:v>
      </x:c>
      <x:c r="R34" t="n">
        <x:f>IF(R$1="","",IFERROR(INDEX('代表咚声数据'!$B$2:$AO$39,ROW()-1,MATCH(R$1&amp;"_较响",'代表咚声数据'!$B$1:$AO$1,0)),""))</x:f>
        <x:v>66.61943636900689</x:v>
      </x:c>
      <x:c r="S34" t="n">
        <x:f>IF(S$1="","",IFERROR(INDEX('代表咚声数据'!$B$2:$AO$39,ROW()-1,MATCH(S$1&amp;"_较响",'代表咚声数据'!$B$1:$AO$1,0)),""))</x:f>
        <x:v>67.49788535425715</x:v>
      </x:c>
      <x:c r="T34" t="n">
        <x:f>IF(T$1="","",IFERROR(INDEX('代表咚声数据'!$B$2:$AO$39,ROW()-1,MATCH(T$1&amp;"_较响",'代表咚声数据'!$B$1:$AO$1,0)),""))</x:f>
        <x:v>68.27332553626701</x:v>
      </x:c>
      <x:c r="U34" t="str">
        <x:f>IF(U$1="","",IFERROR(INDEX('代表咚声数据'!$B$2:$AO$39,ROW()-1,MATCH(U$1&amp;"_较响",'代表咚声数据'!$B$1:$AO$1,0)),""))</x:f>
      </x:c>
      <x:c r="V34" t="str">
        <x:f>IF(V$1="","",IFERROR(INDEX('代表咚声数据'!$B$2:$AO$39,ROW()-1,MATCH(V$1&amp;"_较响",'代表咚声数据'!$B$1:$AO$1,0)),""))</x:f>
      </x:c>
      <x:c r="W34" t="str">
        <x:f>IF(W$1="","",IFERROR(INDEX('代表咚声数据'!$B$2:$AO$39,ROW()-1,MATCH(W$1&amp;"_较响",'代表咚声数据'!$B$1:$AO$1,0)),""))</x:f>
      </x:c>
    </x:row>
    <x:row r="35">
      <x:c r="A35" t="n">
        <x:v>3.3000000000000003</x:v>
      </x:c>
      <x:c r="B35" t="n">
        <x:f>IF(B$1="","",IFERROR(INDEX('包络曲线数据'!$B$2:$U$742,ROW()-1,MATCH(B$1,'包络曲线数据'!$B$1:$U$1,0)),""))</x:f>
        <x:v>75.5471631550645</x:v>
      </x:c>
      <x:c r="C35" t="n">
        <x:f>IF(C$1="","",IFERROR(INDEX('包络曲线数据'!$B$2:$U$742,ROW()-1,MATCH(C$1,'包络曲线数据'!$B$1:$U$1,0)),""))</x:f>
        <x:v>70.64641080612444</x:v>
      </x:c>
      <x:c r="D35" t="n">
        <x:f>IF(D$1="","",IFERROR(INDEX('包络曲线数据'!$B$2:$U$742,ROW()-1,MATCH(D$1,'包络曲线数据'!$B$1:$U$1,0)),""))</x:f>
        <x:v>79.38719761204774</x:v>
      </x:c>
      <x:c r="E35" t="str">
        <x:f>IF(E$1="","",IFERROR(INDEX('包络曲线数据'!$B$2:$U$742,ROW()-1,MATCH(E$1,'包络曲线数据'!$B$1:$U$1,0)),""))</x:f>
      </x:c>
      <x:c r="F35" t="str">
        <x:f>IF(F$1="","",IFERROR(INDEX('包络曲线数据'!$B$2:$U$742,ROW()-1,MATCH(F$1,'包络曲线数据'!$B$1:$U$1,0)),""))</x:f>
      </x:c>
      <x:c r="G35" t="str">
        <x:f>IF(G$1="","",IFERROR(INDEX('包络曲线数据'!$B$2:$U$742,ROW()-1,MATCH(G$1,'包络曲线数据'!$B$1:$U$1,0)),""))</x:f>
      </x:c>
      <x:c r="I35" t="n">
        <x:v>360.0000000000006</x:v>
      </x:c>
      <x:c r="J35" t="n">
        <x:f>IF(J$1="","",IFERROR(INDEX('代表咚声数据'!$B$2:$AO$39,ROW()-1,MATCH(J$1&amp;"_常见",'代表咚声数据'!$B$1:$AO$1,0)),""))</x:f>
        <x:v>64.50451211710242</x:v>
      </x:c>
      <x:c r="K35" t="n">
        <x:f>IF(K$1="","",IFERROR(INDEX('代表咚声数据'!$B$2:$AO$39,ROW()-1,MATCH(K$1&amp;"_常见",'代表咚声数据'!$B$1:$AO$1,0)),""))</x:f>
        <x:v>67.23476197014472</x:v>
      </x:c>
      <x:c r="L35" t="n">
        <x:f>IF(L$1="","",IFERROR(INDEX('代表咚声数据'!$B$2:$AO$39,ROW()-1,MATCH(L$1&amp;"_常见",'代表咚声数据'!$B$1:$AO$1,0)),""))</x:f>
        <x:v>64.38686190166062</x:v>
      </x:c>
      <x:c r="M35" t="str">
        <x:f>IF(M$1="","",IFERROR(INDEX('代表咚声数据'!$B$2:$AO$39,ROW()-1,MATCH(M$1&amp;"_常见",'代表咚声数据'!$B$1:$AO$1,0)),""))</x:f>
      </x:c>
      <x:c r="N35" t="str">
        <x:f>IF(N$1="","",IFERROR(INDEX('代表咚声数据'!$B$2:$AO$39,ROW()-1,MATCH(N$1&amp;"_常见",'代表咚声数据'!$B$1:$AO$1,0)),""))</x:f>
      </x:c>
      <x:c r="O35" t="str">
        <x:f>IF(O$1="","",IFERROR(INDEX('代表咚声数据'!$B$2:$AO$39,ROW()-1,MATCH(O$1&amp;"_常见",'代表咚声数据'!$B$1:$AO$1,0)),""))</x:f>
      </x:c>
      <x:c r="Q35" t="n">
        <x:v>360.0000000000006</x:v>
      </x:c>
      <x:c r="R35" t="n">
        <x:f>IF(R$1="","",IFERROR(INDEX('代表咚声数据'!$B$2:$AO$39,ROW()-1,MATCH(R$1&amp;"_较响",'代表咚声数据'!$B$1:$AO$1,0)),""))</x:f>
        <x:v>66.97935764936693</x:v>
      </x:c>
      <x:c r="S35" t="n">
        <x:f>IF(S$1="","",IFERROR(INDEX('代表咚声数据'!$B$2:$AO$39,ROW()-1,MATCH(S$1&amp;"_较响",'代表咚声数据'!$B$1:$AO$1,0)),""))</x:f>
        <x:v>67.59908445530988</x:v>
      </x:c>
      <x:c r="T35" t="n">
        <x:f>IF(T$1="","",IFERROR(INDEX('代表咚声数据'!$B$2:$AO$39,ROW()-1,MATCH(T$1&amp;"_较响",'代表咚声数据'!$B$1:$AO$1,0)),""))</x:f>
        <x:v>68.14067981051738</x:v>
      </x:c>
      <x:c r="U35" t="str">
        <x:f>IF(U$1="","",IFERROR(INDEX('代表咚声数据'!$B$2:$AO$39,ROW()-1,MATCH(U$1&amp;"_较响",'代表咚声数据'!$B$1:$AO$1,0)),""))</x:f>
      </x:c>
      <x:c r="V35" t="str">
        <x:f>IF(V$1="","",IFERROR(INDEX('代表咚声数据'!$B$2:$AO$39,ROW()-1,MATCH(V$1&amp;"_较响",'代表咚声数据'!$B$1:$AO$1,0)),""))</x:f>
      </x:c>
      <x:c r="W35" t="str">
        <x:f>IF(W$1="","",IFERROR(INDEX('代表咚声数据'!$B$2:$AO$39,ROW()-1,MATCH(W$1&amp;"_较响",'代表咚声数据'!$B$1:$AO$1,0)),""))</x:f>
      </x:c>
    </x:row>
    <x:row r="36">
      <x:c r="A36" t="n">
        <x:v>3.4000000000000004</x:v>
      </x:c>
      <x:c r="B36" t="n">
        <x:f>IF(B$1="","",IFERROR(INDEX('包络曲线数据'!$B$2:$U$742,ROW()-1,MATCH(B$1,'包络曲线数据'!$B$1:$U$1,0)),""))</x:f>
        <x:v>68.49962512006041</x:v>
      </x:c>
      <x:c r="C36" t="n">
        <x:f>IF(C$1="","",IFERROR(INDEX('包络曲线数据'!$B$2:$U$742,ROW()-1,MATCH(C$1,'包络曲线数据'!$B$1:$U$1,0)),""))</x:f>
        <x:v>70.64641080612444</x:v>
      </x:c>
      <x:c r="D36" t="n">
        <x:f>IF(D$1="","",IFERROR(INDEX('包络曲线数据'!$B$2:$U$742,ROW()-1,MATCH(D$1,'包络曲线数据'!$B$1:$U$1,0)),""))</x:f>
        <x:v>78.00940895394669</x:v>
      </x:c>
      <x:c r="E36" t="str">
        <x:f>IF(E$1="","",IFERROR(INDEX('包络曲线数据'!$B$2:$U$742,ROW()-1,MATCH(E$1,'包络曲线数据'!$B$1:$U$1,0)),""))</x:f>
      </x:c>
      <x:c r="F36" t="str">
        <x:f>IF(F$1="","",IFERROR(INDEX('包络曲线数据'!$B$2:$U$742,ROW()-1,MATCH(F$1,'包络曲线数据'!$B$1:$U$1,0)),""))</x:f>
      </x:c>
      <x:c r="G36" t="str">
        <x:f>IF(G$1="","",IFERROR(INDEX('包络曲线数据'!$B$2:$U$742,ROW()-1,MATCH(G$1,'包络曲线数据'!$B$1:$U$1,0)),""))</x:f>
      </x:c>
      <x:c r="I36" t="n">
        <x:v>380.0000000000006</x:v>
      </x:c>
      <x:c r="J36" t="n">
        <x:f>IF(J$1="","",IFERROR(INDEX('代表咚声数据'!$B$2:$AO$39,ROW()-1,MATCH(J$1&amp;"_常见",'代表咚声数据'!$B$1:$AO$1,0)),""))</x:f>
        <x:v>64.86098932845417</x:v>
      </x:c>
      <x:c r="K36" t="n">
        <x:f>IF(K$1="","",IFERROR(INDEX('代表咚声数据'!$B$2:$AO$39,ROW()-1,MATCH(K$1&amp;"_常见",'代表咚声数据'!$B$1:$AO$1,0)),""))</x:f>
        <x:v>68.51148953701741</x:v>
      </x:c>
      <x:c r="L36" t="n">
        <x:f>IF(L$1="","",IFERROR(INDEX('代表咚声数据'!$B$2:$AO$39,ROW()-1,MATCH(L$1&amp;"_常见",'代表咚声数据'!$B$1:$AO$1,0)),""))</x:f>
        <x:v>64.57101616647405</x:v>
      </x:c>
      <x:c r="M36" t="str">
        <x:f>IF(M$1="","",IFERROR(INDEX('代表咚声数据'!$B$2:$AO$39,ROW()-1,MATCH(M$1&amp;"_常见",'代表咚声数据'!$B$1:$AO$1,0)),""))</x:f>
      </x:c>
      <x:c r="N36" t="str">
        <x:f>IF(N$1="","",IFERROR(INDEX('代表咚声数据'!$B$2:$AO$39,ROW()-1,MATCH(N$1&amp;"_常见",'代表咚声数据'!$B$1:$AO$1,0)),""))</x:f>
      </x:c>
      <x:c r="O36" t="str">
        <x:f>IF(O$1="","",IFERROR(INDEX('代表咚声数据'!$B$2:$AO$39,ROW()-1,MATCH(O$1&amp;"_常见",'代表咚声数据'!$B$1:$AO$1,0)),""))</x:f>
      </x:c>
      <x:c r="Q36" t="n">
        <x:v>380.0000000000006</x:v>
      </x:c>
      <x:c r="R36" t="n">
        <x:f>IF(R$1="","",IFERROR(INDEX('代表咚声数据'!$B$2:$AO$39,ROW()-1,MATCH(R$1&amp;"_较响",'代表咚声数据'!$B$1:$AO$1,0)),""))</x:f>
        <x:v>67.14009632406898</x:v>
      </x:c>
      <x:c r="S36" t="n">
        <x:f>IF(S$1="","",IFERROR(INDEX('代表咚声数据'!$B$2:$AO$39,ROW()-1,MATCH(S$1&amp;"_较响",'代表咚声数据'!$B$1:$AO$1,0)),""))</x:f>
        <x:v>67.78238417664755</x:v>
      </x:c>
      <x:c r="T36" t="n">
        <x:f>IF(T$1="","",IFERROR(INDEX('代表咚声数据'!$B$2:$AO$39,ROW()-1,MATCH(T$1&amp;"_较响",'代表咚声数据'!$B$1:$AO$1,0)),""))</x:f>
        <x:v>67.16348281383155</x:v>
      </x:c>
      <x:c r="U36" t="str">
        <x:f>IF(U$1="","",IFERROR(INDEX('代表咚声数据'!$B$2:$AO$39,ROW()-1,MATCH(U$1&amp;"_较响",'代表咚声数据'!$B$1:$AO$1,0)),""))</x:f>
      </x:c>
      <x:c r="V36" t="str">
        <x:f>IF(V$1="","",IFERROR(INDEX('代表咚声数据'!$B$2:$AO$39,ROW()-1,MATCH(V$1&amp;"_较响",'代表咚声数据'!$B$1:$AO$1,0)),""))</x:f>
      </x:c>
      <x:c r="W36" t="str">
        <x:f>IF(W$1="","",IFERROR(INDEX('代表咚声数据'!$B$2:$AO$39,ROW()-1,MATCH(W$1&amp;"_较响",'代表咚声数据'!$B$1:$AO$1,0)),""))</x:f>
      </x:c>
    </x:row>
    <x:row r="37">
      <x:c r="A37" t="n">
        <x:v>3.5</x:v>
      </x:c>
      <x:c r="B37" t="n">
        <x:f>IF(B$1="","",IFERROR(INDEX('包络曲线数据'!$B$2:$U$742,ROW()-1,MATCH(B$1,'包络曲线数据'!$B$1:$U$1,0)),""))</x:f>
        <x:v>63.28901909692348</x:v>
      </x:c>
      <x:c r="C37" t="n">
        <x:f>IF(C$1="","",IFERROR(INDEX('包络曲线数据'!$B$2:$U$742,ROW()-1,MATCH(C$1,'包络曲线数据'!$B$1:$U$1,0)),""))</x:f>
        <x:v>70.7344491290999</x:v>
      </x:c>
      <x:c r="D37" t="n">
        <x:f>IF(D$1="","",IFERROR(INDEX('包络曲线数据'!$B$2:$U$742,ROW()-1,MATCH(D$1,'包络曲线数据'!$B$1:$U$1,0)),""))</x:f>
        <x:v>78.3399718438335</x:v>
      </x:c>
      <x:c r="E37" t="str">
        <x:f>IF(E$1="","",IFERROR(INDEX('包络曲线数据'!$B$2:$U$742,ROW()-1,MATCH(E$1,'包络曲线数据'!$B$1:$U$1,0)),""))</x:f>
      </x:c>
      <x:c r="F37" t="str">
        <x:f>IF(F$1="","",IFERROR(INDEX('包络曲线数据'!$B$2:$U$742,ROW()-1,MATCH(F$1,'包络曲线数据'!$B$1:$U$1,0)),""))</x:f>
      </x:c>
      <x:c r="G37" t="str">
        <x:f>IF(G$1="","",IFERROR(INDEX('包络曲线数据'!$B$2:$U$742,ROW()-1,MATCH(G$1,'包络曲线数据'!$B$1:$U$1,0)),""))</x:f>
      </x:c>
      <x:c r="I37" t="n">
        <x:v>400.0000000000006</x:v>
      </x:c>
      <x:c r="J37" t="n">
        <x:f>IF(J$1="","",IFERROR(INDEX('代表咚声数据'!$B$2:$AO$39,ROW()-1,MATCH(J$1&amp;"_常见",'代表咚声数据'!$B$1:$AO$1,0)),""))</x:f>
        <x:v>64.91621200318339</x:v>
      </x:c>
      <x:c r="K37" t="n">
        <x:f>IF(K$1="","",IFERROR(INDEX('代表咚声数据'!$B$2:$AO$39,ROW()-1,MATCH(K$1&amp;"_常见",'代表咚声数据'!$B$1:$AO$1,0)),""))</x:f>
        <x:v>68.8706490851227</x:v>
      </x:c>
      <x:c r="L37" t="n">
        <x:f>IF(L$1="","",IFERROR(INDEX('代表咚声数据'!$B$2:$AO$39,ROW()-1,MATCH(L$1&amp;"_常见",'代表咚声数据'!$B$1:$AO$1,0)),""))</x:f>
        <x:v>64.82960375080958</x:v>
      </x:c>
      <x:c r="M37" t="str">
        <x:f>IF(M$1="","",IFERROR(INDEX('代表咚声数据'!$B$2:$AO$39,ROW()-1,MATCH(M$1&amp;"_常见",'代表咚声数据'!$B$1:$AO$1,0)),""))</x:f>
      </x:c>
      <x:c r="N37" t="str">
        <x:f>IF(N$1="","",IFERROR(INDEX('代表咚声数据'!$B$2:$AO$39,ROW()-1,MATCH(N$1&amp;"_常见",'代表咚声数据'!$B$1:$AO$1,0)),""))</x:f>
      </x:c>
      <x:c r="O37" t="str">
        <x:f>IF(O$1="","",IFERROR(INDEX('代表咚声数据'!$B$2:$AO$39,ROW()-1,MATCH(O$1&amp;"_常见",'代表咚声数据'!$B$1:$AO$1,0)),""))</x:f>
      </x:c>
      <x:c r="Q37" t="n">
        <x:v>400.0000000000006</x:v>
      </x:c>
      <x:c r="R37" t="n">
        <x:f>IF(R$1="","",IFERROR(INDEX('代表咚声数据'!$B$2:$AO$39,ROW()-1,MATCH(R$1&amp;"_较响",'代表咚声数据'!$B$1:$AO$1,0)),""))</x:f>
        <x:v>66.5741870445301</x:v>
      </x:c>
      <x:c r="S37" t="n">
        <x:f>IF(S$1="","",IFERROR(INDEX('代表咚声数据'!$B$2:$AO$39,ROW()-1,MATCH(S$1&amp;"_较响",'代表咚声数据'!$B$1:$AO$1,0)),""))</x:f>
        <x:v>67.13045942158026</x:v>
      </x:c>
      <x:c r="T37" t="n">
        <x:f>IF(T$1="","",IFERROR(INDEX('代表咚声数据'!$B$2:$AO$39,ROW()-1,MATCH(T$1&amp;"_较响",'代表咚声数据'!$B$1:$AO$1,0)),""))</x:f>
        <x:v>65.51911201412432</x:v>
      </x:c>
      <x:c r="U37" t="str">
        <x:f>IF(U$1="","",IFERROR(INDEX('代表咚声数据'!$B$2:$AO$39,ROW()-1,MATCH(U$1&amp;"_较响",'代表咚声数据'!$B$1:$AO$1,0)),""))</x:f>
      </x:c>
      <x:c r="V37" t="str">
        <x:f>IF(V$1="","",IFERROR(INDEX('代表咚声数据'!$B$2:$AO$39,ROW()-1,MATCH(V$1&amp;"_较响",'代表咚声数据'!$B$1:$AO$1,0)),""))</x:f>
      </x:c>
      <x:c r="W37" t="str">
        <x:f>IF(W$1="","",IFERROR(INDEX('代表咚声数据'!$B$2:$AO$39,ROW()-1,MATCH(W$1&amp;"_较响",'代表咚声数据'!$B$1:$AO$1,0)),""))</x:f>
      </x:c>
    </x:row>
    <x:row r="38">
      <x:c r="A38" t="n">
        <x:v>3.6</x:v>
      </x:c>
      <x:c r="B38" t="n">
        <x:f>IF(B$1="","",IFERROR(INDEX('包络曲线数据'!$B$2:$U$742,ROW()-1,MATCH(B$1,'包络曲线数据'!$B$1:$U$1,0)),""))</x:f>
        <x:v>64.71358898930299</x:v>
      </x:c>
      <x:c r="C38" t="n">
        <x:f>IF(C$1="","",IFERROR(INDEX('包络曲线数据'!$B$2:$U$742,ROW()-1,MATCH(C$1,'包络曲线数据'!$B$1:$U$1,0)),""))</x:f>
        <x:v>70.7344491290999</x:v>
      </x:c>
      <x:c r="D38" t="n">
        <x:f>IF(D$1="","",IFERROR(INDEX('包络曲线数据'!$B$2:$U$742,ROW()-1,MATCH(D$1,'包络曲线数据'!$B$1:$U$1,0)),""))</x:f>
        <x:v>78.3399718438335</x:v>
      </x:c>
      <x:c r="E38" t="str">
        <x:f>IF(E$1="","",IFERROR(INDEX('包络曲线数据'!$B$2:$U$742,ROW()-1,MATCH(E$1,'包络曲线数据'!$B$1:$U$1,0)),""))</x:f>
      </x:c>
      <x:c r="F38" t="str">
        <x:f>IF(F$1="","",IFERROR(INDEX('包络曲线数据'!$B$2:$U$742,ROW()-1,MATCH(F$1,'包络曲线数据'!$B$1:$U$1,0)),""))</x:f>
      </x:c>
      <x:c r="G38" t="str">
        <x:f>IF(G$1="","",IFERROR(INDEX('包络曲线数据'!$B$2:$U$742,ROW()-1,MATCH(G$1,'包络曲线数据'!$B$1:$U$1,0)),""))</x:f>
      </x:c>
      <x:c r="I38" t="n">
        <x:v>420.0000000000006</x:v>
      </x:c>
      <x:c r="J38" t="n">
        <x:f>IF(J$1="","",IFERROR(INDEX('代表咚声数据'!$B$2:$AO$39,ROW()-1,MATCH(J$1&amp;"_常见",'代表咚声数据'!$B$1:$AO$1,0)),""))</x:f>
        <x:v>64.08760514584503</x:v>
      </x:c>
      <x:c r="K38" t="n">
        <x:f>IF(K$1="","",IFERROR(INDEX('代表咚声数据'!$B$2:$AO$39,ROW()-1,MATCH(K$1&amp;"_常见",'代表咚声数据'!$B$1:$AO$1,0)),""))</x:f>
        <x:v>69.23204216891668</x:v>
      </x:c>
      <x:c r="L38" t="n">
        <x:f>IF(L$1="","",IFERROR(INDEX('代表咚声数据'!$B$2:$AO$39,ROW()-1,MATCH(L$1&amp;"_常见",'代表咚声数据'!$B$1:$AO$1,0)),""))</x:f>
        <x:v>64.94988868011175</x:v>
      </x:c>
      <x:c r="M38" t="str">
        <x:f>IF(M$1="","",IFERROR(INDEX('代表咚声数据'!$B$2:$AO$39,ROW()-1,MATCH(M$1&amp;"_常见",'代表咚声数据'!$B$1:$AO$1,0)),""))</x:f>
      </x:c>
      <x:c r="N38" t="str">
        <x:f>IF(N$1="","",IFERROR(INDEX('代表咚声数据'!$B$2:$AO$39,ROW()-1,MATCH(N$1&amp;"_常见",'代表咚声数据'!$B$1:$AO$1,0)),""))</x:f>
      </x:c>
      <x:c r="O38" t="str">
        <x:f>IF(O$1="","",IFERROR(INDEX('代表咚声数据'!$B$2:$AO$39,ROW()-1,MATCH(O$1&amp;"_常见",'代表咚声数据'!$B$1:$AO$1,0)),""))</x:f>
      </x:c>
      <x:c r="Q38" t="n">
        <x:v>420.0000000000006</x:v>
      </x:c>
      <x:c r="R38" t="n">
        <x:f>IF(R$1="","",IFERROR(INDEX('代表咚声数据'!$B$2:$AO$39,ROW()-1,MATCH(R$1&amp;"_较响",'代表咚声数据'!$B$1:$AO$1,0)),""))</x:f>
        <x:v>67.4517296131906</x:v>
      </x:c>
      <x:c r="S38" t="n">
        <x:f>IF(S$1="","",IFERROR(INDEX('代表咚声数据'!$B$2:$AO$39,ROW()-1,MATCH(S$1&amp;"_较响",'代表咚声数据'!$B$1:$AO$1,0)),""))</x:f>
        <x:v>67.03063468238942</x:v>
      </x:c>
      <x:c r="T38" t="n">
        <x:f>IF(T$1="","",IFERROR(INDEX('代表咚声数据'!$B$2:$AO$39,ROW()-1,MATCH(T$1&amp;"_较响",'代表咚声数据'!$B$1:$AO$1,0)),""))</x:f>
        <x:v>62.50603530585525</x:v>
      </x:c>
      <x:c r="U38" t="str">
        <x:f>IF(U$1="","",IFERROR(INDEX('代表咚声数据'!$B$2:$AO$39,ROW()-1,MATCH(U$1&amp;"_较响",'代表咚声数据'!$B$1:$AO$1,0)),""))</x:f>
      </x:c>
      <x:c r="V38" t="str">
        <x:f>IF(V$1="","",IFERROR(INDEX('代表咚声数据'!$B$2:$AO$39,ROW()-1,MATCH(V$1&amp;"_较响",'代表咚声数据'!$B$1:$AO$1,0)),""))</x:f>
      </x:c>
      <x:c r="W38" t="str">
        <x:f>IF(W$1="","",IFERROR(INDEX('代表咚声数据'!$B$2:$AO$39,ROW()-1,MATCH(W$1&amp;"_较响",'代表咚声数据'!$B$1:$AO$1,0)),""))</x:f>
      </x:c>
    </x:row>
    <x:row r="39">
      <x:c r="A39" t="n">
        <x:v>3.7</x:v>
      </x:c>
      <x:c r="B39" t="n">
        <x:f>IF(B$1="","",IFERROR(INDEX('包络曲线数据'!$B$2:$U$742,ROW()-1,MATCH(B$1,'包络曲线数据'!$B$1:$U$1,0)),""))</x:f>
        <x:v>67.3330607299945</x:v>
      </x:c>
      <x:c r="C39" t="n">
        <x:f>IF(C$1="","",IFERROR(INDEX('包络曲线数据'!$B$2:$U$742,ROW()-1,MATCH(C$1,'包络曲线数据'!$B$1:$U$1,0)),""))</x:f>
        <x:v>70.40766038779101</x:v>
      </x:c>
      <x:c r="D39" t="n">
        <x:f>IF(D$1="","",IFERROR(INDEX('包络曲线数据'!$B$2:$U$742,ROW()-1,MATCH(D$1,'包络曲线数据'!$B$1:$U$1,0)),""))</x:f>
        <x:v>75.8366996284011</x:v>
      </x:c>
      <x:c r="E39" t="str">
        <x:f>IF(E$1="","",IFERROR(INDEX('包络曲线数据'!$B$2:$U$742,ROW()-1,MATCH(E$1,'包络曲线数据'!$B$1:$U$1,0)),""))</x:f>
      </x:c>
      <x:c r="F39" t="str">
        <x:f>IF(F$1="","",IFERROR(INDEX('包络曲线数据'!$B$2:$U$742,ROW()-1,MATCH(F$1,'包络曲线数据'!$B$1:$U$1,0)),""))</x:f>
      </x:c>
      <x:c r="G39" t="str">
        <x:f>IF(G$1="","",IFERROR(INDEX('包络曲线数据'!$B$2:$U$742,ROW()-1,MATCH(G$1,'包络曲线数据'!$B$1:$U$1,0)),""))</x:f>
      </x:c>
      <x:c r="I39" t="n">
        <x:v>440.0000000000007</x:v>
      </x:c>
      <x:c r="J39" t="n">
        <x:f>IF(J$1="","",IFERROR(INDEX('代表咚声数据'!$B$2:$AO$39,ROW()-1,MATCH(J$1&amp;"_常见",'代表咚声数据'!$B$1:$AO$1,0)),""))</x:f>
        <x:v>63.57478335269845</x:v>
      </x:c>
      <x:c r="K39" t="n">
        <x:f>IF(K$1="","",IFERROR(INDEX('代表咚声数据'!$B$2:$AO$39,ROW()-1,MATCH(K$1&amp;"_常见",'代表咚声数据'!$B$1:$AO$1,0)),""))</x:f>
        <x:v>69.18834558386997</x:v>
      </x:c>
      <x:c r="L39" t="n">
        <x:f>IF(L$1="","",IFERROR(INDEX('代表咚声数据'!$B$2:$AO$39,ROW()-1,MATCH(L$1&amp;"_常见",'代表咚声数据'!$B$1:$AO$1,0)),""))</x:f>
        <x:v>64.49733374288164</x:v>
      </x:c>
      <x:c r="M39" t="str">
        <x:f>IF(M$1="","",IFERROR(INDEX('代表咚声数据'!$B$2:$AO$39,ROW()-1,MATCH(M$1&amp;"_常见",'代表咚声数据'!$B$1:$AO$1,0)),""))</x:f>
      </x:c>
      <x:c r="N39" t="str">
        <x:f>IF(N$1="","",IFERROR(INDEX('代表咚声数据'!$B$2:$AO$39,ROW()-1,MATCH(N$1&amp;"_常见",'代表咚声数据'!$B$1:$AO$1,0)),""))</x:f>
      </x:c>
      <x:c r="O39" t="str">
        <x:f>IF(O$1="","",IFERROR(INDEX('代表咚声数据'!$B$2:$AO$39,ROW()-1,MATCH(O$1&amp;"_常见",'代表咚声数据'!$B$1:$AO$1,0)),""))</x:f>
      </x:c>
      <x:c r="Q39" t="n">
        <x:v>440.0000000000007</x:v>
      </x:c>
      <x:c r="R39" t="n">
        <x:f>IF(R$1="","",IFERROR(INDEX('代表咚声数据'!$B$2:$AO$39,ROW()-1,MATCH(R$1&amp;"_较响",'代表咚声数据'!$B$1:$AO$1,0)),""))</x:f>
        <x:v>67.04392495872256</x:v>
      </x:c>
      <x:c r="S39" t="n">
        <x:f>IF(S$1="","",IFERROR(INDEX('代表咚声数据'!$B$2:$AO$39,ROW()-1,MATCH(S$1&amp;"_较响",'代表咚声数据'!$B$1:$AO$1,0)),""))</x:f>
        <x:v>67.20172767248211</x:v>
      </x:c>
      <x:c r="T39" t="n">
        <x:f>IF(T$1="","",IFERROR(INDEX('代表咚声数据'!$B$2:$AO$39,ROW()-1,MATCH(T$1&amp;"_较响",'代表咚声数据'!$B$1:$AO$1,0)),""))</x:f>
        <x:v>63.41470648867575</x:v>
      </x:c>
      <x:c r="U39" t="str">
        <x:f>IF(U$1="","",IFERROR(INDEX('代表咚声数据'!$B$2:$AO$39,ROW()-1,MATCH(U$1&amp;"_较响",'代表咚声数据'!$B$1:$AO$1,0)),""))</x:f>
      </x:c>
      <x:c r="V39" t="str">
        <x:f>IF(V$1="","",IFERROR(INDEX('代表咚声数据'!$B$2:$AO$39,ROW()-1,MATCH(V$1&amp;"_较响",'代表咚声数据'!$B$1:$AO$1,0)),""))</x:f>
      </x:c>
      <x:c r="W39" t="str">
        <x:f>IF(W$1="","",IFERROR(INDEX('代表咚声数据'!$B$2:$AO$39,ROW()-1,MATCH(W$1&amp;"_较响",'代表咚声数据'!$B$1:$AO$1,0)),""))</x:f>
      </x:c>
    </x:row>
    <x:row r="40">
      <x:c r="A40" t="n">
        <x:v>3.8000000000000003</x:v>
      </x:c>
      <x:c r="B40" t="n">
        <x:f>IF(B$1="","",IFERROR(INDEX('包络曲线数据'!$B$2:$U$742,ROW()-1,MATCH(B$1,'包络曲线数据'!$B$1:$U$1,0)),""))</x:f>
        <x:v>67.92229235553401</x:v>
      </x:c>
      <x:c r="C40" t="n">
        <x:f>IF(C$1="","",IFERROR(INDEX('包络曲线数据'!$B$2:$U$742,ROW()-1,MATCH(C$1,'包络曲线数据'!$B$1:$U$1,0)),""))</x:f>
        <x:v>70.04438001749975</x:v>
      </x:c>
      <x:c r="D40" t="n">
        <x:f>IF(D$1="","",IFERROR(INDEX('包络曲线数据'!$B$2:$U$742,ROW()-1,MATCH(D$1,'包络曲线数据'!$B$1:$U$1,0)),""))</x:f>
        <x:v>72.00460167549426</x:v>
      </x:c>
      <x:c r="E40" t="str">
        <x:f>IF(E$1="","",IFERROR(INDEX('包络曲线数据'!$B$2:$U$742,ROW()-1,MATCH(E$1,'包络曲线数据'!$B$1:$U$1,0)),""))</x:f>
      </x:c>
      <x:c r="F40" t="str">
        <x:f>IF(F$1="","",IFERROR(INDEX('包络曲线数据'!$B$2:$U$742,ROW()-1,MATCH(F$1,'包络曲线数据'!$B$1:$U$1,0)),""))</x:f>
      </x:c>
      <x:c r="G40" t="str">
        <x:f>IF(G$1="","",IFERROR(INDEX('包络曲线数据'!$B$2:$U$742,ROW()-1,MATCH(G$1,'包络曲线数据'!$B$1:$U$1,0)),""))</x:f>
      </x:c>
    </x:row>
    <x:row r="41">
      <x:c r="A41" t="n">
        <x:v>3.9000000000000004</x:v>
      </x:c>
      <x:c r="B41" t="n">
        <x:f>IF(B$1="","",IFERROR(INDEX('包络曲线数据'!$B$2:$U$742,ROW()-1,MATCH(B$1,'包络曲线数据'!$B$1:$U$1,0)),""))</x:f>
        <x:v>67.92229235553401</x:v>
      </x:c>
      <x:c r="C41" t="n">
        <x:f>IF(C$1="","",IFERROR(INDEX('包络曲线数据'!$B$2:$U$742,ROW()-1,MATCH(C$1,'包络曲线数据'!$B$1:$U$1,0)),""))</x:f>
        <x:v>72.0373713987217</x:v>
      </x:c>
      <x:c r="D41" t="n">
        <x:f>IF(D$1="","",IFERROR(INDEX('包络曲线数据'!$B$2:$U$742,ROW()-1,MATCH(D$1,'包络曲线数据'!$B$1:$U$1,0)),""))</x:f>
        <x:v>68.73488039959355</x:v>
      </x:c>
      <x:c r="E41" t="str">
        <x:f>IF(E$1="","",IFERROR(INDEX('包络曲线数据'!$B$2:$U$742,ROW()-1,MATCH(E$1,'包络曲线数据'!$B$1:$U$1,0)),""))</x:f>
      </x:c>
      <x:c r="F41" t="str">
        <x:f>IF(F$1="","",IFERROR(INDEX('包络曲线数据'!$B$2:$U$742,ROW()-1,MATCH(F$1,'包络曲线数据'!$B$1:$U$1,0)),""))</x:f>
      </x:c>
      <x:c r="G41" t="str">
        <x:f>IF(G$1="","",IFERROR(INDEX('包络曲线数据'!$B$2:$U$742,ROW()-1,MATCH(G$1,'包络曲线数据'!$B$1:$U$1,0)),""))</x:f>
      </x:c>
    </x:row>
    <x:row r="42">
      <x:c r="A42" t="n">
        <x:v>4</x:v>
      </x:c>
      <x:c r="B42" t="n">
        <x:f>IF(B$1="","",IFERROR(INDEX('包络曲线数据'!$B$2:$U$742,ROW()-1,MATCH(B$1,'包络曲线数据'!$B$1:$U$1,0)),""))</x:f>
        <x:v>68.52774811557357</x:v>
      </x:c>
      <x:c r="C42" t="n">
        <x:f>IF(C$1="","",IFERROR(INDEX('包络曲线数据'!$B$2:$U$742,ROW()-1,MATCH(C$1,'包络曲线数据'!$B$1:$U$1,0)),""))</x:f>
        <x:v>72.0373713987217</x:v>
      </x:c>
      <x:c r="D42" t="n">
        <x:f>IF(D$1="","",IFERROR(INDEX('包络曲线数据'!$B$2:$U$742,ROW()-1,MATCH(D$1,'包络曲线数据'!$B$1:$U$1,0)),""))</x:f>
        <x:v>66.74066129146571</x:v>
      </x:c>
      <x:c r="E42" t="str">
        <x:f>IF(E$1="","",IFERROR(INDEX('包络曲线数据'!$B$2:$U$742,ROW()-1,MATCH(E$1,'包络曲线数据'!$B$1:$U$1,0)),""))</x:f>
      </x:c>
      <x:c r="F42" t="str">
        <x:f>IF(F$1="","",IFERROR(INDEX('包络曲线数据'!$B$2:$U$742,ROW()-1,MATCH(F$1,'包络曲线数据'!$B$1:$U$1,0)),""))</x:f>
      </x:c>
      <x:c r="G42" t="str">
        <x:f>IF(G$1="","",IFERROR(INDEX('包络曲线数据'!$B$2:$U$742,ROW()-1,MATCH(G$1,'包络曲线数据'!$B$1:$U$1,0)),""))</x:f>
      </x:c>
    </x:row>
    <x:row r="43">
      <x:c r="A43" t="n">
        <x:v>4.1000000000000005</x:v>
      </x:c>
      <x:c r="B43" t="n">
        <x:f>IF(B$1="","",IFERROR(INDEX('包络曲线数据'!$B$2:$U$742,ROW()-1,MATCH(B$1,'包络曲线数据'!$B$1:$U$1,0)),""))</x:f>
        <x:v>68.57168892620984</x:v>
      </x:c>
      <x:c r="C43" t="n">
        <x:f>IF(C$1="","",IFERROR(INDEX('包络曲线数据'!$B$2:$U$742,ROW()-1,MATCH(C$1,'包络曲线数据'!$B$1:$U$1,0)),""))</x:f>
        <x:v>92.63161033133652</x:v>
      </x:c>
      <x:c r="D43" t="n">
        <x:f>IF(D$1="","",IFERROR(INDEX('包络曲线数据'!$B$2:$U$742,ROW()-1,MATCH(D$1,'包络曲线数据'!$B$1:$U$1,0)),""))</x:f>
        <x:v>64.8249748038102</x:v>
      </x:c>
      <x:c r="E43" t="str">
        <x:f>IF(E$1="","",IFERROR(INDEX('包络曲线数据'!$B$2:$U$742,ROW()-1,MATCH(E$1,'包络曲线数据'!$B$1:$U$1,0)),""))</x:f>
      </x:c>
      <x:c r="F43" t="str">
        <x:f>IF(F$1="","",IFERROR(INDEX('包络曲线数据'!$B$2:$U$742,ROW()-1,MATCH(F$1,'包络曲线数据'!$B$1:$U$1,0)),""))</x:f>
      </x:c>
      <x:c r="G43" t="str">
        <x:f>IF(G$1="","",IFERROR(INDEX('包络曲线数据'!$B$2:$U$742,ROW()-1,MATCH(G$1,'包络曲线数据'!$B$1:$U$1,0)),""))</x:f>
      </x:c>
    </x:row>
    <x:row r="44">
      <x:c r="A44" t="n">
        <x:v>4.2</x:v>
      </x:c>
      <x:c r="B44" t="n">
        <x:f>IF(B$1="","",IFERROR(INDEX('包络曲线数据'!$B$2:$U$742,ROW()-1,MATCH(B$1,'包络曲线数据'!$B$1:$U$1,0)),""))</x:f>
        <x:v>68.42300624174518</x:v>
      </x:c>
      <x:c r="C44" t="n">
        <x:f>IF(C$1="","",IFERROR(INDEX('包络曲线数据'!$B$2:$U$742,ROW()-1,MATCH(C$1,'包络曲线数据'!$B$1:$U$1,0)),""))</x:f>
        <x:v>92.63161033133652</x:v>
      </x:c>
      <x:c r="D44" t="n">
        <x:f>IF(D$1="","",IFERROR(INDEX('包络曲线数据'!$B$2:$U$742,ROW()-1,MATCH(D$1,'包络曲线数据'!$B$1:$U$1,0)),""))</x:f>
        <x:v>64.69423097731882</x:v>
      </x:c>
      <x:c r="E44" t="str">
        <x:f>IF(E$1="","",IFERROR(INDEX('包络曲线数据'!$B$2:$U$742,ROW()-1,MATCH(E$1,'包络曲线数据'!$B$1:$U$1,0)),""))</x:f>
      </x:c>
      <x:c r="F44" t="str">
        <x:f>IF(F$1="","",IFERROR(INDEX('包络曲线数据'!$B$2:$U$742,ROW()-1,MATCH(F$1,'包络曲线数据'!$B$1:$U$1,0)),""))</x:f>
      </x:c>
      <x:c r="G44" t="str">
        <x:f>IF(G$1="","",IFERROR(INDEX('包络曲线数据'!$B$2:$U$742,ROW()-1,MATCH(G$1,'包络曲线数据'!$B$1:$U$1,0)),""))</x:f>
      </x:c>
    </x:row>
    <x:row r="45">
      <x:c r="A45" t="n">
        <x:v>4.3</x:v>
      </x:c>
      <x:c r="B45" t="n">
        <x:f>IF(B$1="","",IFERROR(INDEX('包络曲线数据'!$B$2:$U$742,ROW()-1,MATCH(B$1,'包络曲线数据'!$B$1:$U$1,0)),""))</x:f>
        <x:v>68.14573766454636</x:v>
      </x:c>
      <x:c r="C45" t="n">
        <x:f>IF(C$1="","",IFERROR(INDEX('包络曲线数据'!$B$2:$U$742,ROW()-1,MATCH(C$1,'包络曲线数据'!$B$1:$U$1,0)),""))</x:f>
        <x:v>89.38373267251323</x:v>
      </x:c>
      <x:c r="D45" t="n">
        <x:f>IF(D$1="","",IFERROR(INDEX('包络曲线数据'!$B$2:$U$742,ROW()-1,MATCH(D$1,'包络曲线数据'!$B$1:$U$1,0)),""))</x:f>
        <x:v>64.63370827928422</x:v>
      </x:c>
      <x:c r="E45" t="str">
        <x:f>IF(E$1="","",IFERROR(INDEX('包络曲线数据'!$B$2:$U$742,ROW()-1,MATCH(E$1,'包络曲线数据'!$B$1:$U$1,0)),""))</x:f>
      </x:c>
      <x:c r="F45" t="str">
        <x:f>IF(F$1="","",IFERROR(INDEX('包络曲线数据'!$B$2:$U$742,ROW()-1,MATCH(F$1,'包络曲线数据'!$B$1:$U$1,0)),""))</x:f>
      </x:c>
      <x:c r="G45" t="str">
        <x:f>IF(G$1="","",IFERROR(INDEX('包络曲线数据'!$B$2:$U$742,ROW()-1,MATCH(G$1,'包络曲线数据'!$B$1:$U$1,0)),""))</x:f>
      </x:c>
    </x:row>
    <x:row r="46">
      <x:c r="A46" t="n">
        <x:v>4.4</x:v>
      </x:c>
      <x:c r="B46" t="n">
        <x:f>IF(B$1="","",IFERROR(INDEX('包络曲线数据'!$B$2:$U$742,ROW()-1,MATCH(B$1,'包络曲线数据'!$B$1:$U$1,0)),""))</x:f>
        <x:v>68.14573766454636</x:v>
      </x:c>
      <x:c r="C46" t="n">
        <x:f>IF(C$1="","",IFERROR(INDEX('包络曲线数据'!$B$2:$U$742,ROW()-1,MATCH(C$1,'包络曲线数据'!$B$1:$U$1,0)),""))</x:f>
        <x:v>81.04072316913711</x:v>
      </x:c>
      <x:c r="D46" t="n">
        <x:f>IF(D$1="","",IFERROR(INDEX('包络曲线数据'!$B$2:$U$742,ROW()-1,MATCH(D$1,'包络曲线数据'!$B$1:$U$1,0)),""))</x:f>
        <x:v>84.78617499135723</x:v>
      </x:c>
      <x:c r="E46" t="str">
        <x:f>IF(E$1="","",IFERROR(INDEX('包络曲线数据'!$B$2:$U$742,ROW()-1,MATCH(E$1,'包络曲线数据'!$B$1:$U$1,0)),""))</x:f>
      </x:c>
      <x:c r="F46" t="str">
        <x:f>IF(F$1="","",IFERROR(INDEX('包络曲线数据'!$B$2:$U$742,ROW()-1,MATCH(F$1,'包络曲线数据'!$B$1:$U$1,0)),""))</x:f>
      </x:c>
      <x:c r="G46" t="str">
        <x:f>IF(G$1="","",IFERROR(INDEX('包络曲线数据'!$B$2:$U$742,ROW()-1,MATCH(G$1,'包络曲线数据'!$B$1:$U$1,0)),""))</x:f>
      </x:c>
    </x:row>
    <x:row r="47">
      <x:c r="A47" t="n">
        <x:v>4.5</x:v>
      </x:c>
      <x:c r="B47" t="n">
        <x:f>IF(B$1="","",IFERROR(INDEX('包络曲线数据'!$B$2:$U$742,ROW()-1,MATCH(B$1,'包络曲线数据'!$B$1:$U$1,0)),""))</x:f>
        <x:v>67.95434318485503</x:v>
      </x:c>
      <x:c r="C47" t="n">
        <x:f>IF(C$1="","",IFERROR(INDEX('包络曲线数据'!$B$2:$U$742,ROW()-1,MATCH(C$1,'包络曲线数据'!$B$1:$U$1,0)),""))</x:f>
        <x:v>72.599082196032</x:v>
      </x:c>
      <x:c r="D47" t="n">
        <x:f>IF(D$1="","",IFERROR(INDEX('包络曲线数据'!$B$2:$U$742,ROW()-1,MATCH(D$1,'包络曲线数据'!$B$1:$U$1,0)),""))</x:f>
        <x:v>85.58187951619757</x:v>
      </x:c>
      <x:c r="E47" t="str">
        <x:f>IF(E$1="","",IFERROR(INDEX('包络曲线数据'!$B$2:$U$742,ROW()-1,MATCH(E$1,'包络曲线数据'!$B$1:$U$1,0)),""))</x:f>
      </x:c>
      <x:c r="F47" t="str">
        <x:f>IF(F$1="","",IFERROR(INDEX('包络曲线数据'!$B$2:$U$742,ROW()-1,MATCH(F$1,'包络曲线数据'!$B$1:$U$1,0)),""))</x:f>
      </x:c>
      <x:c r="G47" t="str">
        <x:f>IF(G$1="","",IFERROR(INDEX('包络曲线数据'!$B$2:$U$742,ROW()-1,MATCH(G$1,'包络曲线数据'!$B$1:$U$1,0)),""))</x:f>
      </x:c>
    </x:row>
    <x:row r="48">
      <x:c r="A48" t="n">
        <x:v>4.6000000000000005</x:v>
      </x:c>
      <x:c r="B48" t="n">
        <x:f>IF(B$1="","",IFERROR(INDEX('包络曲线数据'!$B$2:$U$742,ROW()-1,MATCH(B$1,'包络曲线数据'!$B$1:$U$1,0)),""))</x:f>
        <x:v>68.76242003869771</x:v>
      </x:c>
      <x:c r="C48" t="n">
        <x:f>IF(C$1="","",IFERROR(INDEX('包络曲线数据'!$B$2:$U$742,ROW()-1,MATCH(C$1,'包络曲线数据'!$B$1:$U$1,0)),""))</x:f>
        <x:v>66.35689734321481</x:v>
      </x:c>
      <x:c r="D48" t="n">
        <x:f>IF(D$1="","",IFERROR(INDEX('包络曲线数据'!$B$2:$U$742,ROW()-1,MATCH(D$1,'包络曲线数据'!$B$1:$U$1,0)),""))</x:f>
        <x:v>85.19944846295039</x:v>
      </x:c>
      <x:c r="E48" t="str">
        <x:f>IF(E$1="","",IFERROR(INDEX('包络曲线数据'!$B$2:$U$742,ROW()-1,MATCH(E$1,'包络曲线数据'!$B$1:$U$1,0)),""))</x:f>
      </x:c>
      <x:c r="F48" t="str">
        <x:f>IF(F$1="","",IFERROR(INDEX('包络曲线数据'!$B$2:$U$742,ROW()-1,MATCH(F$1,'包络曲线数据'!$B$1:$U$1,0)),""))</x:f>
      </x:c>
      <x:c r="G48" t="str">
        <x:f>IF(G$1="","",IFERROR(INDEX('包络曲线数据'!$B$2:$U$742,ROW()-1,MATCH(G$1,'包络曲线数据'!$B$1:$U$1,0)),""))</x:f>
      </x:c>
    </x:row>
    <x:row r="49">
      <x:c r="A49" t="n">
        <x:v>4.7</x:v>
      </x:c>
      <x:c r="B49" t="n">
        <x:f>IF(B$1="","",IFERROR(INDEX('包络曲线数据'!$B$2:$U$742,ROW()-1,MATCH(B$1,'包络曲线数据'!$B$1:$U$1,0)),""))</x:f>
        <x:v>73.10515519397933</x:v>
      </x:c>
      <x:c r="C49" t="n">
        <x:f>IF(C$1="","",IFERROR(INDEX('包络曲线数据'!$B$2:$U$742,ROW()-1,MATCH(C$1,'包络曲线数据'!$B$1:$U$1,0)),""))</x:f>
        <x:v>59.910732951297156</x:v>
      </x:c>
      <x:c r="D49" t="n">
        <x:f>IF(D$1="","",IFERROR(INDEX('包络曲线数据'!$B$2:$U$742,ROW()-1,MATCH(D$1,'包络曲线数据'!$B$1:$U$1,0)),""))</x:f>
        <x:v>76.94808086421341</x:v>
      </x:c>
      <x:c r="E49" t="str">
        <x:f>IF(E$1="","",IFERROR(INDEX('包络曲线数据'!$B$2:$U$742,ROW()-1,MATCH(E$1,'包络曲线数据'!$B$1:$U$1,0)),""))</x:f>
      </x:c>
      <x:c r="F49" t="str">
        <x:f>IF(F$1="","",IFERROR(INDEX('包络曲线数据'!$B$2:$U$742,ROW()-1,MATCH(F$1,'包络曲线数据'!$B$1:$U$1,0)),""))</x:f>
      </x:c>
      <x:c r="G49" t="str">
        <x:f>IF(G$1="","",IFERROR(INDEX('包络曲线数据'!$B$2:$U$742,ROW()-1,MATCH(G$1,'包络曲线数据'!$B$1:$U$1,0)),""))</x:f>
      </x:c>
    </x:row>
    <x:row r="50">
      <x:c r="A50" t="n">
        <x:v>4.800000000000001</x:v>
      </x:c>
      <x:c r="B50" t="n">
        <x:f>IF(B$1="","",IFERROR(INDEX('包络曲线数据'!$B$2:$U$742,ROW()-1,MATCH(B$1,'包络曲线数据'!$B$1:$U$1,0)),""))</x:f>
        <x:v>79.85591449580618</x:v>
      </x:c>
      <x:c r="C50" t="n">
        <x:f>IF(C$1="","",IFERROR(INDEX('包络曲线数据'!$B$2:$U$742,ROW()-1,MATCH(C$1,'包络曲线数据'!$B$1:$U$1,0)),""))</x:f>
        <x:v>52.39175843351897</x:v>
      </x:c>
      <x:c r="D50" t="n">
        <x:f>IF(D$1="","",IFERROR(INDEX('包络曲线数据'!$B$2:$U$742,ROW()-1,MATCH(D$1,'包络曲线数据'!$B$1:$U$1,0)),""))</x:f>
        <x:v>69.10661271652195</x:v>
      </x:c>
      <x:c r="E50" t="str">
        <x:f>IF(E$1="","",IFERROR(INDEX('包络曲线数据'!$B$2:$U$742,ROW()-1,MATCH(E$1,'包络曲线数据'!$B$1:$U$1,0)),""))</x:f>
      </x:c>
      <x:c r="F50" t="str">
        <x:f>IF(F$1="","",IFERROR(INDEX('包络曲线数据'!$B$2:$U$742,ROW()-1,MATCH(F$1,'包络曲线数据'!$B$1:$U$1,0)),""))</x:f>
      </x:c>
      <x:c r="G50" t="str">
        <x:f>IF(G$1="","",IFERROR(INDEX('包络曲线数据'!$B$2:$U$742,ROW()-1,MATCH(G$1,'包络曲线数据'!$B$1:$U$1,0)),""))</x:f>
      </x:c>
    </x:row>
    <x:row r="51">
      <x:c r="A51" t="n">
        <x:v>4.9</x:v>
      </x:c>
      <x:c r="B51" t="n">
        <x:f>IF(B$1="","",IFERROR(INDEX('包络曲线数据'!$B$2:$U$742,ROW()-1,MATCH(B$1,'包络曲线数据'!$B$1:$U$1,0)),""))</x:f>
        <x:v>79.85591449580618</x:v>
      </x:c>
      <x:c r="C51" t="n">
        <x:f>IF(C$1="","",IFERROR(INDEX('包络曲线数据'!$B$2:$U$742,ROW()-1,MATCH(C$1,'包络曲线数据'!$B$1:$U$1,0)),""))</x:f>
        <x:v>67.50352806299883</x:v>
      </x:c>
      <x:c r="D51" t="n">
        <x:f>IF(D$1="","",IFERROR(INDEX('包络曲线数据'!$B$2:$U$742,ROW()-1,MATCH(D$1,'包络曲线数据'!$B$1:$U$1,0)),""))</x:f>
        <x:v>60.28504021854374</x:v>
      </x:c>
      <x:c r="E51" t="str">
        <x:f>IF(E$1="","",IFERROR(INDEX('包络曲线数据'!$B$2:$U$742,ROW()-1,MATCH(E$1,'包络曲线数据'!$B$1:$U$1,0)),""))</x:f>
      </x:c>
      <x:c r="F51" t="str">
        <x:f>IF(F$1="","",IFERROR(INDEX('包络曲线数据'!$B$2:$U$742,ROW()-1,MATCH(F$1,'包络曲线数据'!$B$1:$U$1,0)),""))</x:f>
      </x:c>
      <x:c r="G51" t="str">
        <x:f>IF(G$1="","",IFERROR(INDEX('包络曲线数据'!$B$2:$U$742,ROW()-1,MATCH(G$1,'包络曲线数据'!$B$1:$U$1,0)),""))</x:f>
      </x:c>
    </x:row>
    <x:row r="52">
      <x:c r="A52" t="n">
        <x:v>5</x:v>
      </x:c>
      <x:c r="B52" t="n">
        <x:f>IF(B$1="","",IFERROR(INDEX('包络曲线数据'!$B$2:$U$742,ROW()-1,MATCH(B$1,'包络曲线数据'!$B$1:$U$1,0)),""))</x:f>
        <x:v>68.97764331424486</x:v>
      </x:c>
      <x:c r="C52" t="n">
        <x:f>IF(C$1="","",IFERROR(INDEX('包络曲线数据'!$B$2:$U$742,ROW()-1,MATCH(C$1,'包络曲线数据'!$B$1:$U$1,0)),""))</x:f>
        <x:v>67.50352806299883</x:v>
      </x:c>
      <x:c r="D52" t="n">
        <x:f>IF(D$1="","",IFERROR(INDEX('包络曲线数据'!$B$2:$U$742,ROW()-1,MATCH(D$1,'包络曲线数据'!$B$1:$U$1,0)),""))</x:f>
        <x:v>50</x:v>
      </x:c>
      <x:c r="E52" t="str">
        <x:f>IF(E$1="","",IFERROR(INDEX('包络曲线数据'!$B$2:$U$742,ROW()-1,MATCH(E$1,'包络曲线数据'!$B$1:$U$1,0)),""))</x:f>
      </x:c>
      <x:c r="F52" t="str">
        <x:f>IF(F$1="","",IFERROR(INDEX('包络曲线数据'!$B$2:$U$742,ROW()-1,MATCH(F$1,'包络曲线数据'!$B$1:$U$1,0)),""))</x:f>
      </x:c>
      <x:c r="G52" t="str">
        <x:f>IF(G$1="","",IFERROR(INDEX('包络曲线数据'!$B$2:$U$742,ROW()-1,MATCH(G$1,'包络曲线数据'!$B$1:$U$1,0)),""))</x:f>
      </x:c>
    </x:row>
    <x:row r="53">
      <x:c r="A53" t="n">
        <x:v>5.1000000000000005</x:v>
      </x:c>
      <x:c r="B53" t="n">
        <x:f>IF(B$1="","",IFERROR(INDEX('包络曲线数据'!$B$2:$U$742,ROW()-1,MATCH(B$1,'包络曲线数据'!$B$1:$U$1,0)),""))</x:f>
        <x:v>60.50097848758632</x:v>
      </x:c>
      <x:c r="C53" t="n">
        <x:f>IF(C$1="","",IFERROR(INDEX('包络曲线数据'!$B$2:$U$742,ROW()-1,MATCH(C$1,'包络曲线数据'!$B$1:$U$1,0)),""))</x:f>
        <x:v>52.391758433519726</x:v>
      </x:c>
      <x:c r="D53" t="n">
        <x:f>IF(D$1="","",IFERROR(INDEX('包络曲线数据'!$B$2:$U$742,ROW()-1,MATCH(D$1,'包络曲线数据'!$B$1:$U$1,0)),""))</x:f>
        <x:v>50</x:v>
      </x:c>
      <x:c r="E53" t="str">
        <x:f>IF(E$1="","",IFERROR(INDEX('包络曲线数据'!$B$2:$U$742,ROW()-1,MATCH(E$1,'包络曲线数据'!$B$1:$U$1,0)),""))</x:f>
      </x:c>
      <x:c r="F53" t="str">
        <x:f>IF(F$1="","",IFERROR(INDEX('包络曲线数据'!$B$2:$U$742,ROW()-1,MATCH(F$1,'包络曲线数据'!$B$1:$U$1,0)),""))</x:f>
      </x:c>
      <x:c r="G53" t="str">
        <x:f>IF(G$1="","",IFERROR(INDEX('包络曲线数据'!$B$2:$U$742,ROW()-1,MATCH(G$1,'包络曲线数据'!$B$1:$U$1,0)),""))</x:f>
      </x:c>
    </x:row>
    <x:row r="54">
      <x:c r="A54" t="n">
        <x:v>5.2</x:v>
      </x:c>
      <x:c r="B54" t="n">
        <x:f>IF(B$1="","",IFERROR(INDEX('包络曲线数据'!$B$2:$U$742,ROW()-1,MATCH(B$1,'包络曲线数据'!$B$1:$U$1,0)),""))</x:f>
        <x:v>60.201781762326824</x:v>
      </x:c>
      <x:c r="C54" t="n">
        <x:f>IF(C$1="","",IFERROR(INDEX('包络曲线数据'!$B$2:$U$742,ROW()-1,MATCH(C$1,'包络曲线数据'!$B$1:$U$1,0)),""))</x:f>
        <x:v>77.1054336009344</x:v>
      </x:c>
      <x:c r="D54" t="n">
        <x:f>IF(D$1="","",IFERROR(INDEX('包络曲线数据'!$B$2:$U$742,ROW()-1,MATCH(D$1,'包络曲线数据'!$B$1:$U$1,0)),""))</x:f>
        <x:v>50</x:v>
      </x:c>
      <x:c r="E54" t="str">
        <x:f>IF(E$1="","",IFERROR(INDEX('包络曲线数据'!$B$2:$U$742,ROW()-1,MATCH(E$1,'包络曲线数据'!$B$1:$U$1,0)),""))</x:f>
      </x:c>
      <x:c r="F54" t="str">
        <x:f>IF(F$1="","",IFERROR(INDEX('包络曲线数据'!$B$2:$U$742,ROW()-1,MATCH(F$1,'包络曲线数据'!$B$1:$U$1,0)),""))</x:f>
      </x:c>
      <x:c r="G54" t="str">
        <x:f>IF(G$1="","",IFERROR(INDEX('包络曲线数据'!$B$2:$U$742,ROW()-1,MATCH(G$1,'包络曲线数据'!$B$1:$U$1,0)),""))</x:f>
      </x:c>
    </x:row>
    <x:row r="55">
      <x:c r="A55" t="n">
        <x:v>5.300000000000001</x:v>
      </x:c>
      <x:c r="B55" t="n">
        <x:f>IF(B$1="","",IFERROR(INDEX('包络曲线数据'!$B$2:$U$742,ROW()-1,MATCH(B$1,'包络曲线数据'!$B$1:$U$1,0)),""))</x:f>
        <x:v>59.90258503706732</x:v>
      </x:c>
      <x:c r="C55" t="n">
        <x:f>IF(C$1="","",IFERROR(INDEX('包络曲线数据'!$B$2:$U$742,ROW()-1,MATCH(C$1,'包络曲线数据'!$B$1:$U$1,0)),""))</x:f>
        <x:v>77.1054336009344</x:v>
      </x:c>
      <x:c r="D55" t="n">
        <x:f>IF(D$1="","",IFERROR(INDEX('包络曲线数据'!$B$2:$U$742,ROW()-1,MATCH(D$1,'包络曲线数据'!$B$1:$U$1,0)),""))</x:f>
        <x:v>58.215149382198554</x:v>
      </x:c>
      <x:c r="E55" t="str">
        <x:f>IF(E$1="","",IFERROR(INDEX('包络曲线数据'!$B$2:$U$742,ROW()-1,MATCH(E$1,'包络曲线数据'!$B$1:$U$1,0)),""))</x:f>
      </x:c>
      <x:c r="F55" t="str">
        <x:f>IF(F$1="","",IFERROR(INDEX('包络曲线数据'!$B$2:$U$742,ROW()-1,MATCH(F$1,'包络曲线数据'!$B$1:$U$1,0)),""))</x:f>
      </x:c>
      <x:c r="G55" t="str">
        <x:f>IF(G$1="","",IFERROR(INDEX('包络曲线数据'!$B$2:$U$742,ROW()-1,MATCH(G$1,'包络曲线数据'!$B$1:$U$1,0)),""))</x:f>
      </x:c>
    </x:row>
    <x:row r="56">
      <x:c r="A56" t="n">
        <x:v>5.4</x:v>
      </x:c>
      <x:c r="B56" t="n">
        <x:f>IF(B$1="","",IFERROR(INDEX('包络曲线数据'!$B$2:$U$742,ROW()-1,MATCH(B$1,'包络曲线数据'!$B$1:$U$1,0)),""))</x:f>
        <x:v>59.60338831180781</x:v>
      </x:c>
      <x:c r="C56" t="n">
        <x:f>IF(C$1="","",IFERROR(INDEX('包络曲线数据'!$B$2:$U$742,ROW()-1,MATCH(C$1,'包络曲线数据'!$B$1:$U$1,0)),""))</x:f>
        <x:v>75.78171760484634</x:v>
      </x:c>
      <x:c r="D56" t="n">
        <x:f>IF(D$1="","",IFERROR(INDEX('包络曲线数据'!$B$2:$U$742,ROW()-1,MATCH(D$1,'包络曲线数据'!$B$1:$U$1,0)),""))</x:f>
        <x:v>69.22772784583225</x:v>
      </x:c>
      <x:c r="E56" t="str">
        <x:f>IF(E$1="","",IFERROR(INDEX('包络曲线数据'!$B$2:$U$742,ROW()-1,MATCH(E$1,'包络曲线数据'!$B$1:$U$1,0)),""))</x:f>
      </x:c>
      <x:c r="F56" t="str">
        <x:f>IF(F$1="","",IFERROR(INDEX('包络曲线数据'!$B$2:$U$742,ROW()-1,MATCH(F$1,'包络曲线数据'!$B$1:$U$1,0)),""))</x:f>
      </x:c>
      <x:c r="G56" t="str">
        <x:f>IF(G$1="","",IFERROR(INDEX('包络曲线数据'!$B$2:$U$742,ROW()-1,MATCH(G$1,'包络曲线数据'!$B$1:$U$1,0)),""))</x:f>
      </x:c>
    </x:row>
    <x:row r="57">
      <x:c r="A57" t="n">
        <x:v>5.5</x:v>
      </x:c>
      <x:c r="B57" t="n">
        <x:f>IF(B$1="","",IFERROR(INDEX('包络曲线数据'!$B$2:$U$742,ROW()-1,MATCH(B$1,'包络曲线数据'!$B$1:$U$1,0)),""))</x:f>
        <x:v>59.30419158654831</x:v>
      </x:c>
      <x:c r="C57" t="n">
        <x:f>IF(C$1="","",IFERROR(INDEX('包络曲线数据'!$B$2:$U$742,ROW()-1,MATCH(C$1,'包络曲线数据'!$B$1:$U$1,0)),""))</x:f>
        <x:v>70.01120240237086</x:v>
      </x:c>
      <x:c r="D57" t="n">
        <x:f>IF(D$1="","",IFERROR(INDEX('包络曲线数据'!$B$2:$U$742,ROW()-1,MATCH(D$1,'包络曲线数据'!$B$1:$U$1,0)),""))</x:f>
        <x:v>79.74479110978892</x:v>
      </x:c>
      <x:c r="E57" t="str">
        <x:f>IF(E$1="","",IFERROR(INDEX('包络曲线数据'!$B$2:$U$742,ROW()-1,MATCH(E$1,'包络曲线数据'!$B$1:$U$1,0)),""))</x:f>
      </x:c>
      <x:c r="F57" t="str">
        <x:f>IF(F$1="","",IFERROR(INDEX('包络曲线数据'!$B$2:$U$742,ROW()-1,MATCH(F$1,'包络曲线数据'!$B$1:$U$1,0)),""))</x:f>
      </x:c>
      <x:c r="G57" t="str">
        <x:f>IF(G$1="","",IFERROR(INDEX('包络曲线数据'!$B$2:$U$742,ROW()-1,MATCH(G$1,'包络曲线数据'!$B$1:$U$1,0)),""))</x:f>
      </x:c>
    </x:row>
    <x:row r="58">
      <x:c r="A58" t="n">
        <x:v>5.6000000000000005</x:v>
      </x:c>
      <x:c r="B58" t="n">
        <x:f>IF(B$1="","",IFERROR(INDEX('包络曲线数据'!$B$2:$U$742,ROW()-1,MATCH(B$1,'包络曲线数据'!$B$1:$U$1,0)),""))</x:f>
        <x:v>59.004994861288964</x:v>
      </x:c>
      <x:c r="C58" t="n">
        <x:f>IF(C$1="","",IFERROR(INDEX('包络曲线数据'!$B$2:$U$742,ROW()-1,MATCH(C$1,'包络曲线数据'!$B$1:$U$1,0)),""))</x:f>
        <x:v>65.05573244659382</x:v>
      </x:c>
      <x:c r="D58" t="n">
        <x:f>IF(D$1="","",IFERROR(INDEX('包络曲线数据'!$B$2:$U$742,ROW()-1,MATCH(D$1,'包络曲线数据'!$B$1:$U$1,0)),""))</x:f>
        <x:v>79.74479110978892</x:v>
      </x:c>
      <x:c r="E58" t="str">
        <x:f>IF(E$1="","",IFERROR(INDEX('包络曲线数据'!$B$2:$U$742,ROW()-1,MATCH(E$1,'包络曲线数据'!$B$1:$U$1,0)),""))</x:f>
      </x:c>
      <x:c r="F58" t="str">
        <x:f>IF(F$1="","",IFERROR(INDEX('包络曲线数据'!$B$2:$U$742,ROW()-1,MATCH(F$1,'包络曲线数据'!$B$1:$U$1,0)),""))</x:f>
      </x:c>
      <x:c r="G58" t="str">
        <x:f>IF(G$1="","",IFERROR(INDEX('包络曲线数据'!$B$2:$U$742,ROW()-1,MATCH(G$1,'包络曲线数据'!$B$1:$U$1,0)),""))</x:f>
      </x:c>
    </x:row>
    <x:row r="59">
      <x:c r="A59" t="n">
        <x:v>5.7</x:v>
      </x:c>
      <x:c r="B59" t="n">
        <x:f>IF(B$1="","",IFERROR(INDEX('包络曲线数据'!$B$2:$U$742,ROW()-1,MATCH(B$1,'包络曲线数据'!$B$1:$U$1,0)),""))</x:f>
        <x:v>63.782700327923905</x:v>
      </x:c>
      <x:c r="C59" t="n">
        <x:f>IF(C$1="","",IFERROR(INDEX('包络曲线数据'!$B$2:$U$742,ROW()-1,MATCH(C$1,'包络曲线数据'!$B$1:$U$1,0)),""))</x:f>
        <x:v>68.57256547072076</x:v>
      </x:c>
      <x:c r="D59" t="n">
        <x:f>IF(D$1="","",IFERROR(INDEX('包络曲线数据'!$B$2:$U$742,ROW()-1,MATCH(D$1,'包络曲线数据'!$B$1:$U$1,0)),""))</x:f>
        <x:v>78.99235615411902</x:v>
      </x:c>
      <x:c r="E59" t="str">
        <x:f>IF(E$1="","",IFERROR(INDEX('包络曲线数据'!$B$2:$U$742,ROW()-1,MATCH(E$1,'包络曲线数据'!$B$1:$U$1,0)),""))</x:f>
      </x:c>
      <x:c r="F59" t="str">
        <x:f>IF(F$1="","",IFERROR(INDEX('包络曲线数据'!$B$2:$U$742,ROW()-1,MATCH(F$1,'包络曲线数据'!$B$1:$U$1,0)),""))</x:f>
      </x:c>
      <x:c r="G59" t="str">
        <x:f>IF(G$1="","",IFERROR(INDEX('包络曲线数据'!$B$2:$U$742,ROW()-1,MATCH(G$1,'包络曲线数据'!$B$1:$U$1,0)),""))</x:f>
      </x:c>
    </x:row>
    <x:row r="60">
      <x:c r="A60" t="n">
        <x:v>5.800000000000001</x:v>
      </x:c>
      <x:c r="B60" t="n">
        <x:f>IF(B$1="","",IFERROR(INDEX('包络曲线数据'!$B$2:$U$742,ROW()-1,MATCH(B$1,'包络曲线数据'!$B$1:$U$1,0)),""))</x:f>
        <x:v>63.78270032792386</x:v>
      </x:c>
      <x:c r="C60" t="n">
        <x:f>IF(C$1="","",IFERROR(INDEX('包络曲线数据'!$B$2:$U$742,ROW()-1,MATCH(C$1,'包络曲线数据'!$B$1:$U$1,0)),""))</x:f>
        <x:v>69.33960257383386</x:v>
      </x:c>
      <x:c r="D60" t="n">
        <x:f>IF(D$1="","",IFERROR(INDEX('包络曲线数据'!$B$2:$U$742,ROW()-1,MATCH(D$1,'包络曲线数据'!$B$1:$U$1,0)),""))</x:f>
        <x:v>78.92411683382164</x:v>
      </x:c>
      <x:c r="E60" t="str">
        <x:f>IF(E$1="","",IFERROR(INDEX('包络曲线数据'!$B$2:$U$742,ROW()-1,MATCH(E$1,'包络曲线数据'!$B$1:$U$1,0)),""))</x:f>
      </x:c>
      <x:c r="F60" t="str">
        <x:f>IF(F$1="","",IFERROR(INDEX('包络曲线数据'!$B$2:$U$742,ROW()-1,MATCH(F$1,'包络曲线数据'!$B$1:$U$1,0)),""))</x:f>
      </x:c>
      <x:c r="G60" t="str">
        <x:f>IF(G$1="","",IFERROR(INDEX('包络曲线数据'!$B$2:$U$742,ROW()-1,MATCH(G$1,'包络曲线数据'!$B$1:$U$1,0)),""))</x:f>
      </x:c>
    </x:row>
    <x:row r="61">
      <x:c r="A61" t="n">
        <x:v>5.9</x:v>
      </x:c>
      <x:c r="B61" t="n">
        <x:f>IF(B$1="","",IFERROR(INDEX('包络曲线数据'!$B$2:$U$742,ROW()-1,MATCH(B$1,'包络曲线数据'!$B$1:$U$1,0)),""))</x:f>
        <x:v>68.91120891684658</x:v>
      </x:c>
      <x:c r="C61" t="n">
        <x:f>IF(C$1="","",IFERROR(INDEX('包络曲线数据'!$B$2:$U$742,ROW()-1,MATCH(C$1,'包络曲线数据'!$B$1:$U$1,0)),""))</x:f>
        <x:v>69.30375146944637</x:v>
      </x:c>
      <x:c r="D61" t="n">
        <x:f>IF(D$1="","",IFERROR(INDEX('包络曲线数据'!$B$2:$U$742,ROW()-1,MATCH(D$1,'包络曲线数据'!$B$1:$U$1,0)),""))</x:f>
        <x:v>78.30311754402054</x:v>
      </x:c>
      <x:c r="E61" t="str">
        <x:f>IF(E$1="","",IFERROR(INDEX('包络曲线数据'!$B$2:$U$742,ROW()-1,MATCH(E$1,'包络曲线数据'!$B$1:$U$1,0)),""))</x:f>
      </x:c>
      <x:c r="F61" t="str">
        <x:f>IF(F$1="","",IFERROR(INDEX('包络曲线数据'!$B$2:$U$742,ROW()-1,MATCH(F$1,'包络曲线数据'!$B$1:$U$1,0)),""))</x:f>
      </x:c>
      <x:c r="G61" t="str">
        <x:f>IF(G$1="","",IFERROR(INDEX('包络曲线数据'!$B$2:$U$742,ROW()-1,MATCH(G$1,'包络曲线数据'!$B$1:$U$1,0)),""))</x:f>
      </x:c>
    </x:row>
    <x:row r="62">
      <x:c r="A62" t="n">
        <x:v>6</x:v>
      </x:c>
      <x:c r="B62" t="n">
        <x:f>IF(B$1="","",IFERROR(INDEX('包络曲线数据'!$B$2:$U$742,ROW()-1,MATCH(B$1,'包络曲线数据'!$B$1:$U$1,0)),""))</x:f>
        <x:v>73.48032937565802</x:v>
      </x:c>
      <x:c r="C62" t="n">
        <x:f>IF(C$1="","",IFERROR(INDEX('包络曲线数据'!$B$2:$U$742,ROW()-1,MATCH(C$1,'包络曲线数据'!$B$1:$U$1,0)),""))</x:f>
        <x:v>70.75733284593805</x:v>
      </x:c>
      <x:c r="D62" t="n">
        <x:f>IF(D$1="","",IFERROR(INDEX('包络曲线数据'!$B$2:$U$742,ROW()-1,MATCH(D$1,'包络曲线数据'!$B$1:$U$1,0)),""))</x:f>
        <x:v>77.3160724760057</x:v>
      </x:c>
      <x:c r="E62" t="str">
        <x:f>IF(E$1="","",IFERROR(INDEX('包络曲线数据'!$B$2:$U$742,ROW()-1,MATCH(E$1,'包络曲线数据'!$B$1:$U$1,0)),""))</x:f>
      </x:c>
      <x:c r="F62" t="str">
        <x:f>IF(F$1="","",IFERROR(INDEX('包络曲线数据'!$B$2:$U$742,ROW()-1,MATCH(F$1,'包络曲线数据'!$B$1:$U$1,0)),""))</x:f>
      </x:c>
      <x:c r="G62" t="str">
        <x:f>IF(G$1="","",IFERROR(INDEX('包络曲线数据'!$B$2:$U$742,ROW()-1,MATCH(G$1,'包络曲线数据'!$B$1:$U$1,0)),""))</x:f>
      </x:c>
    </x:row>
    <x:row r="63">
      <x:c r="A63" t="n">
        <x:v>6.1000000000000005</x:v>
      </x:c>
      <x:c r="B63" t="n">
        <x:f>IF(B$1="","",IFERROR(INDEX('包络曲线数据'!$B$2:$U$742,ROW()-1,MATCH(B$1,'包络曲线数据'!$B$1:$U$1,0)),""))</x:f>
        <x:v>73.48032937565802</x:v>
      </x:c>
      <x:c r="C63" t="n">
        <x:f>IF(C$1="","",IFERROR(INDEX('包络曲线数据'!$B$2:$U$742,ROW()-1,MATCH(C$1,'包络曲线数据'!$B$1:$U$1,0)),""))</x:f>
        <x:v>70.75733284593805</x:v>
      </x:c>
      <x:c r="D63" t="n">
        <x:f>IF(D$1="","",IFERROR(INDEX('包络曲线数据'!$B$2:$U$742,ROW()-1,MATCH(D$1,'包络曲线数据'!$B$1:$U$1,0)),""))</x:f>
        <x:v>74.7571012370639</x:v>
      </x:c>
      <x:c r="E63" t="str">
        <x:f>IF(E$1="","",IFERROR(INDEX('包络曲线数据'!$B$2:$U$742,ROW()-1,MATCH(E$1,'包络曲线数据'!$B$1:$U$1,0)),""))</x:f>
      </x:c>
      <x:c r="F63" t="str">
        <x:f>IF(F$1="","",IFERROR(INDEX('包络曲线数据'!$B$2:$U$742,ROW()-1,MATCH(F$1,'包络曲线数据'!$B$1:$U$1,0)),""))</x:f>
      </x:c>
      <x:c r="G63" t="str">
        <x:f>IF(G$1="","",IFERROR(INDEX('包络曲线数据'!$B$2:$U$742,ROW()-1,MATCH(G$1,'包络曲线数据'!$B$1:$U$1,0)),""))</x:f>
      </x:c>
    </x:row>
    <x:row r="64">
      <x:c r="A64" t="n">
        <x:v>6.2</x:v>
      </x:c>
      <x:c r="B64" t="n">
        <x:f>IF(B$1="","",IFERROR(INDEX('包络曲线数据'!$B$2:$U$742,ROW()-1,MATCH(B$1,'包络曲线数据'!$B$1:$U$1,0)),""))</x:f>
        <x:v>69.70953665111443</x:v>
      </x:c>
      <x:c r="C64" t="n">
        <x:f>IF(C$1="","",IFERROR(INDEX('包络曲线数据'!$B$2:$U$742,ROW()-1,MATCH(C$1,'包络曲线数据'!$B$1:$U$1,0)),""))</x:f>
        <x:v>69.51546786281354</x:v>
      </x:c>
      <x:c r="D64" t="n">
        <x:f>IF(D$1="","",IFERROR(INDEX('包络曲线数据'!$B$2:$U$742,ROW()-1,MATCH(D$1,'包络曲线数据'!$B$1:$U$1,0)),""))</x:f>
        <x:v>71.94782154862904</x:v>
      </x:c>
      <x:c r="E64" t="str">
        <x:f>IF(E$1="","",IFERROR(INDEX('包络曲线数据'!$B$2:$U$742,ROW()-1,MATCH(E$1,'包络曲线数据'!$B$1:$U$1,0)),""))</x:f>
      </x:c>
      <x:c r="F64" t="str">
        <x:f>IF(F$1="","",IFERROR(INDEX('包络曲线数据'!$B$2:$U$742,ROW()-1,MATCH(F$1,'包络曲线数据'!$B$1:$U$1,0)),""))</x:f>
      </x:c>
      <x:c r="G64" t="str">
        <x:f>IF(G$1="","",IFERROR(INDEX('包络曲线数据'!$B$2:$U$742,ROW()-1,MATCH(G$1,'包络曲线数据'!$B$1:$U$1,0)),""))</x:f>
      </x:c>
    </x:row>
    <x:row r="65">
      <x:c r="A65" t="n">
        <x:v>6.300000000000001</x:v>
      </x:c>
      <x:c r="B65" t="n">
        <x:f>IF(B$1="","",IFERROR(INDEX('包络曲线数据'!$B$2:$U$742,ROW()-1,MATCH(B$1,'包络曲线数据'!$B$1:$U$1,0)),""))</x:f>
        <x:v>63.406171438258276</x:v>
      </x:c>
      <x:c r="C65" t="n">
        <x:f>IF(C$1="","",IFERROR(INDEX('包络曲线数据'!$B$2:$U$742,ROW()-1,MATCH(C$1,'包络曲线数据'!$B$1:$U$1,0)),""))</x:f>
        <x:v>70.91481163196974</x:v>
      </x:c>
      <x:c r="D65" t="n">
        <x:f>IF(D$1="","",IFERROR(INDEX('包络曲线数据'!$B$2:$U$742,ROW()-1,MATCH(D$1,'包络曲线数据'!$B$1:$U$1,0)),""))</x:f>
        <x:v>68.29354466324807</x:v>
      </x:c>
      <x:c r="E65" t="str">
        <x:f>IF(E$1="","",IFERROR(INDEX('包络曲线数据'!$B$2:$U$742,ROW()-1,MATCH(E$1,'包络曲线数据'!$B$1:$U$1,0)),""))</x:f>
      </x:c>
      <x:c r="F65" t="str">
        <x:f>IF(F$1="","",IFERROR(INDEX('包络曲线数据'!$B$2:$U$742,ROW()-1,MATCH(F$1,'包络曲线数据'!$B$1:$U$1,0)),""))</x:f>
      </x:c>
      <x:c r="G65" t="str">
        <x:f>IF(G$1="","",IFERROR(INDEX('包络曲线数据'!$B$2:$U$742,ROW()-1,MATCH(G$1,'包络曲线数据'!$B$1:$U$1,0)),""))</x:f>
      </x:c>
    </x:row>
    <x:row r="66">
      <x:c r="A66" t="n">
        <x:v>6.4</x:v>
      </x:c>
      <x:c r="B66" t="n">
        <x:f>IF(B$1="","",IFERROR(INDEX('包络曲线数据'!$B$2:$U$742,ROW()-1,MATCH(B$1,'包络曲线数据'!$B$1:$U$1,0)),""))</x:f>
        <x:v>66.4289014368273</x:v>
      </x:c>
      <x:c r="C66" t="n">
        <x:f>IF(C$1="","",IFERROR(INDEX('包络曲线数据'!$B$2:$U$742,ROW()-1,MATCH(C$1,'包络曲线数据'!$B$1:$U$1,0)),""))</x:f>
        <x:v>71.70523533295018</x:v>
      </x:c>
      <x:c r="D66" t="n">
        <x:f>IF(D$1="","",IFERROR(INDEX('包络曲线数据'!$B$2:$U$742,ROW()-1,MATCH(D$1,'包络曲线数据'!$B$1:$U$1,0)),""))</x:f>
        <x:v>68.56143430283814</x:v>
      </x:c>
      <x:c r="E66" t="str">
        <x:f>IF(E$1="","",IFERROR(INDEX('包络曲线数据'!$B$2:$U$742,ROW()-1,MATCH(E$1,'包络曲线数据'!$B$1:$U$1,0)),""))</x:f>
      </x:c>
      <x:c r="F66" t="str">
        <x:f>IF(F$1="","",IFERROR(INDEX('包络曲线数据'!$B$2:$U$742,ROW()-1,MATCH(F$1,'包络曲线数据'!$B$1:$U$1,0)),""))</x:f>
      </x:c>
      <x:c r="G66" t="str">
        <x:f>IF(G$1="","",IFERROR(INDEX('包络曲线数据'!$B$2:$U$742,ROW()-1,MATCH(G$1,'包络曲线数据'!$B$1:$U$1,0)),""))</x:f>
      </x:c>
    </x:row>
    <x:row r="67">
      <x:c r="A67" t="n">
        <x:v>6.5</x:v>
      </x:c>
      <x:c r="B67" t="n">
        <x:f>IF(B$1="","",IFERROR(INDEX('包络曲线数据'!$B$2:$U$742,ROW()-1,MATCH(B$1,'包络曲线数据'!$B$1:$U$1,0)),""))</x:f>
        <x:v>67.19167775681407</x:v>
      </x:c>
      <x:c r="C67" t="n">
        <x:f>IF(C$1="","",IFERROR(INDEX('包络曲线数据'!$B$2:$U$742,ROW()-1,MATCH(C$1,'包络曲线数据'!$B$1:$U$1,0)),""))</x:f>
        <x:v>71.70523533295018</x:v>
      </x:c>
      <x:c r="D67" t="n">
        <x:f>IF(D$1="","",IFERROR(INDEX('包络曲线数据'!$B$2:$U$742,ROW()-1,MATCH(D$1,'包络曲线数据'!$B$1:$U$1,0)),""))</x:f>
        <x:v>67.52454148917033</x:v>
      </x:c>
      <x:c r="E67" t="str">
        <x:f>IF(E$1="","",IFERROR(INDEX('包络曲线数据'!$B$2:$U$742,ROW()-1,MATCH(E$1,'包络曲线数据'!$B$1:$U$1,0)),""))</x:f>
      </x:c>
      <x:c r="F67" t="str">
        <x:f>IF(F$1="","",IFERROR(INDEX('包络曲线数据'!$B$2:$U$742,ROW()-1,MATCH(F$1,'包络曲线数据'!$B$1:$U$1,0)),""))</x:f>
      </x:c>
      <x:c r="G67" t="str">
        <x:f>IF(G$1="","",IFERROR(INDEX('包络曲线数据'!$B$2:$U$742,ROW()-1,MATCH(G$1,'包络曲线数据'!$B$1:$U$1,0)),""))</x:f>
      </x:c>
    </x:row>
    <x:row r="68">
      <x:c r="A68" t="n">
        <x:v>6.6000000000000005</x:v>
      </x:c>
      <x:c r="B68" t="n">
        <x:f>IF(B$1="","",IFERROR(INDEX('包络曲线数据'!$B$2:$U$742,ROW()-1,MATCH(B$1,'包络曲线数据'!$B$1:$U$1,0)),""))</x:f>
        <x:v>68.2796157232803</x:v>
      </x:c>
      <x:c r="C68" t="n">
        <x:f>IF(C$1="","",IFERROR(INDEX('包络曲线数据'!$B$2:$U$742,ROW()-1,MATCH(C$1,'包络曲线数据'!$B$1:$U$1,0)),""))</x:f>
        <x:v>71.5368778680614</x:v>
      </x:c>
      <x:c r="D68" t="n">
        <x:f>IF(D$1="","",IFERROR(INDEX('包络曲线数据'!$B$2:$U$742,ROW()-1,MATCH(D$1,'包络曲线数据'!$B$1:$U$1,0)),""))</x:f>
        <x:v>64.77469818051509</x:v>
      </x:c>
      <x:c r="E68" t="str">
        <x:f>IF(E$1="","",IFERROR(INDEX('包络曲线数据'!$B$2:$U$742,ROW()-1,MATCH(E$1,'包络曲线数据'!$B$1:$U$1,0)),""))</x:f>
      </x:c>
      <x:c r="F68" t="str">
        <x:f>IF(F$1="","",IFERROR(INDEX('包络曲线数据'!$B$2:$U$742,ROW()-1,MATCH(F$1,'包络曲线数据'!$B$1:$U$1,0)),""))</x:f>
      </x:c>
      <x:c r="G68" t="str">
        <x:f>IF(G$1="","",IFERROR(INDEX('包络曲线数据'!$B$2:$U$742,ROW()-1,MATCH(G$1,'包络曲线数据'!$B$1:$U$1,0)),""))</x:f>
      </x:c>
    </x:row>
    <x:row r="69">
      <x:c r="A69" t="n">
        <x:v>6.7</x:v>
      </x:c>
      <x:c r="B69" t="n">
        <x:f>IF(B$1="","",IFERROR(INDEX('包络曲线数据'!$B$2:$U$742,ROW()-1,MATCH(B$1,'包络曲线数据'!$B$1:$U$1,0)),""))</x:f>
        <x:v>68.2796157232803</x:v>
      </x:c>
      <x:c r="C69" t="n">
        <x:f>IF(C$1="","",IFERROR(INDEX('包络曲线数据'!$B$2:$U$742,ROW()-1,MATCH(C$1,'包络曲线数据'!$B$1:$U$1,0)),""))</x:f>
        <x:v>71.5368778680614</x:v>
      </x:c>
      <x:c r="D69" t="n">
        <x:f>IF(D$1="","",IFERROR(INDEX('包络曲线数据'!$B$2:$U$742,ROW()-1,MATCH(D$1,'包络曲线数据'!$B$1:$U$1,0)),""))</x:f>
        <x:v>64.88605929201668</x:v>
      </x:c>
      <x:c r="E69" t="str">
        <x:f>IF(E$1="","",IFERROR(INDEX('包络曲线数据'!$B$2:$U$742,ROW()-1,MATCH(E$1,'包络曲线数据'!$B$1:$U$1,0)),""))</x:f>
      </x:c>
      <x:c r="F69" t="str">
        <x:f>IF(F$1="","",IFERROR(INDEX('包络曲线数据'!$B$2:$U$742,ROW()-1,MATCH(F$1,'包络曲线数据'!$B$1:$U$1,0)),""))</x:f>
      </x:c>
      <x:c r="G69" t="str">
        <x:f>IF(G$1="","",IFERROR(INDEX('包络曲线数据'!$B$2:$U$742,ROW()-1,MATCH(G$1,'包络曲线数据'!$B$1:$U$1,0)),""))</x:f>
      </x:c>
    </x:row>
    <x:row r="70">
      <x:c r="A70" t="n">
        <x:v>6.800000000000001</x:v>
      </x:c>
      <x:c r="B70" t="n">
        <x:f>IF(B$1="","",IFERROR(INDEX('包络曲线数据'!$B$2:$U$742,ROW()-1,MATCH(B$1,'包络曲线数据'!$B$1:$U$1,0)),""))</x:f>
        <x:v>66.2469043258361</x:v>
      </x:c>
      <x:c r="C70" t="n">
        <x:f>IF(C$1="","",IFERROR(INDEX('包络曲线数据'!$B$2:$U$742,ROW()-1,MATCH(C$1,'包络曲线数据'!$B$1:$U$1,0)),""))</x:f>
        <x:v>71.44339356950758</x:v>
      </x:c>
      <x:c r="D70" t="n">
        <x:f>IF(D$1="","",IFERROR(INDEX('包络曲线数据'!$B$2:$U$742,ROW()-1,MATCH(D$1,'包络曲线数据'!$B$1:$U$1,0)),""))</x:f>
        <x:v>76.4725793175891</x:v>
      </x:c>
      <x:c r="E70" t="str">
        <x:f>IF(E$1="","",IFERROR(INDEX('包络曲线数据'!$B$2:$U$742,ROW()-1,MATCH(E$1,'包络曲线数据'!$B$1:$U$1,0)),""))</x:f>
      </x:c>
      <x:c r="F70" t="str">
        <x:f>IF(F$1="","",IFERROR(INDEX('包络曲线数据'!$B$2:$U$742,ROW()-1,MATCH(F$1,'包络曲线数据'!$B$1:$U$1,0)),""))</x:f>
      </x:c>
      <x:c r="G70" t="str">
        <x:f>IF(G$1="","",IFERROR(INDEX('包络曲线数据'!$B$2:$U$742,ROW()-1,MATCH(G$1,'包络曲线数据'!$B$1:$U$1,0)),""))</x:f>
      </x:c>
    </x:row>
    <x:row r="71">
      <x:c r="A71" t="n">
        <x:v>6.9</x:v>
      </x:c>
      <x:c r="B71" t="n">
        <x:f>IF(B$1="","",IFERROR(INDEX('包络曲线数据'!$B$2:$U$742,ROW()-1,MATCH(B$1,'包络曲线数据'!$B$1:$U$1,0)),""))</x:f>
        <x:v>67.97042102961399</x:v>
      </x:c>
      <x:c r="C71" t="n">
        <x:f>IF(C$1="","",IFERROR(INDEX('包络曲线数据'!$B$2:$U$742,ROW()-1,MATCH(C$1,'包络曲线数据'!$B$1:$U$1,0)),""))</x:f>
        <x:v>84.71797142921278</x:v>
      </x:c>
      <x:c r="D71" t="n">
        <x:f>IF(D$1="","",IFERROR(INDEX('包络曲线数据'!$B$2:$U$742,ROW()-1,MATCH(D$1,'包络曲线数据'!$B$1:$U$1,0)),""))</x:f>
        <x:v>81.53481843530736</x:v>
      </x:c>
      <x:c r="E71" t="str">
        <x:f>IF(E$1="","",IFERROR(INDEX('包络曲线数据'!$B$2:$U$742,ROW()-1,MATCH(E$1,'包络曲线数据'!$B$1:$U$1,0)),""))</x:f>
      </x:c>
      <x:c r="F71" t="str">
        <x:f>IF(F$1="","",IFERROR(INDEX('包络曲线数据'!$B$2:$U$742,ROW()-1,MATCH(F$1,'包络曲线数据'!$B$1:$U$1,0)),""))</x:f>
      </x:c>
      <x:c r="G71" t="str">
        <x:f>IF(G$1="","",IFERROR(INDEX('包络曲线数据'!$B$2:$U$742,ROW()-1,MATCH(G$1,'包络曲线数据'!$B$1:$U$1,0)),""))</x:f>
      </x:c>
    </x:row>
    <x:row r="72">
      <x:c r="A72" t="n">
        <x:v>7</x:v>
      </x:c>
      <x:c r="B72" t="n">
        <x:f>IF(B$1="","",IFERROR(INDEX('包络曲线数据'!$B$2:$U$742,ROW()-1,MATCH(B$1,'包络曲线数据'!$B$1:$U$1,0)),""))</x:f>
        <x:v>67.97042102961399</x:v>
      </x:c>
      <x:c r="C72" t="n">
        <x:f>IF(C$1="","",IFERROR(INDEX('包络曲线数据'!$B$2:$U$742,ROW()-1,MATCH(C$1,'包络曲线数据'!$B$1:$U$1,0)),""))</x:f>
        <x:v>87.41138261000238</x:v>
      </x:c>
      <x:c r="D72" t="n">
        <x:f>IF(D$1="","",IFERROR(INDEX('包络曲线数据'!$B$2:$U$742,ROW()-1,MATCH(D$1,'包络曲线数据'!$B$1:$U$1,0)),""))</x:f>
        <x:v>81.53481843530736</x:v>
      </x:c>
      <x:c r="E72" t="str">
        <x:f>IF(E$1="","",IFERROR(INDEX('包络曲线数据'!$B$2:$U$742,ROW()-1,MATCH(E$1,'包络曲线数据'!$B$1:$U$1,0)),""))</x:f>
      </x:c>
      <x:c r="F72" t="str">
        <x:f>IF(F$1="","",IFERROR(INDEX('包络曲线数据'!$B$2:$U$742,ROW()-1,MATCH(F$1,'包络曲线数据'!$B$1:$U$1,0)),""))</x:f>
      </x:c>
      <x:c r="G72" t="str">
        <x:f>IF(G$1="","",IFERROR(INDEX('包络曲线数据'!$B$2:$U$742,ROW()-1,MATCH(G$1,'包络曲线数据'!$B$1:$U$1,0)),""))</x:f>
      </x:c>
    </x:row>
    <x:row r="73">
      <x:c r="A73" t="n">
        <x:v>7.1000000000000005</x:v>
      </x:c>
      <x:c r="B73" t="n">
        <x:f>IF(B$1="","",IFERROR(INDEX('包络曲线数据'!$B$2:$U$742,ROW()-1,MATCH(B$1,'包络曲线数据'!$B$1:$U$1,0)),""))</x:f>
        <x:v>68.38451042348333</x:v>
      </x:c>
      <x:c r="C73" t="n">
        <x:f>IF(C$1="","",IFERROR(INDEX('包络曲线数据'!$B$2:$U$742,ROW()-1,MATCH(C$1,'包络曲线数据'!$B$1:$U$1,0)),""))</x:f>
        <x:v>87.41138261000235</x:v>
      </x:c>
      <x:c r="D73" t="n">
        <x:f>IF(D$1="","",IFERROR(INDEX('包络曲线数据'!$B$2:$U$742,ROW()-1,MATCH(D$1,'包络曲线数据'!$B$1:$U$1,0)),""))</x:f>
        <x:v>73.73570079645977</x:v>
      </x:c>
      <x:c r="E73" t="str">
        <x:f>IF(E$1="","",IFERROR(INDEX('包络曲线数据'!$B$2:$U$742,ROW()-1,MATCH(E$1,'包络曲线数据'!$B$1:$U$1,0)),""))</x:f>
      </x:c>
      <x:c r="F73" t="str">
        <x:f>IF(F$1="","",IFERROR(INDEX('包络曲线数据'!$B$2:$U$742,ROW()-1,MATCH(F$1,'包络曲线数据'!$B$1:$U$1,0)),""))</x:f>
      </x:c>
      <x:c r="G73" t="str">
        <x:f>IF(G$1="","",IFERROR(INDEX('包络曲线数据'!$B$2:$U$742,ROW()-1,MATCH(G$1,'包络曲线数据'!$B$1:$U$1,0)),""))</x:f>
      </x:c>
    </x:row>
    <x:row r="74">
      <x:c r="A74" t="n">
        <x:v>7.2</x:v>
      </x:c>
      <x:c r="B74" t="n">
        <x:f>IF(B$1="","",IFERROR(INDEX('包络曲线数据'!$B$2:$U$742,ROW()-1,MATCH(B$1,'包络曲线数据'!$B$1:$U$1,0)),""))</x:f>
        <x:v>68.38451042348333</x:v>
      </x:c>
      <x:c r="C74" t="n">
        <x:f>IF(C$1="","",IFERROR(INDEX('包络曲线数据'!$B$2:$U$742,ROW()-1,MATCH(C$1,'包络曲线数据'!$B$1:$U$1,0)),""))</x:f>
        <x:v>78.3059358079225</x:v>
      </x:c>
      <x:c r="D74" t="n">
        <x:f>IF(D$1="","",IFERROR(INDEX('包络曲线数据'!$B$2:$U$742,ROW()-1,MATCH(D$1,'包络曲线数据'!$B$1:$U$1,0)),""))</x:f>
        <x:v>70.21605735383835</x:v>
      </x:c>
      <x:c r="E74" t="str">
        <x:f>IF(E$1="","",IFERROR(INDEX('包络曲线数据'!$B$2:$U$742,ROW()-1,MATCH(E$1,'包络曲线数据'!$B$1:$U$1,0)),""))</x:f>
      </x:c>
      <x:c r="F74" t="str">
        <x:f>IF(F$1="","",IFERROR(INDEX('包络曲线数据'!$B$2:$U$742,ROW()-1,MATCH(F$1,'包络曲线数据'!$B$1:$U$1,0)),""))</x:f>
      </x:c>
      <x:c r="G74" t="str">
        <x:f>IF(G$1="","",IFERROR(INDEX('包络曲线数据'!$B$2:$U$742,ROW()-1,MATCH(G$1,'包络曲线数据'!$B$1:$U$1,0)),""))</x:f>
      </x:c>
    </x:row>
    <x:row r="75">
      <x:c r="A75" t="n">
        <x:v>7.300000000000001</x:v>
      </x:c>
      <x:c r="B75" t="n">
        <x:f>IF(B$1="","",IFERROR(INDEX('包络曲线数据'!$B$2:$U$742,ROW()-1,MATCH(B$1,'包络曲线数据'!$B$1:$U$1,0)),""))</x:f>
        <x:v>67.96413672743527</x:v>
      </x:c>
      <x:c r="C75" t="n">
        <x:f>IF(C$1="","",IFERROR(INDEX('包络曲线数据'!$B$2:$U$742,ROW()-1,MATCH(C$1,'包络曲线数据'!$B$1:$U$1,0)),""))</x:f>
        <x:v>72.10314975309076</x:v>
      </x:c>
      <x:c r="D75" t="n">
        <x:f>IF(D$1="","",IFERROR(INDEX('包络曲线数据'!$B$2:$U$742,ROW()-1,MATCH(D$1,'包络曲线数据'!$B$1:$U$1,0)),""))</x:f>
        <x:v>62.55016835828974</x:v>
      </x:c>
      <x:c r="E75" t="str">
        <x:f>IF(E$1="","",IFERROR(INDEX('包络曲线数据'!$B$2:$U$742,ROW()-1,MATCH(E$1,'包络曲线数据'!$B$1:$U$1,0)),""))</x:f>
      </x:c>
      <x:c r="F75" t="str">
        <x:f>IF(F$1="","",IFERROR(INDEX('包络曲线数据'!$B$2:$U$742,ROW()-1,MATCH(F$1,'包络曲线数据'!$B$1:$U$1,0)),""))</x:f>
      </x:c>
      <x:c r="G75" t="str">
        <x:f>IF(G$1="","",IFERROR(INDEX('包络曲线数据'!$B$2:$U$742,ROW()-1,MATCH(G$1,'包络曲线数据'!$B$1:$U$1,0)),""))</x:f>
      </x:c>
    </x:row>
    <x:row r="76">
      <x:c r="A76" t="n">
        <x:v>7.4</x:v>
      </x:c>
      <x:c r="B76" t="n">
        <x:f>IF(B$1="","",IFERROR(INDEX('包络曲线数据'!$B$2:$U$742,ROW()-1,MATCH(B$1,'包络曲线数据'!$B$1:$U$1,0)),""))</x:f>
        <x:v>67.70533188722538</x:v>
      </x:c>
      <x:c r="C76" t="n">
        <x:f>IF(C$1="","",IFERROR(INDEX('包络曲线数据'!$B$2:$U$742,ROW()-1,MATCH(C$1,'包络曲线数据'!$B$1:$U$1,0)),""))</x:f>
        <x:v>59.02098960438828</x:v>
      </x:c>
      <x:c r="D76" t="n">
        <x:f>IF(D$1="","",IFERROR(INDEX('包络曲线数据'!$B$2:$U$742,ROW()-1,MATCH(D$1,'包络曲线数据'!$B$1:$U$1,0)),""))</x:f>
        <x:v>50</x:v>
      </x:c>
      <x:c r="E76" t="str">
        <x:f>IF(E$1="","",IFERROR(INDEX('包络曲线数据'!$B$2:$U$742,ROW()-1,MATCH(E$1,'包络曲线数据'!$B$1:$U$1,0)),""))</x:f>
      </x:c>
      <x:c r="F76" t="str">
        <x:f>IF(F$1="","",IFERROR(INDEX('包络曲线数据'!$B$2:$U$742,ROW()-1,MATCH(F$1,'包络曲线数据'!$B$1:$U$1,0)),""))</x:f>
      </x:c>
      <x:c r="G76" t="str">
        <x:f>IF(G$1="","",IFERROR(INDEX('包络曲线数据'!$B$2:$U$742,ROW()-1,MATCH(G$1,'包络曲线数据'!$B$1:$U$1,0)),""))</x:f>
      </x:c>
    </x:row>
    <x:row r="77">
      <x:c r="A77" t="n">
        <x:v>7.5</x:v>
      </x:c>
      <x:c r="B77" t="n">
        <x:f>IF(B$1="","",IFERROR(INDEX('包络曲线数据'!$B$2:$U$742,ROW()-1,MATCH(B$1,'包络曲线数据'!$B$1:$U$1,0)),""))</x:f>
        <x:v>67.2215798616226</x:v>
      </x:c>
      <x:c r="C77" t="n">
        <x:f>IF(C$1="","",IFERROR(INDEX('包络曲线数据'!$B$2:$U$742,ROW()-1,MATCH(C$1,'包络曲线数据'!$B$1:$U$1,0)),""))</x:f>
        <x:v>58.429287767864174</x:v>
      </x:c>
      <x:c r="D77" t="n">
        <x:f>IF(D$1="","",IFERROR(INDEX('包络曲线数据'!$B$2:$U$742,ROW()-1,MATCH(D$1,'包络曲线数据'!$B$1:$U$1,0)),""))</x:f>
        <x:v>50</x:v>
      </x:c>
      <x:c r="E77" t="str">
        <x:f>IF(E$1="","",IFERROR(INDEX('包络曲线数据'!$B$2:$U$742,ROW()-1,MATCH(E$1,'包络曲线数据'!$B$1:$U$1,0)),""))</x:f>
      </x:c>
      <x:c r="F77" t="str">
        <x:f>IF(F$1="","",IFERROR(INDEX('包络曲线数据'!$B$2:$U$742,ROW()-1,MATCH(F$1,'包络曲线数据'!$B$1:$U$1,0)),""))</x:f>
      </x:c>
      <x:c r="G77" t="str">
        <x:f>IF(G$1="","",IFERROR(INDEX('包络曲线数据'!$B$2:$U$742,ROW()-1,MATCH(G$1,'包络曲线数据'!$B$1:$U$1,0)),""))</x:f>
      </x:c>
    </x:row>
    <x:row r="78">
      <x:c r="A78" t="n">
        <x:v>7.6000000000000005</x:v>
      </x:c>
      <x:c r="B78" t="n">
        <x:f>IF(B$1="","",IFERROR(INDEX('包络曲线数据'!$B$2:$U$742,ROW()-1,MATCH(B$1,'包络曲线数据'!$B$1:$U$1,0)),""))</x:f>
        <x:v>78.46529904408303</x:v>
      </x:c>
      <x:c r="C78" t="n">
        <x:f>IF(C$1="","",IFERROR(INDEX('包络曲线数据'!$B$2:$U$742,ROW()-1,MATCH(C$1,'包络曲线数据'!$B$1:$U$1,0)),""))</x:f>
        <x:v>52.39175843351897</x:v>
      </x:c>
      <x:c r="D78" t="n">
        <x:f>IF(D$1="","",IFERROR(INDEX('包络曲线数据'!$B$2:$U$742,ROW()-1,MATCH(D$1,'包络曲线数据'!$B$1:$U$1,0)),""))</x:f>
        <x:v>50</x:v>
      </x:c>
      <x:c r="E78" t="str">
        <x:f>IF(E$1="","",IFERROR(INDEX('包络曲线数据'!$B$2:$U$742,ROW()-1,MATCH(E$1,'包络曲线数据'!$B$1:$U$1,0)),""))</x:f>
      </x:c>
      <x:c r="F78" t="str">
        <x:f>IF(F$1="","",IFERROR(INDEX('包络曲线数据'!$B$2:$U$742,ROW()-1,MATCH(F$1,'包络曲线数据'!$B$1:$U$1,0)),""))</x:f>
      </x:c>
      <x:c r="G78" t="str">
        <x:f>IF(G$1="","",IFERROR(INDEX('包络曲线数据'!$B$2:$U$742,ROW()-1,MATCH(G$1,'包络曲线数据'!$B$1:$U$1,0)),""))</x:f>
      </x:c>
    </x:row>
    <x:row r="79">
      <x:c r="A79" t="n">
        <x:v>7.7</x:v>
      </x:c>
      <x:c r="B79" t="n">
        <x:f>IF(B$1="","",IFERROR(INDEX('包络曲线数据'!$B$2:$U$742,ROW()-1,MATCH(B$1,'包络曲线数据'!$B$1:$U$1,0)),""))</x:f>
        <x:v>78.46529904408303</x:v>
      </x:c>
      <x:c r="C79" t="n">
        <x:f>IF(C$1="","",IFERROR(INDEX('包络曲线数据'!$B$2:$U$742,ROW()-1,MATCH(C$1,'包络曲线数据'!$B$1:$U$1,0)),""))</x:f>
        <x:v>66.37703986340851</x:v>
      </x:c>
      <x:c r="D79" t="n">
        <x:f>IF(D$1="","",IFERROR(INDEX('包络曲线数据'!$B$2:$U$742,ROW()-1,MATCH(D$1,'包络曲线数据'!$B$1:$U$1,0)),""))</x:f>
        <x:v>50</x:v>
      </x:c>
      <x:c r="E79" t="str">
        <x:f>IF(E$1="","",IFERROR(INDEX('包络曲线数据'!$B$2:$U$742,ROW()-1,MATCH(E$1,'包络曲线数据'!$B$1:$U$1,0)),""))</x:f>
      </x:c>
      <x:c r="F79" t="str">
        <x:f>IF(F$1="","",IFERROR(INDEX('包络曲线数据'!$B$2:$U$742,ROW()-1,MATCH(F$1,'包络曲线数据'!$B$1:$U$1,0)),""))</x:f>
      </x:c>
      <x:c r="G79" t="str">
        <x:f>IF(G$1="","",IFERROR(INDEX('包络曲线数据'!$B$2:$U$742,ROW()-1,MATCH(G$1,'包络曲线数据'!$B$1:$U$1,0)),""))</x:f>
      </x:c>
    </x:row>
    <x:row r="80">
      <x:c r="A80" t="n">
        <x:v>7.800000000000001</x:v>
      </x:c>
      <x:c r="B80" t="n">
        <x:f>IF(B$1="","",IFERROR(INDEX('包络曲线数据'!$B$2:$U$742,ROW()-1,MATCH(B$1,'包络曲线数据'!$B$1:$U$1,0)),""))</x:f>
        <x:v>74.79178730791381</x:v>
      </x:c>
      <x:c r="C80" t="n">
        <x:f>IF(C$1="","",IFERROR(INDEX('包络曲线数据'!$B$2:$U$742,ROW()-1,MATCH(C$1,'包络曲线数据'!$B$1:$U$1,0)),""))</x:f>
        <x:v>67.31210486400478</x:v>
      </x:c>
      <x:c r="D80" t="n">
        <x:f>IF(D$1="","",IFERROR(INDEX('包络曲线数据'!$B$2:$U$742,ROW()-1,MATCH(D$1,'包络曲线数据'!$B$1:$U$1,0)),""))</x:f>
        <x:v>65.7157368255772</x:v>
      </x:c>
      <x:c r="E80" t="str">
        <x:f>IF(E$1="","",IFERROR(INDEX('包络曲线数据'!$B$2:$U$742,ROW()-1,MATCH(E$1,'包络曲线数据'!$B$1:$U$1,0)),""))</x:f>
      </x:c>
      <x:c r="F80" t="str">
        <x:f>IF(F$1="","",IFERROR(INDEX('包络曲线数据'!$B$2:$U$742,ROW()-1,MATCH(F$1,'包络曲线数据'!$B$1:$U$1,0)),""))</x:f>
      </x:c>
      <x:c r="G80" t="str">
        <x:f>IF(G$1="","",IFERROR(INDEX('包络曲线数据'!$B$2:$U$742,ROW()-1,MATCH(G$1,'包络曲线数据'!$B$1:$U$1,0)),""))</x:f>
      </x:c>
    </x:row>
    <x:row r="81">
      <x:c r="A81" t="n">
        <x:v>7.9</x:v>
      </x:c>
      <x:c r="B81" t="n">
        <x:f>IF(B$1="","",IFERROR(INDEX('包络曲线数据'!$B$2:$U$742,ROW()-1,MATCH(B$1,'包络曲线数据'!$B$1:$U$1,0)),""))</x:f>
        <x:v>64.90162444581668</x:v>
      </x:c>
      <x:c r="C81" t="n">
        <x:f>IF(C$1="","",IFERROR(INDEX('包络曲线数据'!$B$2:$U$742,ROW()-1,MATCH(C$1,'包络曲线数据'!$B$1:$U$1,0)),""))</x:f>
        <x:v>67.31210486400478</x:v>
      </x:c>
      <x:c r="D81" t="n">
        <x:f>IF(D$1="","",IFERROR(INDEX('包络曲线数据'!$B$2:$U$742,ROW()-1,MATCH(D$1,'包络曲线数据'!$B$1:$U$1,0)),""))</x:f>
        <x:v>75.6389918074164</x:v>
      </x:c>
      <x:c r="E81" t="str">
        <x:f>IF(E$1="","",IFERROR(INDEX('包络曲线数据'!$B$2:$U$742,ROW()-1,MATCH(E$1,'包络曲线数据'!$B$1:$U$1,0)),""))</x:f>
      </x:c>
      <x:c r="F81" t="str">
        <x:f>IF(F$1="","",IFERROR(INDEX('包络曲线数据'!$B$2:$U$742,ROW()-1,MATCH(F$1,'包络曲线数据'!$B$1:$U$1,0)),""))</x:f>
      </x:c>
      <x:c r="G81" t="str">
        <x:f>IF(G$1="","",IFERROR(INDEX('包络曲线数据'!$B$2:$U$742,ROW()-1,MATCH(G$1,'包络曲线数据'!$B$1:$U$1,0)),""))</x:f>
      </x:c>
    </x:row>
    <x:row r="82">
      <x:c r="A82" t="n">
        <x:v>8</x:v>
      </x:c>
      <x:c r="B82" t="n">
        <x:f>IF(B$1="","",IFERROR(INDEX('包络曲线数据'!$B$2:$U$742,ROW()-1,MATCH(B$1,'包络曲线数据'!$B$1:$U$1,0)),""))</x:f>
        <x:v>60.138249865381745</x:v>
      </x:c>
      <x:c r="C82" t="n">
        <x:f>IF(C$1="","",IFERROR(INDEX('包络曲线数据'!$B$2:$U$742,ROW()-1,MATCH(C$1,'包络曲线数据'!$B$1:$U$1,0)),""))</x:f>
        <x:v>59.539297772566854</x:v>
      </x:c>
      <x:c r="D82" t="n">
        <x:f>IF(D$1="","",IFERROR(INDEX('包络曲线数据'!$B$2:$U$742,ROW()-1,MATCH(D$1,'包络曲线数据'!$B$1:$U$1,0)),""))</x:f>
        <x:v>77.02331566039928</x:v>
      </x:c>
      <x:c r="E82" t="str">
        <x:f>IF(E$1="","",IFERROR(INDEX('包络曲线数据'!$B$2:$U$742,ROW()-1,MATCH(E$1,'包络曲线数据'!$B$1:$U$1,0)),""))</x:f>
      </x:c>
      <x:c r="F82" t="str">
        <x:f>IF(F$1="","",IFERROR(INDEX('包络曲线数据'!$B$2:$U$742,ROW()-1,MATCH(F$1,'包络曲线数据'!$B$1:$U$1,0)),""))</x:f>
      </x:c>
      <x:c r="G82" t="str">
        <x:f>IF(G$1="","",IFERROR(INDEX('包络曲线数据'!$B$2:$U$742,ROW()-1,MATCH(G$1,'包络曲线数据'!$B$1:$U$1,0)),""))</x:f>
      </x:c>
    </x:row>
    <x:row r="83">
      <x:c r="A83" t="n">
        <x:v>8.1</x:v>
      </x:c>
      <x:c r="B83" t="n">
        <x:f>IF(B$1="","",IFERROR(INDEX('包络曲线数据'!$B$2:$U$742,ROW()-1,MATCH(B$1,'包络曲线数据'!$B$1:$U$1,0)),""))</x:f>
        <x:v>59.051282568401916</x:v>
      </x:c>
      <x:c r="C83" t="n">
        <x:f>IF(C$1="","",IFERROR(INDEX('包络曲线数据'!$B$2:$U$742,ROW()-1,MATCH(C$1,'包络曲线数据'!$B$1:$U$1,0)),""))</x:f>
        <x:v>71.45186333764669</x:v>
      </x:c>
      <x:c r="D83" t="n">
        <x:f>IF(D$1="","",IFERROR(INDEX('包络曲线数据'!$B$2:$U$742,ROW()-1,MATCH(D$1,'包络曲线数据'!$B$1:$U$1,0)),""))</x:f>
        <x:v>77.02331566039928</x:v>
      </x:c>
      <x:c r="E83" t="str">
        <x:f>IF(E$1="","",IFERROR(INDEX('包络曲线数据'!$B$2:$U$742,ROW()-1,MATCH(E$1,'包络曲线数据'!$B$1:$U$1,0)),""))</x:f>
      </x:c>
      <x:c r="F83" t="str">
        <x:f>IF(F$1="","",IFERROR(INDEX('包络曲线数据'!$B$2:$U$742,ROW()-1,MATCH(F$1,'包络曲线数据'!$B$1:$U$1,0)),""))</x:f>
      </x:c>
      <x:c r="G83" t="str">
        <x:f>IF(G$1="","",IFERROR(INDEX('包络曲线数据'!$B$2:$U$742,ROW()-1,MATCH(G$1,'包络曲线数据'!$B$1:$U$1,0)),""))</x:f>
      </x:c>
    </x:row>
    <x:row r="84">
      <x:c r="A84" t="n">
        <x:v>8.200000000000001</x:v>
      </x:c>
      <x:c r="B84" t="n">
        <x:f>IF(B$1="","",IFERROR(INDEX('包络曲线数据'!$B$2:$U$742,ROW()-1,MATCH(B$1,'包络曲线数据'!$B$1:$U$1,0)),""))</x:f>
        <x:v>57.96431527142208</x:v>
      </x:c>
      <x:c r="C84" t="n">
        <x:f>IF(C$1="","",IFERROR(INDEX('包络曲线数据'!$B$2:$U$742,ROW()-1,MATCH(C$1,'包络曲线数据'!$B$1:$U$1,0)),""))</x:f>
        <x:v>76.21688956367875</x:v>
      </x:c>
      <x:c r="D84" t="n">
        <x:f>IF(D$1="","",IFERROR(INDEX('包络曲线数据'!$B$2:$U$742,ROW()-1,MATCH(D$1,'包络曲线数据'!$B$1:$U$1,0)),""))</x:f>
        <x:v>74.9897602088505</x:v>
      </x:c>
      <x:c r="E84" t="str">
        <x:f>IF(E$1="","",IFERROR(INDEX('包络曲线数据'!$B$2:$U$742,ROW()-1,MATCH(E$1,'包络曲线数据'!$B$1:$U$1,0)),""))</x:f>
      </x:c>
      <x:c r="F84" t="str">
        <x:f>IF(F$1="","",IFERROR(INDEX('包络曲线数据'!$B$2:$U$742,ROW()-1,MATCH(F$1,'包络曲线数据'!$B$1:$U$1,0)),""))</x:f>
      </x:c>
      <x:c r="G84" t="str">
        <x:f>IF(G$1="","",IFERROR(INDEX('包络曲线数据'!$B$2:$U$742,ROW()-1,MATCH(G$1,'包络曲线数据'!$B$1:$U$1,0)),""))</x:f>
      </x:c>
    </x:row>
    <x:row r="85">
      <x:c r="A85" t="n">
        <x:v>8.3</x:v>
      </x:c>
      <x:c r="B85" t="n">
        <x:f>IF(B$1="","",IFERROR(INDEX('包络曲线数据'!$B$2:$U$742,ROW()-1,MATCH(B$1,'包络曲线数据'!$B$1:$U$1,0)),""))</x:f>
        <x:v>56.87734797444225</x:v>
      </x:c>
      <x:c r="C85" t="n">
        <x:f>IF(C$1="","",IFERROR(INDEX('包络曲线数据'!$B$2:$U$742,ROW()-1,MATCH(C$1,'包络曲线数据'!$B$1:$U$1,0)),""))</x:f>
        <x:v>75.55610220733972</x:v>
      </x:c>
      <x:c r="D85" t="n">
        <x:f>IF(D$1="","",IFERROR(INDEX('包络曲线数据'!$B$2:$U$742,ROW()-1,MATCH(D$1,'包络曲线数据'!$B$1:$U$1,0)),""))</x:f>
        <x:v>74.40082907803173</x:v>
      </x:c>
      <x:c r="E85" t="str">
        <x:f>IF(E$1="","",IFERROR(INDEX('包络曲线数据'!$B$2:$U$742,ROW()-1,MATCH(E$1,'包络曲线数据'!$B$1:$U$1,0)),""))</x:f>
      </x:c>
      <x:c r="F85" t="str">
        <x:f>IF(F$1="","",IFERROR(INDEX('包络曲线数据'!$B$2:$U$742,ROW()-1,MATCH(F$1,'包络曲线数据'!$B$1:$U$1,0)),""))</x:f>
      </x:c>
      <x:c r="G85" t="str">
        <x:f>IF(G$1="","",IFERROR(INDEX('包络曲线数据'!$B$2:$U$742,ROW()-1,MATCH(G$1,'包络曲线数据'!$B$1:$U$1,0)),""))</x:f>
      </x:c>
    </x:row>
    <x:row r="86">
      <x:c r="A86" t="n">
        <x:v>8.4</x:v>
      </x:c>
      <x:c r="B86" t="n">
        <x:f>IF(B$1="","",IFERROR(INDEX('包络曲线数据'!$B$2:$U$742,ROW()-1,MATCH(B$1,'包络曲线数据'!$B$1:$U$1,0)),""))</x:f>
        <x:v>55.79038067746243</x:v>
      </x:c>
      <x:c r="C86" t="n">
        <x:f>IF(C$1="","",IFERROR(INDEX('包络曲线数据'!$B$2:$U$742,ROW()-1,MATCH(C$1,'包络曲线数据'!$B$1:$U$1,0)),""))</x:f>
        <x:v>71.57239908695551</x:v>
      </x:c>
      <x:c r="D86" t="n">
        <x:f>IF(D$1="","",IFERROR(INDEX('包络曲线数据'!$B$2:$U$742,ROW()-1,MATCH(D$1,'包络曲线数据'!$B$1:$U$1,0)),""))</x:f>
        <x:v>73.66468231137884</x:v>
      </x:c>
      <x:c r="E86" t="str">
        <x:f>IF(E$1="","",IFERROR(INDEX('包络曲线数据'!$B$2:$U$742,ROW()-1,MATCH(E$1,'包络曲线数据'!$B$1:$U$1,0)),""))</x:f>
      </x:c>
      <x:c r="F86" t="str">
        <x:f>IF(F$1="","",IFERROR(INDEX('包络曲线数据'!$B$2:$U$742,ROW()-1,MATCH(F$1,'包络曲线数据'!$B$1:$U$1,0)),""))</x:f>
      </x:c>
      <x:c r="G86" t="str">
        <x:f>IF(G$1="","",IFERROR(INDEX('包络曲线数据'!$B$2:$U$742,ROW()-1,MATCH(G$1,'包络曲线数据'!$B$1:$U$1,0)),""))</x:f>
      </x:c>
    </x:row>
    <x:row r="87">
      <x:c r="A87" t="n">
        <x:v>8.5</x:v>
      </x:c>
      <x:c r="B87" t="n">
        <x:f>IF(B$1="","",IFERROR(INDEX('包络曲线数据'!$B$2:$U$742,ROW()-1,MATCH(B$1,'包络曲线数据'!$B$1:$U$1,0)),""))</x:f>
        <x:v>54.70341338048261</x:v>
      </x:c>
      <x:c r="C87" t="n">
        <x:f>IF(C$1="","",IFERROR(INDEX('包络曲线数据'!$B$2:$U$742,ROW()-1,MATCH(C$1,'包络曲线数据'!$B$1:$U$1,0)),""))</x:f>
        <x:v>66.91000924315054</x:v>
      </x:c>
      <x:c r="D87" t="n">
        <x:f>IF(D$1="","",IFERROR(INDEX('包络曲线数据'!$B$2:$U$742,ROW()-1,MATCH(D$1,'包络曲线数据'!$B$1:$U$1,0)),""))</x:f>
        <x:v>68.4820630604203</x:v>
      </x:c>
      <x:c r="E87" t="str">
        <x:f>IF(E$1="","",IFERROR(INDEX('包络曲线数据'!$B$2:$U$742,ROW()-1,MATCH(E$1,'包络曲线数据'!$B$1:$U$1,0)),""))</x:f>
      </x:c>
      <x:c r="F87" t="str">
        <x:f>IF(F$1="","",IFERROR(INDEX('包络曲线数据'!$B$2:$U$742,ROW()-1,MATCH(F$1,'包络曲线数据'!$B$1:$U$1,0)),""))</x:f>
      </x:c>
      <x:c r="G87" t="str">
        <x:f>IF(G$1="","",IFERROR(INDEX('包络曲线数据'!$B$2:$U$742,ROW()-1,MATCH(G$1,'包络曲线数据'!$B$1:$U$1,0)),""))</x:f>
      </x:c>
    </x:row>
    <x:row r="88">
      <x:c r="A88" t="n">
        <x:v>8.6</x:v>
      </x:c>
      <x:c r="B88" t="n">
        <x:f>IF(B$1="","",IFERROR(INDEX('包络曲线数据'!$B$2:$U$742,ROW()-1,MATCH(B$1,'包络曲线数据'!$B$1:$U$1,0)),""))</x:f>
        <x:v>57.44545434000505</x:v>
      </x:c>
      <x:c r="C88" t="n">
        <x:f>IF(C$1="","",IFERROR(INDEX('包络曲线数据'!$B$2:$U$742,ROW()-1,MATCH(C$1,'包络曲线数据'!$B$1:$U$1,0)),""))</x:f>
        <x:v>66.33746157407971</x:v>
      </x:c>
      <x:c r="D88" t="n">
        <x:f>IF(D$1="","",IFERROR(INDEX('包络曲线数据'!$B$2:$U$742,ROW()-1,MATCH(D$1,'包络曲线数据'!$B$1:$U$1,0)),""))</x:f>
        <x:v>67.29543131604686</x:v>
      </x:c>
      <x:c r="E88" t="str">
        <x:f>IF(E$1="","",IFERROR(INDEX('包络曲线数据'!$B$2:$U$742,ROW()-1,MATCH(E$1,'包络曲线数据'!$B$1:$U$1,0)),""))</x:f>
      </x:c>
      <x:c r="F88" t="str">
        <x:f>IF(F$1="","",IFERROR(INDEX('包络曲线数据'!$B$2:$U$742,ROW()-1,MATCH(F$1,'包络曲线数据'!$B$1:$U$1,0)),""))</x:f>
      </x:c>
      <x:c r="G88" t="str">
        <x:f>IF(G$1="","",IFERROR(INDEX('包络曲线数据'!$B$2:$U$742,ROW()-1,MATCH(G$1,'包络曲线数据'!$B$1:$U$1,0)),""))</x:f>
      </x:c>
    </x:row>
    <x:row r="89">
      <x:c r="A89" t="n">
        <x:v>8.700000000000001</x:v>
      </x:c>
      <x:c r="B89" t="n">
        <x:f>IF(B$1="","",IFERROR(INDEX('包络曲线数据'!$B$2:$U$742,ROW()-1,MATCH(B$1,'包络曲线数据'!$B$1:$U$1,0)),""))</x:f>
        <x:v>65.38752403579124</x:v>
      </x:c>
      <x:c r="C89" t="n">
        <x:f>IF(C$1="","",IFERROR(INDEX('包络曲线数据'!$B$2:$U$742,ROW()-1,MATCH(C$1,'包络曲线数据'!$B$1:$U$1,0)),""))</x:f>
        <x:v>69.11127915896022</x:v>
      </x:c>
      <x:c r="D89" t="n">
        <x:f>IF(D$1="","",IFERROR(INDEX('包络曲线数据'!$B$2:$U$742,ROW()-1,MATCH(D$1,'包络曲线数据'!$B$1:$U$1,0)),""))</x:f>
        <x:v>66.53073512504953</x:v>
      </x:c>
      <x:c r="E89" t="str">
        <x:f>IF(E$1="","",IFERROR(INDEX('包络曲线数据'!$B$2:$U$742,ROW()-1,MATCH(E$1,'包络曲线数据'!$B$1:$U$1,0)),""))</x:f>
      </x:c>
      <x:c r="F89" t="str">
        <x:f>IF(F$1="","",IFERROR(INDEX('包络曲线数据'!$B$2:$U$742,ROW()-1,MATCH(F$1,'包络曲线数据'!$B$1:$U$1,0)),""))</x:f>
      </x:c>
      <x:c r="G89" t="str">
        <x:f>IF(G$1="","",IFERROR(INDEX('包络曲线数据'!$B$2:$U$742,ROW()-1,MATCH(G$1,'包络曲线数据'!$B$1:$U$1,0)),""))</x:f>
      </x:c>
    </x:row>
    <x:row r="90">
      <x:c r="A90" t="n">
        <x:v>8.8</x:v>
      </x:c>
      <x:c r="B90" t="n">
        <x:f>IF(B$1="","",IFERROR(INDEX('包络曲线数据'!$B$2:$U$742,ROW()-1,MATCH(B$1,'包络曲线数据'!$B$1:$U$1,0)),""))</x:f>
        <x:v>73.32959373157729</x:v>
      </x:c>
      <x:c r="C90" t="n">
        <x:f>IF(C$1="","",IFERROR(INDEX('包络曲线数据'!$B$2:$U$742,ROW()-1,MATCH(C$1,'包络曲线数据'!$B$1:$U$1,0)),""))</x:f>
        <x:v>69.11127915896022</x:v>
      </x:c>
      <x:c r="D90" t="n">
        <x:f>IF(D$1="","",IFERROR(INDEX('包络曲线数据'!$B$2:$U$742,ROW()-1,MATCH(D$1,'包络曲线数据'!$B$1:$U$1,0)),""))</x:f>
        <x:v>63.621738091234164</x:v>
      </x:c>
      <x:c r="E90" t="str">
        <x:f>IF(E$1="","",IFERROR(INDEX('包络曲线数据'!$B$2:$U$742,ROW()-1,MATCH(E$1,'包络曲线数据'!$B$1:$U$1,0)),""))</x:f>
      </x:c>
      <x:c r="F90" t="str">
        <x:f>IF(F$1="","",IFERROR(INDEX('包络曲线数据'!$B$2:$U$742,ROW()-1,MATCH(F$1,'包络曲线数据'!$B$1:$U$1,0)),""))</x:f>
      </x:c>
      <x:c r="G90" t="str">
        <x:f>IF(G$1="","",IFERROR(INDEX('包络曲线数据'!$B$2:$U$742,ROW()-1,MATCH(G$1,'包络曲线数据'!$B$1:$U$1,0)),""))</x:f>
      </x:c>
    </x:row>
    <x:row r="91">
      <x:c r="A91" t="n">
        <x:v>8.9</x:v>
      </x:c>
      <x:c r="B91" t="n">
        <x:f>IF(B$1="","",IFERROR(INDEX('包络曲线数据'!$B$2:$U$742,ROW()-1,MATCH(B$1,'包络曲线数据'!$B$1:$U$1,0)),""))</x:f>
        <x:v>73.32959373157729</x:v>
      </x:c>
      <x:c r="C91" t="n">
        <x:f>IF(C$1="","",IFERROR(INDEX('包络曲线数据'!$B$2:$U$742,ROW()-1,MATCH(C$1,'包络曲线数据'!$B$1:$U$1,0)),""))</x:f>
        <x:v>68.46739195883846</x:v>
      </x:c>
      <x:c r="D91" t="n">
        <x:f>IF(D$1="","",IFERROR(INDEX('包络曲线数据'!$B$2:$U$742,ROW()-1,MATCH(D$1,'包络曲线数据'!$B$1:$U$1,0)),""))</x:f>
        <x:v>63.83790331207962</x:v>
      </x:c>
      <x:c r="E91" t="str">
        <x:f>IF(E$1="","",IFERROR(INDEX('包络曲线数据'!$B$2:$U$742,ROW()-1,MATCH(E$1,'包络曲线数据'!$B$1:$U$1,0)),""))</x:f>
      </x:c>
      <x:c r="F91" t="str">
        <x:f>IF(F$1="","",IFERROR(INDEX('包络曲线数据'!$B$2:$U$742,ROW()-1,MATCH(F$1,'包络曲线数据'!$B$1:$U$1,0)),""))</x:f>
      </x:c>
      <x:c r="G91" t="str">
        <x:f>IF(G$1="","",IFERROR(INDEX('包络曲线数据'!$B$2:$U$742,ROW()-1,MATCH(G$1,'包络曲线数据'!$B$1:$U$1,0)),""))</x:f>
      </x:c>
    </x:row>
    <x:row r="92">
      <x:c r="A92" t="n">
        <x:v>9</x:v>
      </x:c>
      <x:c r="B92" t="n">
        <x:f>IF(B$1="","",IFERROR(INDEX('包络曲线数据'!$B$2:$U$742,ROW()-1,MATCH(B$1,'包络曲线数据'!$B$1:$U$1,0)),""))</x:f>
        <x:v>71.66946626918987</x:v>
      </x:c>
      <x:c r="C92" t="n">
        <x:f>IF(C$1="","",IFERROR(INDEX('包络曲线数据'!$B$2:$U$742,ROW()-1,MATCH(C$1,'包络曲线数据'!$B$1:$U$1,0)),""))</x:f>
        <x:v>68.379806550452</x:v>
      </x:c>
      <x:c r="D92" t="n">
        <x:f>IF(D$1="","",IFERROR(INDEX('包络曲线数据'!$B$2:$U$742,ROW()-1,MATCH(D$1,'包络曲线数据'!$B$1:$U$1,0)),""))</x:f>
        <x:v>62.763885167377424</x:v>
      </x:c>
      <x:c r="E92" t="str">
        <x:f>IF(E$1="","",IFERROR(INDEX('包络曲线数据'!$B$2:$U$742,ROW()-1,MATCH(E$1,'包络曲线数据'!$B$1:$U$1,0)),""))</x:f>
      </x:c>
      <x:c r="F92" t="str">
        <x:f>IF(F$1="","",IFERROR(INDEX('包络曲线数据'!$B$2:$U$742,ROW()-1,MATCH(F$1,'包络曲线数据'!$B$1:$U$1,0)),""))</x:f>
      </x:c>
      <x:c r="G92" t="str">
        <x:f>IF(G$1="","",IFERROR(INDEX('包络曲线数据'!$B$2:$U$742,ROW()-1,MATCH(G$1,'包络曲线数据'!$B$1:$U$1,0)),""))</x:f>
      </x:c>
    </x:row>
    <x:row r="93">
      <x:c r="A93" t="n">
        <x:v>9.1</x:v>
      </x:c>
      <x:c r="B93" t="n">
        <x:f>IF(B$1="","",IFERROR(INDEX('包络曲线数据'!$B$2:$U$742,ROW()-1,MATCH(B$1,'包络曲线数据'!$B$1:$U$1,0)),""))</x:f>
        <x:v>65.1343715112133</x:v>
      </x:c>
      <x:c r="C93" t="n">
        <x:f>IF(C$1="","",IFERROR(INDEX('包络曲线数据'!$B$2:$U$742,ROW()-1,MATCH(C$1,'包络曲线数据'!$B$1:$U$1,0)),""))</x:f>
        <x:v>68.44226778594687</x:v>
      </x:c>
      <x:c r="D93" t="n">
        <x:f>IF(D$1="","",IFERROR(INDEX('包络曲线数据'!$B$2:$U$742,ROW()-1,MATCH(D$1,'包络曲线数据'!$B$1:$U$1,0)),""))</x:f>
        <x:v>66.91805191481106</x:v>
      </x:c>
      <x:c r="E93" t="str">
        <x:f>IF(E$1="","",IFERROR(INDEX('包络曲线数据'!$B$2:$U$742,ROW()-1,MATCH(E$1,'包络曲线数据'!$B$1:$U$1,0)),""))</x:f>
      </x:c>
      <x:c r="F93" t="str">
        <x:f>IF(F$1="","",IFERROR(INDEX('包络曲线数据'!$B$2:$U$742,ROW()-1,MATCH(F$1,'包络曲线数据'!$B$1:$U$1,0)),""))</x:f>
      </x:c>
      <x:c r="G93" t="str">
        <x:f>IF(G$1="","",IFERROR(INDEX('包络曲线数据'!$B$2:$U$742,ROW()-1,MATCH(G$1,'包络曲线数据'!$B$1:$U$1,0)),""))</x:f>
      </x:c>
    </x:row>
    <x:row r="94">
      <x:c r="A94" t="n">
        <x:v>9.200000000000001</x:v>
      </x:c>
      <x:c r="B94" t="n">
        <x:f>IF(B$1="","",IFERROR(INDEX('包络曲线数据'!$B$2:$U$742,ROW()-1,MATCH(B$1,'包络曲线数据'!$B$1:$U$1,0)),""))</x:f>
        <x:v>61.744263759839036</x:v>
      </x:c>
      <x:c r="C94" t="n">
        <x:f>IF(C$1="","",IFERROR(INDEX('包络曲线数据'!$B$2:$U$742,ROW()-1,MATCH(C$1,'包络曲线数据'!$B$1:$U$1,0)),""))</x:f>
        <x:v>68.44226778594697</x:v>
      </x:c>
      <x:c r="D94" t="n">
        <x:f>IF(D$1="","",IFERROR(INDEX('包络曲线数据'!$B$2:$U$742,ROW()-1,MATCH(D$1,'包络曲线数据'!$B$1:$U$1,0)),""))</x:f>
        <x:v>71.17102910426739</x:v>
      </x:c>
      <x:c r="E94" t="str">
        <x:f>IF(E$1="","",IFERROR(INDEX('包络曲线数据'!$B$2:$U$742,ROW()-1,MATCH(E$1,'包络曲线数据'!$B$1:$U$1,0)),""))</x:f>
      </x:c>
      <x:c r="F94" t="str">
        <x:f>IF(F$1="","",IFERROR(INDEX('包络曲线数据'!$B$2:$U$742,ROW()-1,MATCH(F$1,'包络曲线数据'!$B$1:$U$1,0)),""))</x:f>
      </x:c>
      <x:c r="G94" t="str">
        <x:f>IF(G$1="","",IFERROR(INDEX('包络曲线数据'!$B$2:$U$742,ROW()-1,MATCH(G$1,'包络曲线数据'!$B$1:$U$1,0)),""))</x:f>
      </x:c>
    </x:row>
    <x:row r="95">
      <x:c r="A95" t="n">
        <x:v>9.3</x:v>
      </x:c>
      <x:c r="B95" t="n">
        <x:f>IF(B$1="","",IFERROR(INDEX('包络曲线数据'!$B$2:$U$742,ROW()-1,MATCH(B$1,'包络曲线数据'!$B$1:$U$1,0)),""))</x:f>
        <x:v>65.42179256487101</x:v>
      </x:c>
      <x:c r="C95" t="n">
        <x:f>IF(C$1="","",IFERROR(INDEX('包络曲线数据'!$B$2:$U$742,ROW()-1,MATCH(C$1,'包络曲线数据'!$B$1:$U$1,0)),""))</x:f>
        <x:v>69.49955203328734</x:v>
      </x:c>
      <x:c r="D95" t="n">
        <x:f>IF(D$1="","",IFERROR(INDEX('包络曲线数据'!$B$2:$U$742,ROW()-1,MATCH(D$1,'包络曲线数据'!$B$1:$U$1,0)),""))</x:f>
        <x:v>78.25932442002787</x:v>
      </x:c>
      <x:c r="E95" t="str">
        <x:f>IF(E$1="","",IFERROR(INDEX('包络曲线数据'!$B$2:$U$742,ROW()-1,MATCH(E$1,'包络曲线数据'!$B$1:$U$1,0)),""))</x:f>
      </x:c>
      <x:c r="F95" t="str">
        <x:f>IF(F$1="","",IFERROR(INDEX('包络曲线数据'!$B$2:$U$742,ROW()-1,MATCH(F$1,'包络曲线数据'!$B$1:$U$1,0)),""))</x:f>
      </x:c>
      <x:c r="G95" t="str">
        <x:f>IF(G$1="","",IFERROR(INDEX('包络曲线数据'!$B$2:$U$742,ROW()-1,MATCH(G$1,'包络曲线数据'!$B$1:$U$1,0)),""))</x:f>
      </x:c>
    </x:row>
    <x:row r="96">
      <x:c r="A96" t="n">
        <x:v>9.4</x:v>
      </x:c>
      <x:c r="B96" t="n">
        <x:f>IF(B$1="","",IFERROR(INDEX('包络曲线数据'!$B$2:$U$742,ROW()-1,MATCH(B$1,'包络曲线数据'!$B$1:$U$1,0)),""))</x:f>
        <x:v>67.05155942241883</x:v>
      </x:c>
      <x:c r="C96" t="n">
        <x:f>IF(C$1="","",IFERROR(INDEX('包络曲线数据'!$B$2:$U$742,ROW()-1,MATCH(C$1,'包络曲线数据'!$B$1:$U$1,0)),""))</x:f>
        <x:v>70.31384549040438</x:v>
      </x:c>
      <x:c r="D96" t="n">
        <x:f>IF(D$1="","",IFERROR(INDEX('包络曲线数据'!$B$2:$U$742,ROW()-1,MATCH(D$1,'包络曲线数据'!$B$1:$U$1,0)),""))</x:f>
        <x:v>78.25932442002787</x:v>
      </x:c>
      <x:c r="E96" t="str">
        <x:f>IF(E$1="","",IFERROR(INDEX('包络曲线数据'!$B$2:$U$742,ROW()-1,MATCH(E$1,'包络曲线数据'!$B$1:$U$1,0)),""))</x:f>
      </x:c>
      <x:c r="F96" t="str">
        <x:f>IF(F$1="","",IFERROR(INDEX('包络曲线数据'!$B$2:$U$742,ROW()-1,MATCH(F$1,'包络曲线数据'!$B$1:$U$1,0)),""))</x:f>
      </x:c>
      <x:c r="G96" t="str">
        <x:f>IF(G$1="","",IFERROR(INDEX('包络曲线数据'!$B$2:$U$742,ROW()-1,MATCH(G$1,'包络曲线数据'!$B$1:$U$1,0)),""))</x:f>
      </x:c>
    </x:row>
    <x:row r="97">
      <x:c r="A97" t="n">
        <x:v>9.5</x:v>
      </x:c>
      <x:c r="B97" t="n">
        <x:f>IF(B$1="","",IFERROR(INDEX('包络曲线数据'!$B$2:$U$742,ROW()-1,MATCH(B$1,'包络曲线数据'!$B$1:$U$1,0)),""))</x:f>
        <x:v>67.05155942241883</x:v>
      </x:c>
      <x:c r="C97" t="n">
        <x:f>IF(C$1="","",IFERROR(INDEX('包络曲线数据'!$B$2:$U$742,ROW()-1,MATCH(C$1,'包络曲线数据'!$B$1:$U$1,0)),""))</x:f>
        <x:v>70.31384549040438</x:v>
      </x:c>
      <x:c r="D97" t="n">
        <x:f>IF(D$1="","",IFERROR(INDEX('包络曲线数据'!$B$2:$U$742,ROW()-1,MATCH(D$1,'包络曲线数据'!$B$1:$U$1,0)),""))</x:f>
        <x:v>75.16244621623022</x:v>
      </x:c>
      <x:c r="E97" t="str">
        <x:f>IF(E$1="","",IFERROR(INDEX('包络曲线数据'!$B$2:$U$742,ROW()-1,MATCH(E$1,'包络曲线数据'!$B$1:$U$1,0)),""))</x:f>
      </x:c>
      <x:c r="F97" t="str">
        <x:f>IF(F$1="","",IFERROR(INDEX('包络曲线数据'!$B$2:$U$742,ROW()-1,MATCH(F$1,'包络曲线数据'!$B$1:$U$1,0)),""))</x:f>
      </x:c>
      <x:c r="G97" t="str">
        <x:f>IF(G$1="","",IFERROR(INDEX('包络曲线数据'!$B$2:$U$742,ROW()-1,MATCH(G$1,'包络曲线数据'!$B$1:$U$1,0)),""))</x:f>
      </x:c>
    </x:row>
    <x:row r="98">
      <x:c r="A98" t="n">
        <x:v>9.600000000000001</x:v>
      </x:c>
      <x:c r="B98" t="n">
        <x:f>IF(B$1="","",IFERROR(INDEX('包络曲线数据'!$B$2:$U$742,ROW()-1,MATCH(B$1,'包络曲线数据'!$B$1:$U$1,0)),""))</x:f>
        <x:v>67.04155671242569</x:v>
      </x:c>
      <x:c r="C98" t="n">
        <x:f>IF(C$1="","",IFERROR(INDEX('包络曲线数据'!$B$2:$U$742,ROW()-1,MATCH(C$1,'包络曲线数据'!$B$1:$U$1,0)),""))</x:f>
        <x:v>69.50488769572705</x:v>
      </x:c>
      <x:c r="D98" t="n">
        <x:f>IF(D$1="","",IFERROR(INDEX('包络曲线数据'!$B$2:$U$742,ROW()-1,MATCH(D$1,'包络曲线数据'!$B$1:$U$1,0)),""))</x:f>
        <x:v>68.80023090612661</x:v>
      </x:c>
      <x:c r="E98" t="str">
        <x:f>IF(E$1="","",IFERROR(INDEX('包络曲线数据'!$B$2:$U$742,ROW()-1,MATCH(E$1,'包络曲线数据'!$B$1:$U$1,0)),""))</x:f>
      </x:c>
      <x:c r="F98" t="str">
        <x:f>IF(F$1="","",IFERROR(INDEX('包络曲线数据'!$B$2:$U$742,ROW()-1,MATCH(F$1,'包络曲线数据'!$B$1:$U$1,0)),""))</x:f>
      </x:c>
      <x:c r="G98" t="str">
        <x:f>IF(G$1="","",IFERROR(INDEX('包络曲线数据'!$B$2:$U$742,ROW()-1,MATCH(G$1,'包络曲线数据'!$B$1:$U$1,0)),""))</x:f>
      </x:c>
    </x:row>
    <x:row r="99">
      <x:c r="A99" t="n">
        <x:v>9.700000000000001</x:v>
      </x:c>
      <x:c r="B99" t="n">
        <x:f>IF(B$1="","",IFERROR(INDEX('包络曲线数据'!$B$2:$U$742,ROW()-1,MATCH(B$1,'包络曲线数据'!$B$1:$U$1,0)),""))</x:f>
        <x:v>67.48258241236397</x:v>
      </x:c>
      <x:c r="C99" t="n">
        <x:f>IF(C$1="","",IFERROR(INDEX('包络曲线数据'!$B$2:$U$742,ROW()-1,MATCH(C$1,'包络曲线数据'!$B$1:$U$1,0)),""))</x:f>
        <x:v>69.50488769572705</x:v>
      </x:c>
      <x:c r="D99" t="n">
        <x:f>IF(D$1="","",IFERROR(INDEX('包络曲线数据'!$B$2:$U$742,ROW()-1,MATCH(D$1,'包络曲线数据'!$B$1:$U$1,0)),""))</x:f>
        <x:v>62.65434682757307</x:v>
      </x:c>
      <x:c r="E99" t="str">
        <x:f>IF(E$1="","",IFERROR(INDEX('包络曲线数据'!$B$2:$U$742,ROW()-1,MATCH(E$1,'包络曲线数据'!$B$1:$U$1,0)),""))</x:f>
      </x:c>
      <x:c r="F99" t="str">
        <x:f>IF(F$1="","",IFERROR(INDEX('包络曲线数据'!$B$2:$U$742,ROW()-1,MATCH(F$1,'包络曲线数据'!$B$1:$U$1,0)),""))</x:f>
      </x:c>
      <x:c r="G99" t="str">
        <x:f>IF(G$1="","",IFERROR(INDEX('包络曲线数据'!$B$2:$U$742,ROW()-1,MATCH(G$1,'包络曲线数据'!$B$1:$U$1,0)),""))</x:f>
      </x:c>
    </x:row>
    <x:row r="100">
      <x:c r="A100" t="n">
        <x:v>9.8</x:v>
      </x:c>
      <x:c r="B100" t="n">
        <x:f>IF(B$1="","",IFERROR(INDEX('包络曲线数据'!$B$2:$U$742,ROW()-1,MATCH(B$1,'包络曲线数据'!$B$1:$U$1,0)),""))</x:f>
        <x:v>67.48258241236397</x:v>
      </x:c>
      <x:c r="C100" t="n">
        <x:f>IF(C$1="","",IFERROR(INDEX('包络曲线数据'!$B$2:$U$742,ROW()-1,MATCH(C$1,'包络曲线数据'!$B$1:$U$1,0)),""))</x:f>
        <x:v>68.20971733091717</x:v>
      </x:c>
      <x:c r="D100" t="n">
        <x:f>IF(D$1="","",IFERROR(INDEX('包络曲线数据'!$B$2:$U$742,ROW()-1,MATCH(D$1,'包络曲线数据'!$B$1:$U$1,0)),""))</x:f>
        <x:v>50</x:v>
      </x:c>
      <x:c r="E100" t="str">
        <x:f>IF(E$1="","",IFERROR(INDEX('包络曲线数据'!$B$2:$U$742,ROW()-1,MATCH(E$1,'包络曲线数据'!$B$1:$U$1,0)),""))</x:f>
      </x:c>
      <x:c r="F100" t="str">
        <x:f>IF(F$1="","",IFERROR(INDEX('包络曲线数据'!$B$2:$U$742,ROW()-1,MATCH(F$1,'包络曲线数据'!$B$1:$U$1,0)),""))</x:f>
      </x:c>
      <x:c r="G100" t="str">
        <x:f>IF(G$1="","",IFERROR(INDEX('包络曲线数据'!$B$2:$U$742,ROW()-1,MATCH(G$1,'包络曲线数据'!$B$1:$U$1,0)),""))</x:f>
      </x:c>
    </x:row>
    <x:row r="101">
      <x:c r="A101" t="n">
        <x:v>9.9</x:v>
      </x:c>
      <x:c r="B101" t="n">
        <x:f>IF(B$1="","",IFERROR(INDEX('包络曲线数据'!$B$2:$U$742,ROW()-1,MATCH(B$1,'包络曲线数据'!$B$1:$U$1,0)),""))</x:f>
        <x:v>66.90425496049767</x:v>
      </x:c>
      <x:c r="C101" t="n">
        <x:f>IF(C$1="","",IFERROR(INDEX('包络曲线数据'!$B$2:$U$742,ROW()-1,MATCH(C$1,'包络曲线数据'!$B$1:$U$1,0)),""))</x:f>
        <x:v>85.51864399860048</x:v>
      </x:c>
      <x:c r="D101" t="n">
        <x:f>IF(D$1="","",IFERROR(INDEX('包络曲线数据'!$B$2:$U$742,ROW()-1,MATCH(D$1,'包络曲线数据'!$B$1:$U$1,0)),""))</x:f>
        <x:v>50</x:v>
      </x:c>
      <x:c r="E101" t="str">
        <x:f>IF(E$1="","",IFERROR(INDEX('包络曲线数据'!$B$2:$U$742,ROW()-1,MATCH(E$1,'包络曲线数据'!$B$1:$U$1,0)),""))</x:f>
      </x:c>
      <x:c r="F101" t="str">
        <x:f>IF(F$1="","",IFERROR(INDEX('包络曲线数据'!$B$2:$U$742,ROW()-1,MATCH(F$1,'包络曲线数据'!$B$1:$U$1,0)),""))</x:f>
      </x:c>
      <x:c r="G101" t="str">
        <x:f>IF(G$1="","",IFERROR(INDEX('包络曲线数据'!$B$2:$U$742,ROW()-1,MATCH(G$1,'包络曲线数据'!$B$1:$U$1,0)),""))</x:f>
      </x:c>
    </x:row>
    <x:row r="102">
      <x:c r="A102" t="n">
        <x:v>10</x:v>
      </x:c>
      <x:c r="B102" t="n">
        <x:f>IF(B$1="","",IFERROR(INDEX('包络曲线数据'!$B$2:$U$742,ROW()-1,MATCH(B$1,'包络曲线数据'!$B$1:$U$1,0)),""))</x:f>
        <x:v>67.40965589732782</x:v>
      </x:c>
      <x:c r="C102" t="n">
        <x:f>IF(C$1="","",IFERROR(INDEX('包络曲线数据'!$B$2:$U$742,ROW()-1,MATCH(C$1,'包络曲线数据'!$B$1:$U$1,0)),""))</x:f>
        <x:v>85.51864399860048</x:v>
      </x:c>
      <x:c r="D102" t="n">
        <x:f>IF(D$1="","",IFERROR(INDEX('包络曲线数据'!$B$2:$U$742,ROW()-1,MATCH(D$1,'包络曲线数据'!$B$1:$U$1,0)),""))</x:f>
        <x:v>50</x:v>
      </x:c>
      <x:c r="E102" t="str">
        <x:f>IF(E$1="","",IFERROR(INDEX('包络曲线数据'!$B$2:$U$742,ROW()-1,MATCH(E$1,'包络曲线数据'!$B$1:$U$1,0)),""))</x:f>
      </x:c>
      <x:c r="F102" t="str">
        <x:f>IF(F$1="","",IFERROR(INDEX('包络曲线数据'!$B$2:$U$742,ROW()-1,MATCH(F$1,'包络曲线数据'!$B$1:$U$1,0)),""))</x:f>
      </x:c>
      <x:c r="G102" t="str">
        <x:f>IF(G$1="","",IFERROR(INDEX('包络曲线数据'!$B$2:$U$742,ROW()-1,MATCH(G$1,'包络曲线数据'!$B$1:$U$1,0)),""))</x:f>
      </x:c>
    </x:row>
    <x:row r="103">
      <x:c r="A103" t="n">
        <x:v>10.100000000000001</x:v>
      </x:c>
      <x:c r="B103" t="n">
        <x:f>IF(B$1="","",IFERROR(INDEX('包络曲线数据'!$B$2:$U$742,ROW()-1,MATCH(B$1,'包络曲线数据'!$B$1:$U$1,0)),""))</x:f>
        <x:v>67.75067732124313</x:v>
      </x:c>
      <x:c r="C103" t="n">
        <x:f>IF(C$1="","",IFERROR(INDEX('包络曲线数据'!$B$2:$U$742,ROW()-1,MATCH(C$1,'包络曲线数据'!$B$1:$U$1,0)),""))</x:f>
        <x:v>80.30963215662848</x:v>
      </x:c>
      <x:c r="D103" t="n">
        <x:f>IF(D$1="","",IFERROR(INDEX('包络曲线数据'!$B$2:$U$742,ROW()-1,MATCH(D$1,'包络曲线数据'!$B$1:$U$1,0)),""))</x:f>
        <x:v>50</x:v>
      </x:c>
      <x:c r="E103" t="str">
        <x:f>IF(E$1="","",IFERROR(INDEX('包络曲线数据'!$B$2:$U$742,ROW()-1,MATCH(E$1,'包络曲线数据'!$B$1:$U$1,0)),""))</x:f>
      </x:c>
      <x:c r="F103" t="str">
        <x:f>IF(F$1="","",IFERROR(INDEX('包络曲线数据'!$B$2:$U$742,ROW()-1,MATCH(F$1,'包络曲线数据'!$B$1:$U$1,0)),""))</x:f>
      </x:c>
      <x:c r="G103" t="str">
        <x:f>IF(G$1="","",IFERROR(INDEX('包络曲线数据'!$B$2:$U$742,ROW()-1,MATCH(G$1,'包络曲线数据'!$B$1:$U$1,0)),""))</x:f>
      </x:c>
    </x:row>
    <x:row r="104">
      <x:c r="A104" t="n">
        <x:v>10.200000000000001</x:v>
      </x:c>
      <x:c r="B104" t="n">
        <x:f>IF(B$1="","",IFERROR(INDEX('包络曲线数据'!$B$2:$U$742,ROW()-1,MATCH(B$1,'包络曲线数据'!$B$1:$U$1,0)),""))</x:f>
        <x:v>68.09749554475566</x:v>
      </x:c>
      <x:c r="C104" t="n">
        <x:f>IF(C$1="","",IFERROR(INDEX('包络曲线数据'!$B$2:$U$742,ROW()-1,MATCH(C$1,'包络曲线数据'!$B$1:$U$1,0)),""))</x:f>
        <x:v>71.59599222948954</x:v>
      </x:c>
      <x:c r="D104" t="n">
        <x:f>IF(D$1="","",IFERROR(INDEX('包络曲线数据'!$B$2:$U$742,ROW()-1,MATCH(D$1,'包络曲线数据'!$B$1:$U$1,0)),""))</x:f>
        <x:v>54.3127166153089</x:v>
      </x:c>
      <x:c r="E104" t="str">
        <x:f>IF(E$1="","",IFERROR(INDEX('包络曲线数据'!$B$2:$U$742,ROW()-1,MATCH(E$1,'包络曲线数据'!$B$1:$U$1,0)),""))</x:f>
      </x:c>
      <x:c r="F104" t="str">
        <x:f>IF(F$1="","",IFERROR(INDEX('包络曲线数据'!$B$2:$U$742,ROW()-1,MATCH(F$1,'包络曲线数据'!$B$1:$U$1,0)),""))</x:f>
      </x:c>
      <x:c r="G104" t="str">
        <x:f>IF(G$1="","",IFERROR(INDEX('包络曲线数据'!$B$2:$U$742,ROW()-1,MATCH(G$1,'包络曲线数据'!$B$1:$U$1,0)),""))</x:f>
      </x:c>
    </x:row>
    <x:row r="105">
      <x:c r="A105" t="n">
        <x:v>10.3</x:v>
      </x:c>
      <x:c r="B105" t="n">
        <x:f>IF(B$1="","",IFERROR(INDEX('包络曲线数据'!$B$2:$U$742,ROW()-1,MATCH(B$1,'包络曲线数据'!$B$1:$U$1,0)),""))</x:f>
        <x:v>68.46342931946603</x:v>
      </x:c>
      <x:c r="C105" t="n">
        <x:f>IF(C$1="","",IFERROR(INDEX('包络曲线数据'!$B$2:$U$742,ROW()-1,MATCH(C$1,'包络曲线数据'!$B$1:$U$1,0)),""))</x:f>
        <x:v>63.25416238931339</x:v>
      </x:c>
      <x:c r="D105" t="n">
        <x:f>IF(D$1="","",IFERROR(INDEX('包络曲线数据'!$B$2:$U$742,ROW()-1,MATCH(D$1,'包络曲线数据'!$B$1:$U$1,0)),""))</x:f>
        <x:v>68.96449309034867</x:v>
      </x:c>
      <x:c r="E105" t="str">
        <x:f>IF(E$1="","",IFERROR(INDEX('包络曲线数据'!$B$2:$U$742,ROW()-1,MATCH(E$1,'包络曲线数据'!$B$1:$U$1,0)),""))</x:f>
      </x:c>
      <x:c r="F105" t="str">
        <x:f>IF(F$1="","",IFERROR(INDEX('包络曲线数据'!$B$2:$U$742,ROW()-1,MATCH(F$1,'包络曲线数据'!$B$1:$U$1,0)),""))</x:f>
      </x:c>
      <x:c r="G105" t="str">
        <x:f>IF(G$1="","",IFERROR(INDEX('包络曲线数据'!$B$2:$U$742,ROW()-1,MATCH(G$1,'包络曲线数据'!$B$1:$U$1,0)),""))</x:f>
      </x:c>
    </x:row>
    <x:row r="106">
      <x:c r="A106" t="n">
        <x:v>10.4</x:v>
      </x:c>
      <x:c r="B106" t="n">
        <x:f>IF(B$1="","",IFERROR(INDEX('包络曲线数据'!$B$2:$U$742,ROW()-1,MATCH(B$1,'包络曲线数据'!$B$1:$U$1,0)),""))</x:f>
        <x:v>68.46342931946603</x:v>
      </x:c>
      <x:c r="C106" t="n">
        <x:f>IF(C$1="","",IFERROR(INDEX('包络曲线数据'!$B$2:$U$742,ROW()-1,MATCH(C$1,'包络曲线数据'!$B$1:$U$1,0)),""))</x:f>
        <x:v>52.39175843351897</x:v>
      </x:c>
      <x:c r="D106" t="n">
        <x:f>IF(D$1="","",IFERROR(INDEX('包络曲线数据'!$B$2:$U$742,ROW()-1,MATCH(D$1,'包络曲线数据'!$B$1:$U$1,0)),""))</x:f>
        <x:v>76.67179097866087</x:v>
      </x:c>
      <x:c r="E106" t="str">
        <x:f>IF(E$1="","",IFERROR(INDEX('包络曲线数据'!$B$2:$U$742,ROW()-1,MATCH(E$1,'包络曲线数据'!$B$1:$U$1,0)),""))</x:f>
      </x:c>
      <x:c r="F106" t="str">
        <x:f>IF(F$1="","",IFERROR(INDEX('包络曲线数据'!$B$2:$U$742,ROW()-1,MATCH(F$1,'包络曲线数据'!$B$1:$U$1,0)),""))</x:f>
      </x:c>
      <x:c r="G106" t="str">
        <x:f>IF(G$1="","",IFERROR(INDEX('包络曲线数据'!$B$2:$U$742,ROW()-1,MATCH(G$1,'包络曲线数据'!$B$1:$U$1,0)),""))</x:f>
      </x:c>
    </x:row>
    <x:row r="107">
      <x:c r="A107" t="n">
        <x:v>10.5</x:v>
      </x:c>
      <x:c r="B107" t="n">
        <x:f>IF(B$1="","",IFERROR(INDEX('包络曲线数据'!$B$2:$U$742,ROW()-1,MATCH(B$1,'包络曲线数据'!$B$1:$U$1,0)),""))</x:f>
        <x:v>63.41826357613727</x:v>
      </x:c>
      <x:c r="C107" t="n">
        <x:f>IF(C$1="","",IFERROR(INDEX('包络曲线数据'!$B$2:$U$742,ROW()-1,MATCH(C$1,'包络曲线数据'!$B$1:$U$1,0)),""))</x:f>
        <x:v>52.39175843351897</x:v>
      </x:c>
      <x:c r="D107" t="n">
        <x:f>IF(D$1="","",IFERROR(INDEX('包络曲线数据'!$B$2:$U$742,ROW()-1,MATCH(D$1,'包络曲线数据'!$B$1:$U$1,0)),""))</x:f>
        <x:v>76.67179097866087</x:v>
      </x:c>
      <x:c r="E107" t="str">
        <x:f>IF(E$1="","",IFERROR(INDEX('包络曲线数据'!$B$2:$U$742,ROW()-1,MATCH(E$1,'包络曲线数据'!$B$1:$U$1,0)),""))</x:f>
      </x:c>
      <x:c r="F107" t="str">
        <x:f>IF(F$1="","",IFERROR(INDEX('包络曲线数据'!$B$2:$U$742,ROW()-1,MATCH(F$1,'包络曲线数据'!$B$1:$U$1,0)),""))</x:f>
      </x:c>
      <x:c r="G107" t="str">
        <x:f>IF(G$1="","",IFERROR(INDEX('包络曲线数据'!$B$2:$U$742,ROW()-1,MATCH(G$1,'包络曲线数据'!$B$1:$U$1,0)),""))</x:f>
      </x:c>
    </x:row>
    <x:row r="108">
      <x:c r="A108" t="n">
        <x:v>10.600000000000001</x:v>
      </x:c>
      <x:c r="B108" t="n">
        <x:f>IF(B$1="","",IFERROR(INDEX('包络曲线数据'!$B$2:$U$742,ROW()-1,MATCH(B$1,'包络曲线数据'!$B$1:$U$1,0)),""))</x:f>
        <x:v>58.33974028187591</x:v>
      </x:c>
      <x:c r="C108" t="n">
        <x:f>IF(C$1="","",IFERROR(INDEX('包络曲线数据'!$B$2:$U$742,ROW()-1,MATCH(C$1,'包络曲线数据'!$B$1:$U$1,0)),""))</x:f>
        <x:v>55.39499305524688</x:v>
      </x:c>
      <x:c r="D108" t="n">
        <x:f>IF(D$1="","",IFERROR(INDEX('包络曲线数据'!$B$2:$U$742,ROW()-1,MATCH(D$1,'包络曲线数据'!$B$1:$U$1,0)),""))</x:f>
        <x:v>75.89112400204314</x:v>
      </x:c>
      <x:c r="E108" t="str">
        <x:f>IF(E$1="","",IFERROR(INDEX('包络曲线数据'!$B$2:$U$742,ROW()-1,MATCH(E$1,'包络曲线数据'!$B$1:$U$1,0)),""))</x:f>
      </x:c>
      <x:c r="F108" t="str">
        <x:f>IF(F$1="","",IFERROR(INDEX('包络曲线数据'!$B$2:$U$742,ROW()-1,MATCH(F$1,'包络曲线数据'!$B$1:$U$1,0)),""))</x:f>
      </x:c>
      <x:c r="G108" t="str">
        <x:f>IF(G$1="","",IFERROR(INDEX('包络曲线数据'!$B$2:$U$742,ROW()-1,MATCH(G$1,'包络曲线数据'!$B$1:$U$1,0)),""))</x:f>
      </x:c>
    </x:row>
    <x:row r="109">
      <x:c r="A109" t="n">
        <x:v>10.700000000000001</x:v>
      </x:c>
      <x:c r="B109" t="n">
        <x:f>IF(B$1="","",IFERROR(INDEX('包络曲线数据'!$B$2:$U$742,ROW()-1,MATCH(B$1,'包络曲线数据'!$B$1:$U$1,0)),""))</x:f>
        <x:v>56.894201615076156</x:v>
      </x:c>
      <x:c r="C109" t="n">
        <x:f>IF(C$1="","",IFERROR(INDEX('包络曲线数据'!$B$2:$U$742,ROW()-1,MATCH(C$1,'包络曲线数据'!$B$1:$U$1,0)),""))</x:f>
        <x:v>65.38686644296423</x:v>
      </x:c>
      <x:c r="D109" t="n">
        <x:f>IF(D$1="","",IFERROR(INDEX('包络曲线数据'!$B$2:$U$742,ROW()-1,MATCH(D$1,'包络曲线数据'!$B$1:$U$1,0)),""))</x:f>
        <x:v>75.89112400204311</x:v>
      </x:c>
      <x:c r="E109" t="str">
        <x:f>IF(E$1="","",IFERROR(INDEX('包络曲线数据'!$B$2:$U$742,ROW()-1,MATCH(E$1,'包络曲线数据'!$B$1:$U$1,0)),""))</x:f>
      </x:c>
      <x:c r="F109" t="str">
        <x:f>IF(F$1="","",IFERROR(INDEX('包络曲线数据'!$B$2:$U$742,ROW()-1,MATCH(F$1,'包络曲线数据'!$B$1:$U$1,0)),""))</x:f>
      </x:c>
      <x:c r="G109" t="str">
        <x:f>IF(G$1="","",IFERROR(INDEX('包络曲线数据'!$B$2:$U$742,ROW()-1,MATCH(G$1,'包络曲线数据'!$B$1:$U$1,0)),""))</x:f>
      </x:c>
    </x:row>
    <x:row r="110">
      <x:c r="A110" t="n">
        <x:v>10.8</x:v>
      </x:c>
      <x:c r="B110" t="n">
        <x:f>IF(B$1="","",IFERROR(INDEX('包络曲线数据'!$B$2:$U$742,ROW()-1,MATCH(B$1,'包络曲线数据'!$B$1:$U$1,0)),""))</x:f>
        <x:v>55.44866294827641</x:v>
      </x:c>
      <x:c r="C110" t="n">
        <x:f>IF(C$1="","",IFERROR(INDEX('包络曲线数据'!$B$2:$U$742,ROW()-1,MATCH(C$1,'包络曲线数据'!$B$1:$U$1,0)),""))</x:f>
        <x:v>65.38686644296423</x:v>
      </x:c>
      <x:c r="D110" t="n">
        <x:f>IF(D$1="","",IFERROR(INDEX('包络曲线数据'!$B$2:$U$742,ROW()-1,MATCH(D$1,'包络曲线数据'!$B$1:$U$1,0)),""))</x:f>
        <x:v>75.04858232583564</x:v>
      </x:c>
      <x:c r="E110" t="str">
        <x:f>IF(E$1="","",IFERROR(INDEX('包络曲线数据'!$B$2:$U$742,ROW()-1,MATCH(E$1,'包络曲线数据'!$B$1:$U$1,0)),""))</x:f>
      </x:c>
      <x:c r="F110" t="str">
        <x:f>IF(F$1="","",IFERROR(INDEX('包络曲线数据'!$B$2:$U$742,ROW()-1,MATCH(F$1,'包络曲线数据'!$B$1:$U$1,0)),""))</x:f>
      </x:c>
      <x:c r="G110" t="str">
        <x:f>IF(G$1="","",IFERROR(INDEX('包络曲线数据'!$B$2:$U$742,ROW()-1,MATCH(G$1,'包络曲线数据'!$B$1:$U$1,0)),""))</x:f>
      </x:c>
    </x:row>
    <x:row r="111">
      <x:c r="A111" t="n">
        <x:v>10.9</x:v>
      </x:c>
      <x:c r="B111" t="n">
        <x:f>IF(B$1="","",IFERROR(INDEX('包络曲线数据'!$B$2:$U$742,ROW()-1,MATCH(B$1,'包络曲线数据'!$B$1:$U$1,0)),""))</x:f>
        <x:v>54.644670340197045</x:v>
      </x:c>
      <x:c r="C111" t="n">
        <x:f>IF(C$1="","",IFERROR(INDEX('包络曲线数据'!$B$2:$U$742,ROW()-1,MATCH(C$1,'包络曲线数据'!$B$1:$U$1,0)),""))</x:f>
        <x:v>57.73233066196961</x:v>
      </x:c>
      <x:c r="D111" t="n">
        <x:f>IF(D$1="","",IFERROR(INDEX('包络曲线数据'!$B$2:$U$742,ROW()-1,MATCH(D$1,'包络曲线数据'!$B$1:$U$1,0)),""))</x:f>
        <x:v>73.01860382929277</x:v>
      </x:c>
      <x:c r="E111" t="str">
        <x:f>IF(E$1="","",IFERROR(INDEX('包络曲线数据'!$B$2:$U$742,ROW()-1,MATCH(E$1,'包络曲线数据'!$B$1:$U$1,0)),""))</x:f>
      </x:c>
      <x:c r="F111" t="str">
        <x:f>IF(F$1="","",IFERROR(INDEX('包络曲线数据'!$B$2:$U$742,ROW()-1,MATCH(F$1,'包络曲线数据'!$B$1:$U$1,0)),""))</x:f>
      </x:c>
      <x:c r="G111" t="str">
        <x:f>IF(G$1="","",IFERROR(INDEX('包络曲线数据'!$B$2:$U$742,ROW()-1,MATCH(G$1,'包络曲线数据'!$B$1:$U$1,0)),""))</x:f>
      </x:c>
    </x:row>
    <x:row r="112">
      <x:c r="A112" t="n">
        <x:v>11</x:v>
      </x:c>
      <x:c r="B112" t="n">
        <x:f>IF(B$1="","",IFERROR(INDEX('包络曲线数据'!$B$2:$U$742,ROW()-1,MATCH(B$1,'包络曲线数据'!$B$1:$U$1,0)),""))</x:f>
        <x:v>56.40686196699929</x:v>
      </x:c>
      <x:c r="C112" t="n">
        <x:f>IF(C$1="","",IFERROR(INDEX('包络曲线数据'!$B$2:$U$742,ROW()-1,MATCH(C$1,'包络曲线数据'!$B$1:$U$1,0)),""))</x:f>
        <x:v>71.30380982744283</x:v>
      </x:c>
      <x:c r="D112" t="n">
        <x:f>IF(D$1="","",IFERROR(INDEX('包络曲线数据'!$B$2:$U$742,ROW()-1,MATCH(D$1,'包络曲线数据'!$B$1:$U$1,0)),""))</x:f>
        <x:v>68.36778078516392</x:v>
      </x:c>
      <x:c r="E112" t="str">
        <x:f>IF(E$1="","",IFERROR(INDEX('包络曲线数据'!$B$2:$U$742,ROW()-1,MATCH(E$1,'包络曲线数据'!$B$1:$U$1,0)),""))</x:f>
      </x:c>
      <x:c r="F112" t="str">
        <x:f>IF(F$1="","",IFERROR(INDEX('包络曲线数据'!$B$2:$U$742,ROW()-1,MATCH(F$1,'包络曲线数据'!$B$1:$U$1,0)),""))</x:f>
      </x:c>
      <x:c r="G112" t="str">
        <x:f>IF(G$1="","",IFERROR(INDEX('包络曲线数据'!$B$2:$U$742,ROW()-1,MATCH(G$1,'包络曲线数据'!$B$1:$U$1,0)),""))</x:f>
      </x:c>
    </x:row>
    <x:row r="113">
      <x:c r="A113" t="n">
        <x:v>11.100000000000001</x:v>
      </x:c>
      <x:c r="B113" t="n">
        <x:f>IF(B$1="","",IFERROR(INDEX('包络曲线数据'!$B$2:$U$742,ROW()-1,MATCH(B$1,'包络曲线数据'!$B$1:$U$1,0)),""))</x:f>
        <x:v>56.40686196699919</x:v>
      </x:c>
      <x:c r="C113" t="n">
        <x:f>IF(C$1="","",IFERROR(INDEX('包络曲线数据'!$B$2:$U$742,ROW()-1,MATCH(C$1,'包络曲线数据'!$B$1:$U$1,0)),""))</x:f>
        <x:v>75.90539823145677</x:v>
      </x:c>
      <x:c r="D113" t="n">
        <x:f>IF(D$1="","",IFERROR(INDEX('包络曲线数据'!$B$2:$U$742,ROW()-1,MATCH(D$1,'包络曲线数据'!$B$1:$U$1,0)),""))</x:f>
        <x:v>65.55639806993028</x:v>
      </x:c>
      <x:c r="E113" t="str">
        <x:f>IF(E$1="","",IFERROR(INDEX('包络曲线数据'!$B$2:$U$742,ROW()-1,MATCH(E$1,'包络曲线数据'!$B$1:$U$1,0)),""))</x:f>
      </x:c>
      <x:c r="F113" t="str">
        <x:f>IF(F$1="","",IFERROR(INDEX('包络曲线数据'!$B$2:$U$742,ROW()-1,MATCH(F$1,'包络曲线数据'!$B$1:$U$1,0)),""))</x:f>
      </x:c>
      <x:c r="G113" t="str">
        <x:f>IF(G$1="","",IFERROR(INDEX('包络曲线数据'!$B$2:$U$742,ROW()-1,MATCH(G$1,'包络曲线数据'!$B$1:$U$1,0)),""))</x:f>
      </x:c>
    </x:row>
    <x:row r="114">
      <x:c r="A114" t="n">
        <x:v>11.200000000000001</x:v>
      </x:c>
      <x:c r="B114" t="n">
        <x:f>IF(B$1="","",IFERROR(INDEX('包络曲线数据'!$B$2:$U$742,ROW()-1,MATCH(B$1,'包络曲线数据'!$B$1:$U$1,0)),""))</x:f>
        <x:v>51.59528417811513</x:v>
      </x:c>
      <x:c r="C114" t="n">
        <x:f>IF(C$1="","",IFERROR(INDEX('包络曲线数据'!$B$2:$U$742,ROW()-1,MATCH(C$1,'包络曲线数据'!$B$1:$U$1,0)),""))</x:f>
        <x:v>75.90539823145677</x:v>
      </x:c>
      <x:c r="D114" t="n">
        <x:f>IF(D$1="","",IFERROR(INDEX('包络曲线数据'!$B$2:$U$742,ROW()-1,MATCH(D$1,'包络曲线数据'!$B$1:$U$1,0)),""))</x:f>
        <x:v>66.87719781437181</x:v>
      </x:c>
      <x:c r="E114" t="str">
        <x:f>IF(E$1="","",IFERROR(INDEX('包络曲线数据'!$B$2:$U$742,ROW()-1,MATCH(E$1,'包络曲线数据'!$B$1:$U$1,0)),""))</x:f>
      </x:c>
      <x:c r="F114" t="str">
        <x:f>IF(F$1="","",IFERROR(INDEX('包络曲线数据'!$B$2:$U$742,ROW()-1,MATCH(F$1,'包络曲线数据'!$B$1:$U$1,0)),""))</x:f>
      </x:c>
      <x:c r="G114" t="str">
        <x:f>IF(G$1="","",IFERROR(INDEX('包络曲线数据'!$B$2:$U$742,ROW()-1,MATCH(G$1,'包络曲线数据'!$B$1:$U$1,0)),""))</x:f>
      </x:c>
    </x:row>
    <x:row r="115">
      <x:c r="A115" t="n">
        <x:v>11.3</x:v>
      </x:c>
      <x:c r="B115" t="n">
        <x:f>IF(B$1="","",IFERROR(INDEX('包络曲线数据'!$B$2:$U$742,ROW()-1,MATCH(B$1,'包络曲线数据'!$B$1:$U$1,0)),""))</x:f>
        <x:v>53.501786688252736</x:v>
      </x:c>
      <x:c r="C115" t="n">
        <x:f>IF(C$1="","",IFERROR(INDEX('包络曲线数据'!$B$2:$U$742,ROW()-1,MATCH(C$1,'包络曲线数据'!$B$1:$U$1,0)),""))</x:f>
        <x:v>69.81460391687362</x:v>
      </x:c>
      <x:c r="D115" t="n">
        <x:f>IF(D$1="","",IFERROR(INDEX('包络曲线数据'!$B$2:$U$742,ROW()-1,MATCH(D$1,'包络曲线数据'!$B$1:$U$1,0)),""))</x:f>
        <x:v>66.87719781437181</x:v>
      </x:c>
      <x:c r="E115" t="str">
        <x:f>IF(E$1="","",IFERROR(INDEX('包络曲线数据'!$B$2:$U$742,ROW()-1,MATCH(E$1,'包络曲线数据'!$B$1:$U$1,0)),""))</x:f>
      </x:c>
      <x:c r="F115" t="str">
        <x:f>IF(F$1="","",IFERROR(INDEX('包络曲线数据'!$B$2:$U$742,ROW()-1,MATCH(F$1,'包络曲线数据'!$B$1:$U$1,0)),""))</x:f>
      </x:c>
      <x:c r="G115" t="str">
        <x:f>IF(G$1="","",IFERROR(INDEX('包络曲线数据'!$B$2:$U$742,ROW()-1,MATCH(G$1,'包络曲线数据'!$B$1:$U$1,0)),""))</x:f>
      </x:c>
    </x:row>
    <x:row r="116">
      <x:c r="A116" t="n">
        <x:v>11.4</x:v>
      </x:c>
      <x:c r="B116" t="n">
        <x:f>IF(B$1="","",IFERROR(INDEX('包络曲线数据'!$B$2:$U$742,ROW()-1,MATCH(B$1,'包络曲线数据'!$B$1:$U$1,0)),""))</x:f>
        <x:v>54.264387692307764</x:v>
      </x:c>
      <x:c r="C116" t="n">
        <x:f>IF(C$1="","",IFERROR(INDEX('包络曲线数据'!$B$2:$U$742,ROW()-1,MATCH(C$1,'包络曲线数据'!$B$1:$U$1,0)),""))</x:f>
        <x:v>66.0291739861789</x:v>
      </x:c>
      <x:c r="D116" t="n">
        <x:f>IF(D$1="","",IFERROR(INDEX('包络曲线数据'!$B$2:$U$742,ROW()-1,MATCH(D$1,'包络曲线数据'!$B$1:$U$1,0)),""))</x:f>
        <x:v>65.11265030266756</x:v>
      </x:c>
      <x:c r="E116" t="str">
        <x:f>IF(E$1="","",IFERROR(INDEX('包络曲线数据'!$B$2:$U$742,ROW()-1,MATCH(E$1,'包络曲线数据'!$B$1:$U$1,0)),""))</x:f>
      </x:c>
      <x:c r="F116" t="str">
        <x:f>IF(F$1="","",IFERROR(INDEX('包络曲线数据'!$B$2:$U$742,ROW()-1,MATCH(F$1,'包络曲线数据'!$B$1:$U$1,0)),""))</x:f>
      </x:c>
      <x:c r="G116" t="str">
        <x:f>IF(G$1="","",IFERROR(INDEX('包络曲线数据'!$B$2:$U$742,ROW()-1,MATCH(G$1,'包络曲线数据'!$B$1:$U$1,0)),""))</x:f>
      </x:c>
    </x:row>
    <x:row r="117">
      <x:c r="A117" t="n">
        <x:v>11.5</x:v>
      </x:c>
      <x:c r="B117" t="n">
        <x:f>IF(B$1="","",IFERROR(INDEX('包络曲线数据'!$B$2:$U$742,ROW()-1,MATCH(B$1,'包络曲线数据'!$B$1:$U$1,0)),""))</x:f>
        <x:v>54.92203963942575</x:v>
      </x:c>
      <x:c r="C117" t="n">
        <x:f>IF(C$1="","",IFERROR(INDEX('包络曲线数据'!$B$2:$U$742,ROW()-1,MATCH(C$1,'包络曲线数据'!$B$1:$U$1,0)),""))</x:f>
        <x:v>63.77200465942135</x:v>
      </x:c>
      <x:c r="D117" t="n">
        <x:f>IF(D$1="","",IFERROR(INDEX('包络曲线数据'!$B$2:$U$742,ROW()-1,MATCH(D$1,'包络曲线数据'!$B$1:$U$1,0)),""))</x:f>
        <x:v>64.99398789159233</x:v>
      </x:c>
      <x:c r="E117" t="str">
        <x:f>IF(E$1="","",IFERROR(INDEX('包络曲线数据'!$B$2:$U$742,ROW()-1,MATCH(E$1,'包络曲线数据'!$B$1:$U$1,0)),""))</x:f>
      </x:c>
      <x:c r="F117" t="str">
        <x:f>IF(F$1="","",IFERROR(INDEX('包络曲线数据'!$B$2:$U$742,ROW()-1,MATCH(F$1,'包络曲线数据'!$B$1:$U$1,0)),""))</x:f>
      </x:c>
      <x:c r="G117" t="str">
        <x:f>IF(G$1="","",IFERROR(INDEX('包络曲线数据'!$B$2:$U$742,ROW()-1,MATCH(G$1,'包络曲线数据'!$B$1:$U$1,0)),""))</x:f>
      </x:c>
    </x:row>
    <x:row r="118">
      <x:c r="A118" t="n">
        <x:v>11.600000000000001</x:v>
      </x:c>
      <x:c r="B118" t="n">
        <x:f>IF(B$1="","",IFERROR(INDEX('包络曲线数据'!$B$2:$U$742,ROW()-1,MATCH(B$1,'包络曲线数据'!$B$1:$U$1,0)),""))</x:f>
        <x:v>55.744104573323234</x:v>
      </x:c>
      <x:c r="C118" t="n">
        <x:f>IF(C$1="","",IFERROR(INDEX('包络曲线数据'!$B$2:$U$742,ROW()-1,MATCH(C$1,'包络曲线数据'!$B$1:$U$1,0)),""))</x:f>
        <x:v>67.64080937227034</x:v>
      </x:c>
      <x:c r="D118" t="n">
        <x:f>IF(D$1="","",IFERROR(INDEX('包络曲线数据'!$B$2:$U$742,ROW()-1,MATCH(D$1,'包络曲线数据'!$B$1:$U$1,0)),""))</x:f>
        <x:v>68.92382201006681</x:v>
      </x:c>
      <x:c r="E118" t="str">
        <x:f>IF(E$1="","",IFERROR(INDEX('包络曲线数据'!$B$2:$U$742,ROW()-1,MATCH(E$1,'包络曲线数据'!$B$1:$U$1,0)),""))</x:f>
      </x:c>
      <x:c r="F118" t="str">
        <x:f>IF(F$1="","",IFERROR(INDEX('包络曲线数据'!$B$2:$U$742,ROW()-1,MATCH(F$1,'包络曲线数据'!$B$1:$U$1,0)),""))</x:f>
      </x:c>
      <x:c r="G118" t="str">
        <x:f>IF(G$1="","",IFERROR(INDEX('包络曲线数据'!$B$2:$U$742,ROW()-1,MATCH(G$1,'包络曲线数据'!$B$1:$U$1,0)),""))</x:f>
      </x:c>
    </x:row>
    <x:row r="119">
      <x:c r="A119" t="n">
        <x:v>11.700000000000001</x:v>
      </x:c>
      <x:c r="B119" t="n">
        <x:f>IF(B$1="","",IFERROR(INDEX('包络曲线数据'!$B$2:$U$742,ROW()-1,MATCH(B$1,'包络曲线数据'!$B$1:$U$1,0)),""))</x:f>
        <x:v>56.56616950722071</x:v>
      </x:c>
      <x:c r="C119" t="n">
        <x:f>IF(C$1="","",IFERROR(INDEX('包络曲线数据'!$B$2:$U$742,ROW()-1,MATCH(C$1,'包络曲线数据'!$B$1:$U$1,0)),""))</x:f>
        <x:v>67.64390008775588</x:v>
      </x:c>
      <x:c r="D119" t="n">
        <x:f>IF(D$1="","",IFERROR(INDEX('包络曲线数据'!$B$2:$U$742,ROW()-1,MATCH(D$1,'包络曲线数据'!$B$1:$U$1,0)),""))</x:f>
        <x:v>77.98888963711852</x:v>
      </x:c>
      <x:c r="E119" t="str">
        <x:f>IF(E$1="","",IFERROR(INDEX('包络曲线数据'!$B$2:$U$742,ROW()-1,MATCH(E$1,'包络曲线数据'!$B$1:$U$1,0)),""))</x:f>
      </x:c>
      <x:c r="F119" t="str">
        <x:f>IF(F$1="","",IFERROR(INDEX('包络曲线数据'!$B$2:$U$742,ROW()-1,MATCH(F$1,'包络曲线数据'!$B$1:$U$1,0)),""))</x:f>
      </x:c>
      <x:c r="G119" t="str">
        <x:f>IF(G$1="","",IFERROR(INDEX('包络曲线数据'!$B$2:$U$742,ROW()-1,MATCH(G$1,'包络曲线数据'!$B$1:$U$1,0)),""))</x:f>
      </x:c>
    </x:row>
    <x:row r="120">
      <x:c r="A120" t="n">
        <x:v>11.8</x:v>
      </x:c>
      <x:c r="B120" t="n">
        <x:f>IF(B$1="","",IFERROR(INDEX('包络曲线数据'!$B$2:$U$742,ROW()-1,MATCH(B$1,'包络曲线数据'!$B$1:$U$1,0)),""))</x:f>
        <x:v>57.48095823366968</x:v>
      </x:c>
      <x:c r="C120" t="n">
        <x:f>IF(C$1="","",IFERROR(INDEX('包络曲线数据'!$B$2:$U$742,ROW()-1,MATCH(C$1,'包络曲线数据'!$B$1:$U$1,0)),""))</x:f>
        <x:v>67.35099416061489</x:v>
      </x:c>
      <x:c r="D120" t="n">
        <x:f>IF(D$1="","",IFERROR(INDEX('包络曲线数据'!$B$2:$U$742,ROW()-1,MATCH(D$1,'包络曲线数据'!$B$1:$U$1,0)),""))</x:f>
        <x:v>81.61491668793914</x:v>
      </x:c>
      <x:c r="E120" t="str">
        <x:f>IF(E$1="","",IFERROR(INDEX('包络曲线数据'!$B$2:$U$742,ROW()-1,MATCH(E$1,'包络曲线数据'!$B$1:$U$1,0)),""))</x:f>
      </x:c>
      <x:c r="F120" t="str">
        <x:f>IF(F$1="","",IFERROR(INDEX('包络曲线数据'!$B$2:$U$742,ROW()-1,MATCH(F$1,'包络曲线数据'!$B$1:$U$1,0)),""))</x:f>
      </x:c>
      <x:c r="G120" t="str">
        <x:f>IF(G$1="","",IFERROR(INDEX('包络曲线数据'!$B$2:$U$742,ROW()-1,MATCH(G$1,'包络曲线数据'!$B$1:$U$1,0)),""))</x:f>
      </x:c>
    </x:row>
    <x:row r="121">
      <x:c r="A121" t="n">
        <x:v>11.9</x:v>
      </x:c>
      <x:c r="B121" t="n">
        <x:f>IF(B$1="","",IFERROR(INDEX('包络曲线数据'!$B$2:$U$742,ROW()-1,MATCH(B$1,'包络曲线数据'!$B$1:$U$1,0)),""))</x:f>
        <x:v>58.76664213032464</x:v>
      </x:c>
      <x:c r="C121" t="n">
        <x:f>IF(C$1="","",IFERROR(INDEX('包络曲线数据'!$B$2:$U$742,ROW()-1,MATCH(C$1,'包络曲线数据'!$B$1:$U$1,0)),""))</x:f>
        <x:v>68.86821097645948</x:v>
      </x:c>
      <x:c r="D121" t="n">
        <x:f>IF(D$1="","",IFERROR(INDEX('包络曲线数据'!$B$2:$U$742,ROW()-1,MATCH(D$1,'包络曲线数据'!$B$1:$U$1,0)),""))</x:f>
        <x:v>80.88911026878449</x:v>
      </x:c>
      <x:c r="E121" t="str">
        <x:f>IF(E$1="","",IFERROR(INDEX('包络曲线数据'!$B$2:$U$742,ROW()-1,MATCH(E$1,'包络曲线数据'!$B$1:$U$1,0)),""))</x:f>
      </x:c>
      <x:c r="F121" t="str">
        <x:f>IF(F$1="","",IFERROR(INDEX('包络曲线数据'!$B$2:$U$742,ROW()-1,MATCH(F$1,'包络曲线数据'!$B$1:$U$1,0)),""))</x:f>
      </x:c>
      <x:c r="G121" t="str">
        <x:f>IF(G$1="","",IFERROR(INDEX('包络曲线数据'!$B$2:$U$742,ROW()-1,MATCH(G$1,'包络曲线数据'!$B$1:$U$1,0)),""))</x:f>
      </x:c>
    </x:row>
    <x:row r="122">
      <x:c r="A122" t="n">
        <x:v>12</x:v>
      </x:c>
      <x:c r="B122" t="n">
        <x:f>IF(B$1="","",IFERROR(INDEX('包络曲线数据'!$B$2:$U$742,ROW()-1,MATCH(B$1,'包络曲线数据'!$B$1:$U$1,0)),""))</x:f>
        <x:v>59.02377890965563</x:v>
      </x:c>
      <x:c r="C122" t="n">
        <x:f>IF(C$1="","",IFERROR(INDEX('包络曲线数据'!$B$2:$U$742,ROW()-1,MATCH(C$1,'包络曲线数据'!$B$1:$U$1,0)),""))</x:f>
        <x:v>68.86821097645948</x:v>
      </x:c>
      <x:c r="D122" t="n">
        <x:f>IF(D$1="","",IFERROR(INDEX('包络曲线数据'!$B$2:$U$742,ROW()-1,MATCH(D$1,'包络曲线数据'!$B$1:$U$1,0)),""))</x:f>
        <x:v>74.88852592537731</x:v>
      </x:c>
      <x:c r="E122" t="str">
        <x:f>IF(E$1="","",IFERROR(INDEX('包络曲线数据'!$B$2:$U$742,ROW()-1,MATCH(E$1,'包络曲线数据'!$B$1:$U$1,0)),""))</x:f>
      </x:c>
      <x:c r="F122" t="str">
        <x:f>IF(F$1="","",IFERROR(INDEX('包络曲线数据'!$B$2:$U$742,ROW()-1,MATCH(F$1,'包络曲线数据'!$B$1:$U$1,0)),""))</x:f>
      </x:c>
      <x:c r="G122" t="str">
        <x:f>IF(G$1="","",IFERROR(INDEX('包络曲线数据'!$B$2:$U$742,ROW()-1,MATCH(G$1,'包络曲线数据'!$B$1:$U$1,0)),""))</x:f>
      </x:c>
    </x:row>
    <x:row r="123">
      <x:c r="A123" t="n">
        <x:v>12.100000000000001</x:v>
      </x:c>
      <x:c r="B123" t="n">
        <x:f>IF(B$1="","",IFERROR(INDEX('包络曲线数据'!$B$2:$U$742,ROW()-1,MATCH(B$1,'包络曲线数据'!$B$1:$U$1,0)),""))</x:f>
        <x:v>55.39455627230013</x:v>
      </x:c>
      <x:c r="C123" t="n">
        <x:f>IF(C$1="","",IFERROR(INDEX('包络曲线数据'!$B$2:$U$742,ROW()-1,MATCH(C$1,'包络曲线数据'!$B$1:$U$1,0)),""))</x:f>
        <x:v>68.09003075295134</x:v>
      </x:c>
      <x:c r="D123" t="n">
        <x:f>IF(D$1="","",IFERROR(INDEX('包络曲线数据'!$B$2:$U$742,ROW()-1,MATCH(D$1,'包络曲线数据'!$B$1:$U$1,0)),""))</x:f>
        <x:v>70.72999577061407</x:v>
      </x:c>
      <x:c r="E123" t="str">
        <x:f>IF(E$1="","",IFERROR(INDEX('包络曲线数据'!$B$2:$U$742,ROW()-1,MATCH(E$1,'包络曲线数据'!$B$1:$U$1,0)),""))</x:f>
      </x:c>
      <x:c r="F123" t="str">
        <x:f>IF(F$1="","",IFERROR(INDEX('包络曲线数据'!$B$2:$U$742,ROW()-1,MATCH(F$1,'包络曲线数据'!$B$1:$U$1,0)),""))</x:f>
      </x:c>
      <x:c r="G123" t="str">
        <x:f>IF(G$1="","",IFERROR(INDEX('包络曲线数据'!$B$2:$U$742,ROW()-1,MATCH(G$1,'包络曲线数据'!$B$1:$U$1,0)),""))</x:f>
      </x:c>
    </x:row>
    <x:row r="124">
      <x:c r="A124" t="n">
        <x:v>12.200000000000001</x:v>
      </x:c>
      <x:c r="B124" t="n">
        <x:f>IF(B$1="","",IFERROR(INDEX('包络曲线数据'!$B$2:$U$742,ROW()-1,MATCH(B$1,'包络曲线数据'!$B$1:$U$1,0)),""))</x:f>
        <x:v>55.3945562723001</x:v>
      </x:c>
      <x:c r="C124" t="n">
        <x:f>IF(C$1="","",IFERROR(INDEX('包络曲线数据'!$B$2:$U$742,ROW()-1,MATCH(C$1,'包络曲线数据'!$B$1:$U$1,0)),""))</x:f>
        <x:v>68.09003075295142</x:v>
      </x:c>
      <x:c r="D124" t="n">
        <x:f>IF(D$1="","",IFERROR(INDEX('包络曲线数据'!$B$2:$U$742,ROW()-1,MATCH(D$1,'包络曲线数据'!$B$1:$U$1,0)),""))</x:f>
        <x:v>60.05352060435637</x:v>
      </x:c>
      <x:c r="E124" t="str">
        <x:f>IF(E$1="","",IFERROR(INDEX('包络曲线数据'!$B$2:$U$742,ROW()-1,MATCH(E$1,'包络曲线数据'!$B$1:$U$1,0)),""))</x:f>
      </x:c>
      <x:c r="F124" t="str">
        <x:f>IF(F$1="","",IFERROR(INDEX('包络曲线数据'!$B$2:$U$742,ROW()-1,MATCH(F$1,'包络曲线数据'!$B$1:$U$1,0)),""))</x:f>
      </x:c>
      <x:c r="G124" t="str">
        <x:f>IF(G$1="","",IFERROR(INDEX('包络曲线数据'!$B$2:$U$742,ROW()-1,MATCH(G$1,'包络曲线数据'!$B$1:$U$1,0)),""))</x:f>
      </x:c>
    </x:row>
    <x:row r="125">
      <x:c r="A125" t="n">
        <x:v>12.3</x:v>
      </x:c>
      <x:c r="B125" t="n">
        <x:f>IF(B$1="","",IFERROR(INDEX('包络曲线数据'!$B$2:$U$742,ROW()-1,MATCH(B$1,'包络曲线数据'!$B$1:$U$1,0)),""))</x:f>
        <x:v>53.824654838608154</x:v>
      </x:c>
      <x:c r="C125" t="n">
        <x:f>IF(C$1="","",IFERROR(INDEX('包络曲线数据'!$B$2:$U$742,ROW()-1,MATCH(C$1,'包络曲线数据'!$B$1:$U$1,0)),""))</x:f>
        <x:v>69.16388531417947</x:v>
      </x:c>
      <x:c r="D125" t="n">
        <x:f>IF(D$1="","",IFERROR(INDEX('包络曲线数据'!$B$2:$U$742,ROW()-1,MATCH(D$1,'包络曲线数据'!$B$1:$U$1,0)),""))</x:f>
        <x:v>50</x:v>
      </x:c>
      <x:c r="E125" t="str">
        <x:f>IF(E$1="","",IFERROR(INDEX('包络曲线数据'!$B$2:$U$742,ROW()-1,MATCH(E$1,'包络曲线数据'!$B$1:$U$1,0)),""))</x:f>
      </x:c>
      <x:c r="F125" t="str">
        <x:f>IF(F$1="","",IFERROR(INDEX('包络曲线数据'!$B$2:$U$742,ROW()-1,MATCH(F$1,'包络曲线数据'!$B$1:$U$1,0)),""))</x:f>
      </x:c>
      <x:c r="G125" t="str">
        <x:f>IF(G$1="","",IFERROR(INDEX('包络曲线数据'!$B$2:$U$742,ROW()-1,MATCH(G$1,'包络曲线数据'!$B$1:$U$1,0)),""))</x:f>
      </x:c>
    </x:row>
    <x:row r="126">
      <x:c r="A126" t="n">
        <x:v>12.4</x:v>
      </x:c>
      <x:c r="B126" t="n">
        <x:f>IF(B$1="","",IFERROR(INDEX('包络曲线数据'!$B$2:$U$742,ROW()-1,MATCH(B$1,'包络曲线数据'!$B$1:$U$1,0)),""))</x:f>
        <x:v>57.604015023366614</x:v>
      </x:c>
      <x:c r="C126" t="n">
        <x:f>IF(C$1="","",IFERROR(INDEX('包络曲线数据'!$B$2:$U$742,ROW()-1,MATCH(C$1,'包络曲线数据'!$B$1:$U$1,0)),""))</x:f>
        <x:v>69.16388531417947</x:v>
      </x:c>
      <x:c r="D126" t="n">
        <x:f>IF(D$1="","",IFERROR(INDEX('包络曲线数据'!$B$2:$U$742,ROW()-1,MATCH(D$1,'包络曲线数据'!$B$1:$U$1,0)),""))</x:f>
        <x:v>60.044453803373386</x:v>
      </x:c>
      <x:c r="E126" t="str">
        <x:f>IF(E$1="","",IFERROR(INDEX('包络曲线数据'!$B$2:$U$742,ROW()-1,MATCH(E$1,'包络曲线数据'!$B$1:$U$1,0)),""))</x:f>
      </x:c>
      <x:c r="F126" t="str">
        <x:f>IF(F$1="","",IFERROR(INDEX('包络曲线数据'!$B$2:$U$742,ROW()-1,MATCH(F$1,'包络曲线数据'!$B$1:$U$1,0)),""))</x:f>
      </x:c>
      <x:c r="G126" t="str">
        <x:f>IF(G$1="","",IFERROR(INDEX('包络曲线数据'!$B$2:$U$742,ROW()-1,MATCH(G$1,'包络曲线数据'!$B$1:$U$1,0)),""))</x:f>
      </x:c>
    </x:row>
    <x:row r="127">
      <x:c r="A127" t="n">
        <x:v>12.5</x:v>
      </x:c>
      <x:c r="B127" t="n">
        <x:f>IF(B$1="","",IFERROR(INDEX('包络曲线数据'!$B$2:$U$742,ROW()-1,MATCH(B$1,'包络曲线数据'!$B$1:$U$1,0)),""))</x:f>
        <x:v>57.60678551808884</x:v>
      </x:c>
      <x:c r="C127" t="n">
        <x:f>IF(C$1="","",IFERROR(INDEX('包络曲线数据'!$B$2:$U$742,ROW()-1,MATCH(C$1,'包络曲线数据'!$B$1:$U$1,0)),""))</x:f>
        <x:v>70.39061137992688</x:v>
      </x:c>
      <x:c r="D127" t="n">
        <x:f>IF(D$1="","",IFERROR(INDEX('包络曲线数据'!$B$2:$U$742,ROW()-1,MATCH(D$1,'包络曲线数据'!$B$1:$U$1,0)),""))</x:f>
        <x:v>60.044453803373386</x:v>
      </x:c>
      <x:c r="E127" t="str">
        <x:f>IF(E$1="","",IFERROR(INDEX('包络曲线数据'!$B$2:$U$742,ROW()-1,MATCH(E$1,'包络曲线数据'!$B$1:$U$1,0)),""))</x:f>
      </x:c>
      <x:c r="F127" t="str">
        <x:f>IF(F$1="","",IFERROR(INDEX('包络曲线数据'!$B$2:$U$742,ROW()-1,MATCH(F$1,'包络曲线数据'!$B$1:$U$1,0)),""))</x:f>
      </x:c>
      <x:c r="G127" t="str">
        <x:f>IF(G$1="","",IFERROR(INDEX('包络曲线数据'!$B$2:$U$742,ROW()-1,MATCH(G$1,'包络曲线数据'!$B$1:$U$1,0)),""))</x:f>
      </x:c>
    </x:row>
    <x:row r="128">
      <x:c r="A128" t="n">
        <x:v>12.600000000000001</x:v>
      </x:c>
      <x:c r="B128" t="n">
        <x:f>IF(B$1="","",IFERROR(INDEX('包络曲线数据'!$B$2:$U$742,ROW()-1,MATCH(B$1,'包络曲线数据'!$B$1:$U$1,0)),""))</x:f>
        <x:v>57.61232650753329</x:v>
      </x:c>
      <x:c r="C128" t="n">
        <x:f>IF(C$1="","",IFERROR(INDEX('包络曲线数据'!$B$2:$U$742,ROW()-1,MATCH(C$1,'包络曲线数据'!$B$1:$U$1,0)),""))</x:f>
        <x:v>70.39061137992688</x:v>
      </x:c>
      <x:c r="D128" t="n">
        <x:f>IF(D$1="","",IFERROR(INDEX('包络曲线数据'!$B$2:$U$742,ROW()-1,MATCH(D$1,'包络曲线数据'!$B$1:$U$1,0)),""))</x:f>
        <x:v>50.00000000000108</x:v>
      </x:c>
      <x:c r="E128" t="str">
        <x:f>IF(E$1="","",IFERROR(INDEX('包络曲线数据'!$B$2:$U$742,ROW()-1,MATCH(E$1,'包络曲线数据'!$B$1:$U$1,0)),""))</x:f>
      </x:c>
      <x:c r="F128" t="str">
        <x:f>IF(F$1="","",IFERROR(INDEX('包络曲线数据'!$B$2:$U$742,ROW()-1,MATCH(F$1,'包络曲线数据'!$B$1:$U$1,0)),""))</x:f>
      </x:c>
      <x:c r="G128" t="str">
        <x:f>IF(G$1="","",IFERROR(INDEX('包络曲线数据'!$B$2:$U$742,ROW()-1,MATCH(G$1,'包络曲线数据'!$B$1:$U$1,0)),""))</x:f>
      </x:c>
    </x:row>
    <x:row r="129">
      <x:c r="A129" t="n">
        <x:v>12.700000000000001</x:v>
      </x:c>
      <x:c r="B129" t="n">
        <x:f>IF(B$1="","",IFERROR(INDEX('包络曲线数据'!$B$2:$U$742,ROW()-1,MATCH(B$1,'包络曲线数据'!$B$1:$U$1,0)),""))</x:f>
        <x:v>58.97803492806411</x:v>
      </x:c>
      <x:c r="C129" t="n">
        <x:f>IF(C$1="","",IFERROR(INDEX('包络曲线数据'!$B$2:$U$742,ROW()-1,MATCH(C$1,'包络曲线数据'!$B$1:$U$1,0)),""))</x:f>
        <x:v>69.06316407070838</x:v>
      </x:c>
      <x:c r="D129" t="n">
        <x:f>IF(D$1="","",IFERROR(INDEX('包络曲线数据'!$B$2:$U$742,ROW()-1,MATCH(D$1,'包络曲线数据'!$B$1:$U$1,0)),""))</x:f>
        <x:v>64.12246003519161</x:v>
      </x:c>
      <x:c r="E129" t="str">
        <x:f>IF(E$1="","",IFERROR(INDEX('包络曲线数据'!$B$2:$U$742,ROW()-1,MATCH(E$1,'包络曲线数据'!$B$1:$U$1,0)),""))</x:f>
      </x:c>
      <x:c r="F129" t="str">
        <x:f>IF(F$1="","",IFERROR(INDEX('包络曲线数据'!$B$2:$U$742,ROW()-1,MATCH(F$1,'包络曲线数据'!$B$1:$U$1,0)),""))</x:f>
      </x:c>
      <x:c r="G129" t="str">
        <x:f>IF(G$1="","",IFERROR(INDEX('包络曲线数据'!$B$2:$U$742,ROW()-1,MATCH(G$1,'包络曲线数据'!$B$1:$U$1,0)),""))</x:f>
      </x:c>
    </x:row>
    <x:row r="130">
      <x:c r="A130" t="n">
        <x:v>12.8</x:v>
      </x:c>
      <x:c r="B130" t="n">
        <x:f>IF(B$1="","",IFERROR(INDEX('包络曲线数据'!$B$2:$U$742,ROW()-1,MATCH(B$1,'包络曲线数据'!$B$1:$U$1,0)),""))</x:f>
        <x:v>59.187185344775315</x:v>
      </x:c>
      <x:c r="C130" t="n">
        <x:f>IF(C$1="","",IFERROR(INDEX('包络曲线数据'!$B$2:$U$742,ROW()-1,MATCH(C$1,'包络曲线数据'!$B$1:$U$1,0)),""))</x:f>
        <x:v>63.21784937050997</x:v>
      </x:c>
      <x:c r="D130" t="n">
        <x:f>IF(D$1="","",IFERROR(INDEX('包络曲线数据'!$B$2:$U$742,ROW()-1,MATCH(D$1,'包络曲线数据'!$B$1:$U$1,0)),""))</x:f>
        <x:v>74.69200685029419</x:v>
      </x:c>
      <x:c r="E130" t="str">
        <x:f>IF(E$1="","",IFERROR(INDEX('包络曲线数据'!$B$2:$U$742,ROW()-1,MATCH(E$1,'包络曲线数据'!$B$1:$U$1,0)),""))</x:f>
      </x:c>
      <x:c r="F130" t="str">
        <x:f>IF(F$1="","",IFERROR(INDEX('包络曲线数据'!$B$2:$U$742,ROW()-1,MATCH(F$1,'包络曲线数据'!$B$1:$U$1,0)),""))</x:f>
      </x:c>
      <x:c r="G130" t="str">
        <x:f>IF(G$1="","",IFERROR(INDEX('包络曲线数据'!$B$2:$U$742,ROW()-1,MATCH(G$1,'包络曲线数据'!$B$1:$U$1,0)),""))</x:f>
      </x:c>
    </x:row>
    <x:row r="131">
      <x:c r="A131" t="n">
        <x:v>12.9</x:v>
      </x:c>
      <x:c r="B131" t="n">
        <x:f>IF(B$1="","",IFERROR(INDEX('包络曲线数据'!$B$2:$U$742,ROW()-1,MATCH(B$1,'包络曲线数据'!$B$1:$U$1,0)),""))</x:f>
        <x:v>56.23662697502036</x:v>
      </x:c>
      <x:c r="C131" t="n">
        <x:f>IF(C$1="","",IFERROR(INDEX('包络曲线数据'!$B$2:$U$742,ROW()-1,MATCH(C$1,'包络曲线数据'!$B$1:$U$1,0)),""))</x:f>
        <x:v>82.92075342478522</x:v>
      </x:c>
      <x:c r="D131" t="n">
        <x:f>IF(D$1="","",IFERROR(INDEX('包络曲线数据'!$B$2:$U$742,ROW()-1,MATCH(D$1,'包络曲线数据'!$B$1:$U$1,0)),""))</x:f>
        <x:v>75.35583104667668</x:v>
      </x:c>
      <x:c r="E131" t="str">
        <x:f>IF(E$1="","",IFERROR(INDEX('包络曲线数据'!$B$2:$U$742,ROW()-1,MATCH(E$1,'包络曲线数据'!$B$1:$U$1,0)),""))</x:f>
      </x:c>
      <x:c r="F131" t="str">
        <x:f>IF(F$1="","",IFERROR(INDEX('包络曲线数据'!$B$2:$U$742,ROW()-1,MATCH(F$1,'包络曲线数据'!$B$1:$U$1,0)),""))</x:f>
      </x:c>
      <x:c r="G131" t="str">
        <x:f>IF(G$1="","",IFERROR(INDEX('包络曲线数据'!$B$2:$U$742,ROW()-1,MATCH(G$1,'包络曲线数据'!$B$1:$U$1,0)),""))</x:f>
      </x:c>
    </x:row>
    <x:row r="132">
      <x:c r="A132" t="n">
        <x:v>13</x:v>
      </x:c>
      <x:c r="B132" t="n">
        <x:f>IF(B$1="","",IFERROR(INDEX('包络曲线数据'!$B$2:$U$742,ROW()-1,MATCH(B$1,'包络曲线数据'!$B$1:$U$1,0)),""))</x:f>
        <x:v>53.33764171552201</x:v>
      </x:c>
      <x:c r="C132" t="n">
        <x:f>IF(C$1="","",IFERROR(INDEX('包络曲线数据'!$B$2:$U$742,ROW()-1,MATCH(C$1,'包络曲线数据'!$B$1:$U$1,0)),""))</x:f>
        <x:v>83.48312641149933</x:v>
      </x:c>
      <x:c r="D132" t="n">
        <x:f>IF(D$1="","",IFERROR(INDEX('包络曲线数据'!$B$2:$U$742,ROW()-1,MATCH(D$1,'包络曲线数据'!$B$1:$U$1,0)),""))</x:f>
        <x:v>74.10941834096187</x:v>
      </x:c>
      <x:c r="E132" t="str">
        <x:f>IF(E$1="","",IFERROR(INDEX('包络曲线数据'!$B$2:$U$742,ROW()-1,MATCH(E$1,'包络曲线数据'!$B$1:$U$1,0)),""))</x:f>
      </x:c>
      <x:c r="F132" t="str">
        <x:f>IF(F$1="","",IFERROR(INDEX('包络曲线数据'!$B$2:$U$742,ROW()-1,MATCH(F$1,'包络曲线数据'!$B$1:$U$1,0)),""))</x:f>
      </x:c>
      <x:c r="G132" t="str">
        <x:f>IF(G$1="","",IFERROR(INDEX('包络曲线数据'!$B$2:$U$742,ROW()-1,MATCH(G$1,'包络曲线数据'!$B$1:$U$1,0)),""))</x:f>
      </x:c>
    </x:row>
    <x:row r="133">
      <x:c r="A133" t="n">
        <x:v>13.100000000000001</x:v>
      </x:c>
      <x:c r="B133" t="n">
        <x:f>IF(B$1="","",IFERROR(INDEX('包络曲线数据'!$B$2:$U$742,ROW()-1,MATCH(B$1,'包络曲线数据'!$B$1:$U$1,0)),""))</x:f>
        <x:v>54.31186950274798</x:v>
      </x:c>
      <x:c r="C133" t="n">
        <x:f>IF(C$1="","",IFERROR(INDEX('包络曲线数据'!$B$2:$U$742,ROW()-1,MATCH(C$1,'包络曲线数据'!$B$1:$U$1,0)),""))</x:f>
        <x:v>81.13488907148707</x:v>
      </x:c>
      <x:c r="D133" t="n">
        <x:f>IF(D$1="","",IFERROR(INDEX('包络曲线数据'!$B$2:$U$742,ROW()-1,MATCH(D$1,'包络曲线数据'!$B$1:$U$1,0)),""))</x:f>
        <x:v>60.595551815457966</x:v>
      </x:c>
      <x:c r="E133" t="str">
        <x:f>IF(E$1="","",IFERROR(INDEX('包络曲线数据'!$B$2:$U$742,ROW()-1,MATCH(E$1,'包络曲线数据'!$B$1:$U$1,0)),""))</x:f>
      </x:c>
      <x:c r="F133" t="str">
        <x:f>IF(F$1="","",IFERROR(INDEX('包络曲线数据'!$B$2:$U$742,ROW()-1,MATCH(F$1,'包络曲线数据'!$B$1:$U$1,0)),""))</x:f>
      </x:c>
      <x:c r="G133" t="str">
        <x:f>IF(G$1="","",IFERROR(INDEX('包络曲线数据'!$B$2:$U$742,ROW()-1,MATCH(G$1,'包络曲线数据'!$B$1:$U$1,0)),""))</x:f>
      </x:c>
    </x:row>
    <x:row r="134">
      <x:c r="A134" t="n">
        <x:v>13.200000000000001</x:v>
      </x:c>
      <x:c r="B134" t="n">
        <x:f>IF(B$1="","",IFERROR(INDEX('包络曲线数据'!$B$2:$U$742,ROW()-1,MATCH(B$1,'包络曲线数据'!$B$1:$U$1,0)),""))</x:f>
        <x:v>54.31186950274798</x:v>
      </x:c>
      <x:c r="C134" t="n">
        <x:f>IF(C$1="","",IFERROR(INDEX('包络曲线数据'!$B$2:$U$742,ROW()-1,MATCH(C$1,'包络曲线数据'!$B$1:$U$1,0)),""))</x:f>
        <x:v>72.19273323111193</x:v>
      </x:c>
      <x:c r="D134" t="n">
        <x:f>IF(D$1="","",IFERROR(INDEX('包络曲线数据'!$B$2:$U$742,ROW()-1,MATCH(D$1,'包络曲线数据'!$B$1:$U$1,0)),""))</x:f>
        <x:v>58.1418477037906</x:v>
      </x:c>
      <x:c r="E134" t="str">
        <x:f>IF(E$1="","",IFERROR(INDEX('包络曲线数据'!$B$2:$U$742,ROW()-1,MATCH(E$1,'包络曲线数据'!$B$1:$U$1,0)),""))</x:f>
      </x:c>
      <x:c r="F134" t="str">
        <x:f>IF(F$1="","",IFERROR(INDEX('包络曲线数据'!$B$2:$U$742,ROW()-1,MATCH(F$1,'包络曲线数据'!$B$1:$U$1,0)),""))</x:f>
      </x:c>
      <x:c r="G134" t="str">
        <x:f>IF(G$1="","",IFERROR(INDEX('包络曲线数据'!$B$2:$U$742,ROW()-1,MATCH(G$1,'包络曲线数据'!$B$1:$U$1,0)),""))</x:f>
      </x:c>
    </x:row>
    <x:row r="135">
      <x:c r="A135" t="n">
        <x:v>13.3</x:v>
      </x:c>
      <x:c r="B135" t="n">
        <x:f>IF(B$1="","",IFERROR(INDEX('包络曲线数据'!$B$2:$U$742,ROW()-1,MATCH(B$1,'包络曲线数据'!$B$1:$U$1,0)),""))</x:f>
        <x:v>54.2732494617019</x:v>
      </x:c>
      <x:c r="C135" t="n">
        <x:f>IF(C$1="","",IFERROR(INDEX('包络曲线数据'!$B$2:$U$742,ROW()-1,MATCH(C$1,'包络曲线数据'!$B$1:$U$1,0)),""))</x:f>
        <x:v>61.47453385836084</x:v>
      </x:c>
      <x:c r="D135" t="n">
        <x:f>IF(D$1="","",IFERROR(INDEX('包络曲线数据'!$B$2:$U$742,ROW()-1,MATCH(D$1,'包络曲线数据'!$B$1:$U$1,0)),""))</x:f>
        <x:v>66.22603811115883</x:v>
      </x:c>
      <x:c r="E135" t="str">
        <x:f>IF(E$1="","",IFERROR(INDEX('包络曲线数据'!$B$2:$U$742,ROW()-1,MATCH(E$1,'包络曲线数据'!$B$1:$U$1,0)),""))</x:f>
      </x:c>
      <x:c r="F135" t="str">
        <x:f>IF(F$1="","",IFERROR(INDEX('包络曲线数据'!$B$2:$U$742,ROW()-1,MATCH(F$1,'包络曲线数据'!$B$1:$U$1,0)),""))</x:f>
      </x:c>
      <x:c r="G135" t="str">
        <x:f>IF(G$1="","",IFERROR(INDEX('包络曲线数据'!$B$2:$U$742,ROW()-1,MATCH(G$1,'包络曲线数据'!$B$1:$U$1,0)),""))</x:f>
      </x:c>
    </x:row>
    <x:row r="136">
      <x:c r="A136" t="n">
        <x:v>13.4</x:v>
      </x:c>
      <x:c r="B136" t="n">
        <x:f>IF(B$1="","",IFERROR(INDEX('包络曲线数据'!$B$2:$U$742,ROW()-1,MATCH(B$1,'包络曲线数据'!$B$1:$U$1,0)),""))</x:f>
        <x:v>54.3215003637232</x:v>
      </x:c>
      <x:c r="C136" t="n">
        <x:f>IF(C$1="","",IFERROR(INDEX('包络曲线数据'!$B$2:$U$742,ROW()-1,MATCH(C$1,'包络曲线数据'!$B$1:$U$1,0)),""))</x:f>
        <x:v>52.39175843351897</x:v>
      </x:c>
      <x:c r="D136" t="n">
        <x:f>IF(D$1="","",IFERROR(INDEX('包络曲线数据'!$B$2:$U$742,ROW()-1,MATCH(D$1,'包络曲线数据'!$B$1:$U$1,0)),""))</x:f>
        <x:v>68.54754735764382</x:v>
      </x:c>
      <x:c r="E136" t="str">
        <x:f>IF(E$1="","",IFERROR(INDEX('包络曲线数据'!$B$2:$U$742,ROW()-1,MATCH(E$1,'包络曲线数据'!$B$1:$U$1,0)),""))</x:f>
      </x:c>
      <x:c r="F136" t="str">
        <x:f>IF(F$1="","",IFERROR(INDEX('包络曲线数据'!$B$2:$U$742,ROW()-1,MATCH(F$1,'包络曲线数据'!$B$1:$U$1,0)),""))</x:f>
      </x:c>
      <x:c r="G136" t="str">
        <x:f>IF(G$1="","",IFERROR(INDEX('包络曲线数据'!$B$2:$U$742,ROW()-1,MATCH(G$1,'包络曲线数据'!$B$1:$U$1,0)),""))</x:f>
      </x:c>
    </x:row>
    <x:row r="137">
      <x:c r="A137" t="n">
        <x:v>13.5</x:v>
      </x:c>
      <x:c r="B137" t="n">
        <x:f>IF(B$1="","",IFERROR(INDEX('包络曲线数据'!$B$2:$U$742,ROW()-1,MATCH(B$1,'包络曲线数据'!$B$1:$U$1,0)),""))</x:f>
        <x:v>61.24753774710802</x:v>
      </x:c>
      <x:c r="C137" t="n">
        <x:f>IF(C$1="","",IFERROR(INDEX('包络曲线数据'!$B$2:$U$742,ROW()-1,MATCH(C$1,'包络曲线数据'!$B$1:$U$1,0)),""))</x:f>
        <x:v>52.39175843351897</x:v>
      </x:c>
      <x:c r="D137" t="n">
        <x:f>IF(D$1="","",IFERROR(INDEX('包络曲线数据'!$B$2:$U$742,ROW()-1,MATCH(D$1,'包络曲线数据'!$B$1:$U$1,0)),""))</x:f>
        <x:v>68.54754735764382</x:v>
      </x:c>
      <x:c r="E137" t="str">
        <x:f>IF(E$1="","",IFERROR(INDEX('包络曲线数据'!$B$2:$U$742,ROW()-1,MATCH(E$1,'包络曲线数据'!$B$1:$U$1,0)),""))</x:f>
      </x:c>
      <x:c r="F137" t="str">
        <x:f>IF(F$1="","",IFERROR(INDEX('包络曲线数据'!$B$2:$U$742,ROW()-1,MATCH(F$1,'包络曲线数据'!$B$1:$U$1,0)),""))</x:f>
      </x:c>
      <x:c r="G137" t="str">
        <x:f>IF(G$1="","",IFERROR(INDEX('包络曲线数据'!$B$2:$U$742,ROW()-1,MATCH(G$1,'包络曲线数据'!$B$1:$U$1,0)),""))</x:f>
      </x:c>
    </x:row>
    <x:row r="138">
      <x:c r="A138" t="n">
        <x:v>13.600000000000001</x:v>
      </x:c>
      <x:c r="B138" t="n">
        <x:f>IF(B$1="","",IFERROR(INDEX('包络曲线数据'!$B$2:$U$742,ROW()-1,MATCH(B$1,'包络曲线数据'!$B$1:$U$1,0)),""))</x:f>
        <x:v>69.57127558322061</x:v>
      </x:c>
      <x:c r="C138" t="n">
        <x:f>IF(C$1="","",IFERROR(INDEX('包络曲线数据'!$B$2:$U$742,ROW()-1,MATCH(C$1,'包络曲线数据'!$B$1:$U$1,0)),""))</x:f>
        <x:v>52.39175843351897</x:v>
      </x:c>
      <x:c r="D138" t="n">
        <x:f>IF(D$1="","",IFERROR(INDEX('包络曲线数据'!$B$2:$U$742,ROW()-1,MATCH(D$1,'包络曲线数据'!$B$1:$U$1,0)),""))</x:f>
        <x:v>65.68683237639648</x:v>
      </x:c>
      <x:c r="E138" t="str">
        <x:f>IF(E$1="","",IFERROR(INDEX('包络曲线数据'!$B$2:$U$742,ROW()-1,MATCH(E$1,'包络曲线数据'!$B$1:$U$1,0)),""))</x:f>
      </x:c>
      <x:c r="F138" t="str">
        <x:f>IF(F$1="","",IFERROR(INDEX('包络曲线数据'!$B$2:$U$742,ROW()-1,MATCH(F$1,'包络曲线数据'!$B$1:$U$1,0)),""))</x:f>
      </x:c>
      <x:c r="G138" t="str">
        <x:f>IF(G$1="","",IFERROR(INDEX('包络曲线数据'!$B$2:$U$742,ROW()-1,MATCH(G$1,'包络曲线数据'!$B$1:$U$1,0)),""))</x:f>
      </x:c>
    </x:row>
    <x:row r="139">
      <x:c r="A139" t="n">
        <x:v>13.700000000000001</x:v>
      </x:c>
      <x:c r="B139" t="n">
        <x:f>IF(B$1="","",IFERROR(INDEX('包络曲线数据'!$B$2:$U$742,ROW()-1,MATCH(B$1,'包络曲线数据'!$B$1:$U$1,0)),""))</x:f>
        <x:v>74.79987616923557</x:v>
      </x:c>
      <x:c r="C139" t="n">
        <x:f>IF(C$1="","",IFERROR(INDEX('包络曲线数据'!$B$2:$U$742,ROW()-1,MATCH(C$1,'包络曲线数据'!$B$1:$U$1,0)),""))</x:f>
        <x:v>59.138800050418396</x:v>
      </x:c>
      <x:c r="D139" t="n">
        <x:f>IF(D$1="","",IFERROR(INDEX('包络曲线数据'!$B$2:$U$742,ROW()-1,MATCH(D$1,'包络曲线数据'!$B$1:$U$1,0)),""))</x:f>
        <x:v>65.68683237639648</x:v>
      </x:c>
      <x:c r="E139" t="str">
        <x:f>IF(E$1="","",IFERROR(INDEX('包络曲线数据'!$B$2:$U$742,ROW()-1,MATCH(E$1,'包络曲线数据'!$B$1:$U$1,0)),""))</x:f>
      </x:c>
      <x:c r="F139" t="str">
        <x:f>IF(F$1="","",IFERROR(INDEX('包络曲线数据'!$B$2:$U$742,ROW()-1,MATCH(F$1,'包络曲线数据'!$B$1:$U$1,0)),""))</x:f>
      </x:c>
      <x:c r="G139" t="str">
        <x:f>IF(G$1="","",IFERROR(INDEX('包络曲线数据'!$B$2:$U$742,ROW()-1,MATCH(G$1,'包络曲线数据'!$B$1:$U$1,0)),""))</x:f>
      </x:c>
    </x:row>
    <x:row r="140">
      <x:c r="A140" t="n">
        <x:v>13.8</x:v>
      </x:c>
      <x:c r="B140" t="n">
        <x:f>IF(B$1="","",IFERROR(INDEX('包络曲线数据'!$B$2:$U$742,ROW()-1,MATCH(B$1,'包络曲线数据'!$B$1:$U$1,0)),""))</x:f>
        <x:v>74.79987616923557</x:v>
      </x:c>
      <x:c r="C140" t="n">
        <x:f>IF(C$1="","",IFERROR(INDEX('包络曲线数据'!$B$2:$U$742,ROW()-1,MATCH(C$1,'包络曲线数据'!$B$1:$U$1,0)),""))</x:f>
        <x:v>65.88584166731762</x:v>
      </x:c>
      <x:c r="D140" t="n">
        <x:f>IF(D$1="","",IFERROR(INDEX('包络曲线数据'!$B$2:$U$742,ROW()-1,MATCH(D$1,'包络曲线数据'!$B$1:$U$1,0)),""))</x:f>
        <x:v>65.28991251401318</x:v>
      </x:c>
      <x:c r="E140" t="str">
        <x:f>IF(E$1="","",IFERROR(INDEX('包络曲线数据'!$B$2:$U$742,ROW()-1,MATCH(E$1,'包络曲线数据'!$B$1:$U$1,0)),""))</x:f>
      </x:c>
      <x:c r="F140" t="str">
        <x:f>IF(F$1="","",IFERROR(INDEX('包络曲线数据'!$B$2:$U$742,ROW()-1,MATCH(F$1,'包络曲线数据'!$B$1:$U$1,0)),""))</x:f>
      </x:c>
      <x:c r="G140" t="str">
        <x:f>IF(G$1="","",IFERROR(INDEX('包络曲线数据'!$B$2:$U$742,ROW()-1,MATCH(G$1,'包络曲线数据'!$B$1:$U$1,0)),""))</x:f>
      </x:c>
    </x:row>
    <x:row r="141">
      <x:c r="A141" t="n">
        <x:v>13.9</x:v>
      </x:c>
      <x:c r="B141" t="n">
        <x:f>IF(B$1="","",IFERROR(INDEX('包络曲线数据'!$B$2:$U$742,ROW()-1,MATCH(B$1,'包络曲线数据'!$B$1:$U$1,0)),""))</x:f>
        <x:v>70.02259500781896</x:v>
      </x:c>
      <x:c r="C141" t="n">
        <x:f>IF(C$1="","",IFERROR(INDEX('包络曲线数据'!$B$2:$U$742,ROW()-1,MATCH(C$1,'包络曲线数据'!$B$1:$U$1,0)),""))</x:f>
        <x:v>65.88584166731762</x:v>
      </x:c>
      <x:c r="D141" t="n">
        <x:f>IF(D$1="","",IFERROR(INDEX('包络曲线数据'!$B$2:$U$742,ROW()-1,MATCH(D$1,'包络曲线数据'!$B$1:$U$1,0)),""))</x:f>
        <x:v>66.04429968970868</x:v>
      </x:c>
      <x:c r="E141" t="str">
        <x:f>IF(E$1="","",IFERROR(INDEX('包络曲线数据'!$B$2:$U$742,ROW()-1,MATCH(E$1,'包络曲线数据'!$B$1:$U$1,0)),""))</x:f>
      </x:c>
      <x:c r="F141" t="str">
        <x:f>IF(F$1="","",IFERROR(INDEX('包络曲线数据'!$B$2:$U$742,ROW()-1,MATCH(F$1,'包络曲线数据'!$B$1:$U$1,0)),""))</x:f>
      </x:c>
      <x:c r="G141" t="str">
        <x:f>IF(G$1="","",IFERROR(INDEX('包络曲线数据'!$B$2:$U$742,ROW()-1,MATCH(G$1,'包络曲线数据'!$B$1:$U$1,0)),""))</x:f>
      </x:c>
    </x:row>
    <x:row r="142">
      <x:c r="A142" t="n">
        <x:v>14</x:v>
      </x:c>
      <x:c r="B142" t="n">
        <x:f>IF(B$1="","",IFERROR(INDEX('包络曲线数据'!$B$2:$U$742,ROW()-1,MATCH(B$1,'包络曲线数据'!$B$1:$U$1,0)),""))</x:f>
        <x:v>62.691080780333216</x:v>
      </x:c>
      <x:c r="C142" t="n">
        <x:f>IF(C$1="","",IFERROR(INDEX('包络曲线数据'!$B$2:$U$742,ROW()-1,MATCH(C$1,'包络曲线数据'!$B$1:$U$1,0)),""))</x:f>
        <x:v>74.6037244036723</x:v>
      </x:c>
      <x:c r="D142" t="n">
        <x:f>IF(D$1="","",IFERROR(INDEX('包络曲线数据'!$B$2:$U$742,ROW()-1,MATCH(D$1,'包络曲线数据'!$B$1:$U$1,0)),""))</x:f>
        <x:v>68.05292389359943</x:v>
      </x:c>
      <x:c r="E142" t="str">
        <x:f>IF(E$1="","",IFERROR(INDEX('包络曲线数据'!$B$2:$U$742,ROW()-1,MATCH(E$1,'包络曲线数据'!$B$1:$U$1,0)),""))</x:f>
      </x:c>
      <x:c r="F142" t="str">
        <x:f>IF(F$1="","",IFERROR(INDEX('包络曲线数据'!$B$2:$U$742,ROW()-1,MATCH(F$1,'包络曲线数据'!$B$1:$U$1,0)),""))</x:f>
      </x:c>
      <x:c r="G142" t="str">
        <x:f>IF(G$1="","",IFERROR(INDEX('包络曲线数据'!$B$2:$U$742,ROW()-1,MATCH(G$1,'包络曲线数据'!$B$1:$U$1,0)),""))</x:f>
      </x:c>
    </x:row>
    <x:row r="143">
      <x:c r="A143" t="n">
        <x:v>14.100000000000001</x:v>
      </x:c>
      <x:c r="B143" t="n">
        <x:f>IF(B$1="","",IFERROR(INDEX('包络曲线数据'!$B$2:$U$742,ROW()-1,MATCH(B$1,'包络曲线数据'!$B$1:$U$1,0)),""))</x:f>
        <x:v>55.699220330475654</x:v>
      </x:c>
      <x:c r="C143" t="n">
        <x:f>IF(C$1="","",IFERROR(INDEX('包络曲线数据'!$B$2:$U$742,ROW()-1,MATCH(C$1,'包络曲线数据'!$B$1:$U$1,0)),""))</x:f>
        <x:v>76.34730095094321</x:v>
      </x:c>
      <x:c r="D143" t="n">
        <x:f>IF(D$1="","",IFERROR(INDEX('包络曲线数据'!$B$2:$U$742,ROW()-1,MATCH(D$1,'包络曲线数据'!$B$1:$U$1,0)),""))</x:f>
        <x:v>74.53847133569289</x:v>
      </x:c>
      <x:c r="E143" t="str">
        <x:f>IF(E$1="","",IFERROR(INDEX('包络曲线数据'!$B$2:$U$742,ROW()-1,MATCH(E$1,'包络曲线数据'!$B$1:$U$1,0)),""))</x:f>
      </x:c>
      <x:c r="F143" t="str">
        <x:f>IF(F$1="","",IFERROR(INDEX('包络曲线数据'!$B$2:$U$742,ROW()-1,MATCH(F$1,'包络曲线数据'!$B$1:$U$1,0)),""))</x:f>
      </x:c>
      <x:c r="G143" t="str">
        <x:f>IF(G$1="","",IFERROR(INDEX('包络曲线数据'!$B$2:$U$742,ROW()-1,MATCH(G$1,'包络曲线数据'!$B$1:$U$1,0)),""))</x:f>
      </x:c>
    </x:row>
    <x:row r="144">
      <x:c r="A144" t="n">
        <x:v>14.200000000000001</x:v>
      </x:c>
      <x:c r="B144" t="n">
        <x:f>IF(B$1="","",IFERROR(INDEX('包络曲线数据'!$B$2:$U$742,ROW()-1,MATCH(B$1,'包络曲线数据'!$B$1:$U$1,0)),""))</x:f>
        <x:v>57.03532369849827</x:v>
      </x:c>
      <x:c r="C144" t="n">
        <x:f>IF(C$1="","",IFERROR(INDEX('包络曲线数据'!$B$2:$U$742,ROW()-1,MATCH(C$1,'包络曲线数据'!$B$1:$U$1,0)),""))</x:f>
        <x:v>73.85951018210292</x:v>
      </x:c>
      <x:c r="D144" t="n">
        <x:f>IF(D$1="","",IFERROR(INDEX('包络曲线数据'!$B$2:$U$742,ROW()-1,MATCH(D$1,'包络曲线数据'!$B$1:$U$1,0)),""))</x:f>
        <x:v>79.40263191726278</x:v>
      </x:c>
      <x:c r="E144" t="str">
        <x:f>IF(E$1="","",IFERROR(INDEX('包络曲线数据'!$B$2:$U$742,ROW()-1,MATCH(E$1,'包络曲线数据'!$B$1:$U$1,0)),""))</x:f>
      </x:c>
      <x:c r="F144" t="str">
        <x:f>IF(F$1="","",IFERROR(INDEX('包络曲线数据'!$B$2:$U$742,ROW()-1,MATCH(F$1,'包络曲线数据'!$B$1:$U$1,0)),""))</x:f>
      </x:c>
      <x:c r="G144" t="str">
        <x:f>IF(G$1="","",IFERROR(INDEX('包络曲线数据'!$B$2:$U$742,ROW()-1,MATCH(G$1,'包络曲线数据'!$B$1:$U$1,0)),""))</x:f>
      </x:c>
    </x:row>
    <x:row r="145">
      <x:c r="A145" t="n">
        <x:v>14.3</x:v>
      </x:c>
      <x:c r="B145" t="n">
        <x:f>IF(B$1="","",IFERROR(INDEX('包络曲线数据'!$B$2:$U$742,ROW()-1,MATCH(B$1,'包络曲线数据'!$B$1:$U$1,0)),""))</x:f>
        <x:v>56.128650445101016</x:v>
      </x:c>
      <x:c r="C145" t="n">
        <x:f>IF(C$1="","",IFERROR(INDEX('包络曲线数据'!$B$2:$U$742,ROW()-1,MATCH(C$1,'包络曲线数据'!$B$1:$U$1,0)),""))</x:f>
        <x:v>70.41565943852183</x:v>
      </x:c>
      <x:c r="D145" t="n">
        <x:f>IF(D$1="","",IFERROR(INDEX('包络曲线数据'!$B$2:$U$742,ROW()-1,MATCH(D$1,'包络曲线数据'!$B$1:$U$1,0)),""))</x:f>
        <x:v>79.40263191726278</x:v>
      </x:c>
      <x:c r="E145" t="str">
        <x:f>IF(E$1="","",IFERROR(INDEX('包络曲线数据'!$B$2:$U$742,ROW()-1,MATCH(E$1,'包络曲线数据'!$B$1:$U$1,0)),""))</x:f>
      </x:c>
      <x:c r="F145" t="str">
        <x:f>IF(F$1="","",IFERROR(INDEX('包络曲线数据'!$B$2:$U$742,ROW()-1,MATCH(F$1,'包络曲线数据'!$B$1:$U$1,0)),""))</x:f>
      </x:c>
      <x:c r="G145" t="str">
        <x:f>IF(G$1="","",IFERROR(INDEX('包络曲线数据'!$B$2:$U$742,ROW()-1,MATCH(G$1,'包络曲线数据'!$B$1:$U$1,0)),""))</x:f>
      </x:c>
    </x:row>
    <x:row r="146">
      <x:c r="A146" t="n">
        <x:v>14.4</x:v>
      </x:c>
      <x:c r="B146" t="n">
        <x:f>IF(B$1="","",IFERROR(INDEX('包络曲线数据'!$B$2:$U$742,ROW()-1,MATCH(B$1,'包络曲线数据'!$B$1:$U$1,0)),""))</x:f>
        <x:v>51.595284178115094</x:v>
      </x:c>
      <x:c r="C146" t="n">
        <x:f>IF(C$1="","",IFERROR(INDEX('包络曲线数据'!$B$2:$U$742,ROW()-1,MATCH(C$1,'包络曲线数据'!$B$1:$U$1,0)),""))</x:f>
        <x:v>66.22730606362708</x:v>
      </x:c>
      <x:c r="D146" t="n">
        <x:f>IF(D$1="","",IFERROR(INDEX('包络曲线数据'!$B$2:$U$742,ROW()-1,MATCH(D$1,'包络曲线数据'!$B$1:$U$1,0)),""))</x:f>
        <x:v>75.17941715709725</x:v>
      </x:c>
      <x:c r="E146" t="str">
        <x:f>IF(E$1="","",IFERROR(INDEX('包络曲线数据'!$B$2:$U$742,ROW()-1,MATCH(E$1,'包络曲线数据'!$B$1:$U$1,0)),""))</x:f>
      </x:c>
      <x:c r="F146" t="str">
        <x:f>IF(F$1="","",IFERROR(INDEX('包络曲线数据'!$B$2:$U$742,ROW()-1,MATCH(F$1,'包络曲线数据'!$B$1:$U$1,0)),""))</x:f>
      </x:c>
      <x:c r="G146" t="str">
        <x:f>IF(G$1="","",IFERROR(INDEX('包络曲线数据'!$B$2:$U$742,ROW()-1,MATCH(G$1,'包络曲线数据'!$B$1:$U$1,0)),""))</x:f>
      </x:c>
    </x:row>
    <x:row r="147">
      <x:c r="A147" t="n">
        <x:v>14.5</x:v>
      </x:c>
      <x:c r="B147" t="n">
        <x:f>IF(B$1="","",IFERROR(INDEX('包络曲线数据'!$B$2:$U$742,ROW()-1,MATCH(B$1,'包络曲线数据'!$B$1:$U$1,0)),""))</x:f>
        <x:v>58.68907517447943</x:v>
      </x:c>
      <x:c r="C147" t="n">
        <x:f>IF(C$1="","",IFERROR(INDEX('包络曲线数据'!$B$2:$U$742,ROW()-1,MATCH(C$1,'包络曲线数据'!$B$1:$U$1,0)),""))</x:f>
        <x:v>66.33207873441384</x:v>
      </x:c>
      <x:c r="D147" t="n">
        <x:f>IF(D$1="","",IFERROR(INDEX('包络曲线数据'!$B$2:$U$742,ROW()-1,MATCH(D$1,'包络曲线数据'!$B$1:$U$1,0)),""))</x:f>
        <x:v>69.53792332573417</x:v>
      </x:c>
      <x:c r="E147" t="str">
        <x:f>IF(E$1="","",IFERROR(INDEX('包络曲线数据'!$B$2:$U$742,ROW()-1,MATCH(E$1,'包络曲线数据'!$B$1:$U$1,0)),""))</x:f>
      </x:c>
      <x:c r="F147" t="str">
        <x:f>IF(F$1="","",IFERROR(INDEX('包络曲线数据'!$B$2:$U$742,ROW()-1,MATCH(F$1,'包络曲线数据'!$B$1:$U$1,0)),""))</x:f>
      </x:c>
      <x:c r="G147" t="str">
        <x:f>IF(G$1="","",IFERROR(INDEX('包络曲线数据'!$B$2:$U$742,ROW()-1,MATCH(G$1,'包络曲线数据'!$B$1:$U$1,0)),""))</x:f>
      </x:c>
    </x:row>
    <x:row r="148">
      <x:c r="A148" t="n">
        <x:v>14.600000000000001</x:v>
      </x:c>
      <x:c r="B148" t="n">
        <x:f>IF(B$1="","",IFERROR(INDEX('包络曲线数据'!$B$2:$U$742,ROW()-1,MATCH(B$1,'包络曲线数据'!$B$1:$U$1,0)),""))</x:f>
        <x:v>58.68907517447943</x:v>
      </x:c>
      <x:c r="C148" t="n">
        <x:f>IF(C$1="","",IFERROR(INDEX('包络曲线数据'!$B$2:$U$742,ROW()-1,MATCH(C$1,'包络曲线数据'!$B$1:$U$1,0)),""))</x:f>
        <x:v>67.96603937915722</x:v>
      </x:c>
      <x:c r="D148" t="n">
        <x:f>IF(D$1="","",IFERROR(INDEX('包络曲线数据'!$B$2:$U$742,ROW()-1,MATCH(D$1,'包络曲线数据'!$B$1:$U$1,0)),""))</x:f>
        <x:v>56.54934987689197</x:v>
      </x:c>
      <x:c r="E148" t="str">
        <x:f>IF(E$1="","",IFERROR(INDEX('包络曲线数据'!$B$2:$U$742,ROW()-1,MATCH(E$1,'包络曲线数据'!$B$1:$U$1,0)),""))</x:f>
      </x:c>
      <x:c r="F148" t="str">
        <x:f>IF(F$1="","",IFERROR(INDEX('包络曲线数据'!$B$2:$U$742,ROW()-1,MATCH(F$1,'包络曲线数据'!$B$1:$U$1,0)),""))</x:f>
      </x:c>
      <x:c r="G148" t="str">
        <x:f>IF(G$1="","",IFERROR(INDEX('包络曲线数据'!$B$2:$U$742,ROW()-1,MATCH(G$1,'包络曲线数据'!$B$1:$U$1,0)),""))</x:f>
      </x:c>
    </x:row>
    <x:row r="149">
      <x:c r="A149" t="n">
        <x:v>14.700000000000001</x:v>
      </x:c>
      <x:c r="B149" t="n">
        <x:f>IF(B$1="","",IFERROR(INDEX('包络曲线数据'!$B$2:$U$742,ROW()-1,MATCH(B$1,'包络曲线数据'!$B$1:$U$1,0)),""))</x:f>
        <x:v>54.47529359012239</x:v>
      </x:c>
      <x:c r="C149" t="n">
        <x:f>IF(C$1="","",IFERROR(INDEX('包络曲线数据'!$B$2:$U$742,ROW()-1,MATCH(C$1,'包络曲线数据'!$B$1:$U$1,0)),""))</x:f>
        <x:v>67.96603937915722</x:v>
      </x:c>
      <x:c r="D149" t="n">
        <x:f>IF(D$1="","",IFERROR(INDEX('包络曲线数据'!$B$2:$U$742,ROW()-1,MATCH(D$1,'包络曲线数据'!$B$1:$U$1,0)),""))</x:f>
        <x:v>54.591387425107285</x:v>
      </x:c>
      <x:c r="E149" t="str">
        <x:f>IF(E$1="","",IFERROR(INDEX('包络曲线数据'!$B$2:$U$742,ROW()-1,MATCH(E$1,'包络曲线数据'!$B$1:$U$1,0)),""))</x:f>
      </x:c>
      <x:c r="F149" t="str">
        <x:f>IF(F$1="","",IFERROR(INDEX('包络曲线数据'!$B$2:$U$742,ROW()-1,MATCH(F$1,'包络曲线数据'!$B$1:$U$1,0)),""))</x:f>
      </x:c>
      <x:c r="G149" t="str">
        <x:f>IF(G$1="","",IFERROR(INDEX('包络曲线数据'!$B$2:$U$742,ROW()-1,MATCH(G$1,'包络曲线数据'!$B$1:$U$1,0)),""))</x:f>
      </x:c>
    </x:row>
    <x:row r="150">
      <x:c r="A150" t="n">
        <x:v>14.8</x:v>
      </x:c>
      <x:c r="B150" t="n">
        <x:f>IF(B$1="","",IFERROR(INDEX('包络曲线数据'!$B$2:$U$742,ROW()-1,MATCH(B$1,'包络曲线数据'!$B$1:$U$1,0)),""))</x:f>
        <x:v>52.919906933302585</x:v>
      </x:c>
      <x:c r="C150" t="n">
        <x:f>IF(C$1="","",IFERROR(INDEX('包络曲线数据'!$B$2:$U$742,ROW()-1,MATCH(C$1,'包络曲线数据'!$B$1:$U$1,0)),""))</x:f>
        <x:v>67.14678447359806</x:v>
      </x:c>
      <x:c r="D150" t="n">
        <x:f>IF(D$1="","",IFERROR(INDEX('包络曲线数据'!$B$2:$U$742,ROW()-1,MATCH(D$1,'包络曲线数据'!$B$1:$U$1,0)),""))</x:f>
        <x:v>60.198820116470586</x:v>
      </x:c>
      <x:c r="E150" t="str">
        <x:f>IF(E$1="","",IFERROR(INDEX('包络曲线数据'!$B$2:$U$742,ROW()-1,MATCH(E$1,'包络曲线数据'!$B$1:$U$1,0)),""))</x:f>
      </x:c>
      <x:c r="F150" t="str">
        <x:f>IF(F$1="","",IFERROR(INDEX('包络曲线数据'!$B$2:$U$742,ROW()-1,MATCH(F$1,'包络曲线数据'!$B$1:$U$1,0)),""))</x:f>
      </x:c>
      <x:c r="G150" t="str">
        <x:f>IF(G$1="","",IFERROR(INDEX('包络曲线数据'!$B$2:$U$742,ROW()-1,MATCH(G$1,'包络曲线数据'!$B$1:$U$1,0)),""))</x:f>
      </x:c>
    </x:row>
    <x:row r="151">
      <x:c r="A151" t="n">
        <x:v>14.9</x:v>
      </x:c>
      <x:c r="B151" t="n">
        <x:f>IF(B$1="","",IFERROR(INDEX('包络曲线数据'!$B$2:$U$742,ROW()-1,MATCH(B$1,'包络曲线数据'!$B$1:$U$1,0)),""))</x:f>
        <x:v>53.753340742680706</x:v>
      </x:c>
      <x:c r="C151" t="n">
        <x:f>IF(C$1="","",IFERROR(INDEX('包络曲线数据'!$B$2:$U$742,ROW()-1,MATCH(C$1,'包络曲线数据'!$B$1:$U$1,0)),""))</x:f>
        <x:v>67.11980178989204</x:v>
      </x:c>
      <x:c r="D151" t="n">
        <x:f>IF(D$1="","",IFERROR(INDEX('包络曲线数据'!$B$2:$U$742,ROW()-1,MATCH(D$1,'包络曲线数据'!$B$1:$U$1,0)),""))</x:f>
        <x:v>60.198820116470586</x:v>
      </x:c>
      <x:c r="E151" t="str">
        <x:f>IF(E$1="","",IFERROR(INDEX('包络曲线数据'!$B$2:$U$742,ROW()-1,MATCH(E$1,'包络曲线数据'!$B$1:$U$1,0)),""))</x:f>
      </x:c>
      <x:c r="F151" t="str">
        <x:f>IF(F$1="","",IFERROR(INDEX('包络曲线数据'!$B$2:$U$742,ROW()-1,MATCH(F$1,'包络曲线数据'!$B$1:$U$1,0)),""))</x:f>
      </x:c>
      <x:c r="G151" t="str">
        <x:f>IF(G$1="","",IFERROR(INDEX('包络曲线数据'!$B$2:$U$742,ROW()-1,MATCH(G$1,'包络曲线数据'!$B$1:$U$1,0)),""))</x:f>
      </x:c>
    </x:row>
    <x:row r="152">
      <x:c r="A152" t="n">
        <x:v>15</x:v>
      </x:c>
      <x:c r="B152" t="n">
        <x:f>IF(B$1="","",IFERROR(INDEX('包络曲线数据'!$B$2:$U$742,ROW()-1,MATCH(B$1,'包络曲线数据'!$B$1:$U$1,0)),""))</x:f>
        <x:v>75.26609282907935</x:v>
      </x:c>
      <x:c r="C152" t="n">
        <x:f>IF(C$1="","",IFERROR(INDEX('包络曲线数据'!$B$2:$U$742,ROW()-1,MATCH(C$1,'包络曲线数据'!$B$1:$U$1,0)),""))</x:f>
        <x:v>68.16805514054538</x:v>
      </x:c>
      <x:c r="D152" t="n">
        <x:f>IF(D$1="","",IFERROR(INDEX('包络曲线数据'!$B$2:$U$742,ROW()-1,MATCH(D$1,'包络曲线数据'!$B$1:$U$1,0)),""))</x:f>
        <x:v>54.22851626310587</x:v>
      </x:c>
      <x:c r="E152" t="str">
        <x:f>IF(E$1="","",IFERROR(INDEX('包络曲线数据'!$B$2:$U$742,ROW()-1,MATCH(E$1,'包络曲线数据'!$B$1:$U$1,0)),""))</x:f>
      </x:c>
      <x:c r="F152" t="str">
        <x:f>IF(F$1="","",IFERROR(INDEX('包络曲线数据'!$B$2:$U$742,ROW()-1,MATCH(F$1,'包络曲线数据'!$B$1:$U$1,0)),""))</x:f>
      </x:c>
      <x:c r="G152" t="str">
        <x:f>IF(G$1="","",IFERROR(INDEX('包络曲线数据'!$B$2:$U$742,ROW()-1,MATCH(G$1,'包络曲线数据'!$B$1:$U$1,0)),""))</x:f>
      </x:c>
    </x:row>
    <x:row r="153">
      <x:c r="A153" t="n">
        <x:v>15.100000000000001</x:v>
      </x:c>
      <x:c r="B153" t="n">
        <x:f>IF(B$1="","",IFERROR(INDEX('包络曲线数据'!$B$2:$U$742,ROW()-1,MATCH(B$1,'包络曲线数据'!$B$1:$U$1,0)),""))</x:f>
        <x:v>75.26609282907935</x:v>
      </x:c>
      <x:c r="C153" t="n">
        <x:f>IF(C$1="","",IFERROR(INDEX('包络曲线数据'!$B$2:$U$742,ROW()-1,MATCH(C$1,'包络曲线数据'!$B$1:$U$1,0)),""))</x:f>
        <x:v>68.16805514054538</x:v>
      </x:c>
      <x:c r="D153" t="n">
        <x:f>IF(D$1="","",IFERROR(INDEX('包络曲线数据'!$B$2:$U$742,ROW()-1,MATCH(D$1,'包络曲线数据'!$B$1:$U$1,0)),""))</x:f>
        <x:v>66.7927267353787</x:v>
      </x:c>
      <x:c r="E153" t="str">
        <x:f>IF(E$1="","",IFERROR(INDEX('包络曲线数据'!$B$2:$U$742,ROW()-1,MATCH(E$1,'包络曲线数据'!$B$1:$U$1,0)),""))</x:f>
      </x:c>
      <x:c r="F153" t="str">
        <x:f>IF(F$1="","",IFERROR(INDEX('包络曲线数据'!$B$2:$U$742,ROW()-1,MATCH(F$1,'包络曲线数据'!$B$1:$U$1,0)),""))</x:f>
      </x:c>
      <x:c r="G153" t="str">
        <x:f>IF(G$1="","",IFERROR(INDEX('包络曲线数据'!$B$2:$U$742,ROW()-1,MATCH(G$1,'包络曲线数据'!$B$1:$U$1,0)),""))</x:f>
      </x:c>
    </x:row>
    <x:row r="154">
      <x:c r="A154" t="n">
        <x:v>15.200000000000001</x:v>
      </x:c>
      <x:c r="B154" t="n">
        <x:f>IF(B$1="","",IFERROR(INDEX('包络曲线数据'!$B$2:$U$742,ROW()-1,MATCH(B$1,'包络曲线数据'!$B$1:$U$1,0)),""))</x:f>
        <x:v>73.95652632493717</x:v>
      </x:c>
      <x:c r="C154" t="n">
        <x:f>IF(C$1="","",IFERROR(INDEX('包络曲线数据'!$B$2:$U$742,ROW()-1,MATCH(C$1,'包络曲线数据'!$B$1:$U$1,0)),""))</x:f>
        <x:v>67.56616414641755</x:v>
      </x:c>
      <x:c r="D154" t="n">
        <x:f>IF(D$1="","",IFERROR(INDEX('包络曲线数据'!$B$2:$U$742,ROW()-1,MATCH(D$1,'包络曲线数据'!$B$1:$U$1,0)),""))</x:f>
        <x:v>74.9744375345884</x:v>
      </x:c>
      <x:c r="E154" t="str">
        <x:f>IF(E$1="","",IFERROR(INDEX('包络曲线数据'!$B$2:$U$742,ROW()-1,MATCH(E$1,'包络曲线数据'!$B$1:$U$1,0)),""))</x:f>
      </x:c>
      <x:c r="F154" t="str">
        <x:f>IF(F$1="","",IFERROR(INDEX('包络曲线数据'!$B$2:$U$742,ROW()-1,MATCH(F$1,'包络曲线数据'!$B$1:$U$1,0)),""))</x:f>
      </x:c>
      <x:c r="G154" t="str">
        <x:f>IF(G$1="","",IFERROR(INDEX('包络曲线数据'!$B$2:$U$742,ROW()-1,MATCH(G$1,'包络曲线数据'!$B$1:$U$1,0)),""))</x:f>
      </x:c>
    </x:row>
    <x:row r="155">
      <x:c r="A155" t="n">
        <x:v>15.3</x:v>
      </x:c>
      <x:c r="B155" t="n">
        <x:f>IF(B$1="","",IFERROR(INDEX('包络曲线数据'!$B$2:$U$742,ROW()-1,MATCH(B$1,'包络曲线数据'!$B$1:$U$1,0)),""))</x:f>
        <x:v>68.90200928637972</x:v>
      </x:c>
      <x:c r="C155" t="n">
        <x:f>IF(C$1="","",IFERROR(INDEX('包络曲线数据'!$B$2:$U$742,ROW()-1,MATCH(C$1,'包络曲线数据'!$B$1:$U$1,0)),""))</x:f>
        <x:v>68.3285863330269</x:v>
      </x:c>
      <x:c r="D155" t="n">
        <x:f>IF(D$1="","",IFERROR(INDEX('包络曲线数据'!$B$2:$U$742,ROW()-1,MATCH(D$1,'包络曲线数据'!$B$1:$U$1,0)),""))</x:f>
        <x:v>76.3710421222116</x:v>
      </x:c>
      <x:c r="E155" t="str">
        <x:f>IF(E$1="","",IFERROR(INDEX('包络曲线数据'!$B$2:$U$742,ROW()-1,MATCH(E$1,'包络曲线数据'!$B$1:$U$1,0)),""))</x:f>
      </x:c>
      <x:c r="F155" t="str">
        <x:f>IF(F$1="","",IFERROR(INDEX('包络曲线数据'!$B$2:$U$742,ROW()-1,MATCH(F$1,'包络曲线数据'!$B$1:$U$1,0)),""))</x:f>
      </x:c>
      <x:c r="G155" t="str">
        <x:f>IF(G$1="","",IFERROR(INDEX('包络曲线数据'!$B$2:$U$742,ROW()-1,MATCH(G$1,'包络曲线数据'!$B$1:$U$1,0)),""))</x:f>
      </x:c>
    </x:row>
    <x:row r="156">
      <x:c r="A156" t="n">
        <x:v>15.4</x:v>
      </x:c>
      <x:c r="B156" t="n">
        <x:f>IF(B$1="","",IFERROR(INDEX('包络曲线数据'!$B$2:$U$742,ROW()-1,MATCH(B$1,'包络曲线数据'!$B$1:$U$1,0)),""))</x:f>
        <x:v>62.523206067420475</x:v>
      </x:c>
      <x:c r="C156" t="n">
        <x:f>IF(C$1="","",IFERROR(INDEX('包络曲线数据'!$B$2:$U$742,ROW()-1,MATCH(C$1,'包络曲线数据'!$B$1:$U$1,0)),""))</x:f>
        <x:v>68.3285863330269</x:v>
      </x:c>
      <x:c r="D156" t="n">
        <x:f>IF(D$1="","",IFERROR(INDEX('包络曲线数据'!$B$2:$U$742,ROW()-1,MATCH(D$1,'包络曲线数据'!$B$1:$U$1,0)),""))</x:f>
        <x:v>76.3710421222116</x:v>
      </x:c>
      <x:c r="E156" t="str">
        <x:f>IF(E$1="","",IFERROR(INDEX('包络曲线数据'!$B$2:$U$742,ROW()-1,MATCH(E$1,'包络曲线数据'!$B$1:$U$1,0)),""))</x:f>
      </x:c>
      <x:c r="F156" t="str">
        <x:f>IF(F$1="","",IFERROR(INDEX('包络曲线数据'!$B$2:$U$742,ROW()-1,MATCH(F$1,'包络曲线数据'!$B$1:$U$1,0)),""))</x:f>
      </x:c>
      <x:c r="G156" t="str">
        <x:f>IF(G$1="","",IFERROR(INDEX('包络曲线数据'!$B$2:$U$742,ROW()-1,MATCH(G$1,'包络曲线数据'!$B$1:$U$1,0)),""))</x:f>
      </x:c>
    </x:row>
    <x:row r="157">
      <x:c r="A157" t="n">
        <x:v>15.5</x:v>
      </x:c>
      <x:c r="B157" t="n">
        <x:f>IF(B$1="","",IFERROR(INDEX('包络曲线数据'!$B$2:$U$742,ROW()-1,MATCH(B$1,'包络曲线数据'!$B$1:$U$1,0)),""))</x:f>
        <x:v>65.87632677108934</x:v>
      </x:c>
      <x:c r="C157" t="n">
        <x:f>IF(C$1="","",IFERROR(INDEX('包络曲线数据'!$B$2:$U$742,ROW()-1,MATCH(C$1,'包络曲线数据'!$B$1:$U$1,0)),""))</x:f>
        <x:v>68.52316556062264</x:v>
      </x:c>
      <x:c r="D157" t="n">
        <x:f>IF(D$1="","",IFERROR(INDEX('包络曲线数据'!$B$2:$U$742,ROW()-1,MATCH(D$1,'包络曲线数据'!$B$1:$U$1,0)),""))</x:f>
        <x:v>68.12048731947729</x:v>
      </x:c>
      <x:c r="E157" t="str">
        <x:f>IF(E$1="","",IFERROR(INDEX('包络曲线数据'!$B$2:$U$742,ROW()-1,MATCH(E$1,'包络曲线数据'!$B$1:$U$1,0)),""))</x:f>
      </x:c>
      <x:c r="F157" t="str">
        <x:f>IF(F$1="","",IFERROR(INDEX('包络曲线数据'!$B$2:$U$742,ROW()-1,MATCH(F$1,'包络曲线数据'!$B$1:$U$1,0)),""))</x:f>
      </x:c>
      <x:c r="G157" t="str">
        <x:f>IF(G$1="","",IFERROR(INDEX('包络曲线数据'!$B$2:$U$742,ROW()-1,MATCH(G$1,'包络曲线数据'!$B$1:$U$1,0)),""))</x:f>
      </x:c>
    </x:row>
    <x:row r="158">
      <x:c r="A158" t="n">
        <x:v>15.600000000000001</x:v>
      </x:c>
      <x:c r="B158" t="n">
        <x:f>IF(B$1="","",IFERROR(INDEX('包络曲线数据'!$B$2:$U$742,ROW()-1,MATCH(B$1,'包络曲线数据'!$B$1:$U$1,0)),""))</x:f>
        <x:v>66.29867084972348</x:v>
      </x:c>
      <x:c r="C158" t="n">
        <x:f>IF(C$1="","",IFERROR(INDEX('包络曲线数据'!$B$2:$U$742,ROW()-1,MATCH(C$1,'包络曲线数据'!$B$1:$U$1,0)),""))</x:f>
        <x:v>68.52316556062264</x:v>
      </x:c>
      <x:c r="D158" t="n">
        <x:f>IF(D$1="","",IFERROR(INDEX('包络曲线数据'!$B$2:$U$742,ROW()-1,MATCH(D$1,'包络曲线数据'!$B$1:$U$1,0)),""))</x:f>
        <x:v>64.88720908624512</x:v>
      </x:c>
      <x:c r="E158" t="str">
        <x:f>IF(E$1="","",IFERROR(INDEX('包络曲线数据'!$B$2:$U$742,ROW()-1,MATCH(E$1,'包络曲线数据'!$B$1:$U$1,0)),""))</x:f>
      </x:c>
      <x:c r="F158" t="str">
        <x:f>IF(F$1="","",IFERROR(INDEX('包络曲线数据'!$B$2:$U$742,ROW()-1,MATCH(F$1,'包络曲线数据'!$B$1:$U$1,0)),""))</x:f>
      </x:c>
      <x:c r="G158" t="str">
        <x:f>IF(G$1="","",IFERROR(INDEX('包络曲线数据'!$B$2:$U$742,ROW()-1,MATCH(G$1,'包络曲线数据'!$B$1:$U$1,0)),""))</x:f>
      </x:c>
    </x:row>
    <x:row r="159">
      <x:c r="A159" t="n">
        <x:v>15.700000000000001</x:v>
      </x:c>
      <x:c r="B159" t="n">
        <x:f>IF(B$1="","",IFERROR(INDEX('包络曲线数据'!$B$2:$U$742,ROW()-1,MATCH(B$1,'包络曲线数据'!$B$1:$U$1,0)),""))</x:f>
        <x:v>67.76454220631328</x:v>
      </x:c>
      <x:c r="C159" t="n">
        <x:f>IF(C$1="","",IFERROR(INDEX('包络曲线数据'!$B$2:$U$742,ROW()-1,MATCH(C$1,'包络曲线数据'!$B$1:$U$1,0)),""))</x:f>
        <x:v>66.60193671967279</x:v>
      </x:c>
      <x:c r="D159" t="n">
        <x:f>IF(D$1="","",IFERROR(INDEX('包络曲线数据'!$B$2:$U$742,ROW()-1,MATCH(D$1,'包络曲线数据'!$B$1:$U$1,0)),""))</x:f>
        <x:v>56.64971984124762</x:v>
      </x:c>
      <x:c r="E159" t="str">
        <x:f>IF(E$1="","",IFERROR(INDEX('包络曲线数据'!$B$2:$U$742,ROW()-1,MATCH(E$1,'包络曲线数据'!$B$1:$U$1,0)),""))</x:f>
      </x:c>
      <x:c r="F159" t="str">
        <x:f>IF(F$1="","",IFERROR(INDEX('包络曲线数据'!$B$2:$U$742,ROW()-1,MATCH(F$1,'包络曲线数据'!$B$1:$U$1,0)),""))</x:f>
      </x:c>
      <x:c r="G159" t="str">
        <x:f>IF(G$1="","",IFERROR(INDEX('包络曲线数据'!$B$2:$U$742,ROW()-1,MATCH(G$1,'包络曲线数据'!$B$1:$U$1,0)),""))</x:f>
      </x:c>
    </x:row>
    <x:row r="160">
      <x:c r="A160" t="n">
        <x:v>15.8</x:v>
      </x:c>
      <x:c r="B160" t="n">
        <x:f>IF(B$1="","",IFERROR(INDEX('包络曲线数据'!$B$2:$U$742,ROW()-1,MATCH(B$1,'包络曲线数据'!$B$1:$U$1,0)),""))</x:f>
        <x:v>67.76454220631328</x:v>
      </x:c>
      <x:c r="C160" t="n">
        <x:f>IF(C$1="","",IFERROR(INDEX('包络曲线数据'!$B$2:$U$742,ROW()-1,MATCH(C$1,'包络曲线数据'!$B$1:$U$1,0)),""))</x:f>
        <x:v>64.36601588722608</x:v>
      </x:c>
      <x:c r="D160" t="n">
        <x:f>IF(D$1="","",IFERROR(INDEX('包络曲线数据'!$B$2:$U$742,ROW()-1,MATCH(D$1,'包络曲线数据'!$B$1:$U$1,0)),""))</x:f>
        <x:v>56.316339859158774</x:v>
      </x:c>
      <x:c r="E160" t="str">
        <x:f>IF(E$1="","",IFERROR(INDEX('包络曲线数据'!$B$2:$U$742,ROW()-1,MATCH(E$1,'包络曲线数据'!$B$1:$U$1,0)),""))</x:f>
      </x:c>
      <x:c r="F160" t="str">
        <x:f>IF(F$1="","",IFERROR(INDEX('包络曲线数据'!$B$2:$U$742,ROW()-1,MATCH(F$1,'包络曲线数据'!$B$1:$U$1,0)),""))</x:f>
      </x:c>
      <x:c r="G160" t="str">
        <x:f>IF(G$1="","",IFERROR(INDEX('包络曲线数据'!$B$2:$U$742,ROW()-1,MATCH(G$1,'包络曲线数据'!$B$1:$U$1,0)),""))</x:f>
      </x:c>
    </x:row>
    <x:row r="161">
      <x:c r="A161" t="n">
        <x:v>15.9</x:v>
      </x:c>
      <x:c r="B161" t="n">
        <x:f>IF(B$1="","",IFERROR(INDEX('包络曲线数据'!$B$2:$U$742,ROW()-1,MATCH(B$1,'包络曲线数据'!$B$1:$U$1,0)),""))</x:f>
        <x:v>67.3977763055207</x:v>
      </x:c>
      <x:c r="C161" t="n">
        <x:f>IF(C$1="","",IFERROR(INDEX('包络曲线数据'!$B$2:$U$742,ROW()-1,MATCH(C$1,'包络曲线数据'!$B$1:$U$1,0)),""))</x:f>
        <x:v>78.32031260284829</x:v>
      </x:c>
      <x:c r="D161" t="n">
        <x:f>IF(D$1="","",IFERROR(INDEX('包络曲线数据'!$B$2:$U$742,ROW()-1,MATCH(D$1,'包络曲线数据'!$B$1:$U$1,0)),""))</x:f>
        <x:v>66.86737213777687</x:v>
      </x:c>
      <x:c r="E161" t="str">
        <x:f>IF(E$1="","",IFERROR(INDEX('包络曲线数据'!$B$2:$U$742,ROW()-1,MATCH(E$1,'包络曲线数据'!$B$1:$U$1,0)),""))</x:f>
      </x:c>
      <x:c r="F161" t="str">
        <x:f>IF(F$1="","",IFERROR(INDEX('包络曲线数据'!$B$2:$U$742,ROW()-1,MATCH(F$1,'包络曲线数据'!$B$1:$U$1,0)),""))</x:f>
      </x:c>
      <x:c r="G161" t="str">
        <x:f>IF(G$1="","",IFERROR(INDEX('包络曲线数据'!$B$2:$U$742,ROW()-1,MATCH(G$1,'包络曲线数据'!$B$1:$U$1,0)),""))</x:f>
      </x:c>
    </x:row>
    <x:row r="162">
      <x:c r="A162" t="n">
        <x:v>16</x:v>
      </x:c>
      <x:c r="B162" t="n">
        <x:f>IF(B$1="","",IFERROR(INDEX('包络曲线数据'!$B$2:$U$742,ROW()-1,MATCH(B$1,'包络曲线数据'!$B$1:$U$1,0)),""))</x:f>
        <x:v>67.56128471703127</x:v>
      </x:c>
      <x:c r="C162" t="n">
        <x:f>IF(C$1="","",IFERROR(INDEX('包络曲线数据'!$B$2:$U$742,ROW()-1,MATCH(C$1,'包络曲线数据'!$B$1:$U$1,0)),""))</x:f>
        <x:v>81.10178384082425</x:v>
      </x:c>
      <x:c r="D162" t="n">
        <x:f>IF(D$1="","",IFERROR(INDEX('包络曲线数据'!$B$2:$U$742,ROW()-1,MATCH(D$1,'包络曲线数据'!$B$1:$U$1,0)),""))</x:f>
        <x:v>66.86737213777687</x:v>
      </x:c>
      <x:c r="E162" t="str">
        <x:f>IF(E$1="","",IFERROR(INDEX('包络曲线数据'!$B$2:$U$742,ROW()-1,MATCH(E$1,'包络曲线数据'!$B$1:$U$1,0)),""))</x:f>
      </x:c>
      <x:c r="F162" t="str">
        <x:f>IF(F$1="","",IFERROR(INDEX('包络曲线数据'!$B$2:$U$742,ROW()-1,MATCH(F$1,'包络曲线数据'!$B$1:$U$1,0)),""))</x:f>
      </x:c>
      <x:c r="G162" t="str">
        <x:f>IF(G$1="","",IFERROR(INDEX('包络曲线数据'!$B$2:$U$742,ROW()-1,MATCH(G$1,'包络曲线数据'!$B$1:$U$1,0)),""))</x:f>
      </x:c>
    </x:row>
    <x:row r="163">
      <x:c r="A163" t="n">
        <x:v>16.1</x:v>
      </x:c>
      <x:c r="B163" t="n">
        <x:f>IF(B$1="","",IFERROR(INDEX('包络曲线数据'!$B$2:$U$742,ROW()-1,MATCH(B$1,'包络曲线数据'!$B$1:$U$1,0)),""))</x:f>
        <x:v>67.56128471703127</x:v>
      </x:c>
      <x:c r="C163" t="n">
        <x:f>IF(C$1="","",IFERROR(INDEX('包络曲线数据'!$B$2:$U$742,ROW()-1,MATCH(C$1,'包络曲线数据'!$B$1:$U$1,0)),""))</x:f>
        <x:v>81.10178384082425</x:v>
      </x:c>
      <x:c r="D163" t="n">
        <x:f>IF(D$1="","",IFERROR(INDEX('包络曲线数据'!$B$2:$U$742,ROW()-1,MATCH(D$1,'包络曲线数据'!$B$1:$U$1,0)),""))</x:f>
        <x:v>66.23713481808062</x:v>
      </x:c>
      <x:c r="E163" t="str">
        <x:f>IF(E$1="","",IFERROR(INDEX('包络曲线数据'!$B$2:$U$742,ROW()-1,MATCH(E$1,'包络曲线数据'!$B$1:$U$1,0)),""))</x:f>
      </x:c>
      <x:c r="F163" t="str">
        <x:f>IF(F$1="","",IFERROR(INDEX('包络曲线数据'!$B$2:$U$742,ROW()-1,MATCH(F$1,'包络曲线数据'!$B$1:$U$1,0)),""))</x:f>
      </x:c>
      <x:c r="G163" t="str">
        <x:f>IF(G$1="","",IFERROR(INDEX('包络曲线数据'!$B$2:$U$742,ROW()-1,MATCH(G$1,'包络曲线数据'!$B$1:$U$1,0)),""))</x:f>
      </x:c>
    </x:row>
    <x:row r="164">
      <x:c r="A164" t="n">
        <x:v>16.2</x:v>
      </x:c>
      <x:c r="B164" t="n">
        <x:f>IF(B$1="","",IFERROR(INDEX('包络曲线数据'!$B$2:$U$742,ROW()-1,MATCH(B$1,'包络曲线数据'!$B$1:$U$1,0)),""))</x:f>
        <x:v>67.76087944877843</x:v>
      </x:c>
      <x:c r="C164" t="n">
        <x:f>IF(C$1="","",IFERROR(INDEX('包络曲线数据'!$B$2:$U$742,ROW()-1,MATCH(C$1,'包络曲线数据'!$B$1:$U$1,0)),""))</x:f>
        <x:v>72.01930726541875</x:v>
      </x:c>
      <x:c r="D164" t="n">
        <x:f>IF(D$1="","",IFERROR(INDEX('包络曲线数据'!$B$2:$U$742,ROW()-1,MATCH(D$1,'包络曲线数据'!$B$1:$U$1,0)),""))</x:f>
        <x:v>64.22584907442157</x:v>
      </x:c>
      <x:c r="E164" t="str">
        <x:f>IF(E$1="","",IFERROR(INDEX('包络曲线数据'!$B$2:$U$742,ROW()-1,MATCH(E$1,'包络曲线数据'!$B$1:$U$1,0)),""))</x:f>
      </x:c>
      <x:c r="F164" t="str">
        <x:f>IF(F$1="","",IFERROR(INDEX('包络曲线数据'!$B$2:$U$742,ROW()-1,MATCH(F$1,'包络曲线数据'!$B$1:$U$1,0)),""))</x:f>
      </x:c>
      <x:c r="G164" t="str">
        <x:f>IF(G$1="","",IFERROR(INDEX('包络曲线数据'!$B$2:$U$742,ROW()-1,MATCH(G$1,'包络曲线数据'!$B$1:$U$1,0)),""))</x:f>
      </x:c>
    </x:row>
    <x:row r="165">
      <x:c r="A165" t="n">
        <x:v>16.3</x:v>
      </x:c>
      <x:c r="B165" t="n">
        <x:f>IF(B$1="","",IFERROR(INDEX('包络曲线数据'!$B$2:$U$742,ROW()-1,MATCH(B$1,'包络曲线数据'!$B$1:$U$1,0)),""))</x:f>
        <x:v>68.56181583229503</x:v>
      </x:c>
      <x:c r="C165" t="n">
        <x:f>IF(C$1="","",IFERROR(INDEX('包络曲线数据'!$B$2:$U$742,ROW()-1,MATCH(C$1,'包络曲线数据'!$B$1:$U$1,0)),""))</x:f>
        <x:v>63.855395965941284</x:v>
      </x:c>
      <x:c r="D165" t="n">
        <x:f>IF(D$1="","",IFERROR(INDEX('包络曲线数据'!$B$2:$U$742,ROW()-1,MATCH(D$1,'包络曲线数据'!$B$1:$U$1,0)),""))</x:f>
        <x:v>63.944100299353664</x:v>
      </x:c>
      <x:c r="E165" t="str">
        <x:f>IF(E$1="","",IFERROR(INDEX('包络曲线数据'!$B$2:$U$742,ROW()-1,MATCH(E$1,'包络曲线数据'!$B$1:$U$1,0)),""))</x:f>
      </x:c>
      <x:c r="F165" t="str">
        <x:f>IF(F$1="","",IFERROR(INDEX('包络曲线数据'!$B$2:$U$742,ROW()-1,MATCH(F$1,'包络曲线数据'!$B$1:$U$1,0)),""))</x:f>
      </x:c>
      <x:c r="G165" t="str">
        <x:f>IF(G$1="","",IFERROR(INDEX('包络曲线数据'!$B$2:$U$742,ROW()-1,MATCH(G$1,'包络曲线数据'!$B$1:$U$1,0)),""))</x:f>
      </x:c>
    </x:row>
    <x:row r="166">
      <x:c r="A166" t="n">
        <x:v>16.400000000000002</x:v>
      </x:c>
      <x:c r="B166" t="n">
        <x:f>IF(B$1="","",IFERROR(INDEX('包络曲线数据'!$B$2:$U$742,ROW()-1,MATCH(B$1,'包络曲线数据'!$B$1:$U$1,0)),""))</x:f>
        <x:v>68.56181583229501</x:v>
      </x:c>
      <x:c r="C166" t="n">
        <x:f>IF(C$1="","",IFERROR(INDEX('包络曲线数据'!$B$2:$U$742,ROW()-1,MATCH(C$1,'包络曲线数据'!$B$1:$U$1,0)),""))</x:f>
        <x:v>56.91911559040051</x:v>
      </x:c>
      <x:c r="D166" t="n">
        <x:f>IF(D$1="","",IFERROR(INDEX('包络曲线数据'!$B$2:$U$742,ROW()-1,MATCH(D$1,'包络曲线数据'!$B$1:$U$1,0)),""))</x:f>
        <x:v>66.71734847161662</x:v>
      </x:c>
      <x:c r="E166" t="str">
        <x:f>IF(E$1="","",IFERROR(INDEX('包络曲线数据'!$B$2:$U$742,ROW()-1,MATCH(E$1,'包络曲线数据'!$B$1:$U$1,0)),""))</x:f>
      </x:c>
      <x:c r="F166" t="str">
        <x:f>IF(F$1="","",IFERROR(INDEX('包络曲线数据'!$B$2:$U$742,ROW()-1,MATCH(F$1,'包络曲线数据'!$B$1:$U$1,0)),""))</x:f>
      </x:c>
      <x:c r="G166" t="str">
        <x:f>IF(G$1="","",IFERROR(INDEX('包络曲线数据'!$B$2:$U$742,ROW()-1,MATCH(G$1,'包络曲线数据'!$B$1:$U$1,0)),""))</x:f>
      </x:c>
    </x:row>
    <x:row r="167">
      <x:c r="A167" t="n">
        <x:v>16.5</x:v>
      </x:c>
      <x:c r="B167" t="n">
        <x:f>IF(B$1="","",IFERROR(INDEX('包络曲线数据'!$B$2:$U$742,ROW()-1,MATCH(B$1,'包络曲线数据'!$B$1:$U$1,0)),""))</x:f>
        <x:v>68.0039879948856</x:v>
      </x:c>
      <x:c r="C167" t="n">
        <x:f>IF(C$1="","",IFERROR(INDEX('包络曲线数据'!$B$2:$U$742,ROW()-1,MATCH(C$1,'包络曲线数据'!$B$1:$U$1,0)),""))</x:f>
        <x:v>58.57014355221894</x:v>
      </x:c>
      <x:c r="D167" t="n">
        <x:f>IF(D$1="","",IFERROR(INDEX('包络曲线数据'!$B$2:$U$742,ROW()-1,MATCH(D$1,'包络曲线数据'!$B$1:$U$1,0)),""))</x:f>
        <x:v>66.71734847161662</x:v>
      </x:c>
      <x:c r="E167" t="str">
        <x:f>IF(E$1="","",IFERROR(INDEX('包络曲线数据'!$B$2:$U$742,ROW()-1,MATCH(E$1,'包络曲线数据'!$B$1:$U$1,0)),""))</x:f>
      </x:c>
      <x:c r="F167" t="str">
        <x:f>IF(F$1="","",IFERROR(INDEX('包络曲线数据'!$B$2:$U$742,ROW()-1,MATCH(F$1,'包络曲线数据'!$B$1:$U$1,0)),""))</x:f>
      </x:c>
      <x:c r="G167" t="str">
        <x:f>IF(G$1="","",IFERROR(INDEX('包络曲线数据'!$B$2:$U$742,ROW()-1,MATCH(G$1,'包络曲线数据'!$B$1:$U$1,0)),""))</x:f>
      </x:c>
    </x:row>
    <x:row r="168">
      <x:c r="A168" t="n">
        <x:v>16.6</x:v>
      </x:c>
      <x:c r="B168" t="n">
        <x:f>IF(B$1="","",IFERROR(INDEX('包络曲线数据'!$B$2:$U$742,ROW()-1,MATCH(B$1,'包络曲线数据'!$B$1:$U$1,0)),""))</x:f>
        <x:v>80.15041266696801</x:v>
      </x:c>
      <x:c r="C168" t="n">
        <x:f>IF(C$1="","",IFERROR(INDEX('包络曲线数据'!$B$2:$U$742,ROW()-1,MATCH(C$1,'包络曲线数据'!$B$1:$U$1,0)),""))</x:f>
        <x:v>60.22117151403742</x:v>
      </x:c>
      <x:c r="D168" t="n">
        <x:f>IF(D$1="","",IFERROR(INDEX('包络曲线数据'!$B$2:$U$742,ROW()-1,MATCH(D$1,'包络曲线数据'!$B$1:$U$1,0)),""))</x:f>
        <x:v>80.92608289687703</x:v>
      </x:c>
      <x:c r="E168" t="str">
        <x:f>IF(E$1="","",IFERROR(INDEX('包络曲线数据'!$B$2:$U$742,ROW()-1,MATCH(E$1,'包络曲线数据'!$B$1:$U$1,0)),""))</x:f>
      </x:c>
      <x:c r="F168" t="str">
        <x:f>IF(F$1="","",IFERROR(INDEX('包络曲线数据'!$B$2:$U$742,ROW()-1,MATCH(F$1,'包络曲线数据'!$B$1:$U$1,0)),""))</x:f>
      </x:c>
      <x:c r="G168" t="str">
        <x:f>IF(G$1="","",IFERROR(INDEX('包络曲线数据'!$B$2:$U$742,ROW()-1,MATCH(G$1,'包络曲线数据'!$B$1:$U$1,0)),""))</x:f>
      </x:c>
    </x:row>
    <x:row r="169">
      <x:c r="A169" t="n">
        <x:v>16.7</x:v>
      </x:c>
      <x:c r="B169" t="n">
        <x:f>IF(B$1="","",IFERROR(INDEX('包络曲线数据'!$B$2:$U$742,ROW()-1,MATCH(B$1,'包络曲线数据'!$B$1:$U$1,0)),""))</x:f>
        <x:v>80.81559417457026</x:v>
      </x:c>
      <x:c r="C169" t="n">
        <x:f>IF(C$1="","",IFERROR(INDEX('包络曲线数据'!$B$2:$U$742,ROW()-1,MATCH(C$1,'包络曲线数据'!$B$1:$U$1,0)),""))</x:f>
        <x:v>61.87219947585585</x:v>
      </x:c>
      <x:c r="D169" t="n">
        <x:f>IF(D$1="","",IFERROR(INDEX('包络曲线数据'!$B$2:$U$742,ROW()-1,MATCH(D$1,'包络曲线数据'!$B$1:$U$1,0)),""))</x:f>
        <x:v>80.92608289687703</x:v>
      </x:c>
      <x:c r="E169" t="str">
        <x:f>IF(E$1="","",IFERROR(INDEX('包络曲线数据'!$B$2:$U$742,ROW()-1,MATCH(E$1,'包络曲线数据'!$B$1:$U$1,0)),""))</x:f>
      </x:c>
      <x:c r="F169" t="str">
        <x:f>IF(F$1="","",IFERROR(INDEX('包络曲线数据'!$B$2:$U$742,ROW()-1,MATCH(F$1,'包络曲线数据'!$B$1:$U$1,0)),""))</x:f>
      </x:c>
      <x:c r="G169" t="str">
        <x:f>IF(G$1="","",IFERROR(INDEX('包络曲线数据'!$B$2:$U$742,ROW()-1,MATCH(G$1,'包络曲线数据'!$B$1:$U$1,0)),""))</x:f>
      </x:c>
    </x:row>
    <x:row r="170">
      <x:c r="A170" t="n">
        <x:v>16.8</x:v>
      </x:c>
      <x:c r="B170" t="n">
        <x:f>IF(B$1="","",IFERROR(INDEX('包络曲线数据'!$B$2:$U$742,ROW()-1,MATCH(B$1,'包络曲线数据'!$B$1:$U$1,0)),""))</x:f>
        <x:v>79.53386895116228</x:v>
      </x:c>
      <x:c r="C170" t="n">
        <x:f>IF(C$1="","",IFERROR(INDEX('包络曲线数据'!$B$2:$U$742,ROW()-1,MATCH(C$1,'包络曲线数据'!$B$1:$U$1,0)),""))</x:f>
        <x:v>63.52322743767434</x:v>
      </x:c>
      <x:c r="D170" t="n">
        <x:f>IF(D$1="","",IFERROR(INDEX('包络曲线数据'!$B$2:$U$742,ROW()-1,MATCH(D$1,'包络曲线数据'!$B$1:$U$1,0)),""))</x:f>
        <x:v>76.0856696258451</x:v>
      </x:c>
      <x:c r="E170" t="str">
        <x:f>IF(E$1="","",IFERROR(INDEX('包络曲线数据'!$B$2:$U$742,ROW()-1,MATCH(E$1,'包络曲线数据'!$B$1:$U$1,0)),""))</x:f>
      </x:c>
      <x:c r="F170" t="str">
        <x:f>IF(F$1="","",IFERROR(INDEX('包络曲线数据'!$B$2:$U$742,ROW()-1,MATCH(F$1,'包络曲线数据'!$B$1:$U$1,0)),""))</x:f>
      </x:c>
      <x:c r="G170" t="str">
        <x:f>IF(G$1="","",IFERROR(INDEX('包络曲线数据'!$B$2:$U$742,ROW()-1,MATCH(G$1,'包络曲线数据'!$B$1:$U$1,0)),""))</x:f>
      </x:c>
    </x:row>
    <x:row r="171">
      <x:c r="A171" t="n">
        <x:v>16.900000000000002</x:v>
      </x:c>
      <x:c r="B171" t="n">
        <x:f>IF(B$1="","",IFERROR(INDEX('包络曲线数据'!$B$2:$U$742,ROW()-1,MATCH(B$1,'包络曲线数据'!$B$1:$U$1,0)),""))</x:f>
        <x:v>66.55144632302205</x:v>
      </x:c>
      <x:c r="C171" t="n">
        <x:f>IF(C$1="","",IFERROR(INDEX('包络曲线数据'!$B$2:$U$742,ROW()-1,MATCH(C$1,'包络曲线数据'!$B$1:$U$1,0)),""))</x:f>
        <x:v>63.853433030038026</x:v>
      </x:c>
      <x:c r="D171" t="n">
        <x:f>IF(D$1="","",IFERROR(INDEX('包络曲线数据'!$B$2:$U$742,ROW()-1,MATCH(D$1,'包络曲线数据'!$B$1:$U$1,0)),""))</x:f>
        <x:v>68.79952200296161</x:v>
      </x:c>
      <x:c r="E171" t="str">
        <x:f>IF(E$1="","",IFERROR(INDEX('包络曲线数据'!$B$2:$U$742,ROW()-1,MATCH(E$1,'包络曲线数据'!$B$1:$U$1,0)),""))</x:f>
      </x:c>
      <x:c r="F171" t="str">
        <x:f>IF(F$1="","",IFERROR(INDEX('包络曲线数据'!$B$2:$U$742,ROW()-1,MATCH(F$1,'包络曲线数据'!$B$1:$U$1,0)),""))</x:f>
      </x:c>
      <x:c r="G171" t="str">
        <x:f>IF(G$1="","",IFERROR(INDEX('包络曲线数据'!$B$2:$U$742,ROW()-1,MATCH(G$1,'包络曲线数据'!$B$1:$U$1,0)),""))</x:f>
      </x:c>
    </x:row>
    <x:row r="172">
      <x:c r="A172" t="n">
        <x:v>17</x:v>
      </x:c>
      <x:c r="B172" t="n">
        <x:f>IF(B$1="","",IFERROR(INDEX('包络曲线数据'!$B$2:$U$742,ROW()-1,MATCH(B$1,'包络曲线数据'!$B$1:$U$1,0)),""))</x:f>
        <x:v>58.469463080257505</x:v>
      </x:c>
      <x:c r="C172" t="n">
        <x:f>IF(C$1="","",IFERROR(INDEX('包络曲线数据'!$B$2:$U$742,ROW()-1,MATCH(C$1,'包络曲线数据'!$B$1:$U$1,0)),""))</x:f>
        <x:v>56.440247020521966</x:v>
      </x:c>
      <x:c r="D172" t="n">
        <x:f>IF(D$1="","",IFERROR(INDEX('包络曲线数据'!$B$2:$U$742,ROW()-1,MATCH(D$1,'包络曲线数据'!$B$1:$U$1,0)),""))</x:f>
        <x:v>61.11457926553979</x:v>
      </x:c>
      <x:c r="E172" t="str">
        <x:f>IF(E$1="","",IFERROR(INDEX('包络曲线数据'!$B$2:$U$742,ROW()-1,MATCH(E$1,'包络曲线数据'!$B$1:$U$1,0)),""))</x:f>
      </x:c>
      <x:c r="F172" t="str">
        <x:f>IF(F$1="","",IFERROR(INDEX('包络曲线数据'!$B$2:$U$742,ROW()-1,MATCH(F$1,'包络曲线数据'!$B$1:$U$1,0)),""))</x:f>
      </x:c>
      <x:c r="G172" t="str">
        <x:f>IF(G$1="","",IFERROR(INDEX('包络曲线数据'!$B$2:$U$742,ROW()-1,MATCH(G$1,'包络曲线数据'!$B$1:$U$1,0)),""))</x:f>
      </x:c>
    </x:row>
    <x:row r="173">
      <x:c r="A173" t="n">
        <x:v>17.1</x:v>
      </x:c>
      <x:c r="B173" t="n">
        <x:f>IF(B$1="","",IFERROR(INDEX('包络曲线数据'!$B$2:$U$742,ROW()-1,MATCH(B$1,'包络曲线数据'!$B$1:$U$1,0)),""))</x:f>
        <x:v>54.11827505606734</x:v>
      </x:c>
      <x:c r="C173" t="n">
        <x:f>IF(C$1="","",IFERROR(INDEX('包络曲线数据'!$B$2:$U$742,ROW()-1,MATCH(C$1,'包络曲线数据'!$B$1:$U$1,0)),""))</x:f>
        <x:v>68.86216630381637</x:v>
      </x:c>
      <x:c r="D173" t="n">
        <x:f>IF(D$1="","",IFERROR(INDEX('包络曲线数据'!$B$2:$U$742,ROW()-1,MATCH(D$1,'包络曲线数据'!$B$1:$U$1,0)),""))</x:f>
        <x:v>59.91646665959334</x:v>
      </x:c>
      <x:c r="E173" t="str">
        <x:f>IF(E$1="","",IFERROR(INDEX('包络曲线数据'!$B$2:$U$742,ROW()-1,MATCH(E$1,'包络曲线数据'!$B$1:$U$1,0)),""))</x:f>
      </x:c>
      <x:c r="F173" t="str">
        <x:f>IF(F$1="","",IFERROR(INDEX('包络曲线数据'!$B$2:$U$742,ROW()-1,MATCH(F$1,'包络曲线数据'!$B$1:$U$1,0)),""))</x:f>
      </x:c>
      <x:c r="G173" t="str">
        <x:f>IF(G$1="","",IFERROR(INDEX('包络曲线数据'!$B$2:$U$742,ROW()-1,MATCH(G$1,'包络曲线数据'!$B$1:$U$1,0)),""))</x:f>
      </x:c>
    </x:row>
    <x:row r="174">
      <x:c r="A174" t="n">
        <x:v>17.2</x:v>
      </x:c>
      <x:c r="B174" t="n">
        <x:f>IF(B$1="","",IFERROR(INDEX('包络曲线数据'!$B$2:$U$742,ROW()-1,MATCH(B$1,'包络曲线数据'!$B$1:$U$1,0)),""))</x:f>
        <x:v>54.801162748130395</x:v>
      </x:c>
      <x:c r="C174" t="n">
        <x:f>IF(C$1="","",IFERROR(INDEX('包络曲线数据'!$B$2:$U$742,ROW()-1,MATCH(C$1,'包络曲线数据'!$B$1:$U$1,0)),""))</x:f>
        <x:v>73.83093401713394</x:v>
      </x:c>
      <x:c r="D174" t="n">
        <x:f>IF(D$1="","",IFERROR(INDEX('包络曲线数据'!$B$2:$U$742,ROW()-1,MATCH(D$1,'包络曲线数据'!$B$1:$U$1,0)),""))</x:f>
        <x:v>60.1790674471859</x:v>
      </x:c>
      <x:c r="E174" t="str">
        <x:f>IF(E$1="","",IFERROR(INDEX('包络曲线数据'!$B$2:$U$742,ROW()-1,MATCH(E$1,'包络曲线数据'!$B$1:$U$1,0)),""))</x:f>
      </x:c>
      <x:c r="F174" t="str">
        <x:f>IF(F$1="","",IFERROR(INDEX('包络曲线数据'!$B$2:$U$742,ROW()-1,MATCH(F$1,'包络曲线数据'!$B$1:$U$1,0)),""))</x:f>
      </x:c>
      <x:c r="G174" t="str">
        <x:f>IF(G$1="","",IFERROR(INDEX('包络曲线数据'!$B$2:$U$742,ROW()-1,MATCH(G$1,'包络曲线数据'!$B$1:$U$1,0)),""))</x:f>
      </x:c>
    </x:row>
    <x:row r="175">
      <x:c r="A175" t="n">
        <x:v>17.3</x:v>
      </x:c>
      <x:c r="B175" t="n">
        <x:f>IF(B$1="","",IFERROR(INDEX('包络曲线数据'!$B$2:$U$742,ROW()-1,MATCH(B$1,'包络曲线数据'!$B$1:$U$1,0)),""))</x:f>
        <x:v>55.484050440193464</x:v>
      </x:c>
      <x:c r="C175" t="n">
        <x:f>IF(C$1="","",IFERROR(INDEX('包络曲线数据'!$B$2:$U$742,ROW()-1,MATCH(C$1,'包络曲线数据'!$B$1:$U$1,0)),""))</x:f>
        <x:v>73.83093401713394</x:v>
      </x:c>
      <x:c r="D175" t="n">
        <x:f>IF(D$1="","",IFERROR(INDEX('包络曲线数据'!$B$2:$U$742,ROW()-1,MATCH(D$1,'包络曲线数据'!$B$1:$U$1,0)),""))</x:f>
        <x:v>58.594981030946386</x:v>
      </x:c>
      <x:c r="E175" t="str">
        <x:f>IF(E$1="","",IFERROR(INDEX('包络曲线数据'!$B$2:$U$742,ROW()-1,MATCH(E$1,'包络曲线数据'!$B$1:$U$1,0)),""))</x:f>
      </x:c>
      <x:c r="F175" t="str">
        <x:f>IF(F$1="","",IFERROR(INDEX('包络曲线数据'!$B$2:$U$742,ROW()-1,MATCH(F$1,'包络曲线数据'!$B$1:$U$1,0)),""))</x:f>
      </x:c>
      <x:c r="G175" t="str">
        <x:f>IF(G$1="","",IFERROR(INDEX('包络曲线数据'!$B$2:$U$742,ROW()-1,MATCH(G$1,'包络曲线数据'!$B$1:$U$1,0)),""))</x:f>
      </x:c>
    </x:row>
    <x:row r="176">
      <x:c r="A176" t="n">
        <x:v>17.400000000000002</x:v>
      </x:c>
      <x:c r="B176" t="n">
        <x:f>IF(B$1="","",IFERROR(INDEX('包络曲线数据'!$B$2:$U$742,ROW()-1,MATCH(B$1,'包络曲线数据'!$B$1:$U$1,0)),""))</x:f>
        <x:v>60.84054531688975</x:v>
      </x:c>
      <x:c r="C176" t="n">
        <x:f>IF(C$1="","",IFERROR(INDEX('包络曲线数据'!$B$2:$U$742,ROW()-1,MATCH(C$1,'包络曲线数据'!$B$1:$U$1,0)),""))</x:f>
        <x:v>68.38053925574354</x:v>
      </x:c>
      <x:c r="D176" t="n">
        <x:f>IF(D$1="","",IFERROR(INDEX('包络曲线数据'!$B$2:$U$742,ROW()-1,MATCH(D$1,'包络曲线数据'!$B$1:$U$1,0)),""))</x:f>
        <x:v>50</x:v>
      </x:c>
      <x:c r="E176" t="str">
        <x:f>IF(E$1="","",IFERROR(INDEX('包络曲线数据'!$B$2:$U$742,ROW()-1,MATCH(E$1,'包络曲线数据'!$B$1:$U$1,0)),""))</x:f>
      </x:c>
      <x:c r="F176" t="str">
        <x:f>IF(F$1="","",IFERROR(INDEX('包络曲线数据'!$B$2:$U$742,ROW()-1,MATCH(F$1,'包络曲线数据'!$B$1:$U$1,0)),""))</x:f>
      </x:c>
      <x:c r="G176" t="str">
        <x:f>IF(G$1="","",IFERROR(INDEX('包络曲线数据'!$B$2:$U$742,ROW()-1,MATCH(G$1,'包络曲线数据'!$B$1:$U$1,0)),""))</x:f>
      </x:c>
    </x:row>
    <x:row r="177">
      <x:c r="A177" t="n">
        <x:v>17.5</x:v>
      </x:c>
      <x:c r="B177" t="n">
        <x:f>IF(B$1="","",IFERROR(INDEX('包络曲线数据'!$B$2:$U$742,ROW()-1,MATCH(B$1,'包络曲线数据'!$B$1:$U$1,0)),""))</x:f>
        <x:v>60.81994488006108</x:v>
      </x:c>
      <x:c r="C177" t="n">
        <x:f>IF(C$1="","",IFERROR(INDEX('包络曲线数据'!$B$2:$U$742,ROW()-1,MATCH(C$1,'包络曲线数据'!$B$1:$U$1,0)),""))</x:f>
        <x:v>66.07530044967147</x:v>
      </x:c>
      <x:c r="D177" t="n">
        <x:f>IF(D$1="","",IFERROR(INDEX('包络曲线数据'!$B$2:$U$742,ROW()-1,MATCH(D$1,'包络曲线数据'!$B$1:$U$1,0)),""))</x:f>
        <x:v>62.410360419838426</x:v>
      </x:c>
      <x:c r="E177" t="str">
        <x:f>IF(E$1="","",IFERROR(INDEX('包络曲线数据'!$B$2:$U$742,ROW()-1,MATCH(E$1,'包络曲线数据'!$B$1:$U$1,0)),""))</x:f>
      </x:c>
      <x:c r="F177" t="str">
        <x:f>IF(F$1="","",IFERROR(INDEX('包络曲线数据'!$B$2:$U$742,ROW()-1,MATCH(F$1,'包络曲线数据'!$B$1:$U$1,0)),""))</x:f>
      </x:c>
      <x:c r="G177" t="str">
        <x:f>IF(G$1="","",IFERROR(INDEX('包络曲线数据'!$B$2:$U$742,ROW()-1,MATCH(G$1,'包络曲线数据'!$B$1:$U$1,0)),""))</x:f>
      </x:c>
    </x:row>
    <x:row r="178">
      <x:c r="A178" t="n">
        <x:v>17.6</x:v>
      </x:c>
      <x:c r="B178" t="n">
        <x:f>IF(B$1="","",IFERROR(INDEX('包络曲线数据'!$B$2:$U$742,ROW()-1,MATCH(B$1,'包络曲线数据'!$B$1:$U$1,0)),""))</x:f>
        <x:v>51.595284178115094</x:v>
      </x:c>
      <x:c r="C178" t="n">
        <x:f>IF(C$1="","",IFERROR(INDEX('包络曲线数据'!$B$2:$U$742,ROW()-1,MATCH(C$1,'包络曲线数据'!$B$1:$U$1,0)),""))</x:f>
        <x:v>66.13523825933913</x:v>
      </x:c>
      <x:c r="D178" t="n">
        <x:f>IF(D$1="","",IFERROR(INDEX('包络曲线数据'!$B$2:$U$742,ROW()-1,MATCH(D$1,'包络曲线数据'!$B$1:$U$1,0)),""))</x:f>
        <x:v>68.91964404342187</x:v>
      </x:c>
      <x:c r="E178" t="str">
        <x:f>IF(E$1="","",IFERROR(INDEX('包络曲线数据'!$B$2:$U$742,ROW()-1,MATCH(E$1,'包络曲线数据'!$B$1:$U$1,0)),""))</x:f>
      </x:c>
      <x:c r="F178" t="str">
        <x:f>IF(F$1="","",IFERROR(INDEX('包络曲线数据'!$B$2:$U$742,ROW()-1,MATCH(F$1,'包络曲线数据'!$B$1:$U$1,0)),""))</x:f>
      </x:c>
      <x:c r="G178" t="str">
        <x:f>IF(G$1="","",IFERROR(INDEX('包络曲线数据'!$B$2:$U$742,ROW()-1,MATCH(G$1,'包络曲线数据'!$B$1:$U$1,0)),""))</x:f>
      </x:c>
    </x:row>
    <x:row r="179">
      <x:c r="A179" t="n">
        <x:v>17.7</x:v>
      </x:c>
      <x:c r="B179" t="n">
        <x:f>IF(B$1="","",IFERROR(INDEX('包络曲线数据'!$B$2:$U$742,ROW()-1,MATCH(B$1,'包络曲线数据'!$B$1:$U$1,0)),""))</x:f>
        <x:v>51.595284178115094</x:v>
      </x:c>
      <x:c r="C179" t="n">
        <x:f>IF(C$1="","",IFERROR(INDEX('包络曲线数据'!$B$2:$U$742,ROW()-1,MATCH(C$1,'包络曲线数据'!$B$1:$U$1,0)),""))</x:f>
        <x:v>67.39681920595626</x:v>
      </x:c>
      <x:c r="D179" t="n">
        <x:f>IF(D$1="","",IFERROR(INDEX('包络曲线数据'!$B$2:$U$742,ROW()-1,MATCH(D$1,'包络曲线数据'!$B$1:$U$1,0)),""))</x:f>
        <x:v>76.42626534310207</x:v>
      </x:c>
      <x:c r="E179" t="str">
        <x:f>IF(E$1="","",IFERROR(INDEX('包络曲线数据'!$B$2:$U$742,ROW()-1,MATCH(E$1,'包络曲线数据'!$B$1:$U$1,0)),""))</x:f>
      </x:c>
      <x:c r="F179" t="str">
        <x:f>IF(F$1="","",IFERROR(INDEX('包络曲线数据'!$B$2:$U$742,ROW()-1,MATCH(F$1,'包络曲线数据'!$B$1:$U$1,0)),""))</x:f>
      </x:c>
      <x:c r="G179" t="str">
        <x:f>IF(G$1="","",IFERROR(INDEX('包络曲线数据'!$B$2:$U$742,ROW()-1,MATCH(G$1,'包络曲线数据'!$B$1:$U$1,0)),""))</x:f>
      </x:c>
    </x:row>
    <x:row r="180">
      <x:c r="A180" t="n">
        <x:v>17.8</x:v>
      </x:c>
      <x:c r="B180" t="n">
        <x:f>IF(B$1="","",IFERROR(INDEX('包络曲线数据'!$B$2:$U$742,ROW()-1,MATCH(B$1,'包络曲线数据'!$B$1:$U$1,0)),""))</x:f>
        <x:v>74.69980277928786</x:v>
      </x:c>
      <x:c r="C180" t="n">
        <x:f>IF(C$1="","",IFERROR(INDEX('包络曲线数据'!$B$2:$U$742,ROW()-1,MATCH(C$1,'包络曲线数据'!$B$1:$U$1,0)),""))</x:f>
        <x:v>67.62920248757824</x:v>
      </x:c>
      <x:c r="D180" t="n">
        <x:f>IF(D$1="","",IFERROR(INDEX('包络曲线数据'!$B$2:$U$742,ROW()-1,MATCH(D$1,'包络曲线数据'!$B$1:$U$1,0)),""))</x:f>
        <x:v>76.42626534310207</x:v>
      </x:c>
      <x:c r="E180" t="str">
        <x:f>IF(E$1="","",IFERROR(INDEX('包络曲线数据'!$B$2:$U$742,ROW()-1,MATCH(E$1,'包络曲线数据'!$B$1:$U$1,0)),""))</x:f>
      </x:c>
      <x:c r="F180" t="str">
        <x:f>IF(F$1="","",IFERROR(INDEX('包络曲线数据'!$B$2:$U$742,ROW()-1,MATCH(F$1,'包络曲线数据'!$B$1:$U$1,0)),""))</x:f>
      </x:c>
      <x:c r="G180" t="str">
        <x:f>IF(G$1="","",IFERROR(INDEX('包络曲线数据'!$B$2:$U$742,ROW()-1,MATCH(G$1,'包络曲线数据'!$B$1:$U$1,0)),""))</x:f>
      </x:c>
    </x:row>
    <x:row r="181">
      <x:c r="A181" t="n">
        <x:v>17.900000000000002</x:v>
      </x:c>
      <x:c r="B181" t="n">
        <x:f>IF(B$1="","",IFERROR(INDEX('包络曲线数据'!$B$2:$U$742,ROW()-1,MATCH(B$1,'包络曲线数据'!$B$1:$U$1,0)),""))</x:f>
        <x:v>75.46658783310279</x:v>
      </x:c>
      <x:c r="C181" t="n">
        <x:f>IF(C$1="","",IFERROR(INDEX('包络曲线数据'!$B$2:$U$742,ROW()-1,MATCH(C$1,'包络曲线数据'!$B$1:$U$1,0)),""))</x:f>
        <x:v>67.20737009450055</x:v>
      </x:c>
      <x:c r="D181" t="n">
        <x:f>IF(D$1="","",IFERROR(INDEX('包络曲线数据'!$B$2:$U$742,ROW()-1,MATCH(D$1,'包络曲线数据'!$B$1:$U$1,0)),""))</x:f>
        <x:v>73.63437154446645</x:v>
      </x:c>
      <x:c r="E181" t="str">
        <x:f>IF(E$1="","",IFERROR(INDEX('包络曲线数据'!$B$2:$U$742,ROW()-1,MATCH(E$1,'包络曲线数据'!$B$1:$U$1,0)),""))</x:f>
      </x:c>
      <x:c r="F181" t="str">
        <x:f>IF(F$1="","",IFERROR(INDEX('包络曲线数据'!$B$2:$U$742,ROW()-1,MATCH(F$1,'包络曲线数据'!$B$1:$U$1,0)),""))</x:f>
      </x:c>
      <x:c r="G181" t="str">
        <x:f>IF(G$1="","",IFERROR(INDEX('包络曲线数据'!$B$2:$U$742,ROW()-1,MATCH(G$1,'包络曲线数据'!$B$1:$U$1,0)),""))</x:f>
      </x:c>
    </x:row>
    <x:row r="182">
      <x:c r="A182" t="n">
        <x:v>18</x:v>
      </x:c>
      <x:c r="B182" t="n">
        <x:f>IF(B$1="","",IFERROR(INDEX('包络曲线数据'!$B$2:$U$742,ROW()-1,MATCH(B$1,'包络曲线数据'!$B$1:$U$1,0)),""))</x:f>
        <x:v>74.47245227821467</x:v>
      </x:c>
      <x:c r="C182" t="n">
        <x:f>IF(C$1="","",IFERROR(INDEX('包络曲线数据'!$B$2:$U$742,ROW()-1,MATCH(C$1,'包络曲线数据'!$B$1:$U$1,0)),""))</x:f>
        <x:v>68.18398670160636</x:v>
      </x:c>
      <x:c r="D182" t="n">
        <x:f>IF(D$1="","",IFERROR(INDEX('包络曲线数据'!$B$2:$U$742,ROW()-1,MATCH(D$1,'包络曲线数据'!$B$1:$U$1,0)),""))</x:f>
        <x:v>57.37697544214686</x:v>
      </x:c>
      <x:c r="E182" t="str">
        <x:f>IF(E$1="","",IFERROR(INDEX('包络曲线数据'!$B$2:$U$742,ROW()-1,MATCH(E$1,'包络曲线数据'!$B$1:$U$1,0)),""))</x:f>
      </x:c>
      <x:c r="F182" t="str">
        <x:f>IF(F$1="","",IFERROR(INDEX('包络曲线数据'!$B$2:$U$742,ROW()-1,MATCH(F$1,'包络曲线数据'!$B$1:$U$1,0)),""))</x:f>
      </x:c>
      <x:c r="G182" t="str">
        <x:f>IF(G$1="","",IFERROR(INDEX('包络曲线数据'!$B$2:$U$742,ROW()-1,MATCH(G$1,'包络曲线数据'!$B$1:$U$1,0)),""))</x:f>
      </x:c>
    </x:row>
    <x:row r="183">
      <x:c r="A183" t="n">
        <x:v>18.1</x:v>
      </x:c>
      <x:c r="B183" t="n">
        <x:f>IF(B$1="","",IFERROR(INDEX('包络曲线数据'!$B$2:$U$742,ROW()-1,MATCH(B$1,'包络曲线数据'!$B$1:$U$1,0)),""))</x:f>
        <x:v>68.84068893531472</x:v>
      </x:c>
      <x:c r="C183" t="n">
        <x:f>IF(C$1="","",IFERROR(INDEX('包络曲线数据'!$B$2:$U$742,ROW()-1,MATCH(C$1,'包络曲线数据'!$B$1:$U$1,0)),""))</x:f>
        <x:v>68.18398670160636</x:v>
      </x:c>
      <x:c r="D183" t="n">
        <x:f>IF(D$1="","",IFERROR(INDEX('包络曲线数据'!$B$2:$U$742,ROW()-1,MATCH(D$1,'包络曲线数据'!$B$1:$U$1,0)),""))</x:f>
        <x:v>50</x:v>
      </x:c>
      <x:c r="E183" t="str">
        <x:f>IF(E$1="","",IFERROR(INDEX('包络曲线数据'!$B$2:$U$742,ROW()-1,MATCH(E$1,'包络曲线数据'!$B$1:$U$1,0)),""))</x:f>
      </x:c>
      <x:c r="F183" t="str">
        <x:f>IF(F$1="","",IFERROR(INDEX('包络曲线数据'!$B$2:$U$742,ROW()-1,MATCH(F$1,'包络曲线数据'!$B$1:$U$1,0)),""))</x:f>
      </x:c>
      <x:c r="G183" t="str">
        <x:f>IF(G$1="","",IFERROR(INDEX('包络曲线数据'!$B$2:$U$742,ROW()-1,MATCH(G$1,'包络曲线数据'!$B$1:$U$1,0)),""))</x:f>
      </x:c>
    </x:row>
    <x:row r="184">
      <x:c r="A184" t="n">
        <x:v>18.2</x:v>
      </x:c>
      <x:c r="B184" t="n">
        <x:f>IF(B$1="","",IFERROR(INDEX('包络曲线数据'!$B$2:$U$742,ROW()-1,MATCH(B$1,'包络曲线数据'!$B$1:$U$1,0)),""))</x:f>
        <x:v>62.48207364638191</x:v>
      </x:c>
      <x:c r="C184" t="n">
        <x:f>IF(C$1="","",IFERROR(INDEX('包络曲线数据'!$B$2:$U$742,ROW()-1,MATCH(C$1,'包络曲线数据'!$B$1:$U$1,0)),""))</x:f>
        <x:v>67.9901520431528</x:v>
      </x:c>
      <x:c r="D184" t="n">
        <x:f>IF(D$1="","",IFERROR(INDEX('包络曲线数据'!$B$2:$U$742,ROW()-1,MATCH(D$1,'包络曲线数据'!$B$1:$U$1,0)),""))</x:f>
        <x:v>65.69151933813566</x:v>
      </x:c>
      <x:c r="E184" t="str">
        <x:f>IF(E$1="","",IFERROR(INDEX('包络曲线数据'!$B$2:$U$742,ROW()-1,MATCH(E$1,'包络曲线数据'!$B$1:$U$1,0)),""))</x:f>
      </x:c>
      <x:c r="F184" t="str">
        <x:f>IF(F$1="","",IFERROR(INDEX('包络曲线数据'!$B$2:$U$742,ROW()-1,MATCH(F$1,'包络曲线数据'!$B$1:$U$1,0)),""))</x:f>
      </x:c>
      <x:c r="G184" t="str">
        <x:f>IF(G$1="","",IFERROR(INDEX('包络曲线数据'!$B$2:$U$742,ROW()-1,MATCH(G$1,'包络曲线数据'!$B$1:$U$1,0)),""))</x:f>
      </x:c>
    </x:row>
    <x:row r="185">
      <x:c r="A185" t="n">
        <x:v>18.3</x:v>
      </x:c>
      <x:c r="B185" t="n">
        <x:f>IF(B$1="","",IFERROR(INDEX('包络曲线数据'!$B$2:$U$742,ROW()-1,MATCH(B$1,'包络曲线数据'!$B$1:$U$1,0)),""))</x:f>
        <x:v>66.11189626394564</x:v>
      </x:c>
      <x:c r="C185" t="n">
        <x:f>IF(C$1="","",IFERROR(INDEX('包络曲线数据'!$B$2:$U$742,ROW()-1,MATCH(C$1,'包络曲线数据'!$B$1:$U$1,0)),""))</x:f>
        <x:v>67.9901520431528</x:v>
      </x:c>
      <x:c r="D185" t="n">
        <x:f>IF(D$1="","",IFERROR(INDEX('包络曲线数据'!$B$2:$U$742,ROW()-1,MATCH(D$1,'包络曲线数据'!$B$1:$U$1,0)),""))</x:f>
        <x:v>68.68346948493792</x:v>
      </x:c>
      <x:c r="E185" t="str">
        <x:f>IF(E$1="","",IFERROR(INDEX('包络曲线数据'!$B$2:$U$742,ROW()-1,MATCH(E$1,'包络曲线数据'!$B$1:$U$1,0)),""))</x:f>
      </x:c>
      <x:c r="F185" t="str">
        <x:f>IF(F$1="","",IFERROR(INDEX('包络曲线数据'!$B$2:$U$742,ROW()-1,MATCH(F$1,'包络曲线数据'!$B$1:$U$1,0)),""))</x:f>
      </x:c>
      <x:c r="G185" t="str">
        <x:f>IF(G$1="","",IFERROR(INDEX('包络曲线数据'!$B$2:$U$742,ROW()-1,MATCH(G$1,'包络曲线数据'!$B$1:$U$1,0)),""))</x:f>
      </x:c>
    </x:row>
    <x:row r="186">
      <x:c r="A186" t="n">
        <x:v>18.400000000000002</x:v>
      </x:c>
      <x:c r="B186" t="n">
        <x:f>IF(B$1="","",IFERROR(INDEX('包络曲线数据'!$B$2:$U$742,ROW()-1,MATCH(B$1,'包络曲线数据'!$B$1:$U$1,0)),""))</x:f>
        <x:v>66.11189626394565</x:v>
      </x:c>
      <x:c r="C186" t="n">
        <x:f>IF(C$1="","",IFERROR(INDEX('包络曲线数据'!$B$2:$U$742,ROW()-1,MATCH(C$1,'包络曲线数据'!$B$1:$U$1,0)),""))</x:f>
        <x:v>67.48240821670497</x:v>
      </x:c>
      <x:c r="D186" t="n">
        <x:f>IF(D$1="","",IFERROR(INDEX('包络曲线数据'!$B$2:$U$742,ROW()-1,MATCH(D$1,'包络曲线数据'!$B$1:$U$1,0)),""))</x:f>
        <x:v>68.68346948493792</x:v>
      </x:c>
      <x:c r="E186" t="str">
        <x:f>IF(E$1="","",IFERROR(INDEX('包络曲线数据'!$B$2:$U$742,ROW()-1,MATCH(E$1,'包络曲线数据'!$B$1:$U$1,0)),""))</x:f>
      </x:c>
      <x:c r="F186" t="str">
        <x:f>IF(F$1="","",IFERROR(INDEX('包络曲线数据'!$B$2:$U$742,ROW()-1,MATCH(F$1,'包络曲线数据'!$B$1:$U$1,0)),""))</x:f>
      </x:c>
      <x:c r="G186" t="str">
        <x:f>IF(G$1="","",IFERROR(INDEX('包络曲线数据'!$B$2:$U$742,ROW()-1,MATCH(G$1,'包络曲线数据'!$B$1:$U$1,0)),""))</x:f>
      </x:c>
    </x:row>
    <x:row r="187">
      <x:c r="A187" t="n">
        <x:v>18.5</x:v>
      </x:c>
      <x:c r="B187" t="n">
        <x:f>IF(B$1="","",IFERROR(INDEX('包络曲线数据'!$B$2:$U$742,ROW()-1,MATCH(B$1,'包络曲线数据'!$B$1:$U$1,0)),""))</x:f>
        <x:v>67.44227452049722</x:v>
      </x:c>
      <x:c r="C187" t="n">
        <x:f>IF(C$1="","",IFERROR(INDEX('包络曲线数据'!$B$2:$U$742,ROW()-1,MATCH(C$1,'包络曲线数据'!$B$1:$U$1,0)),""))</x:f>
        <x:v>67.51161644868678</x:v>
      </x:c>
      <x:c r="D187" t="n">
        <x:f>IF(D$1="","",IFERROR(INDEX('包络曲线数据'!$B$2:$U$742,ROW()-1,MATCH(D$1,'包络曲线数据'!$B$1:$U$1,0)),""))</x:f>
        <x:v>65.04544842288948</x:v>
      </x:c>
      <x:c r="E187" t="str">
        <x:f>IF(E$1="","",IFERROR(INDEX('包络曲线数据'!$B$2:$U$742,ROW()-1,MATCH(E$1,'包络曲线数据'!$B$1:$U$1,0)),""))</x:f>
      </x:c>
      <x:c r="F187" t="str">
        <x:f>IF(F$1="","",IFERROR(INDEX('包络曲线数据'!$B$2:$U$742,ROW()-1,MATCH(F$1,'包络曲线数据'!$B$1:$U$1,0)),""))</x:f>
      </x:c>
      <x:c r="G187" t="str">
        <x:f>IF(G$1="","",IFERROR(INDEX('包络曲线数据'!$B$2:$U$742,ROW()-1,MATCH(G$1,'包络曲线数据'!$B$1:$U$1,0)),""))</x:f>
      </x:c>
    </x:row>
    <x:row r="188">
      <x:c r="A188" t="n">
        <x:v>18.6</x:v>
      </x:c>
      <x:c r="B188" t="n">
        <x:f>IF(B$1="","",IFERROR(INDEX('包络曲线数据'!$B$2:$U$742,ROW()-1,MATCH(B$1,'包络曲线数据'!$B$1:$U$1,0)),""))</x:f>
        <x:v>67.89639765405505</x:v>
      </x:c>
      <x:c r="C188" t="n">
        <x:f>IF(C$1="","",IFERROR(INDEX('包络曲线数据'!$B$2:$U$742,ROW()-1,MATCH(C$1,'包络曲线数据'!$B$1:$U$1,0)),""))</x:f>
        <x:v>68.73895170332598</x:v>
      </x:c>
      <x:c r="D188" t="n">
        <x:f>IF(D$1="","",IFERROR(INDEX('包络曲线数据'!$B$2:$U$742,ROW()-1,MATCH(D$1,'包络曲线数据'!$B$1:$U$1,0)),""))</x:f>
        <x:v>65.04544842288948</x:v>
      </x:c>
      <x:c r="E188" t="str">
        <x:f>IF(E$1="","",IFERROR(INDEX('包络曲线数据'!$B$2:$U$742,ROW()-1,MATCH(E$1,'包络曲线数据'!$B$1:$U$1,0)),""))</x:f>
      </x:c>
      <x:c r="F188" t="str">
        <x:f>IF(F$1="","",IFERROR(INDEX('包络曲线数据'!$B$2:$U$742,ROW()-1,MATCH(F$1,'包络曲线数据'!$B$1:$U$1,0)),""))</x:f>
      </x:c>
      <x:c r="G188" t="str">
        <x:f>IF(G$1="","",IFERROR(INDEX('包络曲线数据'!$B$2:$U$742,ROW()-1,MATCH(G$1,'包络曲线数据'!$B$1:$U$1,0)),""))</x:f>
      </x:c>
    </x:row>
    <x:row r="189">
      <x:c r="A189" t="n">
        <x:v>18.7</x:v>
      </x:c>
      <x:c r="B189" t="n">
        <x:f>IF(B$1="","",IFERROR(INDEX('包络曲线数据'!$B$2:$U$742,ROW()-1,MATCH(B$1,'包络曲线数据'!$B$1:$U$1,0)),""))</x:f>
        <x:v>73.52384980511775</x:v>
      </x:c>
      <x:c r="C189" t="n">
        <x:f>IF(C$1="","",IFERROR(INDEX('包络曲线数据'!$B$2:$U$742,ROW()-1,MATCH(C$1,'包络曲线数据'!$B$1:$U$1,0)),""))</x:f>
        <x:v>68.73895170332598</x:v>
      </x:c>
      <x:c r="D189" t="n">
        <x:f>IF(D$1="","",IFERROR(INDEX('包络曲线数据'!$B$2:$U$742,ROW()-1,MATCH(D$1,'包络曲线数据'!$B$1:$U$1,0)),""))</x:f>
        <x:v>64.96803201825514</x:v>
      </x:c>
      <x:c r="E189" t="str">
        <x:f>IF(E$1="","",IFERROR(INDEX('包络曲线数据'!$B$2:$U$742,ROW()-1,MATCH(E$1,'包络曲线数据'!$B$1:$U$1,0)),""))</x:f>
      </x:c>
      <x:c r="F189" t="str">
        <x:f>IF(F$1="","",IFERROR(INDEX('包络曲线数据'!$B$2:$U$742,ROW()-1,MATCH(F$1,'包络曲线数据'!$B$1:$U$1,0)),""))</x:f>
      </x:c>
      <x:c r="G189" t="str">
        <x:f>IF(G$1="","",IFERROR(INDEX('包络曲线数据'!$B$2:$U$742,ROW()-1,MATCH(G$1,'包络曲线数据'!$B$1:$U$1,0)),""))</x:f>
      </x:c>
    </x:row>
    <x:row r="190">
      <x:c r="A190" t="n">
        <x:v>18.8</x:v>
      </x:c>
      <x:c r="B190" t="n">
        <x:f>IF(B$1="","",IFERROR(INDEX('包络曲线数据'!$B$2:$U$742,ROW()-1,MATCH(B$1,'包络曲线数据'!$B$1:$U$1,0)),""))</x:f>
        <x:v>73.52384980511775</x:v>
      </x:c>
      <x:c r="C190" t="n">
        <x:f>IF(C$1="","",IFERROR(INDEX('包络曲线数据'!$B$2:$U$742,ROW()-1,MATCH(C$1,'包络曲线数据'!$B$1:$U$1,0)),""))</x:f>
        <x:v>65.47867979670346</x:v>
      </x:c>
      <x:c r="D190" t="n">
        <x:f>IF(D$1="","",IFERROR(INDEX('包络曲线数据'!$B$2:$U$742,ROW()-1,MATCH(D$1,'包络曲线数据'!$B$1:$U$1,0)),""))</x:f>
        <x:v>65.54551604489954</x:v>
      </x:c>
      <x:c r="E190" t="str">
        <x:f>IF(E$1="","",IFERROR(INDEX('包络曲线数据'!$B$2:$U$742,ROW()-1,MATCH(E$1,'包络曲线数据'!$B$1:$U$1,0)),""))</x:f>
      </x:c>
      <x:c r="F190" t="str">
        <x:f>IF(F$1="","",IFERROR(INDEX('包络曲线数据'!$B$2:$U$742,ROW()-1,MATCH(F$1,'包络曲线数据'!$B$1:$U$1,0)),""))</x:f>
      </x:c>
      <x:c r="G190" t="str">
        <x:f>IF(G$1="","",IFERROR(INDEX('包络曲线数据'!$B$2:$U$742,ROW()-1,MATCH(G$1,'包络曲线数据'!$B$1:$U$1,0)),""))</x:f>
      </x:c>
    </x:row>
    <x:row r="191">
      <x:c r="A191" t="n">
        <x:v>18.900000000000002</x:v>
      </x:c>
      <x:c r="B191" t="n">
        <x:f>IF(B$1="","",IFERROR(INDEX('包络曲线数据'!$B$2:$U$742,ROW()-1,MATCH(B$1,'包络曲线数据'!$B$1:$U$1,0)),""))</x:f>
        <x:v>69.53749772841496</x:v>
      </x:c>
      <x:c r="C191" t="n">
        <x:f>IF(C$1="","",IFERROR(INDEX('包络曲线数据'!$B$2:$U$742,ROW()-1,MATCH(C$1,'包络曲线数据'!$B$1:$U$1,0)),""))</x:f>
        <x:v>84.43619365714109</x:v>
      </x:c>
      <x:c r="D191" t="n">
        <x:f>IF(D$1="","",IFERROR(INDEX('包络曲线数据'!$B$2:$U$742,ROW()-1,MATCH(D$1,'包络曲线数据'!$B$1:$U$1,0)),""))</x:f>
        <x:v>68.52218372047642</x:v>
      </x:c>
      <x:c r="E191" t="str">
        <x:f>IF(E$1="","",IFERROR(INDEX('包络曲线数据'!$B$2:$U$742,ROW()-1,MATCH(E$1,'包络曲线数据'!$B$1:$U$1,0)),""))</x:f>
      </x:c>
      <x:c r="F191" t="str">
        <x:f>IF(F$1="","",IFERROR(INDEX('包络曲线数据'!$B$2:$U$742,ROW()-1,MATCH(F$1,'包络曲线数据'!$B$1:$U$1,0)),""))</x:f>
      </x:c>
      <x:c r="G191" t="str">
        <x:f>IF(G$1="","",IFERROR(INDEX('包络曲线数据'!$B$2:$U$742,ROW()-1,MATCH(G$1,'包络曲线数据'!$B$1:$U$1,0)),""))</x:f>
      </x:c>
    </x:row>
    <x:row r="192">
      <x:c r="A192" t="n">
        <x:v>19</x:v>
      </x:c>
      <x:c r="B192" t="n">
        <x:f>IF(B$1="","",IFERROR(INDEX('包络曲线数据'!$B$2:$U$742,ROW()-1,MATCH(B$1,'包络曲线数据'!$B$1:$U$1,0)),""))</x:f>
        <x:v>69.53749772841496</x:v>
      </x:c>
      <x:c r="C192" t="n">
        <x:f>IF(C$1="","",IFERROR(INDEX('包络曲线数据'!$B$2:$U$742,ROW()-1,MATCH(C$1,'包络曲线数据'!$B$1:$U$1,0)),""))</x:f>
        <x:v>84.43619365714109</x:v>
      </x:c>
      <x:c r="D192" t="n">
        <x:f>IF(D$1="","",IFERROR(INDEX('包络曲线数据'!$B$2:$U$742,ROW()-1,MATCH(D$1,'包络曲线数据'!$B$1:$U$1,0)),""))</x:f>
        <x:v>77.24139893457576</x:v>
      </x:c>
      <x:c r="E192" t="str">
        <x:f>IF(E$1="","",IFERROR(INDEX('包络曲线数据'!$B$2:$U$742,ROW()-1,MATCH(E$1,'包络曲线数据'!$B$1:$U$1,0)),""))</x:f>
      </x:c>
      <x:c r="F192" t="str">
        <x:f>IF(F$1="","",IFERROR(INDEX('包络曲线数据'!$B$2:$U$742,ROW()-1,MATCH(F$1,'包络曲线数据'!$B$1:$U$1,0)),""))</x:f>
      </x:c>
      <x:c r="G192" t="str">
        <x:f>IF(G$1="","",IFERROR(INDEX('包络曲线数据'!$B$2:$U$742,ROW()-1,MATCH(G$1,'包络曲线数据'!$B$1:$U$1,0)),""))</x:f>
      </x:c>
    </x:row>
    <x:row r="193">
      <x:c r="A193" t="n">
        <x:v>19.1</x:v>
      </x:c>
      <x:c r="B193" t="n">
        <x:f>IF(B$1="","",IFERROR(INDEX('包络曲线数据'!$B$2:$U$742,ROW()-1,MATCH(B$1,'包络曲线数据'!$B$1:$U$1,0)),""))</x:f>
        <x:v>69.911685569339</x:v>
      </x:c>
      <x:c r="C193" t="n">
        <x:f>IF(C$1="","",IFERROR(INDEX('包络曲线数据'!$B$2:$U$742,ROW()-1,MATCH(C$1,'包络曲线数据'!$B$1:$U$1,0)),""))</x:f>
        <x:v>80.41231312001065</x:v>
      </x:c>
      <x:c r="D193" t="n">
        <x:f>IF(D$1="","",IFERROR(INDEX('包络曲线数据'!$B$2:$U$742,ROW()-1,MATCH(D$1,'包络曲线数据'!$B$1:$U$1,0)),""))</x:f>
        <x:v>82.27638802085659</x:v>
      </x:c>
      <x:c r="E193" t="str">
        <x:f>IF(E$1="","",IFERROR(INDEX('包络曲线数据'!$B$2:$U$742,ROW()-1,MATCH(E$1,'包络曲线数据'!$B$1:$U$1,0)),""))</x:f>
      </x:c>
      <x:c r="F193" t="str">
        <x:f>IF(F$1="","",IFERROR(INDEX('包络曲线数据'!$B$2:$U$742,ROW()-1,MATCH(F$1,'包络曲线数据'!$B$1:$U$1,0)),""))</x:f>
      </x:c>
      <x:c r="G193" t="str">
        <x:f>IF(G$1="","",IFERROR(INDEX('包络曲线数据'!$B$2:$U$742,ROW()-1,MATCH(G$1,'包络曲线数据'!$B$1:$U$1,0)),""))</x:f>
      </x:c>
    </x:row>
    <x:row r="194">
      <x:c r="A194" t="n">
        <x:v>19.200000000000003</x:v>
      </x:c>
      <x:c r="B194" t="n">
        <x:f>IF(B$1="","",IFERROR(INDEX('包络曲线数据'!$B$2:$U$742,ROW()-1,MATCH(B$1,'包络曲线数据'!$B$1:$U$1,0)),""))</x:f>
        <x:v>72.12261945083442</x:v>
      </x:c>
      <x:c r="C194" t="n">
        <x:f>IF(C$1="","",IFERROR(INDEX('包络曲线数据'!$B$2:$U$742,ROW()-1,MATCH(C$1,'包络曲线数据'!$B$1:$U$1,0)),""))</x:f>
        <x:v>71.75816210896029</x:v>
      </x:c>
      <x:c r="D194" t="n">
        <x:f>IF(D$1="","",IFERROR(INDEX('包络曲线数据'!$B$2:$U$742,ROW()-1,MATCH(D$1,'包络曲线数据'!$B$1:$U$1,0)),""))</x:f>
        <x:v>81.6305450679234</x:v>
      </x:c>
      <x:c r="E194" t="str">
        <x:f>IF(E$1="","",IFERROR(INDEX('包络曲线数据'!$B$2:$U$742,ROW()-1,MATCH(E$1,'包络曲线数据'!$B$1:$U$1,0)),""))</x:f>
      </x:c>
      <x:c r="F194" t="str">
        <x:f>IF(F$1="","",IFERROR(INDEX('包络曲线数据'!$B$2:$U$742,ROW()-1,MATCH(F$1,'包络曲线数据'!$B$1:$U$1,0)),""))</x:f>
      </x:c>
      <x:c r="G194" t="str">
        <x:f>IF(G$1="","",IFERROR(INDEX('包络曲线数据'!$B$2:$U$742,ROW()-1,MATCH(G$1,'包络曲线数据'!$B$1:$U$1,0)),""))</x:f>
      </x:c>
    </x:row>
    <x:row r="195">
      <x:c r="A195" t="n">
        <x:v>19.3</x:v>
      </x:c>
      <x:c r="B195" t="n">
        <x:f>IF(B$1="","",IFERROR(INDEX('包络曲线数据'!$B$2:$U$742,ROW()-1,MATCH(B$1,'包络曲线数据'!$B$1:$U$1,0)),""))</x:f>
        <x:v>72.12261945083442</x:v>
      </x:c>
      <x:c r="C195" t="n">
        <x:f>IF(C$1="","",IFERROR(INDEX('包络曲线数据'!$B$2:$U$742,ROW()-1,MATCH(C$1,'包络曲线数据'!$B$1:$U$1,0)),""))</x:f>
        <x:v>64.77487137996053</x:v>
      </x:c>
      <x:c r="D195" t="n">
        <x:f>IF(D$1="","",IFERROR(INDEX('包络曲线数据'!$B$2:$U$742,ROW()-1,MATCH(D$1,'包络曲线数据'!$B$1:$U$1,0)),""))</x:f>
        <x:v>73.15772878675637</x:v>
      </x:c>
      <x:c r="E195" t="str">
        <x:f>IF(E$1="","",IFERROR(INDEX('包络曲线数据'!$B$2:$U$742,ROW()-1,MATCH(E$1,'包络曲线数据'!$B$1:$U$1,0)),""))</x:f>
      </x:c>
      <x:c r="F195" t="str">
        <x:f>IF(F$1="","",IFERROR(INDEX('包络曲线数据'!$B$2:$U$742,ROW()-1,MATCH(F$1,'包络曲线数据'!$B$1:$U$1,0)),""))</x:f>
      </x:c>
      <x:c r="G195" t="str">
        <x:f>IF(G$1="","",IFERROR(INDEX('包络曲线数据'!$B$2:$U$742,ROW()-1,MATCH(G$1,'包络曲线数据'!$B$1:$U$1,0)),""))</x:f>
      </x:c>
    </x:row>
    <x:row r="196">
      <x:c r="A196" t="n">
        <x:v>19.400000000000002</x:v>
      </x:c>
      <x:c r="B196" t="n">
        <x:f>IF(B$1="","",IFERROR(INDEX('包络曲线数据'!$B$2:$U$742,ROW()-1,MATCH(B$1,'包络曲线数据'!$B$1:$U$1,0)),""))</x:f>
        <x:v>70.08641395676499</x:v>
      </x:c>
      <x:c r="C196" t="n">
        <x:f>IF(C$1="","",IFERROR(INDEX('包络曲线数据'!$B$2:$U$742,ROW()-1,MATCH(C$1,'包络曲线数据'!$B$1:$U$1,0)),""))</x:f>
        <x:v>52.82200565841262</x:v>
      </x:c>
      <x:c r="D196" t="n">
        <x:f>IF(D$1="","",IFERROR(INDEX('包络曲线数据'!$B$2:$U$742,ROW()-1,MATCH(D$1,'包络曲线数据'!$B$1:$U$1,0)),""))</x:f>
        <x:v>71.53545818370081</x:v>
      </x:c>
      <x:c r="E196" t="str">
        <x:f>IF(E$1="","",IFERROR(INDEX('包络曲线数据'!$B$2:$U$742,ROW()-1,MATCH(E$1,'包络曲线数据'!$B$1:$U$1,0)),""))</x:f>
      </x:c>
      <x:c r="F196" t="str">
        <x:f>IF(F$1="","",IFERROR(INDEX('包络曲线数据'!$B$2:$U$742,ROW()-1,MATCH(F$1,'包络曲线数据'!$B$1:$U$1,0)),""))</x:f>
      </x:c>
      <x:c r="G196" t="str">
        <x:f>IF(G$1="","",IFERROR(INDEX('包络曲线数据'!$B$2:$U$742,ROW()-1,MATCH(G$1,'包络曲线数据'!$B$1:$U$1,0)),""))</x:f>
      </x:c>
    </x:row>
    <x:row r="197">
      <x:c r="A197" t="n">
        <x:v>19.5</x:v>
      </x:c>
      <x:c r="B197" t="n">
        <x:f>IF(B$1="","",IFERROR(INDEX('包络曲线数据'!$B$2:$U$742,ROW()-1,MATCH(B$1,'包络曲线数据'!$B$1:$U$1,0)),""))</x:f>
        <x:v>71.9458087535215</x:v>
      </x:c>
      <x:c r="C197" t="n">
        <x:f>IF(C$1="","",IFERROR(INDEX('包络曲线数据'!$B$2:$U$742,ROW()-1,MATCH(C$1,'包络曲线数据'!$B$1:$U$1,0)),""))</x:f>
        <x:v>54.9732417828805</x:v>
      </x:c>
      <x:c r="D197" t="n">
        <x:f>IF(D$1="","",IFERROR(INDEX('包络曲线数据'!$B$2:$U$742,ROW()-1,MATCH(D$1,'包络曲线数据'!$B$1:$U$1,0)),""))</x:f>
        <x:v>65.82906061921572</x:v>
      </x:c>
      <x:c r="E197" t="str">
        <x:f>IF(E$1="","",IFERROR(INDEX('包络曲线数据'!$B$2:$U$742,ROW()-1,MATCH(E$1,'包络曲线数据'!$B$1:$U$1,0)),""))</x:f>
      </x:c>
      <x:c r="F197" t="str">
        <x:f>IF(F$1="","",IFERROR(INDEX('包络曲线数据'!$B$2:$U$742,ROW()-1,MATCH(F$1,'包络曲线数据'!$B$1:$U$1,0)),""))</x:f>
      </x:c>
      <x:c r="G197" t="str">
        <x:f>IF(G$1="","",IFERROR(INDEX('包络曲线数据'!$B$2:$U$742,ROW()-1,MATCH(G$1,'包络曲线数据'!$B$1:$U$1,0)),""))</x:f>
      </x:c>
    </x:row>
    <x:row r="198">
      <x:c r="A198" t="n">
        <x:v>19.6</x:v>
      </x:c>
      <x:c r="B198" t="n">
        <x:f>IF(B$1="","",IFERROR(INDEX('包络曲线数据'!$B$2:$U$742,ROW()-1,MATCH(B$1,'包络曲线数据'!$B$1:$U$1,0)),""))</x:f>
        <x:v>74.61268749948971</x:v>
      </x:c>
      <x:c r="C198" t="n">
        <x:f>IF(C$1="","",IFERROR(INDEX('包络曲线数据'!$B$2:$U$742,ROW()-1,MATCH(C$1,'包络曲线数据'!$B$1:$U$1,0)),""))</x:f>
        <x:v>57.12447790734845</x:v>
      </x:c>
      <x:c r="D198" t="n">
        <x:f>IF(D$1="","",IFERROR(INDEX('包络曲线数据'!$B$2:$U$742,ROW()-1,MATCH(D$1,'包络曲线数据'!$B$1:$U$1,0)),""))</x:f>
        <x:v>63.62257153454344</x:v>
      </x:c>
      <x:c r="E198" t="str">
        <x:f>IF(E$1="","",IFERROR(INDEX('包络曲线数据'!$B$2:$U$742,ROW()-1,MATCH(E$1,'包络曲线数据'!$B$1:$U$1,0)),""))</x:f>
      </x:c>
      <x:c r="F198" t="str">
        <x:f>IF(F$1="","",IFERROR(INDEX('包络曲线数据'!$B$2:$U$742,ROW()-1,MATCH(F$1,'包络曲线数据'!$B$1:$U$1,0)),""))</x:f>
      </x:c>
      <x:c r="G198" t="str">
        <x:f>IF(G$1="","",IFERROR(INDEX('包络曲线数据'!$B$2:$U$742,ROW()-1,MATCH(G$1,'包络曲线数据'!$B$1:$U$1,0)),""))</x:f>
      </x:c>
    </x:row>
    <x:row r="199">
      <x:c r="A199" t="n">
        <x:v>19.700000000000003</x:v>
      </x:c>
      <x:c r="B199" t="n">
        <x:f>IF(B$1="","",IFERROR(INDEX('包络曲线数据'!$B$2:$U$742,ROW()-1,MATCH(B$1,'包络曲线数据'!$B$1:$U$1,0)),""))</x:f>
        <x:v>74.61268749948971</x:v>
      </x:c>
      <x:c r="C199" t="n">
        <x:f>IF(C$1="","",IFERROR(INDEX('包络曲线数据'!$B$2:$U$742,ROW()-1,MATCH(C$1,'包络曲线数据'!$B$1:$U$1,0)),""))</x:f>
        <x:v>59.275714031816406</x:v>
      </x:c>
      <x:c r="D199" t="n">
        <x:f>IF(D$1="","",IFERROR(INDEX('包络曲线数据'!$B$2:$U$742,ROW()-1,MATCH(D$1,'包络曲线数据'!$B$1:$U$1,0)),""))</x:f>
        <x:v>50</x:v>
      </x:c>
      <x:c r="E199" t="str">
        <x:f>IF(E$1="","",IFERROR(INDEX('包络曲线数据'!$B$2:$U$742,ROW()-1,MATCH(E$1,'包络曲线数据'!$B$1:$U$1,0)),""))</x:f>
      </x:c>
      <x:c r="F199" t="str">
        <x:f>IF(F$1="","",IFERROR(INDEX('包络曲线数据'!$B$2:$U$742,ROW()-1,MATCH(F$1,'包络曲线数据'!$B$1:$U$1,0)),""))</x:f>
      </x:c>
      <x:c r="G199" t="str">
        <x:f>IF(G$1="","",IFERROR(INDEX('包络曲线数据'!$B$2:$U$742,ROW()-1,MATCH(G$1,'包络曲线数据'!$B$1:$U$1,0)),""))</x:f>
      </x:c>
    </x:row>
    <x:row r="200">
      <x:c r="A200" t="n">
        <x:v>19.8</x:v>
      </x:c>
      <x:c r="B200" t="n">
        <x:f>IF(B$1="","",IFERROR(INDEX('包络曲线数据'!$B$2:$U$742,ROW()-1,MATCH(B$1,'包络曲线数据'!$B$1:$U$1,0)),""))</x:f>
        <x:v>67.56563883269902</x:v>
      </x:c>
      <x:c r="C200" t="n">
        <x:f>IF(C$1="","",IFERROR(INDEX('包络曲线数据'!$B$2:$U$742,ROW()-1,MATCH(C$1,'包络曲线数据'!$B$1:$U$1,0)),""))</x:f>
        <x:v>60.56645570649713</x:v>
      </x:c>
      <x:c r="D200" t="n">
        <x:f>IF(D$1="","",IFERROR(INDEX('包络曲线数据'!$B$2:$U$742,ROW()-1,MATCH(D$1,'包络曲线数据'!$B$1:$U$1,0)),""))</x:f>
        <x:v>50</x:v>
      </x:c>
      <x:c r="E200" t="str">
        <x:f>IF(E$1="","",IFERROR(INDEX('包络曲线数据'!$B$2:$U$742,ROW()-1,MATCH(E$1,'包络曲线数据'!$B$1:$U$1,0)),""))</x:f>
      </x:c>
      <x:c r="F200" t="str">
        <x:f>IF(F$1="","",IFERROR(INDEX('包络曲线数据'!$B$2:$U$742,ROW()-1,MATCH(F$1,'包络曲线数据'!$B$1:$U$1,0)),""))</x:f>
      </x:c>
      <x:c r="G200" t="str">
        <x:f>IF(G$1="","",IFERROR(INDEX('包络曲线数据'!$B$2:$U$742,ROW()-1,MATCH(G$1,'包络曲线数据'!$B$1:$U$1,0)),""))</x:f>
      </x:c>
    </x:row>
    <x:row r="201">
      <x:c r="A201" t="n">
        <x:v>19.900000000000002</x:v>
      </x:c>
      <x:c r="B201" t="n">
        <x:f>IF(B$1="","",IFERROR(INDEX('包络曲线数据'!$B$2:$U$742,ROW()-1,MATCH(B$1,'包络曲线数据'!$B$1:$U$1,0)),""))</x:f>
        <x:v>58.1972205751577</x:v>
      </x:c>
      <x:c r="C201" t="n">
        <x:f>IF(C$1="","",IFERROR(INDEX('包络曲线数据'!$B$2:$U$742,ROW()-1,MATCH(C$1,'包络曲线数据'!$B$1:$U$1,0)),""))</x:f>
        <x:v>67.34859292739155</x:v>
      </x:c>
      <x:c r="D201" t="n">
        <x:f>IF(D$1="","",IFERROR(INDEX('包络曲线数据'!$B$2:$U$742,ROW()-1,MATCH(D$1,'包络曲线数据'!$B$1:$U$1,0)),""))</x:f>
        <x:v>62.80530072475636</x:v>
      </x:c>
      <x:c r="E201" t="str">
        <x:f>IF(E$1="","",IFERROR(INDEX('包络曲线数据'!$B$2:$U$742,ROW()-1,MATCH(E$1,'包络曲线数据'!$B$1:$U$1,0)),""))</x:f>
      </x:c>
      <x:c r="F201" t="str">
        <x:f>IF(F$1="","",IFERROR(INDEX('包络曲线数据'!$B$2:$U$742,ROW()-1,MATCH(F$1,'包络曲线数据'!$B$1:$U$1,0)),""))</x:f>
      </x:c>
      <x:c r="G201" t="str">
        <x:f>IF(G$1="","",IFERROR(INDEX('包络曲线数据'!$B$2:$U$742,ROW()-1,MATCH(G$1,'包络曲线数据'!$B$1:$U$1,0)),""))</x:f>
      </x:c>
    </x:row>
    <x:row r="202">
      <x:c r="A202" t="n">
        <x:v>20</x:v>
      </x:c>
      <x:c r="B202" t="n">
        <x:f>IF(B$1="","",IFERROR(INDEX('包络曲线数据'!$B$2:$U$742,ROW()-1,MATCH(B$1,'包络曲线数据'!$B$1:$U$1,0)),""))</x:f>
        <x:v>55.78867004980226</x:v>
      </x:c>
      <x:c r="C202" t="n">
        <x:f>IF(C$1="","",IFERROR(INDEX('包络曲线数据'!$B$2:$U$742,ROW()-1,MATCH(C$1,'包络曲线数据'!$B$1:$U$1,0)),""))</x:f>
        <x:v>74.13073014828566</x:v>
      </x:c>
      <x:c r="D202" t="n">
        <x:f>IF(D$1="","",IFERROR(INDEX('包络曲线数据'!$B$2:$U$742,ROW()-1,MATCH(D$1,'包络曲线数据'!$B$1:$U$1,0)),""))</x:f>
        <x:v>64.8471283555178</x:v>
      </x:c>
      <x:c r="E202" t="str">
        <x:f>IF(E$1="","",IFERROR(INDEX('包络曲线数据'!$B$2:$U$742,ROW()-1,MATCH(E$1,'包络曲线数据'!$B$1:$U$1,0)),""))</x:f>
      </x:c>
      <x:c r="F202" t="str">
        <x:f>IF(F$1="","",IFERROR(INDEX('包络曲线数据'!$B$2:$U$742,ROW()-1,MATCH(F$1,'包络曲线数据'!$B$1:$U$1,0)),""))</x:f>
      </x:c>
      <x:c r="G202" t="str">
        <x:f>IF(G$1="","",IFERROR(INDEX('包络曲线数据'!$B$2:$U$742,ROW()-1,MATCH(G$1,'包络曲线数据'!$B$1:$U$1,0)),""))</x:f>
      </x:c>
    </x:row>
    <x:row r="203">
      <x:c r="A203" t="n">
        <x:v>20.1</x:v>
      </x:c>
      <x:c r="B203" t="n">
        <x:f>IF(B$1="","",IFERROR(INDEX('包络曲线数据'!$B$2:$U$742,ROW()-1,MATCH(B$1,'包络曲线数据'!$B$1:$U$1,0)),""))</x:f>
        <x:v>55.78867004980226</x:v>
      </x:c>
      <x:c r="C203" t="n">
        <x:f>IF(C$1="","",IFERROR(INDEX('包络曲线数据'!$B$2:$U$742,ROW()-1,MATCH(C$1,'包络曲线数据'!$B$1:$U$1,0)),""))</x:f>
        <x:v>74.13073014828566</x:v>
      </x:c>
      <x:c r="D203" t="n">
        <x:f>IF(D$1="","",IFERROR(INDEX('包络曲线数据'!$B$2:$U$742,ROW()-1,MATCH(D$1,'包络曲线数据'!$B$1:$U$1,0)),""))</x:f>
        <x:v>74.09840025401218</x:v>
      </x:c>
      <x:c r="E203" t="str">
        <x:f>IF(E$1="","",IFERROR(INDEX('包络曲线数据'!$B$2:$U$742,ROW()-1,MATCH(E$1,'包络曲线数据'!$B$1:$U$1,0)),""))</x:f>
      </x:c>
      <x:c r="F203" t="str">
        <x:f>IF(F$1="","",IFERROR(INDEX('包络曲线数据'!$B$2:$U$742,ROW()-1,MATCH(F$1,'包络曲线数据'!$B$1:$U$1,0)),""))</x:f>
      </x:c>
      <x:c r="G203" t="str">
        <x:f>IF(G$1="","",IFERROR(INDEX('包络曲线数据'!$B$2:$U$742,ROW()-1,MATCH(G$1,'包络曲线数据'!$B$1:$U$1,0)),""))</x:f>
      </x:c>
    </x:row>
    <x:row r="204">
      <x:c r="A204" t="n">
        <x:v>20.200000000000003</x:v>
      </x:c>
      <x:c r="B204" t="n">
        <x:f>IF(B$1="","",IFERROR(INDEX('包络曲线数据'!$B$2:$U$742,ROW()-1,MATCH(B$1,'包络曲线数据'!$B$1:$U$1,0)),""))</x:f>
        <x:v>51.595284178115094</x:v>
      </x:c>
      <x:c r="C204" t="n">
        <x:f>IF(C$1="","",IFERROR(INDEX('包络曲线数据'!$B$2:$U$742,ROW()-1,MATCH(C$1,'包络曲线数据'!$B$1:$U$1,0)),""))</x:f>
        <x:v>71.90675010992103</x:v>
      </x:c>
      <x:c r="D204" t="n">
        <x:f>IF(D$1="","",IFERROR(INDEX('包络曲线数据'!$B$2:$U$742,ROW()-1,MATCH(D$1,'包络曲线数据'!$B$1:$U$1,0)),""))</x:f>
        <x:v>74.09840025401218</x:v>
      </x:c>
      <x:c r="E204" t="str">
        <x:f>IF(E$1="","",IFERROR(INDEX('包络曲线数据'!$B$2:$U$742,ROW()-1,MATCH(E$1,'包络曲线数据'!$B$1:$U$1,0)),""))</x:f>
      </x:c>
      <x:c r="F204" t="str">
        <x:f>IF(F$1="","",IFERROR(INDEX('包络曲线数据'!$B$2:$U$742,ROW()-1,MATCH(F$1,'包络曲线数据'!$B$1:$U$1,0)),""))</x:f>
      </x:c>
      <x:c r="G204" t="str">
        <x:f>IF(G$1="","",IFERROR(INDEX('包络曲线数据'!$B$2:$U$742,ROW()-1,MATCH(G$1,'包络曲线数据'!$B$1:$U$1,0)),""))</x:f>
      </x:c>
    </x:row>
    <x:row r="205">
      <x:c r="A205" t="n">
        <x:v>20.3</x:v>
      </x:c>
      <x:c r="B205" t="n">
        <x:f>IF(B$1="","",IFERROR(INDEX('包络曲线数据'!$B$2:$U$742,ROW()-1,MATCH(B$1,'包络曲线数据'!$B$1:$U$1,0)),""))</x:f>
        <x:v>51.595284178115094</x:v>
      </x:c>
      <x:c r="C205" t="n">
        <x:f>IF(C$1="","",IFERROR(INDEX('包络曲线数据'!$B$2:$U$742,ROW()-1,MATCH(C$1,'包络曲线数据'!$B$1:$U$1,0)),""))</x:f>
        <x:v>68.02980788288967</x:v>
      </x:c>
      <x:c r="D205" t="n">
        <x:f>IF(D$1="","",IFERROR(INDEX('包络曲线数据'!$B$2:$U$742,ROW()-1,MATCH(D$1,'包络曲线数据'!$B$1:$U$1,0)),""))</x:f>
        <x:v>73.53295841377133</x:v>
      </x:c>
      <x:c r="E205" t="str">
        <x:f>IF(E$1="","",IFERROR(INDEX('包络曲线数据'!$B$2:$U$742,ROW()-1,MATCH(E$1,'包络曲线数据'!$B$1:$U$1,0)),""))</x:f>
      </x:c>
      <x:c r="F205" t="str">
        <x:f>IF(F$1="","",IFERROR(INDEX('包络曲线数据'!$B$2:$U$742,ROW()-1,MATCH(F$1,'包络曲线数据'!$B$1:$U$1,0)),""))</x:f>
      </x:c>
      <x:c r="G205" t="str">
        <x:f>IF(G$1="","",IFERROR(INDEX('包络曲线数据'!$B$2:$U$742,ROW()-1,MATCH(G$1,'包络曲线数据'!$B$1:$U$1,0)),""))</x:f>
      </x:c>
    </x:row>
    <x:row r="206">
      <x:c r="A206" t="n">
        <x:v>20.400000000000002</x:v>
      </x:c>
      <x:c r="B206" t="n">
        <x:f>IF(B$1="","",IFERROR(INDEX('包络曲线数据'!$B$2:$U$742,ROW()-1,MATCH(B$1,'包络曲线数据'!$B$1:$U$1,0)),""))</x:f>
        <x:v>60.360628620425466</x:v>
      </x:c>
      <x:c r="C206" t="n">
        <x:f>IF(C$1="","",IFERROR(INDEX('包络曲线数据'!$B$2:$U$742,ROW()-1,MATCH(C$1,'包络曲线数据'!$B$1:$U$1,0)),""))</x:f>
        <x:v>63.071948745497785</x:v>
      </x:c>
      <x:c r="D206" t="n">
        <x:f>IF(D$1="","",IFERROR(INDEX('包络曲线数据'!$B$2:$U$742,ROW()-1,MATCH(D$1,'包络曲线数据'!$B$1:$U$1,0)),""))</x:f>
        <x:v>61.378155699318626</x:v>
      </x:c>
      <x:c r="E206" t="str">
        <x:f>IF(E$1="","",IFERROR(INDEX('包络曲线数据'!$B$2:$U$742,ROW()-1,MATCH(E$1,'包络曲线数据'!$B$1:$U$1,0)),""))</x:f>
      </x:c>
      <x:c r="F206" t="str">
        <x:f>IF(F$1="","",IFERROR(INDEX('包络曲线数据'!$B$2:$U$742,ROW()-1,MATCH(F$1,'包络曲线数据'!$B$1:$U$1,0)),""))</x:f>
      </x:c>
      <x:c r="G206" t="str">
        <x:f>IF(G$1="","",IFERROR(INDEX('包络曲线数据'!$B$2:$U$742,ROW()-1,MATCH(G$1,'包络曲线数据'!$B$1:$U$1,0)),""))</x:f>
      </x:c>
    </x:row>
    <x:row r="207">
      <x:c r="A207" t="n">
        <x:v>20.5</x:v>
      </x:c>
      <x:c r="B207" t="n">
        <x:f>IF(B$1="","",IFERROR(INDEX('包络曲线数据'!$B$2:$U$742,ROW()-1,MATCH(B$1,'包络曲线数据'!$B$1:$U$1,0)),""))</x:f>
        <x:v>60.360628620425466</x:v>
      </x:c>
      <x:c r="C207" t="n">
        <x:f>IF(C$1="","",IFERROR(INDEX('包络曲线数据'!$B$2:$U$742,ROW()-1,MATCH(C$1,'包络曲线数据'!$B$1:$U$1,0)),""))</x:f>
        <x:v>66.01557287854217</x:v>
      </x:c>
      <x:c r="D207" t="n">
        <x:f>IF(D$1="","",IFERROR(INDEX('包络曲线数据'!$B$2:$U$742,ROW()-1,MATCH(D$1,'包络曲线数据'!$B$1:$U$1,0)),""))</x:f>
        <x:v>57.69120807927118</x:v>
      </x:c>
      <x:c r="E207" t="str">
        <x:f>IF(E$1="","",IFERROR(INDEX('包络曲线数据'!$B$2:$U$742,ROW()-1,MATCH(E$1,'包络曲线数据'!$B$1:$U$1,0)),""))</x:f>
      </x:c>
      <x:c r="F207" t="str">
        <x:f>IF(F$1="","",IFERROR(INDEX('包络曲线数据'!$B$2:$U$742,ROW()-1,MATCH(F$1,'包络曲线数据'!$B$1:$U$1,0)),""))</x:f>
      </x:c>
      <x:c r="G207" t="str">
        <x:f>IF(G$1="","",IFERROR(INDEX('包络曲线数据'!$B$2:$U$742,ROW()-1,MATCH(G$1,'包络曲线数据'!$B$1:$U$1,0)),""))</x:f>
      </x:c>
    </x:row>
    <x:row r="208">
      <x:c r="A208" t="n">
        <x:v>20.6</x:v>
      </x:c>
      <x:c r="B208" t="n">
        <x:f>IF(B$1="","",IFERROR(INDEX('包络曲线数据'!$B$2:$U$742,ROW()-1,MATCH(B$1,'包络曲线数据'!$B$1:$U$1,0)),""))</x:f>
        <x:v>58.62246802677548</x:v>
      </x:c>
      <x:c r="C208" t="n">
        <x:f>IF(C$1="","",IFERROR(INDEX('包络曲线数据'!$B$2:$U$742,ROW()-1,MATCH(C$1,'包络曲线数据'!$B$1:$U$1,0)),""))</x:f>
        <x:v>66.6071111781367</x:v>
      </x:c>
      <x:c r="D208" t="n">
        <x:f>IF(D$1="","",IFERROR(INDEX('包络曲线数据'!$B$2:$U$742,ROW()-1,MATCH(D$1,'包络曲线数据'!$B$1:$U$1,0)),""))</x:f>
        <x:v>55.494876160827616</x:v>
      </x:c>
      <x:c r="E208" t="str">
        <x:f>IF(E$1="","",IFERROR(INDEX('包络曲线数据'!$B$2:$U$742,ROW()-1,MATCH(E$1,'包络曲线数据'!$B$1:$U$1,0)),""))</x:f>
      </x:c>
      <x:c r="F208" t="str">
        <x:f>IF(F$1="","",IFERROR(INDEX('包络曲线数据'!$B$2:$U$742,ROW()-1,MATCH(F$1,'包络曲线数据'!$B$1:$U$1,0)),""))</x:f>
      </x:c>
      <x:c r="G208" t="str">
        <x:f>IF(G$1="","",IFERROR(INDEX('包络曲线数据'!$B$2:$U$742,ROW()-1,MATCH(G$1,'包络曲线数据'!$B$1:$U$1,0)),""))</x:f>
      </x:c>
    </x:row>
    <x:row r="209">
      <x:c r="A209" t="n">
        <x:v>20.700000000000003</x:v>
      </x:c>
      <x:c r="B209" t="n">
        <x:f>IF(B$1="","",IFERROR(INDEX('包络曲线数据'!$B$2:$U$742,ROW()-1,MATCH(B$1,'包络曲线数据'!$B$1:$U$1,0)),""))</x:f>
        <x:v>58.622468026775856</x:v>
      </x:c>
      <x:c r="C209" t="n">
        <x:f>IF(C$1="","",IFERROR(INDEX('包络曲线数据'!$B$2:$U$742,ROW()-1,MATCH(C$1,'包络曲线数据'!$B$1:$U$1,0)),""))</x:f>
        <x:v>66.60711117813662</x:v>
      </x:c>
      <x:c r="D209" t="n">
        <x:f>IF(D$1="","",IFERROR(INDEX('包络曲线数据'!$B$2:$U$742,ROW()-1,MATCH(D$1,'包络曲线数据'!$B$1:$U$1,0)),""))</x:f>
        <x:v>63.779551817702334</x:v>
      </x:c>
      <x:c r="E209" t="str">
        <x:f>IF(E$1="","",IFERROR(INDEX('包络曲线数据'!$B$2:$U$742,ROW()-1,MATCH(E$1,'包络曲线数据'!$B$1:$U$1,0)),""))</x:f>
      </x:c>
      <x:c r="F209" t="str">
        <x:f>IF(F$1="","",IFERROR(INDEX('包络曲线数据'!$B$2:$U$742,ROW()-1,MATCH(F$1,'包络曲线数据'!$B$1:$U$1,0)),""))</x:f>
      </x:c>
      <x:c r="G209" t="str">
        <x:f>IF(G$1="","",IFERROR(INDEX('包络曲线数据'!$B$2:$U$742,ROW()-1,MATCH(G$1,'包络曲线数据'!$B$1:$U$1,0)),""))</x:f>
      </x:c>
    </x:row>
    <x:row r="210">
      <x:c r="A210" t="n">
        <x:v>20.8</x:v>
      </x:c>
      <x:c r="B210" t="n">
        <x:f>IF(B$1="","",IFERROR(INDEX('包络曲线数据'!$B$2:$U$742,ROW()-1,MATCH(B$1,'包络曲线数据'!$B$1:$U$1,0)),""))</x:f>
        <x:v>75.52756598419401</x:v>
      </x:c>
      <x:c r="C210" t="n">
        <x:f>IF(C$1="","",IFERROR(INDEX('包络曲线数据'!$B$2:$U$742,ROW()-1,MATCH(C$1,'包络曲线数据'!$B$1:$U$1,0)),""))</x:f>
        <x:v>65.3793156475048</x:v>
      </x:c>
      <x:c r="D210" t="n">
        <x:f>IF(D$1="","",IFERROR(INDEX('包络曲线数据'!$B$2:$U$742,ROW()-1,MATCH(D$1,'包络曲线数据'!$B$1:$U$1,0)),""))</x:f>
        <x:v>64.04423165036951</x:v>
      </x:c>
      <x:c r="E210" t="str">
        <x:f>IF(E$1="","",IFERROR(INDEX('包络曲线数据'!$B$2:$U$742,ROW()-1,MATCH(E$1,'包络曲线数据'!$B$1:$U$1,0)),""))</x:f>
      </x:c>
      <x:c r="F210" t="str">
        <x:f>IF(F$1="","",IFERROR(INDEX('包络曲线数据'!$B$2:$U$742,ROW()-1,MATCH(F$1,'包络曲线数据'!$B$1:$U$1,0)),""))</x:f>
      </x:c>
      <x:c r="G210" t="str">
        <x:f>IF(G$1="","",IFERROR(INDEX('包络曲线数据'!$B$2:$U$742,ROW()-1,MATCH(G$1,'包络曲线数据'!$B$1:$U$1,0)),""))</x:f>
      </x:c>
    </x:row>
    <x:row r="211">
      <x:c r="A211" t="n">
        <x:v>20.900000000000002</x:v>
      </x:c>
      <x:c r="B211" t="n">
        <x:f>IF(B$1="","",IFERROR(INDEX('包络曲线数据'!$B$2:$U$742,ROW()-1,MATCH(B$1,'包络曲线数据'!$B$1:$U$1,0)),""))</x:f>
        <x:v>75.52756598419401</x:v>
      </x:c>
      <x:c r="C211" t="n">
        <x:f>IF(C$1="","",IFERROR(INDEX('包络曲线数据'!$B$2:$U$742,ROW()-1,MATCH(C$1,'包络曲线数据'!$B$1:$U$1,0)),""))</x:f>
        <x:v>66.30993445538593</x:v>
      </x:c>
      <x:c r="D211" t="n">
        <x:f>IF(D$1="","",IFERROR(INDEX('包络曲线数据'!$B$2:$U$742,ROW()-1,MATCH(D$1,'包络曲线数据'!$B$1:$U$1,0)),""))</x:f>
        <x:v>65.7871946397416</x:v>
      </x:c>
      <x:c r="E211" t="str">
        <x:f>IF(E$1="","",IFERROR(INDEX('包络曲线数据'!$B$2:$U$742,ROW()-1,MATCH(E$1,'包络曲线数据'!$B$1:$U$1,0)),""))</x:f>
      </x:c>
      <x:c r="F211" t="str">
        <x:f>IF(F$1="","",IFERROR(INDEX('包络曲线数据'!$B$2:$U$742,ROW()-1,MATCH(F$1,'包络曲线数据'!$B$1:$U$1,0)),""))</x:f>
      </x:c>
      <x:c r="G211" t="str">
        <x:f>IF(G$1="","",IFERROR(INDEX('包络曲线数据'!$B$2:$U$742,ROW()-1,MATCH(G$1,'包络曲线数据'!$B$1:$U$1,0)),""))</x:f>
      </x:c>
    </x:row>
    <x:row r="212">
      <x:c r="A212" t="n">
        <x:v>21</x:v>
      </x:c>
      <x:c r="B212" t="n">
        <x:f>IF(B$1="","",IFERROR(INDEX('包络曲线数据'!$B$2:$U$742,ROW()-1,MATCH(B$1,'包络曲线数据'!$B$1:$U$1,0)),""))</x:f>
        <x:v>74.16988261391809</x:v>
      </x:c>
      <x:c r="C212" t="n">
        <x:f>IF(C$1="","",IFERROR(INDEX('包络曲线数据'!$B$2:$U$742,ROW()-1,MATCH(C$1,'包络曲线数据'!$B$1:$U$1,0)),""))</x:f>
        <x:v>66.30993445538593</x:v>
      </x:c>
      <x:c r="D212" t="n">
        <x:f>IF(D$1="","",IFERROR(INDEX('包络曲线数据'!$B$2:$U$742,ROW()-1,MATCH(D$1,'包络曲线数据'!$B$1:$U$1,0)),""))</x:f>
        <x:v>66.71261037621869</x:v>
      </x:c>
      <x:c r="E212" t="str">
        <x:f>IF(E$1="","",IFERROR(INDEX('包络曲线数据'!$B$2:$U$742,ROW()-1,MATCH(E$1,'包络曲线数据'!$B$1:$U$1,0)),""))</x:f>
      </x:c>
      <x:c r="F212" t="str">
        <x:f>IF(F$1="","",IFERROR(INDEX('包络曲线数据'!$B$2:$U$742,ROW()-1,MATCH(F$1,'包络曲线数据'!$B$1:$U$1,0)),""))</x:f>
      </x:c>
      <x:c r="G212" t="str">
        <x:f>IF(G$1="","",IFERROR(INDEX('包络曲线数据'!$B$2:$U$742,ROW()-1,MATCH(G$1,'包络曲线数据'!$B$1:$U$1,0)),""))</x:f>
      </x:c>
    </x:row>
    <x:row r="213">
      <x:c r="A213" t="n">
        <x:v>21.1</x:v>
      </x:c>
      <x:c r="B213" t="n">
        <x:f>IF(B$1="","",IFERROR(INDEX('包络曲线数据'!$B$2:$U$742,ROW()-1,MATCH(B$1,'包络曲线数据'!$B$1:$U$1,0)),""))</x:f>
        <x:v>68.83356652287124</x:v>
      </x:c>
      <x:c r="C213" t="n">
        <x:f>IF(C$1="","",IFERROR(INDEX('包络曲线数据'!$B$2:$U$742,ROW()-1,MATCH(C$1,'包络曲线数据'!$B$1:$U$1,0)),""))</x:f>
        <x:v>66.71604904510272</x:v>
      </x:c>
      <x:c r="D213" t="n">
        <x:f>IF(D$1="","",IFERROR(INDEX('包络曲线数据'!$B$2:$U$742,ROW()-1,MATCH(D$1,'包络曲线数据'!$B$1:$U$1,0)),""))</x:f>
        <x:v>66.43874690288413</x:v>
      </x:c>
      <x:c r="E213" t="str">
        <x:f>IF(E$1="","",IFERROR(INDEX('包络曲线数据'!$B$2:$U$742,ROW()-1,MATCH(E$1,'包络曲线数据'!$B$1:$U$1,0)),""))</x:f>
      </x:c>
      <x:c r="F213" t="str">
        <x:f>IF(F$1="","",IFERROR(INDEX('包络曲线数据'!$B$2:$U$742,ROW()-1,MATCH(F$1,'包络曲线数据'!$B$1:$U$1,0)),""))</x:f>
      </x:c>
      <x:c r="G213" t="str">
        <x:f>IF(G$1="","",IFERROR(INDEX('包络曲线数据'!$B$2:$U$742,ROW()-1,MATCH(G$1,'包络曲线数据'!$B$1:$U$1,0)),""))</x:f>
      </x:c>
    </x:row>
    <x:row r="214">
      <x:c r="A214" t="n">
        <x:v>21.200000000000003</x:v>
      </x:c>
      <x:c r="B214" t="n">
        <x:f>IF(B$1="","",IFERROR(INDEX('包络曲线数据'!$B$2:$U$742,ROW()-1,MATCH(B$1,'包络曲线数据'!$B$1:$U$1,0)),""))</x:f>
        <x:v>65.11587462872178</x:v>
      </x:c>
      <x:c r="C214" t="n">
        <x:f>IF(C$1="","",IFERROR(INDEX('包络曲线数据'!$B$2:$U$742,ROW()-1,MATCH(C$1,'包络曲线数据'!$B$1:$U$1,0)),""))</x:f>
        <x:v>67.28096214864821</x:v>
      </x:c>
      <x:c r="D214" t="n">
        <x:f>IF(D$1="","",IFERROR(INDEX('包络曲线数据'!$B$2:$U$742,ROW()-1,MATCH(D$1,'包络曲线数据'!$B$1:$U$1,0)),""))</x:f>
        <x:v>66.43874690288413</x:v>
      </x:c>
      <x:c r="E214" t="str">
        <x:f>IF(E$1="","",IFERROR(INDEX('包络曲线数据'!$B$2:$U$742,ROW()-1,MATCH(E$1,'包络曲线数据'!$B$1:$U$1,0)),""))</x:f>
      </x:c>
      <x:c r="F214" t="str">
        <x:f>IF(F$1="","",IFERROR(INDEX('包络曲线数据'!$B$2:$U$742,ROW()-1,MATCH(F$1,'包络曲线数据'!$B$1:$U$1,0)),""))</x:f>
      </x:c>
      <x:c r="G214" t="str">
        <x:f>IF(G$1="","",IFERROR(INDEX('包络曲线数据'!$B$2:$U$742,ROW()-1,MATCH(G$1,'包络曲线数据'!$B$1:$U$1,0)),""))</x:f>
      </x:c>
    </x:row>
    <x:row r="215">
      <x:c r="A215" t="n">
        <x:v>21.3</x:v>
      </x:c>
      <x:c r="B215" t="n">
        <x:f>IF(B$1="","",IFERROR(INDEX('包络曲线数据'!$B$2:$U$742,ROW()-1,MATCH(B$1,'包络曲线数据'!$B$1:$U$1,0)),""))</x:f>
        <x:v>65.91760884444761</x:v>
      </x:c>
      <x:c r="C215" t="n">
        <x:f>IF(C$1="","",IFERROR(INDEX('包络曲线数据'!$B$2:$U$742,ROW()-1,MATCH(C$1,'包络曲线数据'!$B$1:$U$1,0)),""))</x:f>
        <x:v>67.28096214864821</x:v>
      </x:c>
      <x:c r="D215" t="n">
        <x:f>IF(D$1="","",IFERROR(INDEX('包络曲线数据'!$B$2:$U$742,ROW()-1,MATCH(D$1,'包络曲线数据'!$B$1:$U$1,0)),""))</x:f>
        <x:v>66.20453807977105</x:v>
      </x:c>
      <x:c r="E215" t="str">
        <x:f>IF(E$1="","",IFERROR(INDEX('包络曲线数据'!$B$2:$U$742,ROW()-1,MATCH(E$1,'包络曲线数据'!$B$1:$U$1,0)),""))</x:f>
      </x:c>
      <x:c r="F215" t="str">
        <x:f>IF(F$1="","",IFERROR(INDEX('包络曲线数据'!$B$2:$U$742,ROW()-1,MATCH(F$1,'包络曲线数据'!$B$1:$U$1,0)),""))</x:f>
      </x:c>
      <x:c r="G215" t="str">
        <x:f>IF(G$1="","",IFERROR(INDEX('包络曲线数据'!$B$2:$U$742,ROW()-1,MATCH(G$1,'包络曲线数据'!$B$1:$U$1,0)),""))</x:f>
      </x:c>
    </x:row>
    <x:row r="216">
      <x:c r="A216" t="n">
        <x:v>21.400000000000002</x:v>
      </x:c>
      <x:c r="B216" t="n">
        <x:f>IF(B$1="","",IFERROR(INDEX('包络曲线数据'!$B$2:$U$742,ROW()-1,MATCH(B$1,'包络曲线数据'!$B$1:$U$1,0)),""))</x:f>
        <x:v>69.48225068167861</x:v>
      </x:c>
      <x:c r="C216" t="n">
        <x:f>IF(C$1="","",IFERROR(INDEX('包络曲线数据'!$B$2:$U$742,ROW()-1,MATCH(C$1,'包络曲线数据'!$B$1:$U$1,0)),""))</x:f>
        <x:v>66.91474908684334</x:v>
      </x:c>
      <x:c r="D216" t="n">
        <x:f>IF(D$1="","",IFERROR(INDEX('包络曲线数据'!$B$2:$U$742,ROW()-1,MATCH(D$1,'包络曲线数据'!$B$1:$U$1,0)),""))</x:f>
        <x:v>75.31424494895225</x:v>
      </x:c>
      <x:c r="E216" t="str">
        <x:f>IF(E$1="","",IFERROR(INDEX('包络曲线数据'!$B$2:$U$742,ROW()-1,MATCH(E$1,'包络曲线数据'!$B$1:$U$1,0)),""))</x:f>
      </x:c>
      <x:c r="F216" t="str">
        <x:f>IF(F$1="","",IFERROR(INDEX('包络曲线数据'!$B$2:$U$742,ROW()-1,MATCH(F$1,'包络曲线数据'!$B$1:$U$1,0)),""))</x:f>
      </x:c>
      <x:c r="G216" t="str">
        <x:f>IF(G$1="","",IFERROR(INDEX('包络曲线数据'!$B$2:$U$742,ROW()-1,MATCH(G$1,'包络曲线数据'!$B$1:$U$1,0)),""))</x:f>
      </x:c>
    </x:row>
    <x:row r="217">
      <x:c r="A217" t="n">
        <x:v>21.5</x:v>
      </x:c>
      <x:c r="B217" t="n">
        <x:f>IF(B$1="","",IFERROR(INDEX('包络曲线数据'!$B$2:$U$742,ROW()-1,MATCH(B$1,'包络曲线数据'!$B$1:$U$1,0)),""))</x:f>
        <x:v>69.48225068167861</x:v>
      </x:c>
      <x:c r="C217" t="n">
        <x:f>IF(C$1="","",IFERROR(INDEX('包络曲线数据'!$B$2:$U$742,ROW()-1,MATCH(C$1,'包络曲线数据'!$B$1:$U$1,0)),""))</x:f>
        <x:v>66.91474908684334</x:v>
      </x:c>
      <x:c r="D217" t="n">
        <x:f>IF(D$1="","",IFERROR(INDEX('包络曲线数据'!$B$2:$U$742,ROW()-1,MATCH(D$1,'包络曲线数据'!$B$1:$U$1,0)),""))</x:f>
        <x:v>80.78006907046077</x:v>
      </x:c>
      <x:c r="E217" t="str">
        <x:f>IF(E$1="","",IFERROR(INDEX('包络曲线数据'!$B$2:$U$742,ROW()-1,MATCH(E$1,'包络曲线数据'!$B$1:$U$1,0)),""))</x:f>
      </x:c>
      <x:c r="F217" t="str">
        <x:f>IF(F$1="","",IFERROR(INDEX('包络曲线数据'!$B$2:$U$742,ROW()-1,MATCH(F$1,'包络曲线数据'!$B$1:$U$1,0)),""))</x:f>
      </x:c>
      <x:c r="G217" t="str">
        <x:f>IF(G$1="","",IFERROR(INDEX('包络曲线数据'!$B$2:$U$742,ROW()-1,MATCH(G$1,'包络曲线数据'!$B$1:$U$1,0)),""))</x:f>
      </x:c>
    </x:row>
    <x:row r="218">
      <x:c r="A218" t="n">
        <x:v>21.6</x:v>
      </x:c>
      <x:c r="B218" t="n">
        <x:f>IF(B$1="","",IFERROR(INDEX('包络曲线数据'!$B$2:$U$742,ROW()-1,MATCH(B$1,'包络曲线数据'!$B$1:$U$1,0)),""))</x:f>
        <x:v>69.17552589677663</x:v>
      </x:c>
      <x:c r="C218" t="n">
        <x:f>IF(C$1="","",IFERROR(INDEX('包络曲线数据'!$B$2:$U$742,ROW()-1,MATCH(C$1,'包络曲线数据'!$B$1:$U$1,0)),""))</x:f>
        <x:v>66.3917276520236</x:v>
      </x:c>
      <x:c r="D218" t="n">
        <x:f>IF(D$1="","",IFERROR(INDEX('包络曲线数据'!$B$2:$U$742,ROW()-1,MATCH(D$1,'包络曲线数据'!$B$1:$U$1,0)),""))</x:f>
        <x:v>80.78006907046077</x:v>
      </x:c>
      <x:c r="E218" t="str">
        <x:f>IF(E$1="","",IFERROR(INDEX('包络曲线数据'!$B$2:$U$742,ROW()-1,MATCH(E$1,'包络曲线数据'!$B$1:$U$1,0)),""))</x:f>
      </x:c>
      <x:c r="F218" t="str">
        <x:f>IF(F$1="","",IFERROR(INDEX('包络曲线数据'!$B$2:$U$742,ROW()-1,MATCH(F$1,'包络曲线数据'!$B$1:$U$1,0)),""))</x:f>
      </x:c>
      <x:c r="G218" t="str">
        <x:f>IF(G$1="","",IFERROR(INDEX('包络曲线数据'!$B$2:$U$742,ROW()-1,MATCH(G$1,'包络曲线数据'!$B$1:$U$1,0)),""))</x:f>
      </x:c>
    </x:row>
    <x:row r="219">
      <x:c r="A219" t="n">
        <x:v>21.700000000000003</x:v>
      </x:c>
      <x:c r="B219" t="n">
        <x:f>IF(B$1="","",IFERROR(INDEX('包络曲线数据'!$B$2:$U$742,ROW()-1,MATCH(B$1,'包络曲线数据'!$B$1:$U$1,0)),""))</x:f>
        <x:v>69.73244160515264</x:v>
      </x:c>
      <x:c r="C219" t="n">
        <x:f>IF(C$1="","",IFERROR(INDEX('包络曲线数据'!$B$2:$U$742,ROW()-1,MATCH(C$1,'包络曲线数据'!$B$1:$U$1,0)),""))</x:f>
        <x:v>65.75733707690404</x:v>
      </x:c>
      <x:c r="D219" t="n">
        <x:f>IF(D$1="","",IFERROR(INDEX('包络曲线数据'!$B$2:$U$742,ROW()-1,MATCH(D$1,'包络曲线数据'!$B$1:$U$1,0)),""))</x:f>
        <x:v>70.8156425415374</x:v>
      </x:c>
      <x:c r="E219" t="str">
        <x:f>IF(E$1="","",IFERROR(INDEX('包络曲线数据'!$B$2:$U$742,ROW()-1,MATCH(E$1,'包络曲线数据'!$B$1:$U$1,0)),""))</x:f>
      </x:c>
      <x:c r="F219" t="str">
        <x:f>IF(F$1="","",IFERROR(INDEX('包络曲线数据'!$B$2:$U$742,ROW()-1,MATCH(F$1,'包络曲线数据'!$B$1:$U$1,0)),""))</x:f>
      </x:c>
      <x:c r="G219" t="str">
        <x:f>IF(G$1="","",IFERROR(INDEX('包络曲线数据'!$B$2:$U$742,ROW()-1,MATCH(G$1,'包络曲线数据'!$B$1:$U$1,0)),""))</x:f>
      </x:c>
    </x:row>
    <x:row r="220">
      <x:c r="A220" t="n">
        <x:v>21.8</x:v>
      </x:c>
      <x:c r="B220" t="n">
        <x:f>IF(B$1="","",IFERROR(INDEX('包络曲线数据'!$B$2:$U$742,ROW()-1,MATCH(B$1,'包络曲线数据'!$B$1:$U$1,0)),""))</x:f>
        <x:v>70.05267188643128</x:v>
      </x:c>
      <x:c r="C220" t="n">
        <x:f>IF(C$1="","",IFERROR(INDEX('包络曲线数据'!$B$2:$U$742,ROW()-1,MATCH(C$1,'包络曲线数据'!$B$1:$U$1,0)),""))</x:f>
        <x:v>60.646275632651594</x:v>
      </x:c>
      <x:c r="D220" t="n">
        <x:f>IF(D$1="","",IFERROR(INDEX('包络曲线数据'!$B$2:$U$742,ROW()-1,MATCH(D$1,'包络曲线数据'!$B$1:$U$1,0)),""))</x:f>
        <x:v>68.45538080085252</x:v>
      </x:c>
      <x:c r="E220" t="str">
        <x:f>IF(E$1="","",IFERROR(INDEX('包络曲线数据'!$B$2:$U$742,ROW()-1,MATCH(E$1,'包络曲线数据'!$B$1:$U$1,0)),""))</x:f>
      </x:c>
      <x:c r="F220" t="str">
        <x:f>IF(F$1="","",IFERROR(INDEX('包络曲线数据'!$B$2:$U$742,ROW()-1,MATCH(F$1,'包络曲线数据'!$B$1:$U$1,0)),""))</x:f>
      </x:c>
      <x:c r="G220" t="str">
        <x:f>IF(G$1="","",IFERROR(INDEX('包络曲线数据'!$B$2:$U$742,ROW()-1,MATCH(G$1,'包络曲线数据'!$B$1:$U$1,0)),""))</x:f>
      </x:c>
    </x:row>
    <x:row r="221">
      <x:c r="A221" t="n">
        <x:v>21.900000000000002</x:v>
      </x:c>
      <x:c r="B221" t="n">
        <x:f>IF(B$1="","",IFERROR(INDEX('包络曲线数据'!$B$2:$U$742,ROW()-1,MATCH(B$1,'包络曲线数据'!$B$1:$U$1,0)),""))</x:f>
        <x:v>69.966699224344</x:v>
      </x:c>
      <x:c r="C221" t="n">
        <x:f>IF(C$1="","",IFERROR(INDEX('包络曲线数据'!$B$2:$U$742,ROW()-1,MATCH(C$1,'包络曲线数据'!$B$1:$U$1,0)),""))</x:f>
        <x:v>78.2098802356642</x:v>
      </x:c>
      <x:c r="D221" t="n">
        <x:f>IF(D$1="","",IFERROR(INDEX('包络曲线数据'!$B$2:$U$742,ROW()-1,MATCH(D$1,'包络曲线数据'!$B$1:$U$1,0)),""))</x:f>
        <x:v>64.96483728276328</x:v>
      </x:c>
      <x:c r="E221" t="str">
        <x:f>IF(E$1="","",IFERROR(INDEX('包络曲线数据'!$B$2:$U$742,ROW()-1,MATCH(E$1,'包络曲线数据'!$B$1:$U$1,0)),""))</x:f>
      </x:c>
      <x:c r="F221" t="str">
        <x:f>IF(F$1="","",IFERROR(INDEX('包络曲线数据'!$B$2:$U$742,ROW()-1,MATCH(F$1,'包络曲线数据'!$B$1:$U$1,0)),""))</x:f>
      </x:c>
      <x:c r="G221" t="str">
        <x:f>IF(G$1="","",IFERROR(INDEX('包络曲线数据'!$B$2:$U$742,ROW()-1,MATCH(G$1,'包络曲线数据'!$B$1:$U$1,0)),""))</x:f>
      </x:c>
    </x:row>
    <x:row r="222">
      <x:c r="A222" t="n">
        <x:v>22</x:v>
      </x:c>
      <x:c r="B222" t="n">
        <x:f>IF(B$1="","",IFERROR(INDEX('包络曲线数据'!$B$2:$U$742,ROW()-1,MATCH(B$1,'包络曲线数据'!$B$1:$U$1,0)),""))</x:f>
        <x:v>67.66493336583844</x:v>
      </x:c>
      <x:c r="C222" t="n">
        <x:f>IF(C$1="","",IFERROR(INDEX('包络曲线数据'!$B$2:$U$742,ROW()-1,MATCH(C$1,'包络曲线数据'!$B$1:$U$1,0)),""))</x:f>
        <x:v>79.30737779284722</x:v>
      </x:c>
      <x:c r="D222" t="n">
        <x:f>IF(D$1="","",IFERROR(INDEX('包络曲线数据'!$B$2:$U$742,ROW()-1,MATCH(D$1,'包络曲线数据'!$B$1:$U$1,0)),""))</x:f>
        <x:v>64.96483728276328</x:v>
      </x:c>
      <x:c r="E222" t="str">
        <x:f>IF(E$1="","",IFERROR(INDEX('包络曲线数据'!$B$2:$U$742,ROW()-1,MATCH(E$1,'包络曲线数据'!$B$1:$U$1,0)),""))</x:f>
      </x:c>
      <x:c r="F222" t="str">
        <x:f>IF(F$1="","",IFERROR(INDEX('包络曲线数据'!$B$2:$U$742,ROW()-1,MATCH(F$1,'包络曲线数据'!$B$1:$U$1,0)),""))</x:f>
      </x:c>
      <x:c r="G222" t="str">
        <x:f>IF(G$1="","",IFERROR(INDEX('包络曲线数据'!$B$2:$U$742,ROW()-1,MATCH(G$1,'包络曲线数据'!$B$1:$U$1,0)),""))</x:f>
      </x:c>
    </x:row>
    <x:row r="223">
      <x:c r="A223" t="n">
        <x:v>22.1</x:v>
      </x:c>
      <x:c r="B223" t="n">
        <x:f>IF(B$1="","",IFERROR(INDEX('包络曲线数据'!$B$2:$U$742,ROW()-1,MATCH(B$1,'包络曲线数据'!$B$1:$U$1,0)),""))</x:f>
        <x:v>91.55589752504582</x:v>
      </x:c>
      <x:c r="C223" t="n">
        <x:f>IF(C$1="","",IFERROR(INDEX('包络曲线数据'!$B$2:$U$742,ROW()-1,MATCH(C$1,'包络曲线数据'!$B$1:$U$1,0)),""))</x:f>
        <x:v>79.30737779284722</x:v>
      </x:c>
      <x:c r="D223" t="n">
        <x:f>IF(D$1="","",IFERROR(INDEX('包络曲线数据'!$B$2:$U$742,ROW()-1,MATCH(D$1,'包络曲线数据'!$B$1:$U$1,0)),""))</x:f>
        <x:v>50</x:v>
      </x:c>
      <x:c r="E223" t="str">
        <x:f>IF(E$1="","",IFERROR(INDEX('包络曲线数据'!$B$2:$U$742,ROW()-1,MATCH(E$1,'包络曲线数据'!$B$1:$U$1,0)),""))</x:f>
      </x:c>
      <x:c r="F223" t="str">
        <x:f>IF(F$1="","",IFERROR(INDEX('包络曲线数据'!$B$2:$U$742,ROW()-1,MATCH(F$1,'包络曲线数据'!$B$1:$U$1,0)),""))</x:f>
      </x:c>
      <x:c r="G223" t="str">
        <x:f>IF(G$1="","",IFERROR(INDEX('包络曲线数据'!$B$2:$U$742,ROW()-1,MATCH(G$1,'包络曲线数据'!$B$1:$U$1,0)),""))</x:f>
      </x:c>
    </x:row>
    <x:row r="224">
      <x:c r="A224" t="n">
        <x:v>22.200000000000003</x:v>
      </x:c>
      <x:c r="B224" t="n">
        <x:f>IF(B$1="","",IFERROR(INDEX('包络曲线数据'!$B$2:$U$742,ROW()-1,MATCH(B$1,'包络曲线数据'!$B$1:$U$1,0)),""))</x:f>
        <x:v>91.55589752504582</x:v>
      </x:c>
      <x:c r="C224" t="n">
        <x:f>IF(C$1="","",IFERROR(INDEX('包络曲线数据'!$B$2:$U$742,ROW()-1,MATCH(C$1,'包络曲线数据'!$B$1:$U$1,0)),""))</x:f>
        <x:v>70.58061610889571</x:v>
      </x:c>
      <x:c r="D224" t="n">
        <x:f>IF(D$1="","",IFERROR(INDEX('包络曲线数据'!$B$2:$U$742,ROW()-1,MATCH(D$1,'包络曲线数据'!$B$1:$U$1,0)),""))</x:f>
        <x:v>50</x:v>
      </x:c>
      <x:c r="E224" t="str">
        <x:f>IF(E$1="","",IFERROR(INDEX('包络曲线数据'!$B$2:$U$742,ROW()-1,MATCH(E$1,'包络曲线数据'!$B$1:$U$1,0)),""))</x:f>
      </x:c>
      <x:c r="F224" t="str">
        <x:f>IF(F$1="","",IFERROR(INDEX('包络曲线数据'!$B$2:$U$742,ROW()-1,MATCH(F$1,'包络曲线数据'!$B$1:$U$1,0)),""))</x:f>
      </x:c>
      <x:c r="G224" t="str">
        <x:f>IF(G$1="","",IFERROR(INDEX('包络曲线数据'!$B$2:$U$742,ROW()-1,MATCH(G$1,'包络曲线数据'!$B$1:$U$1,0)),""))</x:f>
      </x:c>
    </x:row>
    <x:row r="225">
      <x:c r="A225" t="n">
        <x:v>22.3</x:v>
      </x:c>
      <x:c r="B225" t="n">
        <x:f>IF(B$1="","",IFERROR(INDEX('包络曲线数据'!$B$2:$U$742,ROW()-1,MATCH(B$1,'包络曲线数据'!$B$1:$U$1,0)),""))</x:f>
        <x:v>86.54411360313424</x:v>
      </x:c>
      <x:c r="C225" t="n">
        <x:f>IF(C$1="","",IFERROR(INDEX('包络曲线数据'!$B$2:$U$742,ROW()-1,MATCH(C$1,'包络曲线数据'!$B$1:$U$1,0)),""))</x:f>
        <x:v>59.13299175726425</x:v>
      </x:c>
      <x:c r="D225" t="n">
        <x:f>IF(D$1="","",IFERROR(INDEX('包络曲线数据'!$B$2:$U$742,ROW()-1,MATCH(D$1,'包络曲线数据'!$B$1:$U$1,0)),""))</x:f>
        <x:v>50</x:v>
      </x:c>
      <x:c r="E225" t="str">
        <x:f>IF(E$1="","",IFERROR(INDEX('包络曲线数据'!$B$2:$U$742,ROW()-1,MATCH(E$1,'包络曲线数据'!$B$1:$U$1,0)),""))</x:f>
      </x:c>
      <x:c r="F225" t="str">
        <x:f>IF(F$1="","",IFERROR(INDEX('包络曲线数据'!$B$2:$U$742,ROW()-1,MATCH(F$1,'包络曲线数据'!$B$1:$U$1,0)),""))</x:f>
      </x:c>
      <x:c r="G225" t="str">
        <x:f>IF(G$1="","",IFERROR(INDEX('包络曲线数据'!$B$2:$U$742,ROW()-1,MATCH(G$1,'包络曲线数据'!$B$1:$U$1,0)),""))</x:f>
      </x:c>
    </x:row>
    <x:row r="226">
      <x:c r="A226" t="n">
        <x:v>22.400000000000002</x:v>
      </x:c>
      <x:c r="B226" t="n">
        <x:f>IF(B$1="","",IFERROR(INDEX('包络曲线数据'!$B$2:$U$742,ROW()-1,MATCH(B$1,'包络曲线数据'!$B$1:$U$1,0)),""))</x:f>
        <x:v>77.9142943461551</x:v>
      </x:c>
      <x:c r="C226" t="n">
        <x:f>IF(C$1="","",IFERROR(INDEX('包络曲线数据'!$B$2:$U$742,ROW()-1,MATCH(C$1,'包络曲线数据'!$B$1:$U$1,0)),""))</x:f>
        <x:v>55.6715028218112</x:v>
      </x:c>
      <x:c r="D226" t="n">
        <x:f>IF(D$1="","",IFERROR(INDEX('包络曲线数据'!$B$2:$U$742,ROW()-1,MATCH(D$1,'包络曲线数据'!$B$1:$U$1,0)),""))</x:f>
        <x:v>62.602126362337074</x:v>
      </x:c>
      <x:c r="E226" t="str">
        <x:f>IF(E$1="","",IFERROR(INDEX('包络曲线数据'!$B$2:$U$742,ROW()-1,MATCH(E$1,'包络曲线数据'!$B$1:$U$1,0)),""))</x:f>
      </x:c>
      <x:c r="F226" t="str">
        <x:f>IF(F$1="","",IFERROR(INDEX('包络曲线数据'!$B$2:$U$742,ROW()-1,MATCH(F$1,'包络曲线数据'!$B$1:$U$1,0)),""))</x:f>
      </x:c>
      <x:c r="G226" t="str">
        <x:f>IF(G$1="","",IFERROR(INDEX('包络曲线数据'!$B$2:$U$742,ROW()-1,MATCH(G$1,'包络曲线数据'!$B$1:$U$1,0)),""))</x:f>
      </x:c>
    </x:row>
    <x:row r="227">
      <x:c r="A227" t="n">
        <x:v>22.5</x:v>
      </x:c>
      <x:c r="B227" t="n">
        <x:f>IF(B$1="","",IFERROR(INDEX('包络曲线数据'!$B$2:$U$742,ROW()-1,MATCH(B$1,'包络曲线数据'!$B$1:$U$1,0)),""))</x:f>
        <x:v>74.9241790031362</x:v>
      </x:c>
      <x:c r="C227" t="n">
        <x:f>IF(C$1="","",IFERROR(INDEX('包络曲线数据'!$B$2:$U$742,ROW()-1,MATCH(C$1,'包络曲线数据'!$B$1:$U$1,0)),""))</x:f>
        <x:v>54.40124031317448</x:v>
      </x:c>
      <x:c r="D227" t="n">
        <x:f>IF(D$1="","",IFERROR(INDEX('包络曲线数据'!$B$2:$U$742,ROW()-1,MATCH(D$1,'包络曲线数据'!$B$1:$U$1,0)),""))</x:f>
        <x:v>74.08801145020206</x:v>
      </x:c>
      <x:c r="E227" t="str">
        <x:f>IF(E$1="","",IFERROR(INDEX('包络曲线数据'!$B$2:$U$742,ROW()-1,MATCH(E$1,'包络曲线数据'!$B$1:$U$1,0)),""))</x:f>
      </x:c>
      <x:c r="F227" t="str">
        <x:f>IF(F$1="","",IFERROR(INDEX('包络曲线数据'!$B$2:$U$742,ROW()-1,MATCH(F$1,'包络曲线数据'!$B$1:$U$1,0)),""))</x:f>
      </x:c>
      <x:c r="G227" t="str">
        <x:f>IF(G$1="","",IFERROR(INDEX('包络曲线数据'!$B$2:$U$742,ROW()-1,MATCH(G$1,'包络曲线数据'!$B$1:$U$1,0)),""))</x:f>
      </x:c>
    </x:row>
    <x:row r="228">
      <x:c r="A228" t="n">
        <x:v>22.6</x:v>
      </x:c>
      <x:c r="B228" t="n">
        <x:f>IF(B$1="","",IFERROR(INDEX('包络曲线数据'!$B$2:$U$742,ROW()-1,MATCH(B$1,'包络曲线数据'!$B$1:$U$1,0)),""))</x:f>
        <x:v>74.35074063782295</x:v>
      </x:c>
      <x:c r="C228" t="n">
        <x:f>IF(C$1="","",IFERROR(INDEX('包络曲线数据'!$B$2:$U$742,ROW()-1,MATCH(C$1,'包络曲线数据'!$B$1:$U$1,0)),""))</x:f>
        <x:v>57.750376779267114</x:v>
      </x:c>
      <x:c r="D228" t="n">
        <x:f>IF(D$1="","",IFERROR(INDEX('包络曲线数据'!$B$2:$U$742,ROW()-1,MATCH(D$1,'包络曲线数据'!$B$1:$U$1,0)),""))</x:f>
        <x:v>76.0609086623831</x:v>
      </x:c>
      <x:c r="E228" t="str">
        <x:f>IF(E$1="","",IFERROR(INDEX('包络曲线数据'!$B$2:$U$742,ROW()-1,MATCH(E$1,'包络曲线数据'!$B$1:$U$1,0)),""))</x:f>
      </x:c>
      <x:c r="F228" t="str">
        <x:f>IF(F$1="","",IFERROR(INDEX('包络曲线数据'!$B$2:$U$742,ROW()-1,MATCH(F$1,'包络曲线数据'!$B$1:$U$1,0)),""))</x:f>
      </x:c>
      <x:c r="G228" t="str">
        <x:f>IF(G$1="","",IFERROR(INDEX('包络曲线数据'!$B$2:$U$742,ROW()-1,MATCH(G$1,'包络曲线数据'!$B$1:$U$1,0)),""))</x:f>
      </x:c>
    </x:row>
    <x:row r="229">
      <x:c r="A229" t="n">
        <x:v>22.700000000000003</x:v>
      </x:c>
      <x:c r="B229" t="n">
        <x:f>IF(B$1="","",IFERROR(INDEX('包络曲线数据'!$B$2:$U$742,ROW()-1,MATCH(B$1,'包络曲线数据'!$B$1:$U$1,0)),""))</x:f>
        <x:v>66.2774328372107</x:v>
      </x:c>
      <x:c r="C229" t="n">
        <x:f>IF(C$1="","",IFERROR(INDEX('包络曲线数据'!$B$2:$U$742,ROW()-1,MATCH(C$1,'包络曲线数据'!$B$1:$U$1,0)),""))</x:f>
        <x:v>61.099513245359745</x:v>
      </x:c>
      <x:c r="D229" t="n">
        <x:f>IF(D$1="","",IFERROR(INDEX('包络曲线数据'!$B$2:$U$742,ROW()-1,MATCH(D$1,'包络曲线数据'!$B$1:$U$1,0)),""))</x:f>
        <x:v>76.06090866238289</x:v>
      </x:c>
      <x:c r="E229" t="str">
        <x:f>IF(E$1="","",IFERROR(INDEX('包络曲线数据'!$B$2:$U$742,ROW()-1,MATCH(E$1,'包络曲线数据'!$B$1:$U$1,0)),""))</x:f>
      </x:c>
      <x:c r="F229" t="str">
        <x:f>IF(F$1="","",IFERROR(INDEX('包络曲线数据'!$B$2:$U$742,ROW()-1,MATCH(F$1,'包络曲线数据'!$B$1:$U$1,0)),""))</x:f>
      </x:c>
      <x:c r="G229" t="str">
        <x:f>IF(G$1="","",IFERROR(INDEX('包络曲线数据'!$B$2:$U$742,ROW()-1,MATCH(G$1,'包络曲线数据'!$B$1:$U$1,0)),""))</x:f>
      </x:c>
    </x:row>
    <x:row r="230">
      <x:c r="A230" t="n">
        <x:v>22.8</x:v>
      </x:c>
      <x:c r="B230" t="n">
        <x:f>IF(B$1="","",IFERROR(INDEX('包络曲线数据'!$B$2:$U$742,ROW()-1,MATCH(B$1,'包络曲线数据'!$B$1:$U$1,0)),""))</x:f>
        <x:v>66.2774328372107</x:v>
      </x:c>
      <x:c r="C230" t="n">
        <x:f>IF(C$1="","",IFERROR(INDEX('包络曲线数据'!$B$2:$U$742,ROW()-1,MATCH(C$1,'包络曲线数据'!$B$1:$U$1,0)),""))</x:f>
        <x:v>63.10899512501525</x:v>
      </x:c>
      <x:c r="D230" t="n">
        <x:f>IF(D$1="","",IFERROR(INDEX('包络曲线数据'!$B$2:$U$742,ROW()-1,MATCH(D$1,'包络曲线数据'!$B$1:$U$1,0)),""))</x:f>
        <x:v>65.32289265923762</x:v>
      </x:c>
      <x:c r="E230" t="str">
        <x:f>IF(E$1="","",IFERROR(INDEX('包络曲线数据'!$B$2:$U$742,ROW()-1,MATCH(E$1,'包络曲线数据'!$B$1:$U$1,0)),""))</x:f>
      </x:c>
      <x:c r="F230" t="str">
        <x:f>IF(F$1="","",IFERROR(INDEX('包络曲线数据'!$B$2:$U$742,ROW()-1,MATCH(F$1,'包络曲线数据'!$B$1:$U$1,0)),""))</x:f>
      </x:c>
      <x:c r="G230" t="str">
        <x:f>IF(G$1="","",IFERROR(INDEX('包络曲线数据'!$B$2:$U$742,ROW()-1,MATCH(G$1,'包络曲线数据'!$B$1:$U$1,0)),""))</x:f>
      </x:c>
    </x:row>
    <x:row r="231">
      <x:c r="A231" t="n">
        <x:v>22.900000000000002</x:v>
      </x:c>
      <x:c r="B231" t="n">
        <x:f>IF(B$1="","",IFERROR(INDEX('包络曲线数据'!$B$2:$U$742,ROW()-1,MATCH(B$1,'包络曲线数据'!$B$1:$U$1,0)),""))</x:f>
        <x:v>61.79392517840128</x:v>
      </x:c>
      <x:c r="C231" t="n">
        <x:f>IF(C$1="","",IFERROR(INDEX('包络曲线数据'!$B$2:$U$742,ROW()-1,MATCH(C$1,'包络曲线数据'!$B$1:$U$1,0)),""))</x:f>
        <x:v>63.108995125015575</x:v>
      </x:c>
      <x:c r="D231" t="n">
        <x:f>IF(D$1="","",IFERROR(INDEX('包络曲线数据'!$B$2:$U$742,ROW()-1,MATCH(D$1,'包络曲线数据'!$B$1:$U$1,0)),""))</x:f>
        <x:v>63.643091826539916</x:v>
      </x:c>
      <x:c r="E231" t="str">
        <x:f>IF(E$1="","",IFERROR(INDEX('包络曲线数据'!$B$2:$U$742,ROW()-1,MATCH(E$1,'包络曲线数据'!$B$1:$U$1,0)),""))</x:f>
      </x:c>
      <x:c r="F231" t="str">
        <x:f>IF(F$1="","",IFERROR(INDEX('包络曲线数据'!$B$2:$U$742,ROW()-1,MATCH(F$1,'包络曲线数据'!$B$1:$U$1,0)),""))</x:f>
      </x:c>
      <x:c r="G231" t="str">
        <x:f>IF(G$1="","",IFERROR(INDEX('包络曲线数据'!$B$2:$U$742,ROW()-1,MATCH(G$1,'包络曲线数据'!$B$1:$U$1,0)),""))</x:f>
      </x:c>
    </x:row>
    <x:row r="232">
      <x:c r="A232" t="n">
        <x:v>23</x:v>
      </x:c>
      <x:c r="B232" t="n">
        <x:f>IF(B$1="","",IFERROR(INDEX('包络曲线数据'!$B$2:$U$742,ROW()-1,MATCH(B$1,'包络曲线数据'!$B$1:$U$1,0)),""))</x:f>
        <x:v>61.79392517840128</x:v>
      </x:c>
      <x:c r="C232" t="n">
        <x:f>IF(C$1="","",IFERROR(INDEX('包络曲线数据'!$B$2:$U$742,ROW()-1,MATCH(C$1,'包络曲线数据'!$B$1:$U$1,0)),""))</x:f>
        <x:v>72.33035240573123</x:v>
      </x:c>
      <x:c r="D232" t="n">
        <x:f>IF(D$1="","",IFERROR(INDEX('包络曲线数据'!$B$2:$U$742,ROW()-1,MATCH(D$1,'包络曲线数据'!$B$1:$U$1,0)),""))</x:f>
        <x:v>63.643091826539916</x:v>
      </x:c>
      <x:c r="E232" t="str">
        <x:f>IF(E$1="","",IFERROR(INDEX('包络曲线数据'!$B$2:$U$742,ROW()-1,MATCH(E$1,'包络曲线数据'!$B$1:$U$1,0)),""))</x:f>
      </x:c>
      <x:c r="F232" t="str">
        <x:f>IF(F$1="","",IFERROR(INDEX('包络曲线数据'!$B$2:$U$742,ROW()-1,MATCH(F$1,'包络曲线数据'!$B$1:$U$1,0)),""))</x:f>
      </x:c>
      <x:c r="G232" t="str">
        <x:f>IF(G$1="","",IFERROR(INDEX('包络曲线数据'!$B$2:$U$742,ROW()-1,MATCH(G$1,'包络曲线数据'!$B$1:$U$1,0)),""))</x:f>
      </x:c>
    </x:row>
    <x:row r="233">
      <x:c r="A233" t="n">
        <x:v>23.1</x:v>
      </x:c>
      <x:c r="B233" t="n">
        <x:f>IF(B$1="","",IFERROR(INDEX('包络曲线数据'!$B$2:$U$742,ROW()-1,MATCH(B$1,'包络曲线数据'!$B$1:$U$1,0)),""))</x:f>
        <x:v>51.595284178115094</x:v>
      </x:c>
      <x:c r="C233" t="n">
        <x:f>IF(C$1="","",IFERROR(INDEX('包络曲线数据'!$B$2:$U$742,ROW()-1,MATCH(C$1,'包络曲线数据'!$B$1:$U$1,0)),""))</x:f>
        <x:v>76.0188953180175</x:v>
      </x:c>
      <x:c r="D233" t="n">
        <x:f>IF(D$1="","",IFERROR(INDEX('包络曲线数据'!$B$2:$U$742,ROW()-1,MATCH(D$1,'包络曲线数据'!$B$1:$U$1,0)),""))</x:f>
        <x:v>62.972066650176416</x:v>
      </x:c>
      <x:c r="E233" t="str">
        <x:f>IF(E$1="","",IFERROR(INDEX('包络曲线数据'!$B$2:$U$742,ROW()-1,MATCH(E$1,'包络曲线数据'!$B$1:$U$1,0)),""))</x:f>
      </x:c>
      <x:c r="F233" t="str">
        <x:f>IF(F$1="","",IFERROR(INDEX('包络曲线数据'!$B$2:$U$742,ROW()-1,MATCH(F$1,'包络曲线数据'!$B$1:$U$1,0)),""))</x:f>
      </x:c>
      <x:c r="G233" t="str">
        <x:f>IF(G$1="","",IFERROR(INDEX('包络曲线数据'!$B$2:$U$742,ROW()-1,MATCH(G$1,'包络曲线数据'!$B$1:$U$1,0)),""))</x:f>
      </x:c>
    </x:row>
    <x:row r="234">
      <x:c r="A234" t="n">
        <x:v>23.200000000000003</x:v>
      </x:c>
      <x:c r="B234" t="n">
        <x:f>IF(B$1="","",IFERROR(INDEX('包络曲线数据'!$B$2:$U$742,ROW()-1,MATCH(B$1,'包络曲线数据'!$B$1:$U$1,0)),""))</x:f>
        <x:v>60.11628107068608</x:v>
      </x:c>
      <x:c r="C234" t="n">
        <x:f>IF(C$1="","",IFERROR(INDEX('包络曲线数据'!$B$2:$U$742,ROW()-1,MATCH(C$1,'包络曲线数据'!$B$1:$U$1,0)),""))</x:f>
        <x:v>75.86529760211589</x:v>
      </x:c>
      <x:c r="D234" t="n">
        <x:f>IF(D$1="","",IFERROR(INDEX('包络曲线数据'!$B$2:$U$742,ROW()-1,MATCH(D$1,'包络曲线数据'!$B$1:$U$1,0)),""))</x:f>
        <x:v>60.94547367957388</x:v>
      </x:c>
      <x:c r="E234" t="str">
        <x:f>IF(E$1="","",IFERROR(INDEX('包络曲线数据'!$B$2:$U$742,ROW()-1,MATCH(E$1,'包络曲线数据'!$B$1:$U$1,0)),""))</x:f>
      </x:c>
      <x:c r="F234" t="str">
        <x:f>IF(F$1="","",IFERROR(INDEX('包络曲线数据'!$B$2:$U$742,ROW()-1,MATCH(F$1,'包络曲线数据'!$B$1:$U$1,0)),""))</x:f>
      </x:c>
      <x:c r="G234" t="str">
        <x:f>IF(G$1="","",IFERROR(INDEX('包络曲线数据'!$B$2:$U$742,ROW()-1,MATCH(G$1,'包络曲线数据'!$B$1:$U$1,0)),""))</x:f>
      </x:c>
    </x:row>
    <x:row r="235">
      <x:c r="A235" t="n">
        <x:v>23.3</x:v>
      </x:c>
      <x:c r="B235" t="n">
        <x:f>IF(B$1="","",IFERROR(INDEX('包络曲线数据'!$B$2:$U$742,ROW()-1,MATCH(B$1,'包络曲线数据'!$B$1:$U$1,0)),""))</x:f>
        <x:v>75.41467686212235</x:v>
      </x:c>
      <x:c r="C235" t="n">
        <x:f>IF(C$1="","",IFERROR(INDEX('包络曲线数据'!$B$2:$U$742,ROW()-1,MATCH(C$1,'包络曲线数据'!$B$1:$U$1,0)),""))</x:f>
        <x:v>71.01490462952465</x:v>
      </x:c>
      <x:c r="D235" t="n">
        <x:f>IF(D$1="","",IFERROR(INDEX('包络曲线数据'!$B$2:$U$742,ROW()-1,MATCH(D$1,'包络曲线数据'!$B$1:$U$1,0)),""))</x:f>
        <x:v>63.61586860534163</x:v>
      </x:c>
      <x:c r="E235" t="str">
        <x:f>IF(E$1="","",IFERROR(INDEX('包络曲线数据'!$B$2:$U$742,ROW()-1,MATCH(E$1,'包络曲线数据'!$B$1:$U$1,0)),""))</x:f>
      </x:c>
      <x:c r="F235" t="str">
        <x:f>IF(F$1="","",IFERROR(INDEX('包络曲线数据'!$B$2:$U$742,ROW()-1,MATCH(F$1,'包络曲线数据'!$B$1:$U$1,0)),""))</x:f>
      </x:c>
      <x:c r="G235" t="str">
        <x:f>IF(G$1="","",IFERROR(INDEX('包络曲线数据'!$B$2:$U$742,ROW()-1,MATCH(G$1,'包络曲线数据'!$B$1:$U$1,0)),""))</x:f>
      </x:c>
    </x:row>
    <x:row r="236">
      <x:c r="A236" t="n">
        <x:v>23.400000000000002</x:v>
      </x:c>
      <x:c r="B236" t="n">
        <x:f>IF(B$1="","",IFERROR(INDEX('包络曲线数据'!$B$2:$U$742,ROW()-1,MATCH(B$1,'包络曲线数据'!$B$1:$U$1,0)),""))</x:f>
        <x:v>75.41467686212235</x:v>
      </x:c>
      <x:c r="C236" t="n">
        <x:f>IF(C$1="","",IFERROR(INDEX('包络曲线数据'!$B$2:$U$742,ROW()-1,MATCH(C$1,'包络曲线数据'!$B$1:$U$1,0)),""))</x:f>
        <x:v>63.57610294420325</x:v>
      </x:c>
      <x:c r="D236" t="n">
        <x:f>IF(D$1="","",IFERROR(INDEX('包络曲线数据'!$B$2:$U$742,ROW()-1,MATCH(D$1,'包络曲线数据'!$B$1:$U$1,0)),""))</x:f>
        <x:v>63.61586860534163</x:v>
      </x:c>
      <x:c r="E236" t="str">
        <x:f>IF(E$1="","",IFERROR(INDEX('包络曲线数据'!$B$2:$U$742,ROW()-1,MATCH(E$1,'包络曲线数据'!$B$1:$U$1,0)),""))</x:f>
      </x:c>
      <x:c r="F236" t="str">
        <x:f>IF(F$1="","",IFERROR(INDEX('包络曲线数据'!$B$2:$U$742,ROW()-1,MATCH(F$1,'包络曲线数据'!$B$1:$U$1,0)),""))</x:f>
      </x:c>
      <x:c r="G236" t="str">
        <x:f>IF(G$1="","",IFERROR(INDEX('包络曲线数据'!$B$2:$U$742,ROW()-1,MATCH(G$1,'包络曲线数据'!$B$1:$U$1,0)),""))</x:f>
      </x:c>
    </x:row>
    <x:row r="237">
      <x:c r="A237" t="n">
        <x:v>23.5</x:v>
      </x:c>
      <x:c r="B237" t="n">
        <x:f>IF(B$1="","",IFERROR(INDEX('包络曲线数据'!$B$2:$U$742,ROW()-1,MATCH(B$1,'包络曲线数据'!$B$1:$U$1,0)),""))</x:f>
        <x:v>72.19951294408625</x:v>
      </x:c>
      <x:c r="C237" t="n">
        <x:f>IF(C$1="","",IFERROR(INDEX('包络曲线数据'!$B$2:$U$742,ROW()-1,MATCH(C$1,'包络曲线数据'!$B$1:$U$1,0)),""))</x:f>
        <x:v>62.89932351534967</x:v>
      </x:c>
      <x:c r="D237" t="n">
        <x:f>IF(D$1="","",IFERROR(INDEX('包络曲线数据'!$B$2:$U$742,ROW()-1,MATCH(D$1,'包络曲线数据'!$B$1:$U$1,0)),""))</x:f>
        <x:v>63.17140234775326</x:v>
      </x:c>
      <x:c r="E237" t="str">
        <x:f>IF(E$1="","",IFERROR(INDEX('包络曲线数据'!$B$2:$U$742,ROW()-1,MATCH(E$1,'包络曲线数据'!$B$1:$U$1,0)),""))</x:f>
      </x:c>
      <x:c r="F237" t="str">
        <x:f>IF(F$1="","",IFERROR(INDEX('包络曲线数据'!$B$2:$U$742,ROW()-1,MATCH(F$1,'包络曲线数据'!$B$1:$U$1,0)),""))</x:f>
      </x:c>
      <x:c r="G237" t="str">
        <x:f>IF(G$1="","",IFERROR(INDEX('包络曲线数据'!$B$2:$U$742,ROW()-1,MATCH(G$1,'包络曲线数据'!$B$1:$U$1,0)),""))</x:f>
      </x:c>
    </x:row>
    <x:row r="238">
      <x:c r="A238" t="n">
        <x:v>23.6</x:v>
      </x:c>
      <x:c r="B238" t="n">
        <x:f>IF(B$1="","",IFERROR(INDEX('包络曲线数据'!$B$2:$U$742,ROW()-1,MATCH(B$1,'包络曲线数据'!$B$1:$U$1,0)),""))</x:f>
        <x:v>66.56674728944807</x:v>
      </x:c>
      <x:c r="C238" t="n">
        <x:f>IF(C$1="","",IFERROR(INDEX('包络曲线数据'!$B$2:$U$742,ROW()-1,MATCH(C$1,'包络曲线数据'!$B$1:$U$1,0)),""))</x:f>
        <x:v>65.37882949809638</x:v>
      </x:c>
      <x:c r="D238" t="n">
        <x:f>IF(D$1="","",IFERROR(INDEX('包络曲线数据'!$B$2:$U$742,ROW()-1,MATCH(D$1,'包络曲线数据'!$B$1:$U$1,0)),""))</x:f>
        <x:v>64.00154019586454</x:v>
      </x:c>
      <x:c r="E238" t="str">
        <x:f>IF(E$1="","",IFERROR(INDEX('包络曲线数据'!$B$2:$U$742,ROW()-1,MATCH(E$1,'包络曲线数据'!$B$1:$U$1,0)),""))</x:f>
      </x:c>
      <x:c r="F238" t="str">
        <x:f>IF(F$1="","",IFERROR(INDEX('包络曲线数据'!$B$2:$U$742,ROW()-1,MATCH(F$1,'包络曲线数据'!$B$1:$U$1,0)),""))</x:f>
      </x:c>
      <x:c r="G238" t="str">
        <x:f>IF(G$1="","",IFERROR(INDEX('包络曲线数据'!$B$2:$U$742,ROW()-1,MATCH(G$1,'包络曲线数据'!$B$1:$U$1,0)),""))</x:f>
      </x:c>
    </x:row>
    <x:row r="239">
      <x:c r="A239" t="n">
        <x:v>23.700000000000003</x:v>
      </x:c>
      <x:c r="B239" t="n">
        <x:f>IF(B$1="","",IFERROR(INDEX('包络曲线数据'!$B$2:$U$742,ROW()-1,MATCH(B$1,'包络曲线数据'!$B$1:$U$1,0)),""))</x:f>
        <x:v>63.40231986868934</x:v>
      </x:c>
      <x:c r="C239" t="n">
        <x:f>IF(C$1="","",IFERROR(INDEX('包络曲线数据'!$B$2:$U$742,ROW()-1,MATCH(C$1,'包络曲线数据'!$B$1:$U$1,0)),""))</x:f>
        <x:v>66.47261251651032</x:v>
      </x:c>
      <x:c r="D239" t="n">
        <x:f>IF(D$1="","",IFERROR(INDEX('包络曲线数据'!$B$2:$U$742,ROW()-1,MATCH(D$1,'包络曲线数据'!$B$1:$U$1,0)),""))</x:f>
        <x:v>65.5076758772172</x:v>
      </x:c>
      <x:c r="E239" t="str">
        <x:f>IF(E$1="","",IFERROR(INDEX('包络曲线数据'!$B$2:$U$742,ROW()-1,MATCH(E$1,'包络曲线数据'!$B$1:$U$1,0)),""))</x:f>
      </x:c>
      <x:c r="F239" t="str">
        <x:f>IF(F$1="","",IFERROR(INDEX('包络曲线数据'!$B$2:$U$742,ROW()-1,MATCH(F$1,'包络曲线数据'!$B$1:$U$1,0)),""))</x:f>
      </x:c>
      <x:c r="G239" t="str">
        <x:f>IF(G$1="","",IFERROR(INDEX('包络曲线数据'!$B$2:$U$742,ROW()-1,MATCH(G$1,'包络曲线数据'!$B$1:$U$1,0)),""))</x:f>
      </x:c>
    </x:row>
    <x:row r="240">
      <x:c r="A240" t="n">
        <x:v>23.8</x:v>
      </x:c>
      <x:c r="B240" t="n">
        <x:f>IF(B$1="","",IFERROR(INDEX('包络曲线数据'!$B$2:$U$742,ROW()-1,MATCH(B$1,'包络曲线数据'!$B$1:$U$1,0)),""))</x:f>
        <x:v>68.99038534380901</x:v>
      </x:c>
      <x:c r="C240" t="n">
        <x:f>IF(C$1="","",IFERROR(INDEX('包络曲线数据'!$B$2:$U$742,ROW()-1,MATCH(C$1,'包络曲线数据'!$B$1:$U$1,0)),""))</x:f>
        <x:v>66.47261251651032</x:v>
      </x:c>
      <x:c r="D240" t="n">
        <x:f>IF(D$1="","",IFERROR(INDEX('包络曲线数据'!$B$2:$U$742,ROW()-1,MATCH(D$1,'包络曲线数据'!$B$1:$U$1,0)),""))</x:f>
        <x:v>70.77999378087443</x:v>
      </x:c>
      <x:c r="E240" t="str">
        <x:f>IF(E$1="","",IFERROR(INDEX('包络曲线数据'!$B$2:$U$742,ROW()-1,MATCH(E$1,'包络曲线数据'!$B$1:$U$1,0)),""))</x:f>
      </x:c>
      <x:c r="F240" t="str">
        <x:f>IF(F$1="","",IFERROR(INDEX('包络曲线数据'!$B$2:$U$742,ROW()-1,MATCH(F$1,'包络曲线数据'!$B$1:$U$1,0)),""))</x:f>
      </x:c>
      <x:c r="G240" t="str">
        <x:f>IF(G$1="","",IFERROR(INDEX('包络曲线数据'!$B$2:$U$742,ROW()-1,MATCH(G$1,'包络曲线数据'!$B$1:$U$1,0)),""))</x:f>
      </x:c>
    </x:row>
    <x:row r="241">
      <x:c r="A241" t="n">
        <x:v>23.900000000000002</x:v>
      </x:c>
      <x:c r="B241" t="n">
        <x:f>IF(B$1="","",IFERROR(INDEX('包络曲线数据'!$B$2:$U$742,ROW()-1,MATCH(B$1,'包络曲线数据'!$B$1:$U$1,0)),""))</x:f>
        <x:v>68.99038534380901</x:v>
      </x:c>
      <x:c r="C241" t="n">
        <x:f>IF(C$1="","",IFERROR(INDEX('包络曲线数据'!$B$2:$U$742,ROW()-1,MATCH(C$1,'包络曲线数据'!$B$1:$U$1,0)),""))</x:f>
        <x:v>67.03207768117635</x:v>
      </x:c>
      <x:c r="D241" t="n">
        <x:f>IF(D$1="","",IFERROR(INDEX('包络曲线数据'!$B$2:$U$742,ROW()-1,MATCH(D$1,'包络曲线数据'!$B$1:$U$1,0)),""))</x:f>
        <x:v>79.56719028696932</x:v>
      </x:c>
      <x:c r="E241" t="str">
        <x:f>IF(E$1="","",IFERROR(INDEX('包络曲线数据'!$B$2:$U$742,ROW()-1,MATCH(E$1,'包络曲线数据'!$B$1:$U$1,0)),""))</x:f>
      </x:c>
      <x:c r="F241" t="str">
        <x:f>IF(F$1="","",IFERROR(INDEX('包络曲线数据'!$B$2:$U$742,ROW()-1,MATCH(F$1,'包络曲线数据'!$B$1:$U$1,0)),""))</x:f>
      </x:c>
      <x:c r="G241" t="str">
        <x:f>IF(G$1="","",IFERROR(INDEX('包络曲线数据'!$B$2:$U$742,ROW()-1,MATCH(G$1,'包络曲线数据'!$B$1:$U$1,0)),""))</x:f>
      </x:c>
    </x:row>
    <x:row r="242">
      <x:c r="A242" t="n">
        <x:v>24</x:v>
      </x:c>
      <x:c r="B242" t="n">
        <x:f>IF(B$1="","",IFERROR(INDEX('包络曲线数据'!$B$2:$U$742,ROW()-1,MATCH(B$1,'包络曲线数据'!$B$1:$U$1,0)),""))</x:f>
        <x:v>68.96625130337895</x:v>
      </x:c>
      <x:c r="C242" t="n">
        <x:f>IF(C$1="","",IFERROR(INDEX('包络曲线数据'!$B$2:$U$742,ROW()-1,MATCH(C$1,'包络曲线数据'!$B$1:$U$1,0)),""))</x:f>
        <x:v>66.80501809716584</x:v>
      </x:c>
      <x:c r="D242" t="n">
        <x:f>IF(D$1="","",IFERROR(INDEX('包络曲线数据'!$B$2:$U$742,ROW()-1,MATCH(D$1,'包络曲线数据'!$B$1:$U$1,0)),""))</x:f>
        <x:v>79.56719028696932</x:v>
      </x:c>
      <x:c r="E242" t="str">
        <x:f>IF(E$1="","",IFERROR(INDEX('包络曲线数据'!$B$2:$U$742,ROW()-1,MATCH(E$1,'包络曲线数据'!$B$1:$U$1,0)),""))</x:f>
      </x:c>
      <x:c r="F242" t="str">
        <x:f>IF(F$1="","",IFERROR(INDEX('包络曲线数据'!$B$2:$U$742,ROW()-1,MATCH(F$1,'包络曲线数据'!$B$1:$U$1,0)),""))</x:f>
      </x:c>
      <x:c r="G242" t="str">
        <x:f>IF(G$1="","",IFERROR(INDEX('包络曲线数据'!$B$2:$U$742,ROW()-1,MATCH(G$1,'包络曲线数据'!$B$1:$U$1,0)),""))</x:f>
      </x:c>
    </x:row>
    <x:row r="243">
      <x:c r="A243" t="n">
        <x:v>24.1</x:v>
      </x:c>
      <x:c r="B243" t="n">
        <x:f>IF(B$1="","",IFERROR(INDEX('包络曲线数据'!$B$2:$U$742,ROW()-1,MATCH(B$1,'包络曲线数据'!$B$1:$U$1,0)),""))</x:f>
        <x:v>68.96625130337895</x:v>
      </x:c>
      <x:c r="C243" t="n">
        <x:f>IF(C$1="","",IFERROR(INDEX('包络曲线数据'!$B$2:$U$742,ROW()-1,MATCH(C$1,'包络曲线数据'!$B$1:$U$1,0)),""))</x:f>
        <x:v>67.73308849478899</x:v>
      </x:c>
      <x:c r="D243" t="n">
        <x:f>IF(D$1="","",IFERROR(INDEX('包络曲线数据'!$B$2:$U$742,ROW()-1,MATCH(D$1,'包络曲线数据'!$B$1:$U$1,0)),""))</x:f>
        <x:v>75.19523887875165</x:v>
      </x:c>
      <x:c r="E243" t="str">
        <x:f>IF(E$1="","",IFERROR(INDEX('包络曲线数据'!$B$2:$U$742,ROW()-1,MATCH(E$1,'包络曲线数据'!$B$1:$U$1,0)),""))</x:f>
      </x:c>
      <x:c r="F243" t="str">
        <x:f>IF(F$1="","",IFERROR(INDEX('包络曲线数据'!$B$2:$U$742,ROW()-1,MATCH(F$1,'包络曲线数据'!$B$1:$U$1,0)),""))</x:f>
      </x:c>
      <x:c r="G243" t="str">
        <x:f>IF(G$1="","",IFERROR(INDEX('包络曲线数据'!$B$2:$U$742,ROW()-1,MATCH(G$1,'包络曲线数据'!$B$1:$U$1,0)),""))</x:f>
      </x:c>
    </x:row>
    <x:row r="244">
      <x:c r="A244" t="n">
        <x:v>24.200000000000003</x:v>
      </x:c>
      <x:c r="B244" t="n">
        <x:f>IF(B$1="","",IFERROR(INDEX('包络曲线数据'!$B$2:$U$742,ROW()-1,MATCH(B$1,'包络曲线数据'!$B$1:$U$1,0)),""))</x:f>
        <x:v>69.4408316895084</x:v>
      </x:c>
      <x:c r="C244" t="n">
        <x:f>IF(C$1="","",IFERROR(INDEX('包络曲线数据'!$B$2:$U$742,ROW()-1,MATCH(C$1,'包络曲线数据'!$B$1:$U$1,0)),""))</x:f>
        <x:v>67.73308849478899</x:v>
      </x:c>
      <x:c r="D244" t="n">
        <x:f>IF(D$1="","",IFERROR(INDEX('包络曲线数据'!$B$2:$U$742,ROW()-1,MATCH(D$1,'包络曲线数据'!$B$1:$U$1,0)),""))</x:f>
        <x:v>69.18064737395946</x:v>
      </x:c>
      <x:c r="E244" t="str">
        <x:f>IF(E$1="","",IFERROR(INDEX('包络曲线数据'!$B$2:$U$742,ROW()-1,MATCH(E$1,'包络曲线数据'!$B$1:$U$1,0)),""))</x:f>
      </x:c>
      <x:c r="F244" t="str">
        <x:f>IF(F$1="","",IFERROR(INDEX('包络曲线数据'!$B$2:$U$742,ROW()-1,MATCH(F$1,'包络曲线数据'!$B$1:$U$1,0)),""))</x:f>
      </x:c>
      <x:c r="G244" t="str">
        <x:f>IF(G$1="","",IFERROR(INDEX('包络曲线数据'!$B$2:$U$742,ROW()-1,MATCH(G$1,'包络曲线数据'!$B$1:$U$1,0)),""))</x:f>
      </x:c>
    </x:row>
    <x:row r="245">
      <x:c r="A245" t="n">
        <x:v>24.3</x:v>
      </x:c>
      <x:c r="B245" t="n">
        <x:f>IF(B$1="","",IFERROR(INDEX('包络曲线数据'!$B$2:$U$742,ROW()-1,MATCH(B$1,'包络曲线数据'!$B$1:$U$1,0)),""))</x:f>
        <x:v>69.4408316895084</x:v>
      </x:c>
      <x:c r="C245" t="n">
        <x:f>IF(C$1="","",IFERROR(INDEX('包络曲线数据'!$B$2:$U$742,ROW()-1,MATCH(C$1,'包络曲线数据'!$B$1:$U$1,0)),""))</x:f>
        <x:v>67.36861369524867</x:v>
      </x:c>
      <x:c r="D245" t="n">
        <x:f>IF(D$1="","",IFERROR(INDEX('包络曲线数据'!$B$2:$U$742,ROW()-1,MATCH(D$1,'包络曲线数据'!$B$1:$U$1,0)),""))</x:f>
        <x:v>65.52602749755337</x:v>
      </x:c>
      <x:c r="E245" t="str">
        <x:f>IF(E$1="","",IFERROR(INDEX('包络曲线数据'!$B$2:$U$742,ROW()-1,MATCH(E$1,'包络曲线数据'!$B$1:$U$1,0)),""))</x:f>
      </x:c>
      <x:c r="F245" t="str">
        <x:f>IF(F$1="","",IFERROR(INDEX('包络曲线数据'!$B$2:$U$742,ROW()-1,MATCH(F$1,'包络曲线数据'!$B$1:$U$1,0)),""))</x:f>
      </x:c>
      <x:c r="G245" t="str">
        <x:f>IF(G$1="","",IFERROR(INDEX('包络曲线数据'!$B$2:$U$742,ROW()-1,MATCH(G$1,'包络曲线数据'!$B$1:$U$1,0)),""))</x:f>
      </x:c>
    </x:row>
    <x:row r="246">
      <x:c r="A246" t="n">
        <x:v>24.400000000000002</x:v>
      </x:c>
      <x:c r="B246" t="n">
        <x:f>IF(B$1="","",IFERROR(INDEX('包络曲线数据'!$B$2:$U$742,ROW()-1,MATCH(B$1,'包络曲线数据'!$B$1:$U$1,0)),""))</x:f>
        <x:v>69.29166229002018</x:v>
      </x:c>
      <x:c r="C246" t="n">
        <x:f>IF(C$1="","",IFERROR(INDEX('包络曲线数据'!$B$2:$U$742,ROW()-1,MATCH(C$1,'包络曲线数据'!$B$1:$U$1,0)),""))</x:f>
        <x:v>67.35557499567035</x:v>
      </x:c>
      <x:c r="D246" t="n">
        <x:f>IF(D$1="","",IFERROR(INDEX('包络曲线数据'!$B$2:$U$742,ROW()-1,MATCH(D$1,'包络曲线数据'!$B$1:$U$1,0)),""))</x:f>
        <x:v>61.59527272540348</x:v>
      </x:c>
      <x:c r="E246" t="str">
        <x:f>IF(E$1="","",IFERROR(INDEX('包络曲线数据'!$B$2:$U$742,ROW()-1,MATCH(E$1,'包络曲线数据'!$B$1:$U$1,0)),""))</x:f>
      </x:c>
      <x:c r="F246" t="str">
        <x:f>IF(F$1="","",IFERROR(INDEX('包络曲线数据'!$B$2:$U$742,ROW()-1,MATCH(F$1,'包络曲线数据'!$B$1:$U$1,0)),""))</x:f>
      </x:c>
      <x:c r="G246" t="str">
        <x:f>IF(G$1="","",IFERROR(INDEX('包络曲线数据'!$B$2:$U$742,ROW()-1,MATCH(G$1,'包络曲线数据'!$B$1:$U$1,0)),""))</x:f>
      </x:c>
    </x:row>
    <x:row r="247">
      <x:c r="A247" t="n">
        <x:v>24.5</x:v>
      </x:c>
      <x:c r="B247" t="n">
        <x:f>IF(B$1="","",IFERROR(INDEX('包络曲线数据'!$B$2:$U$742,ROW()-1,MATCH(B$1,'包络曲线数据'!$B$1:$U$1,0)),""))</x:f>
        <x:v>69.85476026796381</x:v>
      </x:c>
      <x:c r="C247" t="n">
        <x:f>IF(C$1="","",IFERROR(INDEX('包络曲线数据'!$B$2:$U$742,ROW()-1,MATCH(C$1,'包络曲线数据'!$B$1:$U$1,0)),""))</x:f>
        <x:v>68.41810065020194</x:v>
      </x:c>
      <x:c r="D247" t="n">
        <x:f>IF(D$1="","",IFERROR(INDEX('包络曲线数据'!$B$2:$U$742,ROW()-1,MATCH(D$1,'包络曲线数据'!$B$1:$U$1,0)),""))</x:f>
        <x:v>50</x:v>
      </x:c>
      <x:c r="E247" t="str">
        <x:f>IF(E$1="","",IFERROR(INDEX('包络曲线数据'!$B$2:$U$742,ROW()-1,MATCH(E$1,'包络曲线数据'!$B$1:$U$1,0)),""))</x:f>
      </x:c>
      <x:c r="F247" t="str">
        <x:f>IF(F$1="","",IFERROR(INDEX('包络曲线数据'!$B$2:$U$742,ROW()-1,MATCH(F$1,'包络曲线数据'!$B$1:$U$1,0)),""))</x:f>
      </x:c>
      <x:c r="G247" t="str">
        <x:f>IF(G$1="","",IFERROR(INDEX('包络曲线数据'!$B$2:$U$742,ROW()-1,MATCH(G$1,'包络曲线数据'!$B$1:$U$1,0)),""))</x:f>
      </x:c>
    </x:row>
    <x:row r="248">
      <x:c r="A248" t="n">
        <x:v>24.6</x:v>
      </x:c>
      <x:c r="B248" t="n">
        <x:f>IF(B$1="","",IFERROR(INDEX('包络曲线数据'!$B$2:$U$742,ROW()-1,MATCH(B$1,'包络曲线数据'!$B$1:$U$1,0)),""))</x:f>
        <x:v>70.22452893131853</x:v>
      </x:c>
      <x:c r="C248" t="n">
        <x:f>IF(C$1="","",IFERROR(INDEX('包络曲线数据'!$B$2:$U$742,ROW()-1,MATCH(C$1,'包络曲线数据'!$B$1:$U$1,0)),""))</x:f>
        <x:v>68.41810065020194</x:v>
      </x:c>
      <x:c r="D248" t="n">
        <x:f>IF(D$1="","",IFERROR(INDEX('包络曲线数据'!$B$2:$U$742,ROW()-1,MATCH(D$1,'包络曲线数据'!$B$1:$U$1,0)),""))</x:f>
        <x:v>50</x:v>
      </x:c>
      <x:c r="E248" t="str">
        <x:f>IF(E$1="","",IFERROR(INDEX('包络曲线数据'!$B$2:$U$742,ROW()-1,MATCH(E$1,'包络曲线数据'!$B$1:$U$1,0)),""))</x:f>
      </x:c>
      <x:c r="F248" t="str">
        <x:f>IF(F$1="","",IFERROR(INDEX('包络曲线数据'!$B$2:$U$742,ROW()-1,MATCH(F$1,'包络曲线数据'!$B$1:$U$1,0)),""))</x:f>
      </x:c>
      <x:c r="G248" t="str">
        <x:f>IF(G$1="","",IFERROR(INDEX('包络曲线数据'!$B$2:$U$742,ROW()-1,MATCH(G$1,'包络曲线数据'!$B$1:$U$1,0)),""))</x:f>
      </x:c>
    </x:row>
    <x:row r="249">
      <x:c r="A249" t="n">
        <x:v>24.700000000000003</x:v>
      </x:c>
      <x:c r="B249" t="n">
        <x:f>IF(B$1="","",IFERROR(INDEX('包络曲线数据'!$B$2:$U$742,ROW()-1,MATCH(B$1,'包络曲线数据'!$B$1:$U$1,0)),""))</x:f>
        <x:v>70.22452893131853</x:v>
      </x:c>
      <x:c r="C249" t="n">
        <x:f>IF(C$1="","",IFERROR(INDEX('包络曲线数据'!$B$2:$U$742,ROW()-1,MATCH(C$1,'包络曲线数据'!$B$1:$U$1,0)),""))</x:f>
        <x:v>66.31005076598592</x:v>
      </x:c>
      <x:c r="D249" t="n">
        <x:f>IF(D$1="","",IFERROR(INDEX('包络曲线数据'!$B$2:$U$742,ROW()-1,MATCH(D$1,'包络曲线数据'!$B$1:$U$1,0)),""))</x:f>
        <x:v>50</x:v>
      </x:c>
      <x:c r="E249" t="str">
        <x:f>IF(E$1="","",IFERROR(INDEX('包络曲线数据'!$B$2:$U$742,ROW()-1,MATCH(E$1,'包络曲线数据'!$B$1:$U$1,0)),""))</x:f>
      </x:c>
      <x:c r="F249" t="str">
        <x:f>IF(F$1="","",IFERROR(INDEX('包络曲线数据'!$B$2:$U$742,ROW()-1,MATCH(F$1,'包络曲线数据'!$B$1:$U$1,0)),""))</x:f>
      </x:c>
      <x:c r="G249" t="str">
        <x:f>IF(G$1="","",IFERROR(INDEX('包络曲线数据'!$B$2:$U$742,ROW()-1,MATCH(G$1,'包络曲线数据'!$B$1:$U$1,0)),""))</x:f>
      </x:c>
    </x:row>
    <x:row r="250">
      <x:c r="A250" t="n">
        <x:v>24.8</x:v>
      </x:c>
      <x:c r="B250" t="n">
        <x:f>IF(B$1="","",IFERROR(INDEX('包络曲线数据'!$B$2:$U$742,ROW()-1,MATCH(B$1,'包络曲线数据'!$B$1:$U$1,0)),""))</x:f>
        <x:v>84.47397669844624</x:v>
      </x:c>
      <x:c r="C250" t="n">
        <x:f>IF(C$1="","",IFERROR(INDEX('包络曲线数据'!$B$2:$U$742,ROW()-1,MATCH(C$1,'包络曲线数据'!$B$1:$U$1,0)),""))</x:f>
        <x:v>62.13988662545457</x:v>
      </x:c>
      <x:c r="D250" t="n">
        <x:f>IF(D$1="","",IFERROR(INDEX('包络曲线数据'!$B$2:$U$742,ROW()-1,MATCH(D$1,'包络曲线数据'!$B$1:$U$1,0)),""))</x:f>
        <x:v>61.880580866278734</x:v>
      </x:c>
      <x:c r="E250" t="str">
        <x:f>IF(E$1="","",IFERROR(INDEX('包络曲线数据'!$B$2:$U$742,ROW()-1,MATCH(E$1,'包络曲线数据'!$B$1:$U$1,0)),""))</x:f>
      </x:c>
      <x:c r="F250" t="str">
        <x:f>IF(F$1="","",IFERROR(INDEX('包络曲线数据'!$B$2:$U$742,ROW()-1,MATCH(F$1,'包络曲线数据'!$B$1:$U$1,0)),""))</x:f>
      </x:c>
      <x:c r="G250" t="str">
        <x:f>IF(G$1="","",IFERROR(INDEX('包络曲线数据'!$B$2:$U$742,ROW()-1,MATCH(G$1,'包络曲线数据'!$B$1:$U$1,0)),""))</x:f>
      </x:c>
    </x:row>
    <x:row r="251">
      <x:c r="A251" t="n">
        <x:v>24.900000000000002</x:v>
      </x:c>
      <x:c r="B251" t="n">
        <x:f>IF(B$1="","",IFERROR(INDEX('包络曲线数据'!$B$2:$U$742,ROW()-1,MATCH(B$1,'包络曲线数据'!$B$1:$U$1,0)),""))</x:f>
        <x:v>84.8490148702174</x:v>
      </x:c>
      <x:c r="C251" t="n">
        <x:f>IF(C$1="","",IFERROR(INDEX('包络曲线数据'!$B$2:$U$742,ROW()-1,MATCH(C$1,'包络曲线数据'!$B$1:$U$1,0)),""))</x:f>
        <x:v>68.85600142597953</x:v>
      </x:c>
      <x:c r="D251" t="n">
        <x:f>IF(D$1="","",IFERROR(INDEX('包络曲线数据'!$B$2:$U$742,ROW()-1,MATCH(D$1,'包络曲线数据'!$B$1:$U$1,0)),""))</x:f>
        <x:v>68.40741786313485</x:v>
      </x:c>
      <x:c r="E251" t="str">
        <x:f>IF(E$1="","",IFERROR(INDEX('包络曲线数据'!$B$2:$U$742,ROW()-1,MATCH(E$1,'包络曲线数据'!$B$1:$U$1,0)),""))</x:f>
      </x:c>
      <x:c r="F251" t="str">
        <x:f>IF(F$1="","",IFERROR(INDEX('包络曲线数据'!$B$2:$U$742,ROW()-1,MATCH(F$1,'包络曲线数据'!$B$1:$U$1,0)),""))</x:f>
      </x:c>
      <x:c r="G251" t="str">
        <x:f>IF(G$1="","",IFERROR(INDEX('包络曲线数据'!$B$2:$U$742,ROW()-1,MATCH(G$1,'包络曲线数据'!$B$1:$U$1,0)),""))</x:f>
      </x:c>
    </x:row>
    <x:row r="252">
      <x:c r="A252" t="n">
        <x:v>25</x:v>
      </x:c>
      <x:c r="B252" t="n">
        <x:f>IF(B$1="","",IFERROR(INDEX('包络曲线数据'!$B$2:$U$742,ROW()-1,MATCH(B$1,'包络曲线数据'!$B$1:$U$1,0)),""))</x:f>
        <x:v>84.05415332104607</x:v>
      </x:c>
      <x:c r="C252" t="n">
        <x:f>IF(C$1="","",IFERROR(INDEX('包络曲线数据'!$B$2:$U$742,ROW()-1,MATCH(C$1,'包络曲线数据'!$B$1:$U$1,0)),""))</x:f>
        <x:v>79.8141514389484</x:v>
      </x:c>
      <x:c r="D252" t="n">
        <x:f>IF(D$1="","",IFERROR(INDEX('包络曲线数据'!$B$2:$U$742,ROW()-1,MATCH(D$1,'包络曲线数据'!$B$1:$U$1,0)),""))</x:f>
        <x:v>75.3810714054192</x:v>
      </x:c>
      <x:c r="E252" t="str">
        <x:f>IF(E$1="","",IFERROR(INDEX('包络曲线数据'!$B$2:$U$742,ROW()-1,MATCH(E$1,'包络曲线数据'!$B$1:$U$1,0)),""))</x:f>
      </x:c>
      <x:c r="F252" t="str">
        <x:f>IF(F$1="","",IFERROR(INDEX('包络曲线数据'!$B$2:$U$742,ROW()-1,MATCH(F$1,'包络曲线数据'!$B$1:$U$1,0)),""))</x:f>
      </x:c>
      <x:c r="G252" t="str">
        <x:f>IF(G$1="","",IFERROR(INDEX('包络曲线数据'!$B$2:$U$742,ROW()-1,MATCH(G$1,'包络曲线数据'!$B$1:$U$1,0)),""))</x:f>
      </x:c>
    </x:row>
    <x:row r="253">
      <x:c r="A253" t="n">
        <x:v>25.1</x:v>
      </x:c>
      <x:c r="B253" t="n">
        <x:f>IF(B$1="","",IFERROR(INDEX('包络曲线数据'!$B$2:$U$742,ROW()-1,MATCH(B$1,'包络曲线数据'!$B$1:$U$1,0)),""))</x:f>
        <x:v>72.21154455137048</x:v>
      </x:c>
      <x:c r="C253" t="n">
        <x:f>IF(C$1="","",IFERROR(INDEX('包络曲线数据'!$B$2:$U$742,ROW()-1,MATCH(C$1,'包络曲线数据'!$B$1:$U$1,0)),""))</x:f>
        <x:v>79.8141514389484</x:v>
      </x:c>
      <x:c r="D253" t="n">
        <x:f>IF(D$1="","",IFERROR(INDEX('包络曲线数据'!$B$2:$U$742,ROW()-1,MATCH(D$1,'包络曲线数据'!$B$1:$U$1,0)),""))</x:f>
        <x:v>75.3810714054192</x:v>
      </x:c>
      <x:c r="E253" t="str">
        <x:f>IF(E$1="","",IFERROR(INDEX('包络曲线数据'!$B$2:$U$742,ROW()-1,MATCH(E$1,'包络曲线数据'!$B$1:$U$1,0)),""))</x:f>
      </x:c>
      <x:c r="F253" t="str">
        <x:f>IF(F$1="","",IFERROR(INDEX('包络曲线数据'!$B$2:$U$742,ROW()-1,MATCH(F$1,'包络曲线数据'!$B$1:$U$1,0)),""))</x:f>
      </x:c>
      <x:c r="G253" t="str">
        <x:f>IF(G$1="","",IFERROR(INDEX('包络曲线数据'!$B$2:$U$742,ROW()-1,MATCH(G$1,'包络曲线数据'!$B$1:$U$1,0)),""))</x:f>
      </x:c>
    </x:row>
    <x:row r="254">
      <x:c r="A254" t="n">
        <x:v>25.200000000000003</x:v>
      </x:c>
      <x:c r="B254" t="n">
        <x:f>IF(B$1="","",IFERROR(INDEX('包络曲线数据'!$B$2:$U$742,ROW()-1,MATCH(B$1,'包络曲线数据'!$B$1:$U$1,0)),""))</x:f>
        <x:v>67.42087848892602</x:v>
      </x:c>
      <x:c r="C254" t="n">
        <x:f>IF(C$1="","",IFERROR(INDEX('包络曲线数据'!$B$2:$U$742,ROW()-1,MATCH(C$1,'包络曲线数据'!$B$1:$U$1,0)),""))</x:f>
        <x:v>73.58167687291385</x:v>
      </x:c>
      <x:c r="D254" t="n">
        <x:f>IF(D$1="","",IFERROR(INDEX('包络曲线数据'!$B$2:$U$742,ROW()-1,MATCH(D$1,'包络曲线数据'!$B$1:$U$1,0)),""))</x:f>
        <x:v>68.28127377917264</x:v>
      </x:c>
      <x:c r="E254" t="str">
        <x:f>IF(E$1="","",IFERROR(INDEX('包络曲线数据'!$B$2:$U$742,ROW()-1,MATCH(E$1,'包络曲线数据'!$B$1:$U$1,0)),""))</x:f>
      </x:c>
      <x:c r="F254" t="str">
        <x:f>IF(F$1="","",IFERROR(INDEX('包络曲线数据'!$B$2:$U$742,ROW()-1,MATCH(F$1,'包络曲线数据'!$B$1:$U$1,0)),""))</x:f>
      </x:c>
      <x:c r="G254" t="str">
        <x:f>IF(G$1="","",IFERROR(INDEX('包络曲线数据'!$B$2:$U$742,ROW()-1,MATCH(G$1,'包络曲线数据'!$B$1:$U$1,0)),""))</x:f>
      </x:c>
    </x:row>
    <x:row r="255">
      <x:c r="A255" t="n">
        <x:v>25.3</x:v>
      </x:c>
      <x:c r="B255" t="n">
        <x:f>IF(B$1="","",IFERROR(INDEX('包络曲线数据'!$B$2:$U$742,ROW()-1,MATCH(B$1,'包络曲线数据'!$B$1:$U$1,0)),""))</x:f>
        <x:v>65.27185928271724</x:v>
      </x:c>
      <x:c r="C255" t="n">
        <x:f>IF(C$1="","",IFERROR(INDEX('包络曲线数据'!$B$2:$U$742,ROW()-1,MATCH(C$1,'包络曲线数据'!$B$1:$U$1,0)),""))</x:f>
        <x:v>64.66964729182536</x:v>
      </x:c>
      <x:c r="D255" t="n">
        <x:f>IF(D$1="","",IFERROR(INDEX('包络曲线数据'!$B$2:$U$742,ROW()-1,MATCH(D$1,'包络曲线数据'!$B$1:$U$1,0)),""))</x:f>
        <x:v>62.039106086090555</x:v>
      </x:c>
      <x:c r="E255" t="str">
        <x:f>IF(E$1="","",IFERROR(INDEX('包络曲线数据'!$B$2:$U$742,ROW()-1,MATCH(E$1,'包络曲线数据'!$B$1:$U$1,0)),""))</x:f>
      </x:c>
      <x:c r="F255" t="str">
        <x:f>IF(F$1="","",IFERROR(INDEX('包络曲线数据'!$B$2:$U$742,ROW()-1,MATCH(F$1,'包络曲线数据'!$B$1:$U$1,0)),""))</x:f>
      </x:c>
      <x:c r="G255" t="str">
        <x:f>IF(G$1="","",IFERROR(INDEX('包络曲线数据'!$B$2:$U$742,ROW()-1,MATCH(G$1,'包络曲线数据'!$B$1:$U$1,0)),""))</x:f>
      </x:c>
    </x:row>
    <x:row r="256">
      <x:c r="A256" t="n">
        <x:v>25.400000000000002</x:v>
      </x:c>
      <x:c r="B256" t="n">
        <x:f>IF(B$1="","",IFERROR(INDEX('包络曲线数据'!$B$2:$U$742,ROW()-1,MATCH(B$1,'包络曲线数据'!$B$1:$U$1,0)),""))</x:f>
        <x:v>51.595284178115094</x:v>
      </x:c>
      <x:c r="C256" t="n">
        <x:f>IF(C$1="","",IFERROR(INDEX('包络曲线数据'!$B$2:$U$742,ROW()-1,MATCH(C$1,'包络曲线数据'!$B$1:$U$1,0)),""))</x:f>
        <x:v>54.597041725953154</x:v>
      </x:c>
      <x:c r="D256" t="n">
        <x:f>IF(D$1="","",IFERROR(INDEX('包络曲线数据'!$B$2:$U$742,ROW()-1,MATCH(D$1,'包络曲线数据'!$B$1:$U$1,0)),""))</x:f>
        <x:v>62.45078313838181</x:v>
      </x:c>
      <x:c r="E256" t="str">
        <x:f>IF(E$1="","",IFERROR(INDEX('包络曲线数据'!$B$2:$U$742,ROW()-1,MATCH(E$1,'包络曲线数据'!$B$1:$U$1,0)),""))</x:f>
      </x:c>
      <x:c r="F256" t="str">
        <x:f>IF(F$1="","",IFERROR(INDEX('包络曲线数据'!$B$2:$U$742,ROW()-1,MATCH(F$1,'包络曲线数据'!$B$1:$U$1,0)),""))</x:f>
      </x:c>
      <x:c r="G256" t="str">
        <x:f>IF(G$1="","",IFERROR(INDEX('包络曲线数据'!$B$2:$U$742,ROW()-1,MATCH(G$1,'包络曲线数据'!$B$1:$U$1,0)),""))</x:f>
      </x:c>
    </x:row>
    <x:row r="257">
      <x:c r="A257" t="n">
        <x:v>25.5</x:v>
      </x:c>
      <x:c r="B257" t="n">
        <x:f>IF(B$1="","",IFERROR(INDEX('包络曲线数据'!$B$2:$U$742,ROW()-1,MATCH(B$1,'包络曲线数据'!$B$1:$U$1,0)),""))</x:f>
        <x:v>51.595284178115094</x:v>
      </x:c>
      <x:c r="C257" t="n">
        <x:f>IF(C$1="","",IFERROR(INDEX('包络曲线数据'!$B$2:$U$742,ROW()-1,MATCH(C$1,'包络曲线数据'!$B$1:$U$1,0)),""))</x:f>
        <x:v>54.73500311272822</x:v>
      </x:c>
      <x:c r="D257" t="n">
        <x:f>IF(D$1="","",IFERROR(INDEX('包络曲线数据'!$B$2:$U$742,ROW()-1,MATCH(D$1,'包络曲线数据'!$B$1:$U$1,0)),""))</x:f>
        <x:v>62.45078313838181</x:v>
      </x:c>
      <x:c r="E257" t="str">
        <x:f>IF(E$1="","",IFERROR(INDEX('包络曲线数据'!$B$2:$U$742,ROW()-1,MATCH(E$1,'包络曲线数据'!$B$1:$U$1,0)),""))</x:f>
      </x:c>
      <x:c r="F257" t="str">
        <x:f>IF(F$1="","",IFERROR(INDEX('包络曲线数据'!$B$2:$U$742,ROW()-1,MATCH(F$1,'包络曲线数据'!$B$1:$U$1,0)),""))</x:f>
      </x:c>
      <x:c r="G257" t="str">
        <x:f>IF(G$1="","",IFERROR(INDEX('包络曲线数据'!$B$2:$U$742,ROW()-1,MATCH(G$1,'包络曲线数据'!$B$1:$U$1,0)),""))</x:f>
      </x:c>
    </x:row>
    <x:row r="258">
      <x:c r="A258" t="n">
        <x:v>25.6</x:v>
      </x:c>
      <x:c r="B258" t="n">
        <x:f>IF(B$1="","",IFERROR(INDEX('包络曲线数据'!$B$2:$U$742,ROW()-1,MATCH(B$1,'包络曲线数据'!$B$1:$U$1,0)),""))</x:f>
        <x:v>51.595284178115094</x:v>
      </x:c>
      <x:c r="C258" t="n">
        <x:f>IF(C$1="","",IFERROR(INDEX('包络曲线数据'!$B$2:$U$742,ROW()-1,MATCH(C$1,'包络曲线数据'!$B$1:$U$1,0)),""))</x:f>
        <x:v>56.15066893982669</x:v>
      </x:c>
      <x:c r="D258" t="n">
        <x:f>IF(D$1="","",IFERROR(INDEX('包络曲线数据'!$B$2:$U$742,ROW()-1,MATCH(D$1,'包络曲线数据'!$B$1:$U$1,0)),""))</x:f>
        <x:v>61.22488261444687</x:v>
      </x:c>
      <x:c r="E258" t="str">
        <x:f>IF(E$1="","",IFERROR(INDEX('包络曲线数据'!$B$2:$U$742,ROW()-1,MATCH(E$1,'包络曲线数据'!$B$1:$U$1,0)),""))</x:f>
      </x:c>
      <x:c r="F258" t="str">
        <x:f>IF(F$1="","",IFERROR(INDEX('包络曲线数据'!$B$2:$U$742,ROW()-1,MATCH(F$1,'包络曲线数据'!$B$1:$U$1,0)),""))</x:f>
      </x:c>
      <x:c r="G258" t="str">
        <x:f>IF(G$1="","",IFERROR(INDEX('包络曲线数据'!$B$2:$U$742,ROW()-1,MATCH(G$1,'包络曲线数据'!$B$1:$U$1,0)),""))</x:f>
      </x:c>
    </x:row>
    <x:row r="259">
      <x:c r="A259" t="n">
        <x:v>25.700000000000003</x:v>
      </x:c>
      <x:c r="B259" t="n">
        <x:f>IF(B$1="","",IFERROR(INDEX('包络曲线数据'!$B$2:$U$742,ROW()-1,MATCH(B$1,'包络曲线数据'!$B$1:$U$1,0)),""))</x:f>
        <x:v>51.595284178115094</x:v>
      </x:c>
      <x:c r="C259" t="n">
        <x:f>IF(C$1="","",IFERROR(INDEX('包络曲线数据'!$B$2:$U$742,ROW()-1,MATCH(C$1,'包络曲线数据'!$B$1:$U$1,0)),""))</x:f>
        <x:v>58.51011198499074</x:v>
      </x:c>
      <x:c r="D259" t="n">
        <x:f>IF(D$1="","",IFERROR(INDEX('包络曲线数据'!$B$2:$U$742,ROW()-1,MATCH(D$1,'包络曲线数据'!$B$1:$U$1,0)),""))</x:f>
        <x:v>62.716586416852365</x:v>
      </x:c>
      <x:c r="E259" t="str">
        <x:f>IF(E$1="","",IFERROR(INDEX('包络曲线数据'!$B$2:$U$742,ROW()-1,MATCH(E$1,'包络曲线数据'!$B$1:$U$1,0)),""))</x:f>
      </x:c>
      <x:c r="F259" t="str">
        <x:f>IF(F$1="","",IFERROR(INDEX('包络曲线数据'!$B$2:$U$742,ROW()-1,MATCH(F$1,'包络曲线数据'!$B$1:$U$1,0)),""))</x:f>
      </x:c>
      <x:c r="G259" t="str">
        <x:f>IF(G$1="","",IFERROR(INDEX('包络曲线数据'!$B$2:$U$742,ROW()-1,MATCH(G$1,'包络曲线数据'!$B$1:$U$1,0)),""))</x:f>
      </x:c>
    </x:row>
    <x:row r="260">
      <x:c r="A260" t="n">
        <x:v>25.8</x:v>
      </x:c>
      <x:c r="B260" t="n">
        <x:f>IF(B$1="","",IFERROR(INDEX('包络曲线数据'!$B$2:$U$742,ROW()-1,MATCH(B$1,'包络曲线数据'!$B$1:$U$1,0)),""))</x:f>
        <x:v>51.595284178115094</x:v>
      </x:c>
      <x:c r="C260" t="n">
        <x:f>IF(C$1="","",IFERROR(INDEX('包络曲线数据'!$B$2:$U$742,ROW()-1,MATCH(C$1,'包络曲线数据'!$B$1:$U$1,0)),""))</x:f>
        <x:v>60.90951360711863</x:v>
      </x:c>
      <x:c r="D260" t="n">
        <x:f>IF(D$1="","",IFERROR(INDEX('包络曲线数据'!$B$2:$U$742,ROW()-1,MATCH(D$1,'包络曲线数据'!$B$1:$U$1,0)),""))</x:f>
        <x:v>62.95618163693287</x:v>
      </x:c>
      <x:c r="E260" t="str">
        <x:f>IF(E$1="","",IFERROR(INDEX('包络曲线数据'!$B$2:$U$742,ROW()-1,MATCH(E$1,'包络曲线数据'!$B$1:$U$1,0)),""))</x:f>
      </x:c>
      <x:c r="F260" t="str">
        <x:f>IF(F$1="","",IFERROR(INDEX('包络曲线数据'!$B$2:$U$742,ROW()-1,MATCH(F$1,'包络曲线数据'!$B$1:$U$1,0)),""))</x:f>
      </x:c>
      <x:c r="G260" t="str">
        <x:f>IF(G$1="","",IFERROR(INDEX('包络曲线数据'!$B$2:$U$742,ROW()-1,MATCH(G$1,'包络曲线数据'!$B$1:$U$1,0)),""))</x:f>
      </x:c>
    </x:row>
    <x:row r="261">
      <x:c r="A261" t="n">
        <x:v>25.900000000000002</x:v>
      </x:c>
      <x:c r="B261" t="n">
        <x:f>IF(B$1="","",IFERROR(INDEX('包络曲线数据'!$B$2:$U$742,ROW()-1,MATCH(B$1,'包络曲线数据'!$B$1:$U$1,0)),""))</x:f>
        <x:v>76.18654331837128</x:v>
      </x:c>
      <x:c r="C261" t="n">
        <x:f>IF(C$1="","",IFERROR(INDEX('包络曲线数据'!$B$2:$U$742,ROW()-1,MATCH(C$1,'包络曲线数据'!$B$1:$U$1,0)),""))</x:f>
        <x:v>61.93320797911204</x:v>
      </x:c>
      <x:c r="D261" t="n">
        <x:f>IF(D$1="","",IFERROR(INDEX('包络曲线数据'!$B$2:$U$742,ROW()-1,MATCH(D$1,'包络曲线数据'!$B$1:$U$1,0)),""))</x:f>
        <x:v>63.144032391532036</x:v>
      </x:c>
      <x:c r="E261" t="str">
        <x:f>IF(E$1="","",IFERROR(INDEX('包络曲线数据'!$B$2:$U$742,ROW()-1,MATCH(E$1,'包络曲线数据'!$B$1:$U$1,0)),""))</x:f>
      </x:c>
      <x:c r="F261" t="str">
        <x:f>IF(F$1="","",IFERROR(INDEX('包络曲线数据'!$B$2:$U$742,ROW()-1,MATCH(F$1,'包络曲线数据'!$B$1:$U$1,0)),""))</x:f>
      </x:c>
      <x:c r="G261" t="str">
        <x:f>IF(G$1="","",IFERROR(INDEX('包络曲线数据'!$B$2:$U$742,ROW()-1,MATCH(G$1,'包络曲线数据'!$B$1:$U$1,0)),""))</x:f>
      </x:c>
    </x:row>
    <x:row r="262">
      <x:c r="A262" t="n">
        <x:v>26</x:v>
      </x:c>
      <x:c r="B262" t="n">
        <x:f>IF(B$1="","",IFERROR(INDEX('包络曲线数据'!$B$2:$U$742,ROW()-1,MATCH(B$1,'包络曲线数据'!$B$1:$U$1,0)),""))</x:f>
        <x:v>77.74072765195292</x:v>
      </x:c>
      <x:c r="C262" t="n">
        <x:f>IF(C$1="","",IFERROR(INDEX('包络曲线数据'!$B$2:$U$742,ROW()-1,MATCH(C$1,'包络曲线数据'!$B$1:$U$1,0)),""))</x:f>
        <x:v>64.41020896598138</x:v>
      </x:c>
      <x:c r="D262" t="n">
        <x:f>IF(D$1="","",IFERROR(INDEX('包络曲线数据'!$B$2:$U$742,ROW()-1,MATCH(D$1,'包络曲线数据'!$B$1:$U$1,0)),""))</x:f>
        <x:v>63.144032391532036</x:v>
      </x:c>
      <x:c r="E262" t="str">
        <x:f>IF(E$1="","",IFERROR(INDEX('包络曲线数据'!$B$2:$U$742,ROW()-1,MATCH(E$1,'包络曲线数据'!$B$1:$U$1,0)),""))</x:f>
      </x:c>
      <x:c r="F262" t="str">
        <x:f>IF(F$1="","",IFERROR(INDEX('包络曲线数据'!$B$2:$U$742,ROW()-1,MATCH(F$1,'包络曲线数据'!$B$1:$U$1,0)),""))</x:f>
      </x:c>
      <x:c r="G262" t="str">
        <x:f>IF(G$1="","",IFERROR(INDEX('包络曲线数据'!$B$2:$U$742,ROW()-1,MATCH(G$1,'包络曲线数据'!$B$1:$U$1,0)),""))</x:f>
      </x:c>
    </x:row>
    <x:row r="263">
      <x:c r="A263" t="n">
        <x:v>26.1</x:v>
      </x:c>
      <x:c r="B263" t="n">
        <x:f>IF(B$1="","",IFERROR(INDEX('包络曲线数据'!$B$2:$U$742,ROW()-1,MATCH(B$1,'包络曲线数据'!$B$1:$U$1,0)),""))</x:f>
        <x:v>77.16494827136398</x:v>
      </x:c>
      <x:c r="C263" t="n">
        <x:f>IF(C$1="","",IFERROR(INDEX('包络曲线数据'!$B$2:$U$742,ROW()-1,MATCH(C$1,'包络曲线数据'!$B$1:$U$1,0)),""))</x:f>
        <x:v>70.60271143315494</x:v>
      </x:c>
      <x:c r="D263" t="n">
        <x:f>IF(D$1="","",IFERROR(INDEX('包络曲线数据'!$B$2:$U$742,ROW()-1,MATCH(D$1,'包络曲线数据'!$B$1:$U$1,0)),""))</x:f>
        <x:v>63.18403058255112</x:v>
      </x:c>
      <x:c r="E263" t="str">
        <x:f>IF(E$1="","",IFERROR(INDEX('包络曲线数据'!$B$2:$U$742,ROW()-1,MATCH(E$1,'包络曲线数据'!$B$1:$U$1,0)),""))</x:f>
      </x:c>
      <x:c r="F263" t="str">
        <x:f>IF(F$1="","",IFERROR(INDEX('包络曲线数据'!$B$2:$U$742,ROW()-1,MATCH(F$1,'包络曲线数据'!$B$1:$U$1,0)),""))</x:f>
      </x:c>
      <x:c r="G263" t="str">
        <x:f>IF(G$1="","",IFERROR(INDEX('包络曲线数据'!$B$2:$U$742,ROW()-1,MATCH(G$1,'包络曲线数据'!$B$1:$U$1,0)),""))</x:f>
      </x:c>
    </x:row>
    <x:row r="264">
      <x:c r="A264" t="n">
        <x:v>26.200000000000003</x:v>
      </x:c>
      <x:c r="B264" t="n">
        <x:f>IF(B$1="","",IFERROR(INDEX('包络曲线数据'!$B$2:$U$742,ROW()-1,MATCH(B$1,'包络曲线数据'!$B$1:$U$1,0)),""))</x:f>
        <x:v>68.5043591696935</x:v>
      </x:c>
      <x:c r="C264" t="n">
        <x:f>IF(C$1="","",IFERROR(INDEX('包络曲线数据'!$B$2:$U$742,ROW()-1,MATCH(C$1,'包络曲线数据'!$B$1:$U$1,0)),""))</x:f>
        <x:v>74.31821291345895</x:v>
      </x:c>
      <x:c r="D264" t="n">
        <x:f>IF(D$1="","",IFERROR(INDEX('包络曲线数据'!$B$2:$U$742,ROW()-1,MATCH(D$1,'包络曲线数据'!$B$1:$U$1,0)),""))</x:f>
        <x:v>71.1049201928529</x:v>
      </x:c>
      <x:c r="E264" t="str">
        <x:f>IF(E$1="","",IFERROR(INDEX('包络曲线数据'!$B$2:$U$742,ROW()-1,MATCH(E$1,'包络曲线数据'!$B$1:$U$1,0)),""))</x:f>
      </x:c>
      <x:c r="F264" t="str">
        <x:f>IF(F$1="","",IFERROR(INDEX('包络曲线数据'!$B$2:$U$742,ROW()-1,MATCH(F$1,'包络曲线数据'!$B$1:$U$1,0)),""))</x:f>
      </x:c>
      <x:c r="G264" t="str">
        <x:f>IF(G$1="","",IFERROR(INDEX('包络曲线数据'!$B$2:$U$742,ROW()-1,MATCH(G$1,'包络曲线数据'!$B$1:$U$1,0)),""))</x:f>
      </x:c>
    </x:row>
    <x:row r="265">
      <x:c r="A265" t="n">
        <x:v>26.3</x:v>
      </x:c>
      <x:c r="B265" t="n">
        <x:f>IF(B$1="","",IFERROR(INDEX('包络曲线数据'!$B$2:$U$742,ROW()-1,MATCH(B$1,'包络曲线数据'!$B$1:$U$1,0)),""))</x:f>
        <x:v>64.48813735831327</x:v>
      </x:c>
      <x:c r="C265" t="n">
        <x:f>IF(C$1="","",IFERROR(INDEX('包络曲线数据'!$B$2:$U$742,ROW()-1,MATCH(C$1,'包络曲线数据'!$B$1:$U$1,0)),""))</x:f>
        <x:v>74.31821291345895</x:v>
      </x:c>
      <x:c r="D265" t="n">
        <x:f>IF(D$1="","",IFERROR(INDEX('包络曲线数据'!$B$2:$U$742,ROW()-1,MATCH(D$1,'包络曲线数据'!$B$1:$U$1,0)),""))</x:f>
        <x:v>79.4732915608696</x:v>
      </x:c>
      <x:c r="E265" t="str">
        <x:f>IF(E$1="","",IFERROR(INDEX('包络曲线数据'!$B$2:$U$742,ROW()-1,MATCH(E$1,'包络曲线数据'!$B$1:$U$1,0)),""))</x:f>
      </x:c>
      <x:c r="F265" t="str">
        <x:f>IF(F$1="","",IFERROR(INDEX('包络曲线数据'!$B$2:$U$742,ROW()-1,MATCH(F$1,'包络曲线数据'!$B$1:$U$1,0)),""))</x:f>
      </x:c>
      <x:c r="G265" t="str">
        <x:f>IF(G$1="","",IFERROR(INDEX('包络曲线数据'!$B$2:$U$742,ROW()-1,MATCH(G$1,'包络曲线数据'!$B$1:$U$1,0)),""))</x:f>
      </x:c>
    </x:row>
    <x:row r="266">
      <x:c r="A266" t="n">
        <x:v>26.400000000000002</x:v>
      </x:c>
      <x:c r="B266" t="n">
        <x:f>IF(B$1="","",IFERROR(INDEX('包络曲线数据'!$B$2:$U$742,ROW()-1,MATCH(B$1,'包络曲线数据'!$B$1:$U$1,0)),""))</x:f>
        <x:v>68.46234924120841</x:v>
      </x:c>
      <x:c r="C266" t="n">
        <x:f>IF(C$1="","",IFERROR(INDEX('包络曲线数据'!$B$2:$U$742,ROW()-1,MATCH(C$1,'包络曲线数据'!$B$1:$U$1,0)),""))</x:f>
        <x:v>69.84151669029197</x:v>
      </x:c>
      <x:c r="D266" t="n">
        <x:f>IF(D$1="","",IFERROR(INDEX('包络曲线数据'!$B$2:$U$742,ROW()-1,MATCH(D$1,'包络曲线数据'!$B$1:$U$1,0)),""))</x:f>
        <x:v>81.14696583447294</x:v>
      </x:c>
      <x:c r="E266" t="str">
        <x:f>IF(E$1="","",IFERROR(INDEX('包络曲线数据'!$B$2:$U$742,ROW()-1,MATCH(E$1,'包络曲线数据'!$B$1:$U$1,0)),""))</x:f>
      </x:c>
      <x:c r="F266" t="str">
        <x:f>IF(F$1="","",IFERROR(INDEX('包络曲线数据'!$B$2:$U$742,ROW()-1,MATCH(F$1,'包络曲线数据'!$B$1:$U$1,0)),""))</x:f>
      </x:c>
      <x:c r="G266" t="str">
        <x:f>IF(G$1="","",IFERROR(INDEX('包络曲线数据'!$B$2:$U$742,ROW()-1,MATCH(G$1,'包络曲线数据'!$B$1:$U$1,0)),""))</x:f>
      </x:c>
    </x:row>
    <x:row r="267">
      <x:c r="A267" t="n">
        <x:v>26.5</x:v>
      </x:c>
      <x:c r="B267" t="n">
        <x:f>IF(B$1="","",IFERROR(INDEX('包络曲线数据'!$B$2:$U$742,ROW()-1,MATCH(B$1,'包络曲线数据'!$B$1:$U$1,0)),""))</x:f>
        <x:v>69.34962960286623</x:v>
      </x:c>
      <x:c r="C267" t="n">
        <x:f>IF(C$1="","",IFERROR(INDEX('包络曲线数据'!$B$2:$U$742,ROW()-1,MATCH(C$1,'包络曲线数据'!$B$1:$U$1,0)),""))</x:f>
        <x:v>64.00909699243753</x:v>
      </x:c>
      <x:c r="D267" t="n">
        <x:f>IF(D$1="","",IFERROR(INDEX('包络曲线数据'!$B$2:$U$742,ROW()-1,MATCH(D$1,'包络曲线数据'!$B$1:$U$1,0)),""))</x:f>
        <x:v>79.91382834869817</x:v>
      </x:c>
      <x:c r="E267" t="str">
        <x:f>IF(E$1="","",IFERROR(INDEX('包络曲线数据'!$B$2:$U$742,ROW()-1,MATCH(E$1,'包络曲线数据'!$B$1:$U$1,0)),""))</x:f>
      </x:c>
      <x:c r="F267" t="str">
        <x:f>IF(F$1="","",IFERROR(INDEX('包络曲线数据'!$B$2:$U$742,ROW()-1,MATCH(F$1,'包络曲线数据'!$B$1:$U$1,0)),""))</x:f>
      </x:c>
      <x:c r="G267" t="str">
        <x:f>IF(G$1="","",IFERROR(INDEX('包络曲线数据'!$B$2:$U$742,ROW()-1,MATCH(G$1,'包络曲线数据'!$B$1:$U$1,0)),""))</x:f>
      </x:c>
    </x:row>
    <x:row r="268">
      <x:c r="A268" t="n">
        <x:v>26.6</x:v>
      </x:c>
      <x:c r="B268" t="n">
        <x:f>IF(B$1="","",IFERROR(INDEX('包络曲线数据'!$B$2:$U$742,ROW()-1,MATCH(B$1,'包络曲线数据'!$B$1:$U$1,0)),""))</x:f>
        <x:v>71.19295603313837</x:v>
      </x:c>
      <x:c r="C268" t="n">
        <x:f>IF(C$1="","",IFERROR(INDEX('包络曲线数据'!$B$2:$U$742,ROW()-1,MATCH(C$1,'包络曲线数据'!$B$1:$U$1,0)),""))</x:f>
        <x:v>64.42584726824367</x:v>
      </x:c>
      <x:c r="D268" t="n">
        <x:f>IF(D$1="","",IFERROR(INDEX('包络曲线数据'!$B$2:$U$742,ROW()-1,MATCH(D$1,'包络曲线数据'!$B$1:$U$1,0)),""))</x:f>
        <x:v>70.26237872128917</x:v>
      </x:c>
      <x:c r="E268" t="str">
        <x:f>IF(E$1="","",IFERROR(INDEX('包络曲线数据'!$B$2:$U$742,ROW()-1,MATCH(E$1,'包络曲线数据'!$B$1:$U$1,0)),""))</x:f>
      </x:c>
      <x:c r="F268" t="str">
        <x:f>IF(F$1="","",IFERROR(INDEX('包络曲线数据'!$B$2:$U$742,ROW()-1,MATCH(F$1,'包络曲线数据'!$B$1:$U$1,0)),""))</x:f>
      </x:c>
      <x:c r="G268" t="str">
        <x:f>IF(G$1="","",IFERROR(INDEX('包络曲线数据'!$B$2:$U$742,ROW()-1,MATCH(G$1,'包络曲线数据'!$B$1:$U$1,0)),""))</x:f>
      </x:c>
    </x:row>
    <x:row r="269">
      <x:c r="A269" t="n">
        <x:v>26.700000000000003</x:v>
      </x:c>
      <x:c r="B269" t="n">
        <x:f>IF(B$1="","",IFERROR(INDEX('包络曲线数据'!$B$2:$U$742,ROW()-1,MATCH(B$1,'包络曲线数据'!$B$1:$U$1,0)),""))</x:f>
        <x:v>71.19295603313837</x:v>
      </x:c>
      <x:c r="C269" t="n">
        <x:f>IF(C$1="","",IFERROR(INDEX('包络曲线数据'!$B$2:$U$742,ROW()-1,MATCH(C$1,'包络曲线数据'!$B$1:$U$1,0)),""))</x:f>
        <x:v>66.80561871936378</x:v>
      </x:c>
      <x:c r="D269" t="n">
        <x:f>IF(D$1="","",IFERROR(INDEX('包络曲线数据'!$B$2:$U$742,ROW()-1,MATCH(D$1,'包络曲线数据'!$B$1:$U$1,0)),""))</x:f>
        <x:v>68.76971880193447</x:v>
      </x:c>
      <x:c r="E269" t="str">
        <x:f>IF(E$1="","",IFERROR(INDEX('包络曲线数据'!$B$2:$U$742,ROW()-1,MATCH(E$1,'包络曲线数据'!$B$1:$U$1,0)),""))</x:f>
      </x:c>
      <x:c r="F269" t="str">
        <x:f>IF(F$1="","",IFERROR(INDEX('包络曲线数据'!$B$2:$U$742,ROW()-1,MATCH(F$1,'包络曲线数据'!$B$1:$U$1,0)),""))</x:f>
      </x:c>
      <x:c r="G269" t="str">
        <x:f>IF(G$1="","",IFERROR(INDEX('包络曲线数据'!$B$2:$U$742,ROW()-1,MATCH(G$1,'包络曲线数据'!$B$1:$U$1,0)),""))</x:f>
      </x:c>
    </x:row>
    <x:row r="270">
      <x:c r="A270" t="n">
        <x:v>26.8</x:v>
      </x:c>
      <x:c r="B270" t="n">
        <x:f>IF(B$1="","",IFERROR(INDEX('包络曲线数据'!$B$2:$U$742,ROW()-1,MATCH(B$1,'包络曲线数据'!$B$1:$U$1,0)),""))</x:f>
        <x:v>71.21254186888432</x:v>
      </x:c>
      <x:c r="C270" t="n">
        <x:f>IF(C$1="","",IFERROR(INDEX('包络曲线数据'!$B$2:$U$742,ROW()-1,MATCH(C$1,'包络曲线数据'!$B$1:$U$1,0)),""))</x:f>
        <x:v>67.7789513792128</x:v>
      </x:c>
      <x:c r="D270" t="n">
        <x:f>IF(D$1="","",IFERROR(INDEX('包络曲线数据'!$B$2:$U$742,ROW()-1,MATCH(D$1,'包络曲线数据'!$B$1:$U$1,0)),""))</x:f>
        <x:v>55.67288910920321</x:v>
      </x:c>
      <x:c r="E270" t="str">
        <x:f>IF(E$1="","",IFERROR(INDEX('包络曲线数据'!$B$2:$U$742,ROW()-1,MATCH(E$1,'包络曲线数据'!$B$1:$U$1,0)),""))</x:f>
      </x:c>
      <x:c r="F270" t="str">
        <x:f>IF(F$1="","",IFERROR(INDEX('包络曲线数据'!$B$2:$U$742,ROW()-1,MATCH(F$1,'包络曲线数据'!$B$1:$U$1,0)),""))</x:f>
      </x:c>
      <x:c r="G270" t="str">
        <x:f>IF(G$1="","",IFERROR(INDEX('包络曲线数据'!$B$2:$U$742,ROW()-1,MATCH(G$1,'包络曲线数据'!$B$1:$U$1,0)),""))</x:f>
      </x:c>
    </x:row>
    <x:row r="271">
      <x:c r="A271" t="n">
        <x:v>26.900000000000002</x:v>
      </x:c>
      <x:c r="B271" t="n">
        <x:f>IF(B$1="","",IFERROR(INDEX('包络曲线数据'!$B$2:$U$742,ROW()-1,MATCH(B$1,'包络曲线数据'!$B$1:$U$1,0)),""))</x:f>
        <x:v>71.51224364228125</x:v>
      </x:c>
      <x:c r="C271" t="n">
        <x:f>IF(C$1="","",IFERROR(INDEX('包络曲线数据'!$B$2:$U$742,ROW()-1,MATCH(C$1,'包络曲线数据'!$B$1:$U$1,0)),""))</x:f>
        <x:v>67.70087995266927</x:v>
      </x:c>
      <x:c r="D271" t="n">
        <x:f>IF(D$1="","",IFERROR(INDEX('包络曲线数据'!$B$2:$U$742,ROW()-1,MATCH(D$1,'包络曲线数据'!$B$1:$U$1,0)),""))</x:f>
        <x:v>50</x:v>
      </x:c>
      <x:c r="E271" t="str">
        <x:f>IF(E$1="","",IFERROR(INDEX('包络曲线数据'!$B$2:$U$742,ROW()-1,MATCH(E$1,'包络曲线数据'!$B$1:$U$1,0)),""))</x:f>
      </x:c>
      <x:c r="F271" t="str">
        <x:f>IF(F$1="","",IFERROR(INDEX('包络曲线数据'!$B$2:$U$742,ROW()-1,MATCH(F$1,'包络曲线数据'!$B$1:$U$1,0)),""))</x:f>
      </x:c>
      <x:c r="G271" t="str">
        <x:f>IF(G$1="","",IFERROR(INDEX('包络曲线数据'!$B$2:$U$742,ROW()-1,MATCH(G$1,'包络曲线数据'!$B$1:$U$1,0)),""))</x:f>
      </x:c>
    </x:row>
    <x:row r="272">
      <x:c r="A272" t="n">
        <x:v>27</x:v>
      </x:c>
      <x:c r="B272" t="n">
        <x:f>IF(B$1="","",IFERROR(INDEX('包络曲线数据'!$B$2:$U$742,ROW()-1,MATCH(B$1,'包络曲线数据'!$B$1:$U$1,0)),""))</x:f>
        <x:v>71.51224364228125</x:v>
      </x:c>
      <x:c r="C272" t="n">
        <x:f>IF(C$1="","",IFERROR(INDEX('包络曲线数据'!$B$2:$U$742,ROW()-1,MATCH(C$1,'包络曲线数据'!$B$1:$U$1,0)),""))</x:f>
        <x:v>67.70087995266927</x:v>
      </x:c>
      <x:c r="D272" t="n">
        <x:f>IF(D$1="","",IFERROR(INDEX('包络曲线数据'!$B$2:$U$742,ROW()-1,MATCH(D$1,'包络曲线数据'!$B$1:$U$1,0)),""))</x:f>
        <x:v>50</x:v>
      </x:c>
      <x:c r="E272" t="str">
        <x:f>IF(E$1="","",IFERROR(INDEX('包络曲线数据'!$B$2:$U$742,ROW()-1,MATCH(E$1,'包络曲线数据'!$B$1:$U$1,0)),""))</x:f>
      </x:c>
      <x:c r="F272" t="str">
        <x:f>IF(F$1="","",IFERROR(INDEX('包络曲线数据'!$B$2:$U$742,ROW()-1,MATCH(F$1,'包络曲线数据'!$B$1:$U$1,0)),""))</x:f>
      </x:c>
      <x:c r="G272" t="str">
        <x:f>IF(G$1="","",IFERROR(INDEX('包络曲线数据'!$B$2:$U$742,ROW()-1,MATCH(G$1,'包络曲线数据'!$B$1:$U$1,0)),""))</x:f>
      </x:c>
    </x:row>
    <x:row r="273">
      <x:c r="A273" t="n">
        <x:v>27.1</x:v>
      </x:c>
      <x:c r="B273" t="n">
        <x:f>IF(B$1="","",IFERROR(INDEX('包络曲线数据'!$B$2:$U$742,ROW()-1,MATCH(B$1,'包络曲线数据'!$B$1:$U$1,0)),""))</x:f>
        <x:v>70.96664397556764</x:v>
      </x:c>
      <x:c r="C273" t="n">
        <x:f>IF(C$1="","",IFERROR(INDEX('包络曲线数据'!$B$2:$U$742,ROW()-1,MATCH(C$1,'包络曲线数据'!$B$1:$U$1,0)),""))</x:f>
        <x:v>65.93515995836228</x:v>
      </x:c>
      <x:c r="D273" t="n">
        <x:f>IF(D$1="","",IFERROR(INDEX('包络曲线数据'!$B$2:$U$742,ROW()-1,MATCH(D$1,'包络曲线数据'!$B$1:$U$1,0)),""))</x:f>
        <x:v>50</x:v>
      </x:c>
      <x:c r="E273" t="str">
        <x:f>IF(E$1="","",IFERROR(INDEX('包络曲线数据'!$B$2:$U$742,ROW()-1,MATCH(E$1,'包络曲线数据'!$B$1:$U$1,0)),""))</x:f>
      </x:c>
      <x:c r="F273" t="str">
        <x:f>IF(F$1="","",IFERROR(INDEX('包络曲线数据'!$B$2:$U$742,ROW()-1,MATCH(F$1,'包络曲线数据'!$B$1:$U$1,0)),""))</x:f>
      </x:c>
      <x:c r="G273" t="str">
        <x:f>IF(G$1="","",IFERROR(INDEX('包络曲线数据'!$B$2:$U$742,ROW()-1,MATCH(G$1,'包络曲线数据'!$B$1:$U$1,0)),""))</x:f>
      </x:c>
    </x:row>
    <x:row r="274">
      <x:c r="A274" t="n">
        <x:v>27.200000000000003</x:v>
      </x:c>
      <x:c r="B274" t="n">
        <x:f>IF(B$1="","",IFERROR(INDEX('包络曲线数据'!$B$2:$U$742,ROW()-1,MATCH(B$1,'包络曲线数据'!$B$1:$U$1,0)),""))</x:f>
        <x:v>70.96664397556765</x:v>
      </x:c>
      <x:c r="C274" t="n">
        <x:f>IF(C$1="","",IFERROR(INDEX('包络曲线数据'!$B$2:$U$742,ROW()-1,MATCH(C$1,'包络曲线数据'!$B$1:$U$1,0)),""))</x:f>
        <x:v>67.6514296695602</x:v>
      </x:c>
      <x:c r="D274" t="n">
        <x:f>IF(D$1="","",IFERROR(INDEX('包络曲线数据'!$B$2:$U$742,ROW()-1,MATCH(D$1,'包络曲线数据'!$B$1:$U$1,0)),""))</x:f>
        <x:v>58.041132281879854</x:v>
      </x:c>
      <x:c r="E274" t="str">
        <x:f>IF(E$1="","",IFERROR(INDEX('包络曲线数据'!$B$2:$U$742,ROW()-1,MATCH(E$1,'包络曲线数据'!$B$1:$U$1,0)),""))</x:f>
      </x:c>
      <x:c r="F274" t="str">
        <x:f>IF(F$1="","",IFERROR(INDEX('包络曲线数据'!$B$2:$U$742,ROW()-1,MATCH(F$1,'包络曲线数据'!$B$1:$U$1,0)),""))</x:f>
      </x:c>
      <x:c r="G274" t="str">
        <x:f>IF(G$1="","",IFERROR(INDEX('包络曲线数据'!$B$2:$U$742,ROW()-1,MATCH(G$1,'包络曲线数据'!$B$1:$U$1,0)),""))</x:f>
      </x:c>
    </x:row>
    <x:row r="275">
      <x:c r="A275" t="n">
        <x:v>27.3</x:v>
      </x:c>
      <x:c r="B275" t="n">
        <x:f>IF(B$1="","",IFERROR(INDEX('包络曲线数据'!$B$2:$U$742,ROW()-1,MATCH(B$1,'包络曲线数据'!$B$1:$U$1,0)),""))</x:f>
        <x:v>71.60566600052644</x:v>
      </x:c>
      <x:c r="C275" t="n">
        <x:f>IF(C$1="","",IFERROR(INDEX('包络曲线数据'!$B$2:$U$742,ROW()-1,MATCH(C$1,'包络曲线数据'!$B$1:$U$1,0)),""))</x:f>
        <x:v>67.6514296695602</x:v>
      </x:c>
      <x:c r="D275" t="n">
        <x:f>IF(D$1="","",IFERROR(INDEX('包络曲线数据'!$B$2:$U$742,ROW()-1,MATCH(D$1,'包络曲线数据'!$B$1:$U$1,0)),""))</x:f>
        <x:v>61.49393003659196</x:v>
      </x:c>
      <x:c r="E275" t="str">
        <x:f>IF(E$1="","",IFERROR(INDEX('包络曲线数据'!$B$2:$U$742,ROW()-1,MATCH(E$1,'包络曲线数据'!$B$1:$U$1,0)),""))</x:f>
      </x:c>
      <x:c r="F275" t="str">
        <x:f>IF(F$1="","",IFERROR(INDEX('包络曲线数据'!$B$2:$U$742,ROW()-1,MATCH(F$1,'包络曲线数据'!$B$1:$U$1,0)),""))</x:f>
      </x:c>
      <x:c r="G275" t="str">
        <x:f>IF(G$1="","",IFERROR(INDEX('包络曲线数据'!$B$2:$U$742,ROW()-1,MATCH(G$1,'包络曲线数据'!$B$1:$U$1,0)),""))</x:f>
      </x:c>
    </x:row>
    <x:row r="276">
      <x:c r="A276" t="n">
        <x:v>27.400000000000002</x:v>
      </x:c>
      <x:c r="B276" t="n">
        <x:f>IF(B$1="","",IFERROR(INDEX('包络曲线数据'!$B$2:$U$742,ROW()-1,MATCH(B$1,'包络曲线数据'!$B$1:$U$1,0)),""))</x:f>
        <x:v>71.60566600052643</x:v>
      </x:c>
      <x:c r="C276" t="n">
        <x:f>IF(C$1="","",IFERROR(INDEX('包络曲线数据'!$B$2:$U$742,ROW()-1,MATCH(C$1,'包络曲线数据'!$B$1:$U$1,0)),""))</x:f>
        <x:v>66.76621062307025</x:v>
      </x:c>
      <x:c r="D276" t="n">
        <x:f>IF(D$1="","",IFERROR(INDEX('包络曲线数据'!$B$2:$U$742,ROW()-1,MATCH(D$1,'包络曲线数据'!$B$1:$U$1,0)),""))</x:f>
        <x:v>75.05328204691145</x:v>
      </x:c>
      <x:c r="E276" t="str">
        <x:f>IF(E$1="","",IFERROR(INDEX('包络曲线数据'!$B$2:$U$742,ROW()-1,MATCH(E$1,'包络曲线数据'!$B$1:$U$1,0)),""))</x:f>
      </x:c>
      <x:c r="F276" t="str">
        <x:f>IF(F$1="","",IFERROR(INDEX('包络曲线数据'!$B$2:$U$742,ROW()-1,MATCH(F$1,'包络曲线数据'!$B$1:$U$1,0)),""))</x:f>
      </x:c>
      <x:c r="G276" t="str">
        <x:f>IF(G$1="","",IFERROR(INDEX('包络曲线数据'!$B$2:$U$742,ROW()-1,MATCH(G$1,'包络曲线数据'!$B$1:$U$1,0)),""))</x:f>
      </x:c>
    </x:row>
    <x:row r="277">
      <x:c r="A277" t="n">
        <x:v>27.5</x:v>
      </x:c>
      <x:c r="B277" t="n">
        <x:f>IF(B$1="","",IFERROR(INDEX('包络曲线数据'!$B$2:$U$742,ROW()-1,MATCH(B$1,'包络曲线数据'!$B$1:$U$1,0)),""))</x:f>
        <x:v>78.63973892735206</x:v>
      </x:c>
      <x:c r="C277" t="n">
        <x:f>IF(C$1="","",IFERROR(INDEX('包络曲线数据'!$B$2:$U$742,ROW()-1,MATCH(C$1,'包络曲线数据'!$B$1:$U$1,0)),""))</x:f>
        <x:v>67.15415390694382</x:v>
      </x:c>
      <x:c r="D277" t="n">
        <x:f>IF(D$1="","",IFERROR(INDEX('包络曲线数据'!$B$2:$U$742,ROW()-1,MATCH(D$1,'包络曲线数据'!$B$1:$U$1,0)),""))</x:f>
        <x:v>75.05328204691145</x:v>
      </x:c>
      <x:c r="E277" t="str">
        <x:f>IF(E$1="","",IFERROR(INDEX('包络曲线数据'!$B$2:$U$742,ROW()-1,MATCH(E$1,'包络曲线数据'!$B$1:$U$1,0)),""))</x:f>
      </x:c>
      <x:c r="F277" t="str">
        <x:f>IF(F$1="","",IFERROR(INDEX('包络曲线数据'!$B$2:$U$742,ROW()-1,MATCH(F$1,'包络曲线数据'!$B$1:$U$1,0)),""))</x:f>
      </x:c>
      <x:c r="G277" t="str">
        <x:f>IF(G$1="","",IFERROR(INDEX('包络曲线数据'!$B$2:$U$742,ROW()-1,MATCH(G$1,'包络曲线数据'!$B$1:$U$1,0)),""))</x:f>
      </x:c>
    </x:row>
    <x:row r="278">
      <x:c r="A278" t="n">
        <x:v>27.6</x:v>
      </x:c>
      <x:c r="B278" t="n">
        <x:f>IF(B$1="","",IFERROR(INDEX('包络曲线数据'!$B$2:$U$742,ROW()-1,MATCH(B$1,'包络曲线数据'!$B$1:$U$1,0)),""))</x:f>
        <x:v>83.02079925861324</x:v>
      </x:c>
      <x:c r="C278" t="n">
        <x:f>IF(C$1="","",IFERROR(INDEX('包络曲线数据'!$B$2:$U$742,ROW()-1,MATCH(C$1,'包络曲线数据'!$B$1:$U$1,0)),""))</x:f>
        <x:v>66.92973714647081</x:v>
      </x:c>
      <x:c r="D278" t="n">
        <x:f>IF(D$1="","",IFERROR(INDEX('包络曲线数据'!$B$2:$U$742,ROW()-1,MATCH(D$1,'包络曲线数据'!$B$1:$U$1,0)),""))</x:f>
        <x:v>71.99363987059692</x:v>
      </x:c>
      <x:c r="E278" t="str">
        <x:f>IF(E$1="","",IFERROR(INDEX('包络曲线数据'!$B$2:$U$742,ROW()-1,MATCH(E$1,'包络曲线数据'!$B$1:$U$1,0)),""))</x:f>
      </x:c>
      <x:c r="F278" t="str">
        <x:f>IF(F$1="","",IFERROR(INDEX('包络曲线数据'!$B$2:$U$742,ROW()-1,MATCH(F$1,'包络曲线数据'!$B$1:$U$1,0)),""))</x:f>
      </x:c>
      <x:c r="G278" t="str">
        <x:f>IF(G$1="","",IFERROR(INDEX('包络曲线数据'!$B$2:$U$742,ROW()-1,MATCH(G$1,'包络曲线数据'!$B$1:$U$1,0)),""))</x:f>
      </x:c>
    </x:row>
    <x:row r="279">
      <x:c r="A279" t="n">
        <x:v>27.700000000000003</x:v>
      </x:c>
      <x:c r="B279" t="n">
        <x:f>IF(B$1="","",IFERROR(INDEX('包络曲线数据'!$B$2:$U$742,ROW()-1,MATCH(B$1,'包络曲线数据'!$B$1:$U$1,0)),""))</x:f>
        <x:v>83.02079925861324</x:v>
      </x:c>
      <x:c r="C279" t="n">
        <x:f>IF(C$1="","",IFERROR(INDEX('包络曲线数据'!$B$2:$U$742,ROW()-1,MATCH(C$1,'包络曲线数据'!$B$1:$U$1,0)),""))</x:f>
        <x:v>66.58034935442002</x:v>
      </x:c>
      <x:c r="D279" t="n">
        <x:f>IF(D$1="","",IFERROR(INDEX('包络曲线数据'!$B$2:$U$742,ROW()-1,MATCH(D$1,'包络曲线数据'!$B$1:$U$1,0)),""))</x:f>
        <x:v>63.37967887529926</x:v>
      </x:c>
      <x:c r="E279" t="str">
        <x:f>IF(E$1="","",IFERROR(INDEX('包络曲线数据'!$B$2:$U$742,ROW()-1,MATCH(E$1,'包络曲线数据'!$B$1:$U$1,0)),""))</x:f>
      </x:c>
      <x:c r="F279" t="str">
        <x:f>IF(F$1="","",IFERROR(INDEX('包络曲线数据'!$B$2:$U$742,ROW()-1,MATCH(F$1,'包络曲线数据'!$B$1:$U$1,0)),""))</x:f>
      </x:c>
      <x:c r="G279" t="str">
        <x:f>IF(G$1="","",IFERROR(INDEX('包络曲线数据'!$B$2:$U$742,ROW()-1,MATCH(G$1,'包络曲线数据'!$B$1:$U$1,0)),""))</x:f>
      </x:c>
    </x:row>
    <x:row r="280">
      <x:c r="A280" t="n">
        <x:v>27.8</x:v>
      </x:c>
      <x:c r="B280" t="n">
        <x:f>IF(B$1="","",IFERROR(INDEX('包络曲线数据'!$B$2:$U$742,ROW()-1,MATCH(B$1,'包络曲线数据'!$B$1:$U$1,0)),""))</x:f>
        <x:v>74.73141565158511</x:v>
      </x:c>
      <x:c r="C280" t="n">
        <x:f>IF(C$1="","",IFERROR(INDEX('包络曲线数据'!$B$2:$U$742,ROW()-1,MATCH(C$1,'包络曲线数据'!$B$1:$U$1,0)),""))</x:f>
        <x:v>66.58034935442002</x:v>
      </x:c>
      <x:c r="D280" t="n">
        <x:f>IF(D$1="","",IFERROR(INDEX('包络曲线数据'!$B$2:$U$742,ROW()-1,MATCH(D$1,'包络曲线数据'!$B$1:$U$1,0)),""))</x:f>
        <x:v>61.496227863914086</x:v>
      </x:c>
      <x:c r="E280" t="str">
        <x:f>IF(E$1="","",IFERROR(INDEX('包络曲线数据'!$B$2:$U$742,ROW()-1,MATCH(E$1,'包络曲线数据'!$B$1:$U$1,0)),""))</x:f>
      </x:c>
      <x:c r="F280" t="str">
        <x:f>IF(F$1="","",IFERROR(INDEX('包络曲线数据'!$B$2:$U$742,ROW()-1,MATCH(F$1,'包络曲线数据'!$B$1:$U$1,0)),""))</x:f>
      </x:c>
      <x:c r="G280" t="str">
        <x:f>IF(G$1="","",IFERROR(INDEX('包络曲线数据'!$B$2:$U$742,ROW()-1,MATCH(G$1,'包络曲线数据'!$B$1:$U$1,0)),""))</x:f>
      </x:c>
    </x:row>
    <x:row r="281">
      <x:c r="A281" t="n">
        <x:v>27.900000000000002</x:v>
      </x:c>
      <x:c r="B281" t="n">
        <x:f>IF(B$1="","",IFERROR(INDEX('包络曲线数据'!$B$2:$U$742,ROW()-1,MATCH(B$1,'包络曲线数据'!$B$1:$U$1,0)),""))</x:f>
        <x:v>64.20166003741596</x:v>
      </x:c>
      <x:c r="C281" t="n">
        <x:f>IF(C$1="","",IFERROR(INDEX('包络曲线数据'!$B$2:$U$742,ROW()-1,MATCH(C$1,'包络曲线数据'!$B$1:$U$1,0)),""))</x:f>
        <x:v>83.47413171204796</x:v>
      </x:c>
      <x:c r="D281" t="n">
        <x:f>IF(D$1="","",IFERROR(INDEX('包络曲线数据'!$B$2:$U$742,ROW()-1,MATCH(D$1,'包络曲线数据'!$B$1:$U$1,0)),""))</x:f>
        <x:v>61.49622786391403</x:v>
      </x:c>
      <x:c r="E281" t="str">
        <x:f>IF(E$1="","",IFERROR(INDEX('包络曲线数据'!$B$2:$U$742,ROW()-1,MATCH(E$1,'包络曲线数据'!$B$1:$U$1,0)),""))</x:f>
      </x:c>
      <x:c r="F281" t="str">
        <x:f>IF(F$1="","",IFERROR(INDEX('包络曲线数据'!$B$2:$U$742,ROW()-1,MATCH(F$1,'包络曲线数据'!$B$1:$U$1,0)),""))</x:f>
      </x:c>
      <x:c r="G281" t="str">
        <x:f>IF(G$1="","",IFERROR(INDEX('包络曲线数据'!$B$2:$U$742,ROW()-1,MATCH(G$1,'包络曲线数据'!$B$1:$U$1,0)),""))</x:f>
      </x:c>
    </x:row>
    <x:row r="282">
      <x:c r="A282" t="n">
        <x:v>28</x:v>
      </x:c>
      <x:c r="B282" t="n">
        <x:f>IF(B$1="","",IFERROR(INDEX('包络曲线数据'!$B$2:$U$742,ROW()-1,MATCH(B$1,'包络曲线数据'!$B$1:$U$1,0)),""))</x:f>
        <x:v>51.595284178115094</x:v>
      </x:c>
      <x:c r="C282" t="n">
        <x:f>IF(C$1="","",IFERROR(INDEX('包络曲线数据'!$B$2:$U$742,ROW()-1,MATCH(C$1,'包络曲线数据'!$B$1:$U$1,0)),""))</x:f>
        <x:v>84.13107196669908</x:v>
      </x:c>
      <x:c r="D282" t="n">
        <x:f>IF(D$1="","",IFERROR(INDEX('包络曲线数据'!$B$2:$U$742,ROW()-1,MATCH(D$1,'包络曲线数据'!$B$1:$U$1,0)),""))</x:f>
        <x:v>53.780633843731124</x:v>
      </x:c>
      <x:c r="E282" t="str">
        <x:f>IF(E$1="","",IFERROR(INDEX('包络曲线数据'!$B$2:$U$742,ROW()-1,MATCH(E$1,'包络曲线数据'!$B$1:$U$1,0)),""))</x:f>
      </x:c>
      <x:c r="F282" t="str">
        <x:f>IF(F$1="","",IFERROR(INDEX('包络曲线数据'!$B$2:$U$742,ROW()-1,MATCH(F$1,'包络曲线数据'!$B$1:$U$1,0)),""))</x:f>
      </x:c>
      <x:c r="G282" t="str">
        <x:f>IF(G$1="","",IFERROR(INDEX('包络曲线数据'!$B$2:$U$742,ROW()-1,MATCH(G$1,'包络曲线数据'!$B$1:$U$1,0)),""))</x:f>
      </x:c>
    </x:row>
    <x:row r="283">
      <x:c r="A283" t="n">
        <x:v>28.1</x:v>
      </x:c>
      <x:c r="B283" t="n">
        <x:f>IF(B$1="","",IFERROR(INDEX('包络曲线数据'!$B$2:$U$742,ROW()-1,MATCH(B$1,'包络曲线数据'!$B$1:$U$1,0)),""))</x:f>
        <x:v>51.595284178115094</x:v>
      </x:c>
      <x:c r="C283" t="n">
        <x:f>IF(C$1="","",IFERROR(INDEX('包络曲线数据'!$B$2:$U$742,ROW()-1,MATCH(C$1,'包络曲线数据'!$B$1:$U$1,0)),""))</x:f>
        <x:v>82.35818695508836</x:v>
      </x:c>
      <x:c r="D283" t="n">
        <x:f>IF(D$1="","",IFERROR(INDEX('包络曲线数据'!$B$2:$U$742,ROW()-1,MATCH(D$1,'包络曲线数据'!$B$1:$U$1,0)),""))</x:f>
        <x:v>60.34812706345096</x:v>
      </x:c>
      <x:c r="E283" t="str">
        <x:f>IF(E$1="","",IFERROR(INDEX('包络曲线数据'!$B$2:$U$742,ROW()-1,MATCH(E$1,'包络曲线数据'!$B$1:$U$1,0)),""))</x:f>
      </x:c>
      <x:c r="F283" t="str">
        <x:f>IF(F$1="","",IFERROR(INDEX('包络曲线数据'!$B$2:$U$742,ROW()-1,MATCH(F$1,'包络曲线数据'!$B$1:$U$1,0)),""))</x:f>
      </x:c>
      <x:c r="G283" t="str">
        <x:f>IF(G$1="","",IFERROR(INDEX('包络曲线数据'!$B$2:$U$742,ROW()-1,MATCH(G$1,'包络曲线数据'!$B$1:$U$1,0)),""))</x:f>
      </x:c>
    </x:row>
    <x:row r="284">
      <x:c r="A284" t="n">
        <x:v>28.200000000000003</x:v>
      </x:c>
      <x:c r="B284" t="n">
        <x:f>IF(B$1="","",IFERROR(INDEX('包络曲线数据'!$B$2:$U$742,ROW()-1,MATCH(B$1,'包络曲线数据'!$B$1:$U$1,0)),""))</x:f>
        <x:v>51.595284178115094</x:v>
      </x:c>
      <x:c r="C284" t="n">
        <x:f>IF(C$1="","",IFERROR(INDEX('包络曲线数据'!$B$2:$U$742,ROW()-1,MATCH(C$1,'包络曲线数据'!$B$1:$U$1,0)),""))</x:f>
        <x:v>72.58260674344943</x:v>
      </x:c>
      <x:c r="D284" t="n">
        <x:f>IF(D$1="","",IFERROR(INDEX('包络曲线数据'!$B$2:$U$742,ROW()-1,MATCH(D$1,'包络曲线数据'!$B$1:$U$1,0)),""))</x:f>
        <x:v>65.51038484260171</x:v>
      </x:c>
      <x:c r="E284" t="str">
        <x:f>IF(E$1="","",IFERROR(INDEX('包络曲线数据'!$B$2:$U$742,ROW()-1,MATCH(E$1,'包络曲线数据'!$B$1:$U$1,0)),""))</x:f>
      </x:c>
      <x:c r="F284" t="str">
        <x:f>IF(F$1="","",IFERROR(INDEX('包络曲线数据'!$B$2:$U$742,ROW()-1,MATCH(F$1,'包络曲线数据'!$B$1:$U$1,0)),""))</x:f>
      </x:c>
      <x:c r="G284" t="str">
        <x:f>IF(G$1="","",IFERROR(INDEX('包络曲线数据'!$B$2:$U$742,ROW()-1,MATCH(G$1,'包络曲线数据'!$B$1:$U$1,0)),""))</x:f>
      </x:c>
    </x:row>
    <x:row r="285">
      <x:c r="A285" t="n">
        <x:v>28.3</x:v>
      </x:c>
      <x:c r="B285" t="n">
        <x:f>IF(B$1="","",IFERROR(INDEX('包络曲线数据'!$B$2:$U$742,ROW()-1,MATCH(B$1,'包络曲线数据'!$B$1:$U$1,0)),""))</x:f>
        <x:v>51.595284178115094</x:v>
      </x:c>
      <x:c r="C285" t="n">
        <x:f>IF(C$1="","",IFERROR(INDEX('包络曲线数据'!$B$2:$U$742,ROW()-1,MATCH(C$1,'包络曲线数据'!$B$1:$U$1,0)),""))</x:f>
        <x:v>64.02505819941531</x:v>
      </x:c>
      <x:c r="D285" t="n">
        <x:f>IF(D$1="","",IFERROR(INDEX('包络曲线数据'!$B$2:$U$742,ROW()-1,MATCH(D$1,'包络曲线数据'!$B$1:$U$1,0)),""))</x:f>
        <x:v>65.76799776183447</x:v>
      </x:c>
      <x:c r="E285" t="str">
        <x:f>IF(E$1="","",IFERROR(INDEX('包络曲线数据'!$B$2:$U$742,ROW()-1,MATCH(E$1,'包络曲线数据'!$B$1:$U$1,0)),""))</x:f>
      </x:c>
      <x:c r="F285" t="str">
        <x:f>IF(F$1="","",IFERROR(INDEX('包络曲线数据'!$B$2:$U$742,ROW()-1,MATCH(F$1,'包络曲线数据'!$B$1:$U$1,0)),""))</x:f>
      </x:c>
      <x:c r="G285" t="str">
        <x:f>IF(G$1="","",IFERROR(INDEX('包络曲线数据'!$B$2:$U$742,ROW()-1,MATCH(G$1,'包络曲线数据'!$B$1:$U$1,0)),""))</x:f>
      </x:c>
    </x:row>
    <x:row r="286">
      <x:c r="A286" t="n">
        <x:v>28.400000000000002</x:v>
      </x:c>
      <x:c r="B286" t="n">
        <x:f>IF(B$1="","",IFERROR(INDEX('包络曲线数据'!$B$2:$U$742,ROW()-1,MATCH(B$1,'包络曲线数据'!$B$1:$U$1,0)),""))</x:f>
        <x:v>58.758835332062105</x:v>
      </x:c>
      <x:c r="C286" t="n">
        <x:f>IF(C$1="","",IFERROR(INDEX('包络曲线数据'!$B$2:$U$742,ROW()-1,MATCH(C$1,'包络曲线数据'!$B$1:$U$1,0)),""))</x:f>
        <x:v>54.572981199653576</x:v>
      </x:c>
      <x:c r="D286" t="n">
        <x:f>IF(D$1="","",IFERROR(INDEX('包络曲线数据'!$B$2:$U$742,ROW()-1,MATCH(D$1,'包络曲线数据'!$B$1:$U$1,0)),""))</x:f>
        <x:v>65.17496087211526</x:v>
      </x:c>
      <x:c r="E286" t="str">
        <x:f>IF(E$1="","",IFERROR(INDEX('包络曲线数据'!$B$2:$U$742,ROW()-1,MATCH(E$1,'包络曲线数据'!$B$1:$U$1,0)),""))</x:f>
      </x:c>
      <x:c r="F286" t="str">
        <x:f>IF(F$1="","",IFERROR(INDEX('包络曲线数据'!$B$2:$U$742,ROW()-1,MATCH(F$1,'包络曲线数据'!$B$1:$U$1,0)),""))</x:f>
      </x:c>
      <x:c r="G286" t="str">
        <x:f>IF(G$1="","",IFERROR(INDEX('包络曲线数据'!$B$2:$U$742,ROW()-1,MATCH(G$1,'包络曲线数据'!$B$1:$U$1,0)),""))</x:f>
      </x:c>
    </x:row>
    <x:row r="287">
      <x:c r="A287" t="n">
        <x:v>28.5</x:v>
      </x:c>
      <x:c r="B287" t="n">
        <x:f>IF(B$1="","",IFERROR(INDEX('包络曲线数据'!$B$2:$U$742,ROW()-1,MATCH(B$1,'包络曲线数据'!$B$1:$U$1,0)),""))</x:f>
        <x:v>60.163883150461864</x:v>
      </x:c>
      <x:c r="C287" t="n">
        <x:f>IF(C$1="","",IFERROR(INDEX('包络曲线数据'!$B$2:$U$742,ROW()-1,MATCH(C$1,'包络曲线数据'!$B$1:$U$1,0)),""))</x:f>
        <x:v>53.01496493812886</x:v>
      </x:c>
      <x:c r="D287" t="n">
        <x:f>IF(D$1="","",IFERROR(INDEX('包络曲线数据'!$B$2:$U$742,ROW()-1,MATCH(D$1,'包络曲线数据'!$B$1:$U$1,0)),""))</x:f>
        <x:v>63.85024353942566</x:v>
      </x:c>
      <x:c r="E287" t="str">
        <x:f>IF(E$1="","",IFERROR(INDEX('包络曲线数据'!$B$2:$U$742,ROW()-1,MATCH(E$1,'包络曲线数据'!$B$1:$U$1,0)),""))</x:f>
      </x:c>
      <x:c r="F287" t="str">
        <x:f>IF(F$1="","",IFERROR(INDEX('包络曲线数据'!$B$2:$U$742,ROW()-1,MATCH(F$1,'包络曲线数据'!$B$1:$U$1,0)),""))</x:f>
      </x:c>
      <x:c r="G287" t="str">
        <x:f>IF(G$1="","",IFERROR(INDEX('包络曲线数据'!$B$2:$U$742,ROW()-1,MATCH(G$1,'包络曲线数据'!$B$1:$U$1,0)),""))</x:f>
      </x:c>
    </x:row>
    <x:row r="288">
      <x:c r="A288" t="n">
        <x:v>28.6</x:v>
      </x:c>
      <x:c r="B288" t="n">
        <x:f>IF(B$1="","",IFERROR(INDEX('包络曲线数据'!$B$2:$U$742,ROW()-1,MATCH(B$1,'包络曲线数据'!$B$1:$U$1,0)),""))</x:f>
        <x:v>59.2453121778424</x:v>
      </x:c>
      <x:c r="C288" t="n">
        <x:f>IF(C$1="","",IFERROR(INDEX('包络曲线数据'!$B$2:$U$742,ROW()-1,MATCH(C$1,'包络曲线数据'!$B$1:$U$1,0)),""))</x:f>
        <x:v>54.660989087584916</x:v>
      </x:c>
      <x:c r="D288" t="n">
        <x:f>IF(D$1="","",IFERROR(INDEX('包络曲线数据'!$B$2:$U$742,ROW()-1,MATCH(D$1,'包络曲线数据'!$B$1:$U$1,0)),""))</x:f>
        <x:v>65.68527514341841</x:v>
      </x:c>
      <x:c r="E288" t="str">
        <x:f>IF(E$1="","",IFERROR(INDEX('包络曲线数据'!$B$2:$U$742,ROW()-1,MATCH(E$1,'包络曲线数据'!$B$1:$U$1,0)),""))</x:f>
      </x:c>
      <x:c r="F288" t="str">
        <x:f>IF(F$1="","",IFERROR(INDEX('包络曲线数据'!$B$2:$U$742,ROW()-1,MATCH(F$1,'包络曲线数据'!$B$1:$U$1,0)),""))</x:f>
      </x:c>
      <x:c r="G288" t="str">
        <x:f>IF(G$1="","",IFERROR(INDEX('包络曲线数据'!$B$2:$U$742,ROW()-1,MATCH(G$1,'包络曲线数据'!$B$1:$U$1,0)),""))</x:f>
      </x:c>
    </x:row>
    <x:row r="289">
      <x:c r="A289" t="n">
        <x:v>28.700000000000003</x:v>
      </x:c>
      <x:c r="B289" t="n">
        <x:f>IF(B$1="","",IFERROR(INDEX('包络曲线数据'!$B$2:$U$742,ROW()-1,MATCH(B$1,'包络曲线数据'!$B$1:$U$1,0)),""))</x:f>
        <x:v>75.30130960500222</x:v>
      </x:c>
      <x:c r="C289" t="n">
        <x:f>IF(C$1="","",IFERROR(INDEX('包络曲线数据'!$B$2:$U$742,ROW()-1,MATCH(C$1,'包络曲线数据'!$B$1:$U$1,0)),""))</x:f>
        <x:v>60.334065722749486</x:v>
      </x:c>
      <x:c r="D289" t="n">
        <x:f>IF(D$1="","",IFERROR(INDEX('包络曲线数据'!$B$2:$U$742,ROW()-1,MATCH(D$1,'包络曲线数据'!$B$1:$U$1,0)),""))</x:f>
        <x:v>75.97992774798519</x:v>
      </x:c>
      <x:c r="E289" t="str">
        <x:f>IF(E$1="","",IFERROR(INDEX('包络曲线数据'!$B$2:$U$742,ROW()-1,MATCH(E$1,'包络曲线数据'!$B$1:$U$1,0)),""))</x:f>
      </x:c>
      <x:c r="F289" t="str">
        <x:f>IF(F$1="","",IFERROR(INDEX('包络曲线数据'!$B$2:$U$742,ROW()-1,MATCH(F$1,'包络曲线数据'!$B$1:$U$1,0)),""))</x:f>
      </x:c>
      <x:c r="G289" t="str">
        <x:f>IF(G$1="","",IFERROR(INDEX('包络曲线数据'!$B$2:$U$742,ROW()-1,MATCH(G$1,'包络曲线数据'!$B$1:$U$1,0)),""))</x:f>
      </x:c>
    </x:row>
    <x:row r="290">
      <x:c r="A290" t="n">
        <x:v>28.8</x:v>
      </x:c>
      <x:c r="B290" t="n">
        <x:f>IF(B$1="","",IFERROR(INDEX('包络曲线数据'!$B$2:$U$742,ROW()-1,MATCH(B$1,'包络曲线数据'!$B$1:$U$1,0)),""))</x:f>
        <x:v>77.69340702243022</x:v>
      </x:c>
      <x:c r="C290" t="n">
        <x:f>IF(C$1="","",IFERROR(INDEX('包络曲线数据'!$B$2:$U$742,ROW()-1,MATCH(C$1,'包络曲线数据'!$B$1:$U$1,0)),""))</x:f>
        <x:v>63.7379117038481</x:v>
      </x:c>
      <x:c r="D290" t="n">
        <x:f>IF(D$1="","",IFERROR(INDEX('包络曲线数据'!$B$2:$U$742,ROW()-1,MATCH(D$1,'包络曲线数据'!$B$1:$U$1,0)),""))</x:f>
        <x:v>82.15671931072502</x:v>
      </x:c>
      <x:c r="E290" t="str">
        <x:f>IF(E$1="","",IFERROR(INDEX('包络曲线数据'!$B$2:$U$742,ROW()-1,MATCH(E$1,'包络曲线数据'!$B$1:$U$1,0)),""))</x:f>
      </x:c>
      <x:c r="F290" t="str">
        <x:f>IF(F$1="","",IFERROR(INDEX('包络曲线数据'!$B$2:$U$742,ROW()-1,MATCH(F$1,'包络曲线数据'!$B$1:$U$1,0)),""))</x:f>
      </x:c>
      <x:c r="G290" t="str">
        <x:f>IF(G$1="","",IFERROR(INDEX('包络曲线数据'!$B$2:$U$742,ROW()-1,MATCH(G$1,'包络曲线数据'!$B$1:$U$1,0)),""))</x:f>
      </x:c>
    </x:row>
    <x:row r="291">
      <x:c r="A291" t="n">
        <x:v>28.900000000000002</x:v>
      </x:c>
      <x:c r="B291" t="n">
        <x:f>IF(B$1="","",IFERROR(INDEX('包络曲线数据'!$B$2:$U$742,ROW()-1,MATCH(B$1,'包络曲线数据'!$B$1:$U$1,0)),""))</x:f>
        <x:v>77.6934070224302</x:v>
      </x:c>
      <x:c r="C291" t="n">
        <x:f>IF(C$1="","",IFERROR(INDEX('包络曲线数据'!$B$2:$U$742,ROW()-1,MATCH(C$1,'包络曲线数据'!$B$1:$U$1,0)),""))</x:f>
        <x:v>66.32080697583065</x:v>
      </x:c>
      <x:c r="D291" t="n">
        <x:f>IF(D$1="","",IFERROR(INDEX('包络曲线数据'!$B$2:$U$742,ROW()-1,MATCH(D$1,'包络曲线数据'!$B$1:$U$1,0)),""))</x:f>
        <x:v>82.15671931072491</x:v>
      </x:c>
      <x:c r="E291" t="str">
        <x:f>IF(E$1="","",IFERROR(INDEX('包络曲线数据'!$B$2:$U$742,ROW()-1,MATCH(E$1,'包络曲线数据'!$B$1:$U$1,0)),""))</x:f>
      </x:c>
      <x:c r="F291" t="str">
        <x:f>IF(F$1="","",IFERROR(INDEX('包络曲线数据'!$B$2:$U$742,ROW()-1,MATCH(F$1,'包络曲线数据'!$B$1:$U$1,0)),""))</x:f>
      </x:c>
      <x:c r="G291" t="str">
        <x:f>IF(G$1="","",IFERROR(INDEX('包络曲线数据'!$B$2:$U$742,ROW()-1,MATCH(G$1,'包络曲线数据'!$B$1:$U$1,0)),""))</x:f>
      </x:c>
    </x:row>
    <x:row r="292">
      <x:c r="A292" t="n">
        <x:v>29</x:v>
      </x:c>
      <x:c r="B292" t="n">
        <x:f>IF(B$1="","",IFERROR(INDEX('包络曲线数据'!$B$2:$U$742,ROW()-1,MATCH(B$1,'包络曲线数据'!$B$1:$U$1,0)),""))</x:f>
        <x:v>72.0947341834521</x:v>
      </x:c>
      <x:c r="C292" t="n">
        <x:f>IF(C$1="","",IFERROR(INDEX('包络曲线数据'!$B$2:$U$742,ROW()-1,MATCH(C$1,'包络曲线数据'!$B$1:$U$1,0)),""))</x:f>
        <x:v>70.62563242913464</x:v>
      </x:c>
      <x:c r="D292" t="n">
        <x:f>IF(D$1="","",IFERROR(INDEX('包络曲线数据'!$B$2:$U$742,ROW()-1,MATCH(D$1,'包络曲线数据'!$B$1:$U$1,0)),""))</x:f>
        <x:v>73.99655015884163</x:v>
      </x:c>
      <x:c r="E292" t="str">
        <x:f>IF(E$1="","",IFERROR(INDEX('包络曲线数据'!$B$2:$U$742,ROW()-1,MATCH(E$1,'包络曲线数据'!$B$1:$U$1,0)),""))</x:f>
      </x:c>
      <x:c r="F292" t="str">
        <x:f>IF(F$1="","",IFERROR(INDEX('包络曲线数据'!$B$2:$U$742,ROW()-1,MATCH(F$1,'包络曲线数据'!$B$1:$U$1,0)),""))</x:f>
      </x:c>
      <x:c r="G292" t="str">
        <x:f>IF(G$1="","",IFERROR(INDEX('包络曲线数据'!$B$2:$U$742,ROW()-1,MATCH(G$1,'包络曲线数据'!$B$1:$U$1,0)),""))</x:f>
      </x:c>
    </x:row>
    <x:row r="293">
      <x:c r="A293" t="n">
        <x:v>29.1</x:v>
      </x:c>
      <x:c r="B293" t="n">
        <x:f>IF(B$1="","",IFERROR(INDEX('包络曲线数据'!$B$2:$U$742,ROW()-1,MATCH(B$1,'包络曲线数据'!$B$1:$U$1,0)),""))</x:f>
        <x:v>68.48000513085361</x:v>
      </x:c>
      <x:c r="C293" t="n">
        <x:f>IF(C$1="","",IFERROR(INDEX('包络曲线数据'!$B$2:$U$742,ROW()-1,MATCH(C$1,'包络曲线数据'!$B$1:$U$1,0)),""))</x:f>
        <x:v>74.06949279177783</x:v>
      </x:c>
      <x:c r="D293" t="n">
        <x:f>IF(D$1="","",IFERROR(INDEX('包络曲线数据'!$B$2:$U$742,ROW()-1,MATCH(D$1,'包络曲线数据'!$B$1:$U$1,0)),""))</x:f>
        <x:v>67.69692305331148</x:v>
      </x:c>
      <x:c r="E293" t="str">
        <x:f>IF(E$1="","",IFERROR(INDEX('包络曲线数据'!$B$2:$U$742,ROW()-1,MATCH(E$1,'包络曲线数据'!$B$1:$U$1,0)),""))</x:f>
      </x:c>
      <x:c r="F293" t="str">
        <x:f>IF(F$1="","",IFERROR(INDEX('包络曲线数据'!$B$2:$U$742,ROW()-1,MATCH(F$1,'包络曲线数据'!$B$1:$U$1,0)),""))</x:f>
      </x:c>
      <x:c r="G293" t="str">
        <x:f>IF(G$1="","",IFERROR(INDEX('包络曲线数据'!$B$2:$U$742,ROW()-1,MATCH(G$1,'包络曲线数据'!$B$1:$U$1,0)),""))</x:f>
      </x:c>
    </x:row>
    <x:row r="294">
      <x:c r="A294" t="n">
        <x:v>29.200000000000003</x:v>
      </x:c>
      <x:c r="B294" t="n">
        <x:f>IF(B$1="","",IFERROR(INDEX('包络曲线数据'!$B$2:$U$742,ROW()-1,MATCH(B$1,'包络曲线数据'!$B$1:$U$1,0)),""))</x:f>
        <x:v>69.7392950900975</x:v>
      </x:c>
      <x:c r="C294" t="n">
        <x:f>IF(C$1="","",IFERROR(INDEX('包络曲线数据'!$B$2:$U$742,ROW()-1,MATCH(C$1,'包络曲线数据'!$B$1:$U$1,0)),""))</x:f>
        <x:v>74.06949279177783</x:v>
      </x:c>
      <x:c r="D294" t="n">
        <x:f>IF(D$1="","",IFERROR(INDEX('包络曲线数据'!$B$2:$U$742,ROW()-1,MATCH(D$1,'包络曲线数据'!$B$1:$U$1,0)),""))</x:f>
        <x:v>61.715877687563385</x:v>
      </x:c>
      <x:c r="E294" t="str">
        <x:f>IF(E$1="","",IFERROR(INDEX('包络曲线数据'!$B$2:$U$742,ROW()-1,MATCH(E$1,'包络曲线数据'!$B$1:$U$1,0)),""))</x:f>
      </x:c>
      <x:c r="F294" t="str">
        <x:f>IF(F$1="","",IFERROR(INDEX('包络曲线数据'!$B$2:$U$742,ROW()-1,MATCH(F$1,'包络曲线数据'!$B$1:$U$1,0)),""))</x:f>
      </x:c>
      <x:c r="G294" t="str">
        <x:f>IF(G$1="","",IFERROR(INDEX('包络曲线数据'!$B$2:$U$742,ROW()-1,MATCH(G$1,'包络曲线数据'!$B$1:$U$1,0)),""))</x:f>
      </x:c>
    </x:row>
    <x:row r="295">
      <x:c r="A295" t="n">
        <x:v>29.3</x:v>
      </x:c>
      <x:c r="B295" t="n">
        <x:f>IF(B$1="","",IFERROR(INDEX('包络曲线数据'!$B$2:$U$742,ROW()-1,MATCH(B$1,'包络曲线数据'!$B$1:$U$1,0)),""))</x:f>
        <x:v>72.05047028350336</x:v>
      </x:c>
      <x:c r="C295" t="n">
        <x:f>IF(C$1="","",IFERROR(INDEX('包络曲线数据'!$B$2:$U$742,ROW()-1,MATCH(C$1,'包络曲线数据'!$B$1:$U$1,0)),""))</x:f>
        <x:v>72.01415043321116</x:v>
      </x:c>
      <x:c r="D295" t="n">
        <x:f>IF(D$1="","",IFERROR(INDEX('包络曲线数据'!$B$2:$U$742,ROW()-1,MATCH(D$1,'包络曲线数据'!$B$1:$U$1,0)),""))</x:f>
        <x:v>52.30764557949422</x:v>
      </x:c>
      <x:c r="E295" t="str">
        <x:f>IF(E$1="","",IFERROR(INDEX('包络曲线数据'!$B$2:$U$742,ROW()-1,MATCH(E$1,'包络曲线数据'!$B$1:$U$1,0)),""))</x:f>
      </x:c>
      <x:c r="F295" t="str">
        <x:f>IF(F$1="","",IFERROR(INDEX('包络曲线数据'!$B$2:$U$742,ROW()-1,MATCH(F$1,'包络曲线数据'!$B$1:$U$1,0)),""))</x:f>
      </x:c>
      <x:c r="G295" t="str">
        <x:f>IF(G$1="","",IFERROR(INDEX('包络曲线数据'!$B$2:$U$742,ROW()-1,MATCH(G$1,'包络曲线数据'!$B$1:$U$1,0)),""))</x:f>
      </x:c>
    </x:row>
    <x:row r="296">
      <x:c r="A296" t="n">
        <x:v>29.400000000000002</x:v>
      </x:c>
      <x:c r="B296" t="n">
        <x:f>IF(B$1="","",IFERROR(INDEX('包络曲线数据'!$B$2:$U$742,ROW()-1,MATCH(B$1,'包络曲线数据'!$B$1:$U$1,0)),""))</x:f>
        <x:v>72.05047028350336</x:v>
      </x:c>
      <x:c r="C296" t="n">
        <x:f>IF(C$1="","",IFERROR(INDEX('包络曲线数据'!$B$2:$U$742,ROW()-1,MATCH(C$1,'包络曲线数据'!$B$1:$U$1,0)),""))</x:f>
        <x:v>65.3680806038978</x:v>
      </x:c>
      <x:c r="D296" t="n">
        <x:f>IF(D$1="","",IFERROR(INDEX('包络曲线数据'!$B$2:$U$742,ROW()-1,MATCH(D$1,'包络曲线数据'!$B$1:$U$1,0)),""))</x:f>
        <x:v>57.18595697219354</x:v>
      </x:c>
      <x:c r="E296" t="str">
        <x:f>IF(E$1="","",IFERROR(INDEX('包络曲线数据'!$B$2:$U$742,ROW()-1,MATCH(E$1,'包络曲线数据'!$B$1:$U$1,0)),""))</x:f>
      </x:c>
      <x:c r="F296" t="str">
        <x:f>IF(F$1="","",IFERROR(INDEX('包络曲线数据'!$B$2:$U$742,ROW()-1,MATCH(F$1,'包络曲线数据'!$B$1:$U$1,0)),""))</x:f>
      </x:c>
      <x:c r="G296" t="str">
        <x:f>IF(G$1="","",IFERROR(INDEX('包络曲线数据'!$B$2:$U$742,ROW()-1,MATCH(G$1,'包络曲线数据'!$B$1:$U$1,0)),""))</x:f>
      </x:c>
    </x:row>
    <x:row r="297">
      <x:c r="A297" t="n">
        <x:v>29.5</x:v>
      </x:c>
      <x:c r="B297" t="n">
        <x:f>IF(B$1="","",IFERROR(INDEX('包络曲线数据'!$B$2:$U$742,ROW()-1,MATCH(B$1,'包络曲线数据'!$B$1:$U$1,0)),""))</x:f>
        <x:v>72.01285350691063</x:v>
      </x:c>
      <x:c r="C297" t="n">
        <x:f>IF(C$1="","",IFERROR(INDEX('包络曲线数据'!$B$2:$U$742,ROW()-1,MATCH(C$1,'包络曲线数据'!$B$1:$U$1,0)),""))</x:f>
        <x:v>63.001156440064385</x:v>
      </x:c>
      <x:c r="D297" t="n">
        <x:f>IF(D$1="","",IFERROR(INDEX('包络曲线数据'!$B$2:$U$742,ROW()-1,MATCH(D$1,'包络曲线数据'!$B$1:$U$1,0)),""))</x:f>
        <x:v>57.18595697219354</x:v>
      </x:c>
      <x:c r="E297" t="str">
        <x:f>IF(E$1="","",IFERROR(INDEX('包络曲线数据'!$B$2:$U$742,ROW()-1,MATCH(E$1,'包络曲线数据'!$B$1:$U$1,0)),""))</x:f>
      </x:c>
      <x:c r="F297" t="str">
        <x:f>IF(F$1="","",IFERROR(INDEX('包络曲线数据'!$B$2:$U$742,ROW()-1,MATCH(F$1,'包络曲线数据'!$B$1:$U$1,0)),""))</x:f>
      </x:c>
      <x:c r="G297" t="str">
        <x:f>IF(G$1="","",IFERROR(INDEX('包络曲线数据'!$B$2:$U$742,ROW()-1,MATCH(G$1,'包络曲线数据'!$B$1:$U$1,0)),""))</x:f>
      </x:c>
    </x:row>
    <x:row r="298">
      <x:c r="A298" t="n">
        <x:v>29.6</x:v>
      </x:c>
      <x:c r="B298" t="n">
        <x:f>IF(B$1="","",IFERROR(INDEX('包络曲线数据'!$B$2:$U$742,ROW()-1,MATCH(B$1,'包络曲线数据'!$B$1:$U$1,0)),""))</x:f>
        <x:v>73.0934706491347</x:v>
      </x:c>
      <x:c r="C298" t="n">
        <x:f>IF(C$1="","",IFERROR(INDEX('包络曲线数据'!$B$2:$U$742,ROW()-1,MATCH(C$1,'包络曲线数据'!$B$1:$U$1,0)),""))</x:f>
        <x:v>65.4698074535811</x:v>
      </x:c>
      <x:c r="D298" t="n">
        <x:f>IF(D$1="","",IFERROR(INDEX('包络曲线数据'!$B$2:$U$742,ROW()-1,MATCH(D$1,'包络曲线数据'!$B$1:$U$1,0)),""))</x:f>
        <x:v>51.80667276050272</x:v>
      </x:c>
      <x:c r="E298" t="str">
        <x:f>IF(E$1="","",IFERROR(INDEX('包络曲线数据'!$B$2:$U$742,ROW()-1,MATCH(E$1,'包络曲线数据'!$B$1:$U$1,0)),""))</x:f>
      </x:c>
      <x:c r="F298" t="str">
        <x:f>IF(F$1="","",IFERROR(INDEX('包络曲线数据'!$B$2:$U$742,ROW()-1,MATCH(F$1,'包络曲线数据'!$B$1:$U$1,0)),""))</x:f>
      </x:c>
      <x:c r="G298" t="str">
        <x:f>IF(G$1="","",IFERROR(INDEX('包络曲线数据'!$B$2:$U$742,ROW()-1,MATCH(G$1,'包络曲线数据'!$B$1:$U$1,0)),""))</x:f>
      </x:c>
    </x:row>
    <x:row r="299">
      <x:c r="A299" t="n">
        <x:v>29.700000000000003</x:v>
      </x:c>
      <x:c r="B299" t="n">
        <x:f>IF(B$1="","",IFERROR(INDEX('包络曲线数据'!$B$2:$U$742,ROW()-1,MATCH(B$1,'包络曲线数据'!$B$1:$U$1,0)),""))</x:f>
        <x:v>73.4775382985352</x:v>
      </x:c>
      <x:c r="C299" t="n">
        <x:f>IF(C$1="","",IFERROR(INDEX('包络曲线数据'!$B$2:$U$742,ROW()-1,MATCH(C$1,'包络曲线数据'!$B$1:$U$1,0)),""))</x:f>
        <x:v>66.42487787500173</x:v>
      </x:c>
      <x:c r="D299" t="n">
        <x:f>IF(D$1="","",IFERROR(INDEX('包络曲线数据'!$B$2:$U$742,ROW()-1,MATCH(D$1,'包络曲线数据'!$B$1:$U$1,0)),""))</x:f>
        <x:v>65.1465640560306</x:v>
      </x:c>
      <x:c r="E299" t="str">
        <x:f>IF(E$1="","",IFERROR(INDEX('包络曲线数据'!$B$2:$U$742,ROW()-1,MATCH(E$1,'包络曲线数据'!$B$1:$U$1,0)),""))</x:f>
      </x:c>
      <x:c r="F299" t="str">
        <x:f>IF(F$1="","",IFERROR(INDEX('包络曲线数据'!$B$2:$U$742,ROW()-1,MATCH(F$1,'包络曲线数据'!$B$1:$U$1,0)),""))</x:f>
      </x:c>
      <x:c r="G299" t="str">
        <x:f>IF(G$1="","",IFERROR(INDEX('包络曲线数据'!$B$2:$U$742,ROW()-1,MATCH(G$1,'包络曲线数据'!$B$1:$U$1,0)),""))</x:f>
      </x:c>
    </x:row>
    <x:row r="300">
      <x:c r="A300" t="n">
        <x:v>29.8</x:v>
      </x:c>
      <x:c r="B300" t="n">
        <x:f>IF(B$1="","",IFERROR(INDEX('包络曲线数据'!$B$2:$U$742,ROW()-1,MATCH(B$1,'包络曲线数据'!$B$1:$U$1,0)),""))</x:f>
        <x:v>73.61231023336646</x:v>
      </x:c>
      <x:c r="C300" t="n">
        <x:f>IF(C$1="","",IFERROR(INDEX('包络曲线数据'!$B$2:$U$742,ROW()-1,MATCH(C$1,'包络曲线数据'!$B$1:$U$1,0)),""))</x:f>
        <x:v>66.51602724901922</x:v>
      </x:c>
      <x:c r="D300" t="n">
        <x:f>IF(D$1="","",IFERROR(INDEX('包络曲线数据'!$B$2:$U$742,ROW()-1,MATCH(D$1,'包络曲线数据'!$B$1:$U$1,0)),""))</x:f>
        <x:v>72.52648622910432</x:v>
      </x:c>
      <x:c r="E300" t="str">
        <x:f>IF(E$1="","",IFERROR(INDEX('包络曲线数据'!$B$2:$U$742,ROW()-1,MATCH(E$1,'包络曲线数据'!$B$1:$U$1,0)),""))</x:f>
      </x:c>
      <x:c r="F300" t="str">
        <x:f>IF(F$1="","",IFERROR(INDEX('包络曲线数据'!$B$2:$U$742,ROW()-1,MATCH(F$1,'包络曲线数据'!$B$1:$U$1,0)),""))</x:f>
      </x:c>
      <x:c r="G300" t="str">
        <x:f>IF(G$1="","",IFERROR(INDEX('包络曲线数据'!$B$2:$U$742,ROW()-1,MATCH(G$1,'包络曲线数据'!$B$1:$U$1,0)),""))</x:f>
      </x:c>
    </x:row>
    <x:row r="301">
      <x:c r="A301" t="n">
        <x:v>29.900000000000002</x:v>
      </x:c>
      <x:c r="B301" t="n">
        <x:f>IF(B$1="","",IFERROR(INDEX('包络曲线数据'!$B$2:$U$742,ROW()-1,MATCH(B$1,'包络曲线数据'!$B$1:$U$1,0)),""))</x:f>
        <x:v>73.61231023336643</x:v>
      </x:c>
      <x:c r="C301" t="n">
        <x:f>IF(C$1="","",IFERROR(INDEX('包络曲线数据'!$B$2:$U$742,ROW()-1,MATCH(C$1,'包络曲线数据'!$B$1:$U$1,0)),""))</x:f>
        <x:v>67.05284183234598</x:v>
      </x:c>
      <x:c r="D301" t="n">
        <x:f>IF(D$1="","",IFERROR(INDEX('包络曲线数据'!$B$2:$U$742,ROW()-1,MATCH(D$1,'包络曲线数据'!$B$1:$U$1,0)),""))</x:f>
        <x:v>73.54276876332241</x:v>
      </x:c>
      <x:c r="E301" t="str">
        <x:f>IF(E$1="","",IFERROR(INDEX('包络曲线数据'!$B$2:$U$742,ROW()-1,MATCH(E$1,'包络曲线数据'!$B$1:$U$1,0)),""))</x:f>
      </x:c>
      <x:c r="F301" t="str">
        <x:f>IF(F$1="","",IFERROR(INDEX('包络曲线数据'!$B$2:$U$742,ROW()-1,MATCH(F$1,'包络曲线数据'!$B$1:$U$1,0)),""))</x:f>
      </x:c>
      <x:c r="G301" t="str">
        <x:f>IF(G$1="","",IFERROR(INDEX('包络曲线数据'!$B$2:$U$742,ROW()-1,MATCH(G$1,'包络曲线数据'!$B$1:$U$1,0)),""))</x:f>
      </x:c>
    </x:row>
    <x:row r="302">
      <x:c r="A302" t="n">
        <x:v>30</x:v>
      </x:c>
      <x:c r="B302" t="n">
        <x:f>IF(B$1="","",IFERROR(INDEX('包络曲线数据'!$B$2:$U$742,ROW()-1,MATCH(B$1,'包络曲线数据'!$B$1:$U$1,0)),""))</x:f>
        <x:v>72.28057520273188</x:v>
      </x:c>
      <x:c r="C302" t="n">
        <x:f>IF(C$1="","",IFERROR(INDEX('包络曲线数据'!$B$2:$U$742,ROW()-1,MATCH(C$1,'包络曲线数据'!$B$1:$U$1,0)),""))</x:f>
        <x:v>67.09665706078071</x:v>
      </x:c>
      <x:c r="D302" t="n">
        <x:f>IF(D$1="","",IFERROR(INDEX('包络曲线数据'!$B$2:$U$742,ROW()-1,MATCH(D$1,'包络曲线数据'!$B$1:$U$1,0)),""))</x:f>
        <x:v>72.89868464156385</x:v>
      </x:c>
      <x:c r="E302" t="str">
        <x:f>IF(E$1="","",IFERROR(INDEX('包络曲线数据'!$B$2:$U$742,ROW()-1,MATCH(E$1,'包络曲线数据'!$B$1:$U$1,0)),""))</x:f>
      </x:c>
      <x:c r="F302" t="str">
        <x:f>IF(F$1="","",IFERROR(INDEX('包络曲线数据'!$B$2:$U$742,ROW()-1,MATCH(F$1,'包络曲线数据'!$B$1:$U$1,0)),""))</x:f>
      </x:c>
      <x:c r="G302" t="str">
        <x:f>IF(G$1="","",IFERROR(INDEX('包络曲线数据'!$B$2:$U$742,ROW()-1,MATCH(G$1,'包络曲线数据'!$B$1:$U$1,0)),""))</x:f>
      </x:c>
    </x:row>
    <x:row r="303">
      <x:c r="A303" t="n">
        <x:v>30.1</x:v>
      </x:c>
      <x:c r="B303" t="n">
        <x:f>IF(B$1="","",IFERROR(INDEX('包络曲线数据'!$B$2:$U$742,ROW()-1,MATCH(B$1,'包络曲线数据'!$B$1:$U$1,0)),""))</x:f>
        <x:v>73.8430501344948</x:v>
      </x:c>
      <x:c r="C303" t="n">
        <x:f>IF(C$1="","",IFERROR(INDEX('包络曲线数据'!$B$2:$U$742,ROW()-1,MATCH(C$1,'包络曲线数据'!$B$1:$U$1,0)),""))</x:f>
        <x:v>67.09665706078071</x:v>
      </x:c>
      <x:c r="D303" t="n">
        <x:f>IF(D$1="","",IFERROR(INDEX('包络曲线数据'!$B$2:$U$742,ROW()-1,MATCH(D$1,'包络曲线数据'!$B$1:$U$1,0)),""))</x:f>
        <x:v>64.22625306990503</x:v>
      </x:c>
      <x:c r="E303" t="str">
        <x:f>IF(E$1="","",IFERROR(INDEX('包络曲线数据'!$B$2:$U$742,ROW()-1,MATCH(E$1,'包络曲线数据'!$B$1:$U$1,0)),""))</x:f>
      </x:c>
      <x:c r="F303" t="str">
        <x:f>IF(F$1="","",IFERROR(INDEX('包络曲线数据'!$B$2:$U$742,ROW()-1,MATCH(F$1,'包络曲线数据'!$B$1:$U$1,0)),""))</x:f>
      </x:c>
      <x:c r="G303" t="str">
        <x:f>IF(G$1="","",IFERROR(INDEX('包络曲线数据'!$B$2:$U$742,ROW()-1,MATCH(G$1,'包络曲线数据'!$B$1:$U$1,0)),""))</x:f>
      </x:c>
    </x:row>
    <x:row r="304">
      <x:c r="A304" t="n">
        <x:v>30.200000000000003</x:v>
      </x:c>
      <x:c r="B304" t="n">
        <x:f>IF(B$1="","",IFERROR(INDEX('包络曲线数据'!$B$2:$U$742,ROW()-1,MATCH(B$1,'包络曲线数据'!$B$1:$U$1,0)),""))</x:f>
        <x:v>73.8430501344948</x:v>
      </x:c>
      <x:c r="C304" t="n">
        <x:f>IF(C$1="","",IFERROR(INDEX('包络曲线数据'!$B$2:$U$742,ROW()-1,MATCH(C$1,'包络曲线数据'!$B$1:$U$1,0)),""))</x:f>
        <x:v>67.87245766228412</x:v>
      </x:c>
      <x:c r="D304" t="n">
        <x:f>IF(D$1="","",IFERROR(INDEX('包络曲线数据'!$B$2:$U$742,ROW()-1,MATCH(D$1,'包络曲线数据'!$B$1:$U$1,0)),""))</x:f>
        <x:v>63.46971052017722</x:v>
      </x:c>
      <x:c r="E304" t="str">
        <x:f>IF(E$1="","",IFERROR(INDEX('包络曲线数据'!$B$2:$U$742,ROW()-1,MATCH(E$1,'包络曲线数据'!$B$1:$U$1,0)),""))</x:f>
      </x:c>
      <x:c r="F304" t="str">
        <x:f>IF(F$1="","",IFERROR(INDEX('包络曲线数据'!$B$2:$U$742,ROW()-1,MATCH(F$1,'包络曲线数据'!$B$1:$U$1,0)),""))</x:f>
      </x:c>
      <x:c r="G304" t="str">
        <x:f>IF(G$1="","",IFERROR(INDEX('包络曲线数据'!$B$2:$U$742,ROW()-1,MATCH(G$1,'包络曲线数据'!$B$1:$U$1,0)),""))</x:f>
      </x:c>
    </x:row>
    <x:row r="305">
      <x:c r="A305" t="n">
        <x:v>30.3</x:v>
      </x:c>
      <x:c r="B305" t="n">
        <x:f>IF(B$1="","",IFERROR(INDEX('包络曲线数据'!$B$2:$U$742,ROW()-1,MATCH(B$1,'包络曲线数据'!$B$1:$U$1,0)),""))</x:f>
        <x:v>73.63700647427704</x:v>
      </x:c>
      <x:c r="C305" t="n">
        <x:f>IF(C$1="","",IFERROR(INDEX('包络曲线数据'!$B$2:$U$742,ROW()-1,MATCH(C$1,'包络曲线数据'!$B$1:$U$1,0)),""))</x:f>
        <x:v>67.87245766228412</x:v>
      </x:c>
      <x:c r="D305" t="n">
        <x:f>IF(D$1="","",IFERROR(INDEX('包络曲线数据'!$B$2:$U$742,ROW()-1,MATCH(D$1,'包络曲线数据'!$B$1:$U$1,0)),""))</x:f>
        <x:v>64.67993916630562</x:v>
      </x:c>
      <x:c r="E305" t="str">
        <x:f>IF(E$1="","",IFERROR(INDEX('包络曲线数据'!$B$2:$U$742,ROW()-1,MATCH(E$1,'包络曲线数据'!$B$1:$U$1,0)),""))</x:f>
      </x:c>
      <x:c r="F305" t="str">
        <x:f>IF(F$1="","",IFERROR(INDEX('包络曲线数据'!$B$2:$U$742,ROW()-1,MATCH(F$1,'包络曲线数据'!$B$1:$U$1,0)),""))</x:f>
      </x:c>
      <x:c r="G305" t="str">
        <x:f>IF(G$1="","",IFERROR(INDEX('包络曲线数据'!$B$2:$U$742,ROW()-1,MATCH(G$1,'包络曲线数据'!$B$1:$U$1,0)),""))</x:f>
      </x:c>
    </x:row>
    <x:row r="306">
      <x:c r="A306" t="n">
        <x:v>30.400000000000002</x:v>
      </x:c>
      <x:c r="B306" t="n">
        <x:f>IF(B$1="","",IFERROR(INDEX('包络曲线数据'!$B$2:$U$742,ROW()-1,MATCH(B$1,'包络曲线数据'!$B$1:$U$1,0)),""))</x:f>
        <x:v>83.0928782278448</x:v>
      </x:c>
      <x:c r="C306" t="n">
        <x:f>IF(C$1="","",IFERROR(INDEX('包络曲线数据'!$B$2:$U$742,ROW()-1,MATCH(C$1,'包络曲线数据'!$B$1:$U$1,0)),""))</x:f>
        <x:v>66.9632750635632</x:v>
      </x:c>
      <x:c r="D306" t="n">
        <x:f>IF(D$1="","",IFERROR(INDEX('包络曲线数据'!$B$2:$U$742,ROW()-1,MATCH(D$1,'包络曲线数据'!$B$1:$U$1,0)),""))</x:f>
        <x:v>64.67993916630562</x:v>
      </x:c>
      <x:c r="E306" t="str">
        <x:f>IF(E$1="","",IFERROR(INDEX('包络曲线数据'!$B$2:$U$742,ROW()-1,MATCH(E$1,'包络曲线数据'!$B$1:$U$1,0)),""))</x:f>
      </x:c>
      <x:c r="F306" t="str">
        <x:f>IF(F$1="","",IFERROR(INDEX('包络曲线数据'!$B$2:$U$742,ROW()-1,MATCH(F$1,'包络曲线数据'!$B$1:$U$1,0)),""))</x:f>
      </x:c>
      <x:c r="G306" t="str">
        <x:f>IF(G$1="","",IFERROR(INDEX('包络曲线数据'!$B$2:$U$742,ROW()-1,MATCH(G$1,'包络曲线数据'!$B$1:$U$1,0)),""))</x:f>
      </x:c>
    </x:row>
    <x:row r="307">
      <x:c r="A307" t="n">
        <x:v>30.5</x:v>
      </x:c>
      <x:c r="B307" t="n">
        <x:f>IF(B$1="","",IFERROR(INDEX('包络曲线数据'!$B$2:$U$742,ROW()-1,MATCH(B$1,'包络曲线数据'!$B$1:$U$1,0)),""))</x:f>
        <x:v>83.0928782278448</x:v>
      </x:c>
      <x:c r="C307" t="n">
        <x:f>IF(C$1="","",IFERROR(INDEX('包络曲线数据'!$B$2:$U$742,ROW()-1,MATCH(C$1,'包络曲线数据'!$B$1:$U$1,0)),""))</x:f>
        <x:v>67.91172324475376</x:v>
      </x:c>
      <x:c r="D307" t="n">
        <x:f>IF(D$1="","",IFERROR(INDEX('包络曲线数据'!$B$2:$U$742,ROW()-1,MATCH(D$1,'包络曲线数据'!$B$1:$U$1,0)),""))</x:f>
        <x:v>62.57667067239609</x:v>
      </x:c>
      <x:c r="E307" t="str">
        <x:f>IF(E$1="","",IFERROR(INDEX('包络曲线数据'!$B$2:$U$742,ROW()-1,MATCH(E$1,'包络曲线数据'!$B$1:$U$1,0)),""))</x:f>
      </x:c>
      <x:c r="F307" t="str">
        <x:f>IF(F$1="","",IFERROR(INDEX('包络曲线数据'!$B$2:$U$742,ROW()-1,MATCH(F$1,'包络曲线数据'!$B$1:$U$1,0)),""))</x:f>
      </x:c>
      <x:c r="G307" t="str">
        <x:f>IF(G$1="","",IFERROR(INDEX('包络曲线数据'!$B$2:$U$742,ROW()-1,MATCH(G$1,'包络曲线数据'!$B$1:$U$1,0)),""))</x:f>
      </x:c>
    </x:row>
    <x:row r="308">
      <x:c r="A308" t="n">
        <x:v>30.6</x:v>
      </x:c>
      <x:c r="B308" t="n">
        <x:f>IF(B$1="","",IFERROR(INDEX('包络曲线数据'!$B$2:$U$742,ROW()-1,MATCH(B$1,'包络曲线数据'!$B$1:$U$1,0)),""))</x:f>
        <x:v>78.37074493409429</x:v>
      </x:c>
      <x:c r="C308" t="n">
        <x:f>IF(C$1="","",IFERROR(INDEX('包络曲线数据'!$B$2:$U$742,ROW()-1,MATCH(C$1,'包络曲线数据'!$B$1:$U$1,0)),""))</x:f>
        <x:v>68.19521017043249</x:v>
      </x:c>
      <x:c r="D308" t="n">
        <x:f>IF(D$1="","",IFERROR(INDEX('包络曲线数据'!$B$2:$U$742,ROW()-1,MATCH(D$1,'包络曲线数据'!$B$1:$U$1,0)),""))</x:f>
        <x:v>59.80272363984042</x:v>
      </x:c>
      <x:c r="E308" t="str">
        <x:f>IF(E$1="","",IFERROR(INDEX('包络曲线数据'!$B$2:$U$742,ROW()-1,MATCH(E$1,'包络曲线数据'!$B$1:$U$1,0)),""))</x:f>
      </x:c>
      <x:c r="F308" t="str">
        <x:f>IF(F$1="","",IFERROR(INDEX('包络曲线数据'!$B$2:$U$742,ROW()-1,MATCH(F$1,'包络曲线数据'!$B$1:$U$1,0)),""))</x:f>
      </x:c>
      <x:c r="G308" t="str">
        <x:f>IF(G$1="","",IFERROR(INDEX('包络曲线数据'!$B$2:$U$742,ROW()-1,MATCH(G$1,'包络曲线数据'!$B$1:$U$1,0)),""))</x:f>
      </x:c>
    </x:row>
    <x:row r="309">
      <x:c r="A309" t="n">
        <x:v>30.700000000000003</x:v>
      </x:c>
      <x:c r="B309" t="n">
        <x:f>IF(B$1="","",IFERROR(INDEX('包络曲线数据'!$B$2:$U$742,ROW()-1,MATCH(B$1,'包络曲线数据'!$B$1:$U$1,0)),""))</x:f>
        <x:v>68.11676262440044</x:v>
      </x:c>
      <x:c r="C309" t="n">
        <x:f>IF(C$1="","",IFERROR(INDEX('包络曲线数据'!$B$2:$U$742,ROW()-1,MATCH(C$1,'包络曲线数据'!$B$1:$U$1,0)),""))</x:f>
        <x:v>67.89154882966949</x:v>
      </x:c>
      <x:c r="D309" t="n">
        <x:f>IF(D$1="","",IFERROR(INDEX('包络曲线数据'!$B$2:$U$742,ROW()-1,MATCH(D$1,'包络曲线数据'!$B$1:$U$1,0)),""))</x:f>
        <x:v>58.24495442957366</x:v>
      </x:c>
      <x:c r="E309" t="str">
        <x:f>IF(E$1="","",IFERROR(INDEX('包络曲线数据'!$B$2:$U$742,ROW()-1,MATCH(E$1,'包络曲线数据'!$B$1:$U$1,0)),""))</x:f>
      </x:c>
      <x:c r="F309" t="str">
        <x:f>IF(F$1="","",IFERROR(INDEX('包络曲线数据'!$B$2:$U$742,ROW()-1,MATCH(F$1,'包络曲线数据'!$B$1:$U$1,0)),""))</x:f>
      </x:c>
      <x:c r="G309" t="str">
        <x:f>IF(G$1="","",IFERROR(INDEX('包络曲线数据'!$B$2:$U$742,ROW()-1,MATCH(G$1,'包络曲线数据'!$B$1:$U$1,0)),""))</x:f>
      </x:c>
    </x:row>
    <x:row r="310">
      <x:c r="A310" t="n">
        <x:v>30.8</x:v>
      </x:c>
      <x:c r="B310" t="n">
        <x:f>IF(B$1="","",IFERROR(INDEX('包络曲线数据'!$B$2:$U$742,ROW()-1,MATCH(B$1,'包络曲线数据'!$B$1:$U$1,0)),""))</x:f>
        <x:v>57.49821603500898</x:v>
      </x:c>
      <x:c r="C310" t="n">
        <x:f>IF(C$1="","",IFERROR(INDEX('包络曲线数据'!$B$2:$U$742,ROW()-1,MATCH(C$1,'包络曲线数据'!$B$1:$U$1,0)),""))</x:f>
        <x:v>65.77199538182713</x:v>
      </x:c>
      <x:c r="D310" t="n">
        <x:f>IF(D$1="","",IFERROR(INDEX('包络曲线数据'!$B$2:$U$742,ROW()-1,MATCH(D$1,'包络曲线数据'!$B$1:$U$1,0)),""))</x:f>
        <x:v>56.68718521930745</x:v>
      </x:c>
      <x:c r="E310" t="str">
        <x:f>IF(E$1="","",IFERROR(INDEX('包络曲线数据'!$B$2:$U$742,ROW()-1,MATCH(E$1,'包络曲线数据'!$B$1:$U$1,0)),""))</x:f>
      </x:c>
      <x:c r="F310" t="str">
        <x:f>IF(F$1="","",IFERROR(INDEX('包络曲线数据'!$B$2:$U$742,ROW()-1,MATCH(F$1,'包络曲线数据'!$B$1:$U$1,0)),""))</x:f>
      </x:c>
      <x:c r="G310" t="str">
        <x:f>IF(G$1="","",IFERROR(INDEX('包络曲线数据'!$B$2:$U$742,ROW()-1,MATCH(G$1,'包络曲线数据'!$B$1:$U$1,0)),""))</x:f>
      </x:c>
    </x:row>
    <x:row r="311">
      <x:c r="A311" t="n">
        <x:v>30.900000000000002</x:v>
      </x:c>
      <x:c r="B311" t="n">
        <x:f>IF(B$1="","",IFERROR(INDEX('包络曲线数据'!$B$2:$U$742,ROW()-1,MATCH(B$1,'包络曲线数据'!$B$1:$U$1,0)),""))</x:f>
        <x:v>59.764344461230365</x:v>
      </x:c>
      <x:c r="C311" t="n">
        <x:f>IF(C$1="","",IFERROR(INDEX('包络曲线数据'!$B$2:$U$742,ROW()-1,MATCH(C$1,'包络曲线数据'!$B$1:$U$1,0)),""))</x:f>
        <x:v>79.06124803159501</x:v>
      </x:c>
      <x:c r="D311" t="n">
        <x:f>IF(D$1="","",IFERROR(INDEX('包络曲线数据'!$B$2:$U$742,ROW()-1,MATCH(D$1,'包络曲线数据'!$B$1:$U$1,0)),""))</x:f>
        <x:v>63.73021312248099</x:v>
      </x:c>
      <x:c r="E311" t="str">
        <x:f>IF(E$1="","",IFERROR(INDEX('包络曲线数据'!$B$2:$U$742,ROW()-1,MATCH(E$1,'包络曲线数据'!$B$1:$U$1,0)),""))</x:f>
      </x:c>
      <x:c r="F311" t="str">
        <x:f>IF(F$1="","",IFERROR(INDEX('包络曲线数据'!$B$2:$U$742,ROW()-1,MATCH(F$1,'包络曲线数据'!$B$1:$U$1,0)),""))</x:f>
      </x:c>
      <x:c r="G311" t="str">
        <x:f>IF(G$1="","",IFERROR(INDEX('包络曲线数据'!$B$2:$U$742,ROW()-1,MATCH(G$1,'包络曲线数据'!$B$1:$U$1,0)),""))</x:f>
      </x:c>
    </x:row>
    <x:row r="312">
      <x:c r="A312" t="n">
        <x:v>31</x:v>
      </x:c>
      <x:c r="B312" t="n">
        <x:f>IF(B$1="","",IFERROR(INDEX('包络曲线数据'!$B$2:$U$742,ROW()-1,MATCH(B$1,'包络曲线数据'!$B$1:$U$1,0)),""))</x:f>
        <x:v>59.76318024297626</x:v>
      </x:c>
      <x:c r="C312" t="n">
        <x:f>IF(C$1="","",IFERROR(INDEX('包络曲线数据'!$B$2:$U$742,ROW()-1,MATCH(C$1,'包络曲线数据'!$B$1:$U$1,0)),""))</x:f>
        <x:v>82.15379391689059</x:v>
      </x:c>
      <x:c r="D312" t="n">
        <x:f>IF(D$1="","",IFERROR(INDEX('包络曲线数据'!$B$2:$U$742,ROW()-1,MATCH(D$1,'包络曲线数据'!$B$1:$U$1,0)),""))</x:f>
        <x:v>72.32503873125518</x:v>
      </x:c>
      <x:c r="E312" t="str">
        <x:f>IF(E$1="","",IFERROR(INDEX('包络曲线数据'!$B$2:$U$742,ROW()-1,MATCH(E$1,'包络曲线数据'!$B$1:$U$1,0)),""))</x:f>
      </x:c>
      <x:c r="F312" t="str">
        <x:f>IF(F$1="","",IFERROR(INDEX('包络曲线数据'!$B$2:$U$742,ROW()-1,MATCH(F$1,'包络曲线数据'!$B$1:$U$1,0)),""))</x:f>
      </x:c>
      <x:c r="G312" t="str">
        <x:f>IF(G$1="","",IFERROR(INDEX('包络曲线数据'!$B$2:$U$742,ROW()-1,MATCH(G$1,'包络曲线数据'!$B$1:$U$1,0)),""))</x:f>
      </x:c>
    </x:row>
    <x:row r="313">
      <x:c r="A313" t="n">
        <x:v>31.1</x:v>
      </x:c>
      <x:c r="B313" t="n">
        <x:f>IF(B$1="","",IFERROR(INDEX('包络曲线数据'!$B$2:$U$742,ROW()-1,MATCH(B$1,'包络曲线数据'!$B$1:$U$1,0)),""))</x:f>
        <x:v>58.160945412001546</x:v>
      </x:c>
      <x:c r="C313" t="n">
        <x:f>IF(C$1="","",IFERROR(INDEX('包络曲线数据'!$B$2:$U$742,ROW()-1,MATCH(C$1,'包络曲线数据'!$B$1:$U$1,0)),""))</x:f>
        <x:v>82.15379391689059</x:v>
      </x:c>
      <x:c r="D313" t="n">
        <x:f>IF(D$1="","",IFERROR(INDEX('包络曲线数据'!$B$2:$U$742,ROW()-1,MATCH(D$1,'包络曲线数据'!$B$1:$U$1,0)),""))</x:f>
        <x:v>82.00061284466918</x:v>
      </x:c>
      <x:c r="E313" t="str">
        <x:f>IF(E$1="","",IFERROR(INDEX('包络曲线数据'!$B$2:$U$742,ROW()-1,MATCH(E$1,'包络曲线数据'!$B$1:$U$1,0)),""))</x:f>
      </x:c>
      <x:c r="F313" t="str">
        <x:f>IF(F$1="","",IFERROR(INDEX('包络曲线数据'!$B$2:$U$742,ROW()-1,MATCH(F$1,'包络曲线数据'!$B$1:$U$1,0)),""))</x:f>
      </x:c>
      <x:c r="G313" t="str">
        <x:f>IF(G$1="","",IFERROR(INDEX('包络曲线数据'!$B$2:$U$742,ROW()-1,MATCH(G$1,'包络曲线数据'!$B$1:$U$1,0)),""))</x:f>
      </x:c>
    </x:row>
    <x:row r="314">
      <x:c r="A314" t="n">
        <x:v>31.200000000000003</x:v>
      </x:c>
      <x:c r="B314" t="n">
        <x:f>IF(B$1="","",IFERROR(INDEX('包络曲线数据'!$B$2:$U$742,ROW()-1,MATCH(B$1,'包络曲线数据'!$B$1:$U$1,0)),""))</x:f>
        <x:v>56.95926928877056</x:v>
      </x:c>
      <x:c r="C314" t="n">
        <x:f>IF(C$1="","",IFERROR(INDEX('包络曲线数据'!$B$2:$U$742,ROW()-1,MATCH(C$1,'包络曲线数据'!$B$1:$U$1,0)),""))</x:f>
        <x:v>73.40568286346226</x:v>
      </x:c>
      <x:c r="D314" t="n">
        <x:f>IF(D$1="","",IFERROR(INDEX('包络曲线数据'!$B$2:$U$742,ROW()-1,MATCH(D$1,'包络曲线数据'!$B$1:$U$1,0)),""))</x:f>
        <x:v>82.00061284466918</x:v>
      </x:c>
      <x:c r="E314" t="str">
        <x:f>IF(E$1="","",IFERROR(INDEX('包络曲线数据'!$B$2:$U$742,ROW()-1,MATCH(E$1,'包络曲线数据'!$B$1:$U$1,0)),""))</x:f>
      </x:c>
      <x:c r="F314" t="str">
        <x:f>IF(F$1="","",IFERROR(INDEX('包络曲线数据'!$B$2:$U$742,ROW()-1,MATCH(F$1,'包络曲线数据'!$B$1:$U$1,0)),""))</x:f>
      </x:c>
      <x:c r="G314" t="str">
        <x:f>IF(G$1="","",IFERROR(INDEX('包络曲线数据'!$B$2:$U$742,ROW()-1,MATCH(G$1,'包络曲线数据'!$B$1:$U$1,0)),""))</x:f>
      </x:c>
    </x:row>
    <x:row r="315">
      <x:c r="A315" t="n">
        <x:v>31.3</x:v>
      </x:c>
      <x:c r="B315" t="n">
        <x:f>IF(B$1="","",IFERROR(INDEX('包络曲线数据'!$B$2:$U$742,ROW()-1,MATCH(B$1,'包络曲线数据'!$B$1:$U$1,0)),""))</x:f>
        <x:v>56.95926928877056</x:v>
      </x:c>
      <x:c r="C315" t="n">
        <x:f>IF(C$1="","",IFERROR(INDEX('包络曲线数据'!$B$2:$U$742,ROW()-1,MATCH(C$1,'包络曲线数据'!$B$1:$U$1,0)),""))</x:f>
        <x:v>65.68654581910297</x:v>
      </x:c>
      <x:c r="D315" t="n">
        <x:f>IF(D$1="","",IFERROR(INDEX('包络曲线数据'!$B$2:$U$742,ROW()-1,MATCH(D$1,'包络曲线数据'!$B$1:$U$1,0)),""))</x:f>
        <x:v>77.19746721595047</x:v>
      </x:c>
      <x:c r="E315" t="str">
        <x:f>IF(E$1="","",IFERROR(INDEX('包络曲线数据'!$B$2:$U$742,ROW()-1,MATCH(E$1,'包络曲线数据'!$B$1:$U$1,0)),""))</x:f>
      </x:c>
      <x:c r="F315" t="str">
        <x:f>IF(F$1="","",IFERROR(INDEX('包络曲线数据'!$B$2:$U$742,ROW()-1,MATCH(F$1,'包络曲线数据'!$B$1:$U$1,0)),""))</x:f>
      </x:c>
      <x:c r="G315" t="str">
        <x:f>IF(G$1="","",IFERROR(INDEX('包络曲线数据'!$B$2:$U$742,ROW()-1,MATCH(G$1,'包络曲线数据'!$B$1:$U$1,0)),""))</x:f>
      </x:c>
    </x:row>
    <x:row r="316">
      <x:c r="A316" t="n">
        <x:v>31.400000000000002</x:v>
      </x:c>
      <x:c r="B316" t="n">
        <x:f>IF(B$1="","",IFERROR(INDEX('包络曲线数据'!$B$2:$U$742,ROW()-1,MATCH(B$1,'包络曲线数据'!$B$1:$U$1,0)),""))</x:f>
        <x:v>51.595284178115094</x:v>
      </x:c>
      <x:c r="C316" t="n">
        <x:f>IF(C$1="","",IFERROR(INDEX('包络曲线数据'!$B$2:$U$742,ROW()-1,MATCH(C$1,'包络曲线数据'!$B$1:$U$1,0)),""))</x:f>
        <x:v>55.967520860865015</x:v>
      </x:c>
      <x:c r="D316" t="n">
        <x:f>IF(D$1="","",IFERROR(INDEX('包络曲线数据'!$B$2:$U$742,ROW()-1,MATCH(D$1,'包络曲线数据'!$B$1:$U$1,0)),""))</x:f>
        <x:v>67.84000331645052</x:v>
      </x:c>
      <x:c r="E316" t="str">
        <x:f>IF(E$1="","",IFERROR(INDEX('包络曲线数据'!$B$2:$U$742,ROW()-1,MATCH(E$1,'包络曲线数据'!$B$1:$U$1,0)),""))</x:f>
      </x:c>
      <x:c r="F316" t="str">
        <x:f>IF(F$1="","",IFERROR(INDEX('包络曲线数据'!$B$2:$U$742,ROW()-1,MATCH(F$1,'包络曲线数据'!$B$1:$U$1,0)),""))</x:f>
      </x:c>
      <x:c r="G316" t="str">
        <x:f>IF(G$1="","",IFERROR(INDEX('包络曲线数据'!$B$2:$U$742,ROW()-1,MATCH(G$1,'包络曲线数据'!$B$1:$U$1,0)),""))</x:f>
      </x:c>
    </x:row>
    <x:row r="317">
      <x:c r="A317" t="n">
        <x:v>31.5</x:v>
      </x:c>
      <x:c r="B317" t="n">
        <x:f>IF(B$1="","",IFERROR(INDEX('包络曲线数据'!$B$2:$U$742,ROW()-1,MATCH(B$1,'包络曲线数据'!$B$1:$U$1,0)),""))</x:f>
        <x:v>51.595284178115094</x:v>
      </x:c>
      <x:c r="C317" t="n">
        <x:f>IF(C$1="","",IFERROR(INDEX('包络曲线数据'!$B$2:$U$742,ROW()-1,MATCH(C$1,'包络曲线数据'!$B$1:$U$1,0)),""))</x:f>
        <x:v>52.39175843351897</x:v>
      </x:c>
      <x:c r="D317" t="n">
        <x:f>IF(D$1="","",IFERROR(INDEX('包络曲线数据'!$B$2:$U$742,ROW()-1,MATCH(D$1,'包络曲线数据'!$B$1:$U$1,0)),""))</x:f>
        <x:v>57.82468547974034</x:v>
      </x:c>
      <x:c r="E317" t="str">
        <x:f>IF(E$1="","",IFERROR(INDEX('包络曲线数据'!$B$2:$U$742,ROW()-1,MATCH(E$1,'包络曲线数据'!$B$1:$U$1,0)),""))</x:f>
      </x:c>
      <x:c r="F317" t="str">
        <x:f>IF(F$1="","",IFERROR(INDEX('包络曲线数据'!$B$2:$U$742,ROW()-1,MATCH(F$1,'包络曲线数据'!$B$1:$U$1,0)),""))</x:f>
      </x:c>
      <x:c r="G317" t="str">
        <x:f>IF(G$1="","",IFERROR(INDEX('包络曲线数据'!$B$2:$U$742,ROW()-1,MATCH(G$1,'包络曲线数据'!$B$1:$U$1,0)),""))</x:f>
      </x:c>
    </x:row>
    <x:row r="318">
      <x:c r="A318" t="n">
        <x:v>31.6</x:v>
      </x:c>
      <x:c r="B318" t="n">
        <x:f>IF(B$1="","",IFERROR(INDEX('包络曲线数据'!$B$2:$U$742,ROW()-1,MATCH(B$1,'包络曲线数据'!$B$1:$U$1,0)),""))</x:f>
        <x:v>77.84702728788574</x:v>
      </x:c>
      <x:c r="C318" t="n">
        <x:f>IF(C$1="","",IFERROR(INDEX('包络曲线数据'!$B$2:$U$742,ROW()-1,MATCH(C$1,'包络曲线数据'!$B$1:$U$1,0)),""))</x:f>
        <x:v>57.398409155478724</x:v>
      </x:c>
      <x:c r="D318" t="n">
        <x:f>IF(D$1="","",IFERROR(INDEX('包络曲线数据'!$B$2:$U$742,ROW()-1,MATCH(D$1,'包络曲线数据'!$B$1:$U$1,0)),""))</x:f>
        <x:v>53.207931968507665</x:v>
      </x:c>
      <x:c r="E318" t="str">
        <x:f>IF(E$1="","",IFERROR(INDEX('包络曲线数据'!$B$2:$U$742,ROW()-1,MATCH(E$1,'包络曲线数据'!$B$1:$U$1,0)),""))</x:f>
      </x:c>
      <x:c r="F318" t="str">
        <x:f>IF(F$1="","",IFERROR(INDEX('包络曲线数据'!$B$2:$U$742,ROW()-1,MATCH(F$1,'包络曲线数据'!$B$1:$U$1,0)),""))</x:f>
      </x:c>
      <x:c r="G318" t="str">
        <x:f>IF(G$1="","",IFERROR(INDEX('包络曲线数据'!$B$2:$U$742,ROW()-1,MATCH(G$1,'包络曲线数据'!$B$1:$U$1,0)),""))</x:f>
      </x:c>
    </x:row>
    <x:row r="319">
      <x:c r="A319" t="n">
        <x:v>31.700000000000003</x:v>
      </x:c>
      <x:c r="B319" t="n">
        <x:f>IF(B$1="","",IFERROR(INDEX('包络曲线数据'!$B$2:$U$742,ROW()-1,MATCH(B$1,'包络曲线数据'!$B$1:$U$1,0)),""))</x:f>
        <x:v>77.84702728788574</x:v>
      </x:c>
      <x:c r="C319" t="n">
        <x:f>IF(C$1="","",IFERROR(INDEX('包络曲线数据'!$B$2:$U$742,ROW()-1,MATCH(C$1,'包络曲线数据'!$B$1:$U$1,0)),""))</x:f>
        <x:v>62.405059877438475</x:v>
      </x:c>
      <x:c r="D319" t="n">
        <x:f>IF(D$1="","",IFERROR(INDEX('包络曲线数据'!$B$2:$U$742,ROW()-1,MATCH(D$1,'包络曲线数据'!$B$1:$U$1,0)),""))</x:f>
        <x:v>50.43787986176816</x:v>
      </x:c>
      <x:c r="E319" t="str">
        <x:f>IF(E$1="","",IFERROR(INDEX('包络曲线数据'!$B$2:$U$742,ROW()-1,MATCH(E$1,'包络曲线数据'!$B$1:$U$1,0)),""))</x:f>
      </x:c>
      <x:c r="F319" t="str">
        <x:f>IF(F$1="","",IFERROR(INDEX('包络曲线数据'!$B$2:$U$742,ROW()-1,MATCH(F$1,'包络曲线数据'!$B$1:$U$1,0)),""))</x:f>
      </x:c>
      <x:c r="G319" t="str">
        <x:f>IF(G$1="","",IFERROR(INDEX('包络曲线数据'!$B$2:$U$742,ROW()-1,MATCH(G$1,'包络曲线数据'!$B$1:$U$1,0)),""))</x:f>
      </x:c>
    </x:row>
    <x:row r="320">
      <x:c r="A320" t="n">
        <x:v>31.8</x:v>
      </x:c>
      <x:c r="B320" t="n">
        <x:f>IF(B$1="","",IFERROR(INDEX('包络曲线数据'!$B$2:$U$742,ROW()-1,MATCH(B$1,'包络曲线数据'!$B$1:$U$1,0)),""))</x:f>
        <x:v>76.53125600071769</x:v>
      </x:c>
      <x:c r="C320" t="n">
        <x:f>IF(C$1="","",IFERROR(INDEX('包络曲线数据'!$B$2:$U$742,ROW()-1,MATCH(C$1,'包络曲线数据'!$B$1:$U$1,0)),""))</x:f>
        <x:v>66.41038045500613</x:v>
      </x:c>
      <x:c r="D320" t="n">
        <x:f>IF(D$1="","",IFERROR(INDEX('包络曲线数据'!$B$2:$U$742,ROW()-1,MATCH(D$1,'包络曲线数据'!$B$1:$U$1,0)),""))</x:f>
        <x:v>51.535256629724934</x:v>
      </x:c>
      <x:c r="E320" t="str">
        <x:f>IF(E$1="","",IFERROR(INDEX('包络曲线数据'!$B$2:$U$742,ROW()-1,MATCH(E$1,'包络曲线数据'!$B$1:$U$1,0)),""))</x:f>
      </x:c>
      <x:c r="F320" t="str">
        <x:f>IF(F$1="","",IFERROR(INDEX('包络曲线数据'!$B$2:$U$742,ROW()-1,MATCH(F$1,'包络曲线数据'!$B$1:$U$1,0)),""))</x:f>
      </x:c>
      <x:c r="G320" t="str">
        <x:f>IF(G$1="","",IFERROR(INDEX('包络曲线数据'!$B$2:$U$742,ROW()-1,MATCH(G$1,'包络曲线数据'!$B$1:$U$1,0)),""))</x:f>
      </x:c>
    </x:row>
    <x:row r="321">
      <x:c r="A321" t="n">
        <x:v>31.900000000000002</x:v>
      </x:c>
      <x:c r="B321" t="n">
        <x:f>IF(B$1="","",IFERROR(INDEX('包络曲线数据'!$B$2:$U$742,ROW()-1,MATCH(B$1,'包络曲线数据'!$B$1:$U$1,0)),""))</x:f>
        <x:v>70.24351100679962</x:v>
      </x:c>
      <x:c r="C321" t="n">
        <x:f>IF(C$1="","",IFERROR(INDEX('包络曲线数据'!$B$2:$U$742,ROW()-1,MATCH(C$1,'包络曲线数据'!$B$1:$U$1,0)),""))</x:f>
        <x:v>66.41038045500613</x:v>
      </x:c>
      <x:c r="D321" t="n">
        <x:f>IF(D$1="","",IFERROR(INDEX('包络曲线数据'!$B$2:$U$742,ROW()-1,MATCH(D$1,'包络曲线数据'!$B$1:$U$1,0)),""))</x:f>
        <x:v>57.67628314862466</x:v>
      </x:c>
      <x:c r="E321" t="str">
        <x:f>IF(E$1="","",IFERROR(INDEX('包络曲线数据'!$B$2:$U$742,ROW()-1,MATCH(E$1,'包络曲线数据'!$B$1:$U$1,0)),""))</x:f>
      </x:c>
      <x:c r="F321" t="str">
        <x:f>IF(F$1="","",IFERROR(INDEX('包络曲线数据'!$B$2:$U$742,ROW()-1,MATCH(F$1,'包络曲线数据'!$B$1:$U$1,0)),""))</x:f>
      </x:c>
      <x:c r="G321" t="str">
        <x:f>IF(G$1="","",IFERROR(INDEX('包络曲线数据'!$B$2:$U$742,ROW()-1,MATCH(G$1,'包络曲线数据'!$B$1:$U$1,0)),""))</x:f>
      </x:c>
    </x:row>
    <x:row r="322">
      <x:c r="A322" t="n">
        <x:v>32</x:v>
      </x:c>
      <x:c r="B322" t="n">
        <x:f>IF(B$1="","",IFERROR(INDEX('包络曲线数据'!$B$2:$U$742,ROW()-1,MATCH(B$1,'包络曲线数据'!$B$1:$U$1,0)),""))</x:f>
        <x:v>63.73076989172483</x:v>
      </x:c>
      <x:c r="C322" t="n">
        <x:f>IF(C$1="","",IFERROR(INDEX('包络曲线数据'!$B$2:$U$742,ROW()-1,MATCH(C$1,'包络曲线数据'!$B$1:$U$1,0)),""))</x:f>
        <x:v>68.38693845420255</x:v>
      </x:c>
      <x:c r="D322" t="n">
        <x:f>IF(D$1="","",IFERROR(INDEX('包络曲线数据'!$B$2:$U$742,ROW()-1,MATCH(D$1,'包络曲线数据'!$B$1:$U$1,0)),""))</x:f>
        <x:v>66.27956859402897</x:v>
      </x:c>
      <x:c r="E322" t="str">
        <x:f>IF(E$1="","",IFERROR(INDEX('包络曲线数据'!$B$2:$U$742,ROW()-1,MATCH(E$1,'包络曲线数据'!$B$1:$U$1,0)),""))</x:f>
      </x:c>
      <x:c r="F322" t="str">
        <x:f>IF(F$1="","",IFERROR(INDEX('包络曲线数据'!$B$2:$U$742,ROW()-1,MATCH(F$1,'包络曲线数据'!$B$1:$U$1,0)),""))</x:f>
      </x:c>
      <x:c r="G322" t="str">
        <x:f>IF(G$1="","",IFERROR(INDEX('包络曲线数据'!$B$2:$U$742,ROW()-1,MATCH(G$1,'包络曲线数据'!$B$1:$U$1,0)),""))</x:f>
      </x:c>
    </x:row>
    <x:row r="323">
      <x:c r="A323" t="n">
        <x:v>32.1</x:v>
      </x:c>
      <x:c r="B323" t="n">
        <x:f>IF(B$1="","",IFERROR(INDEX('包络曲线数据'!$B$2:$U$742,ROW()-1,MATCH(B$1,'包络曲线数据'!$B$1:$U$1,0)),""))</x:f>
        <x:v>65.61856329225802</x:v>
      </x:c>
      <x:c r="C323" t="n">
        <x:f>IF(C$1="","",IFERROR(INDEX('包络曲线数据'!$B$2:$U$742,ROW()-1,MATCH(C$1,'包络曲线数据'!$B$1:$U$1,0)),""))</x:f>
        <x:v>70.85763595319817</x:v>
      </x:c>
      <x:c r="D323" t="n">
        <x:f>IF(D$1="","",IFERROR(INDEX('包络曲线数据'!$B$2:$U$742,ROW()-1,MATCH(D$1,'包络曲线数据'!$B$1:$U$1,0)),""))</x:f>
        <x:v>66.47996518276334</x:v>
      </x:c>
      <x:c r="E323" t="str">
        <x:f>IF(E$1="","",IFERROR(INDEX('包络曲线数据'!$B$2:$U$742,ROW()-1,MATCH(E$1,'包络曲线数据'!$B$1:$U$1,0)),""))</x:f>
      </x:c>
      <x:c r="F323" t="str">
        <x:f>IF(F$1="","",IFERROR(INDEX('包络曲线数据'!$B$2:$U$742,ROW()-1,MATCH(F$1,'包络曲线数据'!$B$1:$U$1,0)),""))</x:f>
      </x:c>
      <x:c r="G323" t="str">
        <x:f>IF(G$1="","",IFERROR(INDEX('包络曲线数据'!$B$2:$U$742,ROW()-1,MATCH(G$1,'包络曲线数据'!$B$1:$U$1,0)),""))</x:f>
      </x:c>
    </x:row>
    <x:row r="324">
      <x:c r="A324" t="n">
        <x:v>32.2</x:v>
      </x:c>
      <x:c r="B324" t="n">
        <x:f>IF(B$1="","",IFERROR(INDEX('包络曲线数据'!$B$2:$U$742,ROW()-1,MATCH(B$1,'包络曲线数据'!$B$1:$U$1,0)),""))</x:f>
        <x:v>69.84066614488049</x:v>
      </x:c>
      <x:c r="C324" t="n">
        <x:f>IF(C$1="","",IFERROR(INDEX('包络曲线数据'!$B$2:$U$742,ROW()-1,MATCH(C$1,'包络曲线数据'!$B$1:$U$1,0)),""))</x:f>
        <x:v>71.84591495279638</x:v>
      </x:c>
      <x:c r="D324" t="n">
        <x:f>IF(D$1="","",IFERROR(INDEX('包络曲线数据'!$B$2:$U$742,ROW()-1,MATCH(D$1,'包络曲线数据'!$B$1:$U$1,0)),""))</x:f>
        <x:v>71.10143940358897</x:v>
      </x:c>
      <x:c r="E324" t="str">
        <x:f>IF(E$1="","",IFERROR(INDEX('包络曲线数据'!$B$2:$U$742,ROW()-1,MATCH(E$1,'包络曲线数据'!$B$1:$U$1,0)),""))</x:f>
      </x:c>
      <x:c r="F324" t="str">
        <x:f>IF(F$1="","",IFERROR(INDEX('包络曲线数据'!$B$2:$U$742,ROW()-1,MATCH(F$1,'包络曲线数据'!$B$1:$U$1,0)),""))</x:f>
      </x:c>
      <x:c r="G324" t="str">
        <x:f>IF(G$1="","",IFERROR(INDEX('包络曲线数据'!$B$2:$U$742,ROW()-1,MATCH(G$1,'包络曲线数据'!$B$1:$U$1,0)),""))</x:f>
      </x:c>
    </x:row>
    <x:row r="325">
      <x:c r="A325" t="n">
        <x:v>32.300000000000004</x:v>
      </x:c>
      <x:c r="B325" t="n">
        <x:f>IF(B$1="","",IFERROR(INDEX('包络曲线数据'!$B$2:$U$742,ROW()-1,MATCH(B$1,'包络曲线数据'!$B$1:$U$1,0)),""))</x:f>
        <x:v>69.84066614488049</x:v>
      </x:c>
      <x:c r="C325" t="n">
        <x:f>IF(C$1="","",IFERROR(INDEX('包络曲线数据'!$B$2:$U$742,ROW()-1,MATCH(C$1,'包络曲线数据'!$B$1:$U$1,0)),""))</x:f>
        <x:v>71.40341996150936</x:v>
      </x:c>
      <x:c r="D325" t="n">
        <x:f>IF(D$1="","",IFERROR(INDEX('包络曲线数据'!$B$2:$U$742,ROW()-1,MATCH(D$1,'包络曲线数据'!$B$1:$U$1,0)),""))</x:f>
        <x:v>75.00478345396667</x:v>
      </x:c>
      <x:c r="E325" t="str">
        <x:f>IF(E$1="","",IFERROR(INDEX('包络曲线数据'!$B$2:$U$742,ROW()-1,MATCH(E$1,'包络曲线数据'!$B$1:$U$1,0)),""))</x:f>
      </x:c>
      <x:c r="F325" t="str">
        <x:f>IF(F$1="","",IFERROR(INDEX('包络曲线数据'!$B$2:$U$742,ROW()-1,MATCH(F$1,'包络曲线数据'!$B$1:$U$1,0)),""))</x:f>
      </x:c>
      <x:c r="G325" t="str">
        <x:f>IF(G$1="","",IFERROR(INDEX('包络曲线数据'!$B$2:$U$742,ROW()-1,MATCH(G$1,'包络曲线数据'!$B$1:$U$1,0)),""))</x:f>
      </x:c>
    </x:row>
    <x:row r="326">
      <x:c r="A326" t="n">
        <x:v>32.4</x:v>
      </x:c>
      <x:c r="B326" t="n">
        <x:f>IF(B$1="","",IFERROR(INDEX('包络曲线数据'!$B$2:$U$742,ROW()-1,MATCH(B$1,'包络曲线数据'!$B$1:$U$1,0)),""))</x:f>
        <x:v>69.72654432821965</x:v>
      </x:c>
      <x:c r="C326" t="n">
        <x:f>IF(C$1="","",IFERROR(INDEX('包络曲线数据'!$B$2:$U$742,ROW()-1,MATCH(C$1,'包络曲线数据'!$B$1:$U$1,0)),""))</x:f>
        <x:v>68.15131315363662</x:v>
      </x:c>
      <x:c r="D326" t="n">
        <x:f>IF(D$1="","",IFERROR(INDEX('包络曲线数据'!$B$2:$U$742,ROW()-1,MATCH(D$1,'包络曲线数据'!$B$1:$U$1,0)),""))</x:f>
        <x:v>75.00478345396667</x:v>
      </x:c>
      <x:c r="E326" t="str">
        <x:f>IF(E$1="","",IFERROR(INDEX('包络曲线数据'!$B$2:$U$742,ROW()-1,MATCH(E$1,'包络曲线数据'!$B$1:$U$1,0)),""))</x:f>
      </x:c>
      <x:c r="F326" t="str">
        <x:f>IF(F$1="","",IFERROR(INDEX('包络曲线数据'!$B$2:$U$742,ROW()-1,MATCH(F$1,'包络曲线数据'!$B$1:$U$1,0)),""))</x:f>
      </x:c>
      <x:c r="G326" t="str">
        <x:f>IF(G$1="","",IFERROR(INDEX('包络曲线数据'!$B$2:$U$742,ROW()-1,MATCH(G$1,'包络曲线数据'!$B$1:$U$1,0)),""))</x:f>
      </x:c>
    </x:row>
    <x:row r="327">
      <x:c r="A327" t="n">
        <x:v>32.5</x:v>
      </x:c>
      <x:c r="B327" t="n">
        <x:f>IF(B$1="","",IFERROR(INDEX('包络曲线数据'!$B$2:$U$742,ROW()-1,MATCH(B$1,'包络曲线数据'!$B$1:$U$1,0)),""))</x:f>
        <x:v>71.4263226894016</x:v>
      </x:c>
      <x:c r="C327" t="n">
        <x:f>IF(C$1="","",IFERROR(INDEX('包络曲线数据'!$B$2:$U$742,ROW()-1,MATCH(C$1,'包络曲线数据'!$B$1:$U$1,0)),""))</x:f>
        <x:v>65.08278527011186</x:v>
      </x:c>
      <x:c r="D327" t="n">
        <x:f>IF(D$1="","",IFERROR(INDEX('包络曲线数据'!$B$2:$U$742,ROW()-1,MATCH(D$1,'包络曲线数据'!$B$1:$U$1,0)),""))</x:f>
        <x:v>69.04948524774628</x:v>
      </x:c>
      <x:c r="E327" t="str">
        <x:f>IF(E$1="","",IFERROR(INDEX('包络曲线数据'!$B$2:$U$742,ROW()-1,MATCH(E$1,'包络曲线数据'!$B$1:$U$1,0)),""))</x:f>
      </x:c>
      <x:c r="F327" t="str">
        <x:f>IF(F$1="","",IFERROR(INDEX('包络曲线数据'!$B$2:$U$742,ROW()-1,MATCH(F$1,'包络曲线数据'!$B$1:$U$1,0)),""))</x:f>
      </x:c>
      <x:c r="G327" t="str">
        <x:f>IF(G$1="","",IFERROR(INDEX('包络曲线数据'!$B$2:$U$742,ROW()-1,MATCH(G$1,'包络曲线数据'!$B$1:$U$1,0)),""))</x:f>
      </x:c>
    </x:row>
    <x:row r="328">
      <x:c r="A328" t="n">
        <x:v>32.6</x:v>
      </x:c>
      <x:c r="B328" t="n">
        <x:f>IF(B$1="","",IFERROR(INDEX('包络曲线数据'!$B$2:$U$742,ROW()-1,MATCH(B$1,'包络曲线数据'!$B$1:$U$1,0)),""))</x:f>
        <x:v>71.4263226894016</x:v>
      </x:c>
      <x:c r="C328" t="n">
        <x:f>IF(C$1="","",IFERROR(INDEX('包络曲线数据'!$B$2:$U$742,ROW()-1,MATCH(C$1,'包络曲线数据'!$B$1:$U$1,0)),""))</x:f>
        <x:v>65.44643138335377</x:v>
      </x:c>
      <x:c r="D328" t="n">
        <x:f>IF(D$1="","",IFERROR(INDEX('包络曲线数据'!$B$2:$U$742,ROW()-1,MATCH(D$1,'包络曲线数据'!$B$1:$U$1,0)),""))</x:f>
        <x:v>61.64597147154777</x:v>
      </x:c>
      <x:c r="E328" t="str">
        <x:f>IF(E$1="","",IFERROR(INDEX('包络曲线数据'!$B$2:$U$742,ROW()-1,MATCH(E$1,'包络曲线数据'!$B$1:$U$1,0)),""))</x:f>
      </x:c>
      <x:c r="F328" t="str">
        <x:f>IF(F$1="","",IFERROR(INDEX('包络曲线数据'!$B$2:$U$742,ROW()-1,MATCH(F$1,'包络曲线数据'!$B$1:$U$1,0)),""))</x:f>
      </x:c>
      <x:c r="G328" t="str">
        <x:f>IF(G$1="","",IFERROR(INDEX('包络曲线数据'!$B$2:$U$742,ROW()-1,MATCH(G$1,'包络曲线数据'!$B$1:$U$1,0)),""))</x:f>
      </x:c>
    </x:row>
    <x:row r="329">
      <x:c r="A329" t="n">
        <x:v>32.7</x:v>
      </x:c>
      <x:c r="B329" t="n">
        <x:f>IF(B$1="","",IFERROR(INDEX('包络曲线数据'!$B$2:$U$742,ROW()-1,MATCH(B$1,'包络曲线数据'!$B$1:$U$1,0)),""))</x:f>
        <x:v>71.51922951571177</x:v>
      </x:c>
      <x:c r="C329" t="n">
        <x:f>IF(C$1="","",IFERROR(INDEX('包络曲线数据'!$B$2:$U$742,ROW()-1,MATCH(C$1,'包络曲线数据'!$B$1:$U$1,0)),""))</x:f>
        <x:v>67.77989072939353</x:v>
      </x:c>
      <x:c r="D329" t="n">
        <x:f>IF(D$1="","",IFERROR(INDEX('包络曲线数据'!$B$2:$U$742,ROW()-1,MATCH(D$1,'包络曲线数据'!$B$1:$U$1,0)),""))</x:f>
        <x:v>61.64597147154777</x:v>
      </x:c>
      <x:c r="E329" t="str">
        <x:f>IF(E$1="","",IFERROR(INDEX('包络曲线数据'!$B$2:$U$742,ROW()-1,MATCH(E$1,'包络曲线数据'!$B$1:$U$1,0)),""))</x:f>
      </x:c>
      <x:c r="F329" t="str">
        <x:f>IF(F$1="","",IFERROR(INDEX('包络曲线数据'!$B$2:$U$742,ROW()-1,MATCH(F$1,'包络曲线数据'!$B$1:$U$1,0)),""))</x:f>
      </x:c>
      <x:c r="G329" t="str">
        <x:f>IF(G$1="","",IFERROR(INDEX('包络曲线数据'!$B$2:$U$742,ROW()-1,MATCH(G$1,'包络曲线数据'!$B$1:$U$1,0)),""))</x:f>
      </x:c>
    </x:row>
    <x:row r="330">
      <x:c r="A330" t="n">
        <x:v>32.800000000000004</x:v>
      </x:c>
      <x:c r="B330" t="n">
        <x:f>IF(B$1="","",IFERROR(INDEX('包络曲线数据'!$B$2:$U$742,ROW()-1,MATCH(B$1,'包络曲线数据'!$B$1:$U$1,0)),""))</x:f>
        <x:v>72.10194951882227</x:v>
      </x:c>
      <x:c r="C330" t="n">
        <x:f>IF(C$1="","",IFERROR(INDEX('包络曲线数据'!$B$2:$U$742,ROW()-1,MATCH(C$1,'包络曲线数据'!$B$1:$U$1,0)),""))</x:f>
        <x:v>67.77989072939353</x:v>
      </x:c>
      <x:c r="D330" t="n">
        <x:f>IF(D$1="","",IFERROR(INDEX('包络曲线数据'!$B$2:$U$742,ROW()-1,MATCH(D$1,'包络曲线数据'!$B$1:$U$1,0)),""))</x:f>
        <x:v>61.1562632518758</x:v>
      </x:c>
      <x:c r="E330" t="str">
        <x:f>IF(E$1="","",IFERROR(INDEX('包络曲线数据'!$B$2:$U$742,ROW()-1,MATCH(E$1,'包络曲线数据'!$B$1:$U$1,0)),""))</x:f>
      </x:c>
      <x:c r="F330" t="str">
        <x:f>IF(F$1="","",IFERROR(INDEX('包络曲线数据'!$B$2:$U$742,ROW()-1,MATCH(F$1,'包络曲线数据'!$B$1:$U$1,0)),""))</x:f>
      </x:c>
      <x:c r="G330" t="str">
        <x:f>IF(G$1="","",IFERROR(INDEX('包络曲线数据'!$B$2:$U$742,ROW()-1,MATCH(G$1,'包络曲线数据'!$B$1:$U$1,0)),""))</x:f>
      </x:c>
    </x:row>
    <x:row r="331">
      <x:c r="A331" t="n">
        <x:v>32.9</x:v>
      </x:c>
      <x:c r="B331" t="n">
        <x:f>IF(B$1="","",IFERROR(INDEX('包络曲线数据'!$B$2:$U$742,ROW()-1,MATCH(B$1,'包络曲线数据'!$B$1:$U$1,0)),""))</x:f>
        <x:v>72.10194951882227</x:v>
      </x:c>
      <x:c r="C331" t="n">
        <x:f>IF(C$1="","",IFERROR(INDEX('包络曲线数据'!$B$2:$U$742,ROW()-1,MATCH(C$1,'包络曲线数据'!$B$1:$U$1,0)),""))</x:f>
        <x:v>67.00320264933764</x:v>
      </x:c>
      <x:c r="D331" t="n">
        <x:f>IF(D$1="","",IFERROR(INDEX('包络曲线数据'!$B$2:$U$742,ROW()-1,MATCH(D$1,'包络曲线数据'!$B$1:$U$1,0)),""))</x:f>
        <x:v>61.90484198032961</x:v>
      </x:c>
      <x:c r="E331" t="str">
        <x:f>IF(E$1="","",IFERROR(INDEX('包络曲线数据'!$B$2:$U$742,ROW()-1,MATCH(E$1,'包络曲线数据'!$B$1:$U$1,0)),""))</x:f>
      </x:c>
      <x:c r="F331" t="str">
        <x:f>IF(F$1="","",IFERROR(INDEX('包络曲线数据'!$B$2:$U$742,ROW()-1,MATCH(F$1,'包络曲线数据'!$B$1:$U$1,0)),""))</x:f>
      </x:c>
      <x:c r="G331" t="str">
        <x:f>IF(G$1="","",IFERROR(INDEX('包络曲线数据'!$B$2:$U$742,ROW()-1,MATCH(G$1,'包络曲线数据'!$B$1:$U$1,0)),""))</x:f>
      </x:c>
    </x:row>
    <x:row r="332">
      <x:c r="A332" t="n">
        <x:v>33</x:v>
      </x:c>
      <x:c r="B332" t="n">
        <x:f>IF(B$1="","",IFERROR(INDEX('包络曲线数据'!$B$2:$U$742,ROW()-1,MATCH(B$1,'包络曲线数据'!$B$1:$U$1,0)),""))</x:f>
        <x:v>71.56805148152102</x:v>
      </x:c>
      <x:c r="C332" t="n">
        <x:f>IF(C$1="","",IFERROR(INDEX('包络曲线数据'!$B$2:$U$742,ROW()-1,MATCH(C$1,'包络曲线数据'!$B$1:$U$1,0)),""))</x:f>
        <x:v>66.90705631524419</x:v>
      </x:c>
      <x:c r="D332" t="n">
        <x:f>IF(D$1="","",IFERROR(INDEX('包络曲线数据'!$B$2:$U$742,ROW()-1,MATCH(D$1,'包络曲线数据'!$B$1:$U$1,0)),""))</x:f>
        <x:v>61.33922596879744</x:v>
      </x:c>
      <x:c r="E332" t="str">
        <x:f>IF(E$1="","",IFERROR(INDEX('包络曲线数据'!$B$2:$U$742,ROW()-1,MATCH(E$1,'包络曲线数据'!$B$1:$U$1,0)),""))</x:f>
      </x:c>
      <x:c r="F332" t="str">
        <x:f>IF(F$1="","",IFERROR(INDEX('包络曲线数据'!$B$2:$U$742,ROW()-1,MATCH(F$1,'包络曲线数据'!$B$1:$U$1,0)),""))</x:f>
      </x:c>
      <x:c r="G332" t="str">
        <x:f>IF(G$1="","",IFERROR(INDEX('包络曲线数据'!$B$2:$U$742,ROW()-1,MATCH(G$1,'包络曲线数据'!$B$1:$U$1,0)),""))</x:f>
      </x:c>
    </x:row>
    <x:row r="333">
      <x:c r="A333" t="n">
        <x:v>33.1</x:v>
      </x:c>
      <x:c r="B333" t="n">
        <x:f>IF(B$1="","",IFERROR(INDEX('包络曲线数据'!$B$2:$U$742,ROW()-1,MATCH(B$1,'包络曲线数据'!$B$1:$U$1,0)),""))</x:f>
        <x:v>71.08715897084724</x:v>
      </x:c>
      <x:c r="C333" t="n">
        <x:f>IF(C$1="","",IFERROR(INDEX('包络曲线数据'!$B$2:$U$742,ROW()-1,MATCH(C$1,'包络曲线数据'!$B$1:$U$1,0)),""))</x:f>
        <x:v>67.42840426249153</x:v>
      </x:c>
      <x:c r="D333" t="n">
        <x:f>IF(D$1="","",IFERROR(INDEX('包络曲线数据'!$B$2:$U$742,ROW()-1,MATCH(D$1,'包络曲线数据'!$B$1:$U$1,0)),""))</x:f>
        <x:v>60.20799394573331</x:v>
      </x:c>
      <x:c r="E333" t="str">
        <x:f>IF(E$1="","",IFERROR(INDEX('包络曲线数据'!$B$2:$U$742,ROW()-1,MATCH(E$1,'包络曲线数据'!$B$1:$U$1,0)),""))</x:f>
      </x:c>
      <x:c r="F333" t="str">
        <x:f>IF(F$1="","",IFERROR(INDEX('包络曲线数据'!$B$2:$U$742,ROW()-1,MATCH(F$1,'包络曲线数据'!$B$1:$U$1,0)),""))</x:f>
      </x:c>
      <x:c r="G333" t="str">
        <x:f>IF(G$1="","",IFERROR(INDEX('包络曲线数据'!$B$2:$U$742,ROW()-1,MATCH(G$1,'包络曲线数据'!$B$1:$U$1,0)),""))</x:f>
      </x:c>
    </x:row>
    <x:row r="334">
      <x:c r="A334" t="n">
        <x:v>33.2</x:v>
      </x:c>
      <x:c r="B334" t="n">
        <x:f>IF(B$1="","",IFERROR(INDEX('包络曲线数据'!$B$2:$U$742,ROW()-1,MATCH(B$1,'包络曲线数据'!$B$1:$U$1,0)),""))</x:f>
        <x:v>82.12687769896331</x:v>
      </x:c>
      <x:c r="C334" t="n">
        <x:f>IF(C$1="","",IFERROR(INDEX('包络曲线数据'!$B$2:$U$742,ROW()-1,MATCH(C$1,'包络曲线数据'!$B$1:$U$1,0)),""))</x:f>
        <x:v>67.42840426249153</x:v>
      </x:c>
      <x:c r="D334" t="n">
        <x:f>IF(D$1="","",IFERROR(INDEX('包络曲线数据'!$B$2:$U$742,ROW()-1,MATCH(D$1,'包络曲线数据'!$B$1:$U$1,0)),""))</x:f>
        <x:v>63.465918022510124</x:v>
      </x:c>
      <x:c r="E334" t="str">
        <x:f>IF(E$1="","",IFERROR(INDEX('包络曲线数据'!$B$2:$U$742,ROW()-1,MATCH(E$1,'包络曲线数据'!$B$1:$U$1,0)),""))</x:f>
      </x:c>
      <x:c r="F334" t="str">
        <x:f>IF(F$1="","",IFERROR(INDEX('包络曲线数据'!$B$2:$U$742,ROW()-1,MATCH(F$1,'包络曲线数据'!$B$1:$U$1,0)),""))</x:f>
      </x:c>
      <x:c r="G334" t="str">
        <x:f>IF(G$1="","",IFERROR(INDEX('包络曲线数据'!$B$2:$U$742,ROW()-1,MATCH(G$1,'包络曲线数据'!$B$1:$U$1,0)),""))</x:f>
      </x:c>
    </x:row>
    <x:row r="335">
      <x:c r="A335" t="n">
        <x:v>33.300000000000004</x:v>
      </x:c>
      <x:c r="B335" t="n">
        <x:f>IF(B$1="","",IFERROR(INDEX('包络曲线数据'!$B$2:$U$742,ROW()-1,MATCH(B$1,'包络曲线数据'!$B$1:$U$1,0)),""))</x:f>
        <x:v>83.04017324343559</x:v>
      </x:c>
      <x:c r="C335" t="n">
        <x:f>IF(C$1="","",IFERROR(INDEX('包络曲线数据'!$B$2:$U$742,ROW()-1,MATCH(C$1,'包络曲线数据'!$B$1:$U$1,0)),""))</x:f>
        <x:v>67.2128622762232</x:v>
      </x:c>
      <x:c r="D335" t="n">
        <x:f>IF(D$1="","",IFERROR(INDEX('包络曲线数据'!$B$2:$U$742,ROW()-1,MATCH(D$1,'包络曲线数据'!$B$1:$U$1,0)),""))</x:f>
        <x:v>66.72384209928694</x:v>
      </x:c>
      <x:c r="E335" t="str">
        <x:f>IF(E$1="","",IFERROR(INDEX('包络曲线数据'!$B$2:$U$742,ROW()-1,MATCH(E$1,'包络曲线数据'!$B$1:$U$1,0)),""))</x:f>
      </x:c>
      <x:c r="F335" t="str">
        <x:f>IF(F$1="","",IFERROR(INDEX('包络曲线数据'!$B$2:$U$742,ROW()-1,MATCH(F$1,'包络曲线数据'!$B$1:$U$1,0)),""))</x:f>
      </x:c>
      <x:c r="G335" t="str">
        <x:f>IF(G$1="","",IFERROR(INDEX('包络曲线数据'!$B$2:$U$742,ROW()-1,MATCH(G$1,'包络曲线数据'!$B$1:$U$1,0)),""))</x:f>
      </x:c>
    </x:row>
    <x:row r="336">
      <x:c r="A336" t="n">
        <x:v>33.4</x:v>
      </x:c>
      <x:c r="B336" t="n">
        <x:f>IF(B$1="","",IFERROR(INDEX('包络曲线数据'!$B$2:$U$742,ROW()-1,MATCH(B$1,'包络曲线数据'!$B$1:$U$1,0)),""))</x:f>
        <x:v>83.04017324343559</x:v>
      </x:c>
      <x:c r="C336" t="n">
        <x:f>IF(C$1="","",IFERROR(INDEX('包络曲线数据'!$B$2:$U$742,ROW()-1,MATCH(C$1,'包络曲线数据'!$B$1:$U$1,0)),""))</x:f>
        <x:v>67.48285999776708</x:v>
      </x:c>
      <x:c r="D336" t="n">
        <x:f>IF(D$1="","",IFERROR(INDEX('包络曲线数据'!$B$2:$U$742,ROW()-1,MATCH(D$1,'包络曲线数据'!$B$1:$U$1,0)),""))</x:f>
        <x:v>68.66805281170681</x:v>
      </x:c>
      <x:c r="E336" t="str">
        <x:f>IF(E$1="","",IFERROR(INDEX('包络曲线数据'!$B$2:$U$742,ROW()-1,MATCH(E$1,'包络曲线数据'!$B$1:$U$1,0)),""))</x:f>
      </x:c>
      <x:c r="F336" t="str">
        <x:f>IF(F$1="","",IFERROR(INDEX('包络曲线数据'!$B$2:$U$742,ROW()-1,MATCH(F$1,'包络曲线数据'!$B$1:$U$1,0)),""))</x:f>
      </x:c>
      <x:c r="G336" t="str">
        <x:f>IF(G$1="","",IFERROR(INDEX('包络曲线数据'!$B$2:$U$742,ROW()-1,MATCH(G$1,'包络曲线数据'!$B$1:$U$1,0)),""))</x:f>
      </x:c>
    </x:row>
    <x:row r="337">
      <x:c r="A337" t="n">
        <x:v>33.5</x:v>
      </x:c>
      <x:c r="B337" t="n">
        <x:f>IF(B$1="","",IFERROR(INDEX('包络曲线数据'!$B$2:$U$742,ROW()-1,MATCH(B$1,'包络曲线数据'!$B$1:$U$1,0)),""))</x:f>
        <x:v>70.38283394805214</x:v>
      </x:c>
      <x:c r="C337" t="n">
        <x:f>IF(C$1="","",IFERROR(INDEX('包络曲线数据'!$B$2:$U$742,ROW()-1,MATCH(C$1,'包络曲线数据'!$B$1:$U$1,0)),""))</x:f>
        <x:v>67.37910301555333</x:v>
      </x:c>
      <x:c r="D337" t="n">
        <x:f>IF(D$1="","",IFERROR(INDEX('包络曲线数据'!$B$2:$U$742,ROW()-1,MATCH(D$1,'包络曲线数据'!$B$1:$U$1,0)),""))</x:f>
        <x:v>79.89132628665939</x:v>
      </x:c>
      <x:c r="E337" t="str">
        <x:f>IF(E$1="","",IFERROR(INDEX('包络曲线数据'!$B$2:$U$742,ROW()-1,MATCH(E$1,'包络曲线数据'!$B$1:$U$1,0)),""))</x:f>
      </x:c>
      <x:c r="F337" t="str">
        <x:f>IF(F$1="","",IFERROR(INDEX('包络曲线数据'!$B$2:$U$742,ROW()-1,MATCH(F$1,'包络曲线数据'!$B$1:$U$1,0)),""))</x:f>
      </x:c>
      <x:c r="G337" t="str">
        <x:f>IF(G$1="","",IFERROR(INDEX('包络曲线数据'!$B$2:$U$742,ROW()-1,MATCH(G$1,'包络曲线数据'!$B$1:$U$1,0)),""))</x:f>
      </x:c>
    </x:row>
    <x:row r="338">
      <x:c r="A338" t="n">
        <x:v>33.6</x:v>
      </x:c>
      <x:c r="B338" t="n">
        <x:f>IF(B$1="","",IFERROR(INDEX('包络曲线数据'!$B$2:$U$742,ROW()-1,MATCH(B$1,'包络曲线数据'!$B$1:$U$1,0)),""))</x:f>
        <x:v>64.41613490059902</x:v>
      </x:c>
      <x:c r="C338" t="n">
        <x:f>IF(C$1="","",IFERROR(INDEX('包络曲线数据'!$B$2:$U$742,ROW()-1,MATCH(C$1,'包络曲线数据'!$B$1:$U$1,0)),""))</x:f>
        <x:v>67.32055562229844</x:v>
      </x:c>
      <x:c r="D338" t="n">
        <x:f>IF(D$1="","",IFERROR(INDEX('包络曲线数据'!$B$2:$U$742,ROW()-1,MATCH(D$1,'包络曲线数据'!$B$1:$U$1,0)),""))</x:f>
        <x:v>79.89132628665939</x:v>
      </x:c>
      <x:c r="E338" t="str">
        <x:f>IF(E$1="","",IFERROR(INDEX('包络曲线数据'!$B$2:$U$742,ROW()-1,MATCH(E$1,'包络曲线数据'!$B$1:$U$1,0)),""))</x:f>
      </x:c>
      <x:c r="F338" t="str">
        <x:f>IF(F$1="","",IFERROR(INDEX('包络曲线数据'!$B$2:$U$742,ROW()-1,MATCH(F$1,'包络曲线数据'!$B$1:$U$1,0)),""))</x:f>
      </x:c>
      <x:c r="G338" t="str">
        <x:f>IF(G$1="","",IFERROR(INDEX('包络曲线数据'!$B$2:$U$742,ROW()-1,MATCH(G$1,'包络曲线数据'!$B$1:$U$1,0)),""))</x:f>
      </x:c>
    </x:row>
    <x:row r="339">
      <x:c r="A339" t="n">
        <x:v>33.7</x:v>
      </x:c>
      <x:c r="B339" t="n">
        <x:f>IF(B$1="","",IFERROR(INDEX('包络曲线数据'!$B$2:$U$742,ROW()-1,MATCH(B$1,'包络曲线数据'!$B$1:$U$1,0)),""))</x:f>
        <x:v>55.777667996723274</x:v>
      </x:c>
      <x:c r="C339" t="n">
        <x:f>IF(C$1="","",IFERROR(INDEX('包络曲线数据'!$B$2:$U$742,ROW()-1,MATCH(C$1,'包络曲线数据'!$B$1:$U$1,0)),""))</x:f>
        <x:v>66.38066419385214</x:v>
      </x:c>
      <x:c r="D339" t="n">
        <x:f>IF(D$1="","",IFERROR(INDEX('包络曲线数据'!$B$2:$U$742,ROW()-1,MATCH(D$1,'包络曲线数据'!$B$1:$U$1,0)),""))</x:f>
        <x:v>77.38396811452877</x:v>
      </x:c>
      <x:c r="E339" t="str">
        <x:f>IF(E$1="","",IFERROR(INDEX('包络曲线数据'!$B$2:$U$742,ROW()-1,MATCH(E$1,'包络曲线数据'!$B$1:$U$1,0)),""))</x:f>
      </x:c>
      <x:c r="F339" t="str">
        <x:f>IF(F$1="","",IFERROR(INDEX('包络曲线数据'!$B$2:$U$742,ROW()-1,MATCH(F$1,'包络曲线数据'!$B$1:$U$1,0)),""))</x:f>
      </x:c>
      <x:c r="G339" t="str">
        <x:f>IF(G$1="","",IFERROR(INDEX('包络曲线数据'!$B$2:$U$742,ROW()-1,MATCH(G$1,'包络曲线数据'!$B$1:$U$1,0)),""))</x:f>
      </x:c>
    </x:row>
    <x:row r="340">
      <x:c r="A340" t="n">
        <x:v>33.800000000000004</x:v>
      </x:c>
      <x:c r="B340" t="n">
        <x:f>IF(B$1="","",IFERROR(INDEX('包络曲线数据'!$B$2:$U$742,ROW()-1,MATCH(B$1,'包络曲线数据'!$B$1:$U$1,0)),""))</x:f>
        <x:v>55.777667996721945</x:v>
      </x:c>
      <x:c r="C340" t="n">
        <x:f>IF(C$1="","",IFERROR(INDEX('包络曲线数据'!$B$2:$U$742,ROW()-1,MATCH(C$1,'包络曲线数据'!$B$1:$U$1,0)),""))</x:f>
        <x:v>64.63965533637563</x:v>
      </x:c>
      <x:c r="D340" t="n">
        <x:f>IF(D$1="","",IFERROR(INDEX('包络曲线数据'!$B$2:$U$742,ROW()-1,MATCH(D$1,'包络曲线数据'!$B$1:$U$1,0)),""))</x:f>
        <x:v>65.95177871297624</x:v>
      </x:c>
      <x:c r="E340" t="str">
        <x:f>IF(E$1="","",IFERROR(INDEX('包络曲线数据'!$B$2:$U$742,ROW()-1,MATCH(E$1,'包络曲线数据'!$B$1:$U$1,0)),""))</x:f>
      </x:c>
      <x:c r="F340" t="str">
        <x:f>IF(F$1="","",IFERROR(INDEX('包络曲线数据'!$B$2:$U$742,ROW()-1,MATCH(F$1,'包络曲线数据'!$B$1:$U$1,0)),""))</x:f>
      </x:c>
      <x:c r="G340" t="str">
        <x:f>IF(G$1="","",IFERROR(INDEX('包络曲线数据'!$B$2:$U$742,ROW()-1,MATCH(G$1,'包络曲线数据'!$B$1:$U$1,0)),""))</x:f>
      </x:c>
    </x:row>
    <x:row r="341">
      <x:c r="A341" t="n">
        <x:v>33.9</x:v>
      </x:c>
      <x:c r="B341" t="n">
        <x:f>IF(B$1="","",IFERROR(INDEX('包络曲线数据'!$B$2:$U$742,ROW()-1,MATCH(B$1,'包络曲线数据'!$B$1:$U$1,0)),""))</x:f>
        <x:v>51.595284178115094</x:v>
      </x:c>
      <x:c r="C341" t="n">
        <x:f>IF(C$1="","",IFERROR(INDEX('包络曲线数据'!$B$2:$U$742,ROW()-1,MATCH(C$1,'包络曲线数据'!$B$1:$U$1,0)),""))</x:f>
        <x:v>61.35667352609604</x:v>
      </x:c>
      <x:c r="D341" t="n">
        <x:f>IF(D$1="","",IFERROR(INDEX('包络曲线数据'!$B$2:$U$742,ROW()-1,MATCH(D$1,'包络曲线数据'!$B$1:$U$1,0)),""))</x:f>
        <x:v>61.16259459649535</x:v>
      </x:c>
      <x:c r="E341" t="str">
        <x:f>IF(E$1="","",IFERROR(INDEX('包络曲线数据'!$B$2:$U$742,ROW()-1,MATCH(E$1,'包络曲线数据'!$B$1:$U$1,0)),""))</x:f>
      </x:c>
      <x:c r="F341" t="str">
        <x:f>IF(F$1="","",IFERROR(INDEX('包络曲线数据'!$B$2:$U$742,ROW()-1,MATCH(F$1,'包络曲线数据'!$B$1:$U$1,0)),""))</x:f>
      </x:c>
      <x:c r="G341" t="str">
        <x:f>IF(G$1="","",IFERROR(INDEX('包络曲线数据'!$B$2:$U$742,ROW()-1,MATCH(G$1,'包络曲线数据'!$B$1:$U$1,0)),""))</x:f>
      </x:c>
    </x:row>
    <x:row r="342">
      <x:c r="A342" t="n">
        <x:v>34</x:v>
      </x:c>
      <x:c r="B342" t="n">
        <x:f>IF(B$1="","",IFERROR(INDEX('包络曲线数据'!$B$2:$U$742,ROW()-1,MATCH(B$1,'包络曲线数据'!$B$1:$U$1,0)),""))</x:f>
        <x:v>62.24994518042712</x:v>
      </x:c>
      <x:c r="C342" t="n">
        <x:f>IF(C$1="","",IFERROR(INDEX('包络曲线数据'!$B$2:$U$742,ROW()-1,MATCH(C$1,'包络曲线数据'!$B$1:$U$1,0)),""))</x:f>
        <x:v>68.02666101918173</x:v>
      </x:c>
      <x:c r="D342" t="n">
        <x:f>IF(D$1="","",IFERROR(INDEX('包络曲线数据'!$B$2:$U$742,ROW()-1,MATCH(D$1,'包络曲线数据'!$B$1:$U$1,0)),""))</x:f>
        <x:v>58.80095710040821</x:v>
      </x:c>
      <x:c r="E342" t="str">
        <x:f>IF(E$1="","",IFERROR(INDEX('包络曲线数据'!$B$2:$U$742,ROW()-1,MATCH(E$1,'包络曲线数据'!$B$1:$U$1,0)),""))</x:f>
      </x:c>
      <x:c r="F342" t="str">
        <x:f>IF(F$1="","",IFERROR(INDEX('包络曲线数据'!$B$2:$U$742,ROW()-1,MATCH(F$1,'包络曲线数据'!$B$1:$U$1,0)),""))</x:f>
      </x:c>
      <x:c r="G342" t="str">
        <x:f>IF(G$1="","",IFERROR(INDEX('包络曲线数据'!$B$2:$U$742,ROW()-1,MATCH(G$1,'包络曲线数据'!$B$1:$U$1,0)),""))</x:f>
      </x:c>
    </x:row>
    <x:row r="343">
      <x:c r="A343" t="n">
        <x:v>34.1</x:v>
      </x:c>
      <x:c r="B343" t="n">
        <x:f>IF(B$1="","",IFERROR(INDEX('包络曲线数据'!$B$2:$U$742,ROW()-1,MATCH(B$1,'包络曲线数据'!$B$1:$U$1,0)),""))</x:f>
        <x:v>62.24994518042712</x:v>
      </x:c>
      <x:c r="C343" t="n">
        <x:f>IF(C$1="","",IFERROR(INDEX('包络曲线数据'!$B$2:$U$742,ROW()-1,MATCH(C$1,'包络曲线数据'!$B$1:$U$1,0)),""))</x:f>
        <x:v>79.96646227005054</x:v>
      </x:c>
      <x:c r="D343" t="n">
        <x:f>IF(D$1="","",IFERROR(INDEX('包络曲线数据'!$B$2:$U$742,ROW()-1,MATCH(D$1,'包络曲线数据'!$B$1:$U$1,0)),""))</x:f>
        <x:v>58.80095710040821</x:v>
      </x:c>
      <x:c r="E343" t="str">
        <x:f>IF(E$1="","",IFERROR(INDEX('包络曲线数据'!$B$2:$U$742,ROW()-1,MATCH(E$1,'包络曲线数据'!$B$1:$U$1,0)),""))</x:f>
      </x:c>
      <x:c r="F343" t="str">
        <x:f>IF(F$1="","",IFERROR(INDEX('包络曲线数据'!$B$2:$U$742,ROW()-1,MATCH(F$1,'包络曲线数据'!$B$1:$U$1,0)),""))</x:f>
      </x:c>
      <x:c r="G343" t="str">
        <x:f>IF(G$1="","",IFERROR(INDEX('包络曲线数据'!$B$2:$U$742,ROW()-1,MATCH(G$1,'包络曲线数据'!$B$1:$U$1,0)),""))</x:f>
      </x:c>
    </x:row>
    <x:row r="344">
      <x:c r="A344" t="n">
        <x:v>34.2</x:v>
      </x:c>
      <x:c r="B344" t="n">
        <x:f>IF(B$1="","",IFERROR(INDEX('包络曲线数据'!$B$2:$U$742,ROW()-1,MATCH(B$1,'包络曲线数据'!$B$1:$U$1,0)),""))</x:f>
        <x:v>53.63547381652208</x:v>
      </x:c>
      <x:c r="C344" t="n">
        <x:f>IF(C$1="","",IFERROR(INDEX('包络曲线数据'!$B$2:$U$742,ROW()-1,MATCH(C$1,'包络曲线数据'!$B$1:$U$1,0)),""))</x:f>
        <x:v>79.96646227005054</x:v>
      </x:c>
      <x:c r="D344" t="n">
        <x:f>IF(D$1="","",IFERROR(INDEX('包络曲线数据'!$B$2:$U$742,ROW()-1,MATCH(D$1,'包络曲线数据'!$B$1:$U$1,0)),""))</x:f>
        <x:v>60.67592324974554</x:v>
      </x:c>
      <x:c r="E344" t="str">
        <x:f>IF(E$1="","",IFERROR(INDEX('包络曲线数据'!$B$2:$U$742,ROW()-1,MATCH(E$1,'包络曲线数据'!$B$1:$U$1,0)),""))</x:f>
      </x:c>
      <x:c r="F344" t="str">
        <x:f>IF(F$1="","",IFERROR(INDEX('包络曲线数据'!$B$2:$U$742,ROW()-1,MATCH(F$1,'包络曲线数据'!$B$1:$U$1,0)),""))</x:f>
      </x:c>
      <x:c r="G344" t="str">
        <x:f>IF(G$1="","",IFERROR(INDEX('包络曲线数据'!$B$2:$U$742,ROW()-1,MATCH(G$1,'包络曲线数据'!$B$1:$U$1,0)),""))</x:f>
      </x:c>
    </x:row>
    <x:row r="345">
      <x:c r="A345" t="n">
        <x:v>34.300000000000004</x:v>
      </x:c>
      <x:c r="B345" t="n">
        <x:f>IF(B$1="","",IFERROR(INDEX('包络曲线数据'!$B$2:$U$742,ROW()-1,MATCH(B$1,'包络曲线数据'!$B$1:$U$1,0)),""))</x:f>
        <x:v>63.83642200855556</x:v>
      </x:c>
      <x:c r="C345" t="n">
        <x:f>IF(C$1="","",IFERROR(INDEX('包络曲线数据'!$B$2:$U$742,ROW()-1,MATCH(C$1,'包络曲线数据'!$B$1:$U$1,0)),""))</x:f>
        <x:v>75.684771449862</x:v>
      </x:c>
      <x:c r="D345" t="n">
        <x:f>IF(D$1="","",IFERROR(INDEX('包络曲线数据'!$B$2:$U$742,ROW()-1,MATCH(D$1,'包络曲线数据'!$B$1:$U$1,0)),""))</x:f>
        <x:v>62.55088939908286</x:v>
      </x:c>
      <x:c r="E345" t="str">
        <x:f>IF(E$1="","",IFERROR(INDEX('包络曲线数据'!$B$2:$U$742,ROW()-1,MATCH(E$1,'包络曲线数据'!$B$1:$U$1,0)),""))</x:f>
      </x:c>
      <x:c r="F345" t="str">
        <x:f>IF(F$1="","",IFERROR(INDEX('包络曲线数据'!$B$2:$U$742,ROW()-1,MATCH(F$1,'包络曲线数据'!$B$1:$U$1,0)),""))</x:f>
      </x:c>
      <x:c r="G345" t="str">
        <x:f>IF(G$1="","",IFERROR(INDEX('包络曲线数据'!$B$2:$U$742,ROW()-1,MATCH(G$1,'包络曲线数据'!$B$1:$U$1,0)),""))</x:f>
      </x:c>
    </x:row>
    <x:row r="346">
      <x:c r="A346" t="n">
        <x:v>34.4</x:v>
      </x:c>
      <x:c r="B346" t="n">
        <x:f>IF(B$1="","",IFERROR(INDEX('包络曲线数据'!$B$2:$U$742,ROW()-1,MATCH(B$1,'包络曲线数据'!$B$1:$U$1,0)),""))</x:f>
        <x:v>74.03737020058831</x:v>
      </x:c>
      <x:c r="C346" t="n">
        <x:f>IF(C$1="","",IFERROR(INDEX('包络曲线数据'!$B$2:$U$742,ROW()-1,MATCH(C$1,'包络曲线数据'!$B$1:$U$1,0)),""))</x:f>
        <x:v>65.49961622608018</x:v>
      </x:c>
      <x:c r="D346" t="n">
        <x:f>IF(D$1="","",IFERROR(INDEX('包络曲线数据'!$B$2:$U$742,ROW()-1,MATCH(D$1,'包络曲线数据'!$B$1:$U$1,0)),""))</x:f>
        <x:v>64.42585554842005</x:v>
      </x:c>
      <x:c r="E346" t="str">
        <x:f>IF(E$1="","",IFERROR(INDEX('包络曲线数据'!$B$2:$U$742,ROW()-1,MATCH(E$1,'包络曲线数据'!$B$1:$U$1,0)),""))</x:f>
      </x:c>
      <x:c r="F346" t="str">
        <x:f>IF(F$1="","",IFERROR(INDEX('包络曲线数据'!$B$2:$U$742,ROW()-1,MATCH(F$1,'包络曲线数据'!$B$1:$U$1,0)),""))</x:f>
      </x:c>
      <x:c r="G346" t="str">
        <x:f>IF(G$1="","",IFERROR(INDEX('包络曲线数据'!$B$2:$U$742,ROW()-1,MATCH(G$1,'包络曲线数据'!$B$1:$U$1,0)),""))</x:f>
      </x:c>
    </x:row>
    <x:row r="347">
      <x:c r="A347" t="n">
        <x:v>34.5</x:v>
      </x:c>
      <x:c r="B347" t="n">
        <x:f>IF(B$1="","",IFERROR(INDEX('包络曲线数据'!$B$2:$U$742,ROW()-1,MATCH(B$1,'包络曲线数据'!$B$1:$U$1,0)),""))</x:f>
        <x:v>78.11774947740156</x:v>
      </x:c>
      <x:c r="C347" t="n">
        <x:f>IF(C$1="","",IFERROR(INDEX('包络曲线数据'!$B$2:$U$742,ROW()-1,MATCH(C$1,'包络曲线数据'!$B$1:$U$1,0)),""))</x:f>
        <x:v>56.06594599258112</x:v>
      </x:c>
      <x:c r="D347" t="n">
        <x:f>IF(D$1="","",IFERROR(INDEX('包络曲线数据'!$B$2:$U$742,ROW()-1,MATCH(D$1,'包络曲线数据'!$B$1:$U$1,0)),""))</x:f>
        <x:v>65.92582846788986</x:v>
      </x:c>
      <x:c r="E347" t="str">
        <x:f>IF(E$1="","",IFERROR(INDEX('包络曲线数据'!$B$2:$U$742,ROW()-1,MATCH(E$1,'包络曲线数据'!$B$1:$U$1,0)),""))</x:f>
      </x:c>
      <x:c r="F347" t="str">
        <x:f>IF(F$1="","",IFERROR(INDEX('包络曲线数据'!$B$2:$U$742,ROW()-1,MATCH(F$1,'包络曲线数据'!$B$1:$U$1,0)),""))</x:f>
      </x:c>
      <x:c r="G347" t="str">
        <x:f>IF(G$1="","",IFERROR(INDEX('包络曲线数据'!$B$2:$U$742,ROW()-1,MATCH(G$1,'包络曲线数据'!$B$1:$U$1,0)),""))</x:f>
      </x:c>
    </x:row>
    <x:row r="348">
      <x:c r="A348" t="n">
        <x:v>34.6</x:v>
      </x:c>
      <x:c r="B348" t="n">
        <x:f>IF(B$1="","",IFERROR(INDEX('包络曲线数据'!$B$2:$U$742,ROW()-1,MATCH(B$1,'包络曲线数据'!$B$1:$U$1,0)),""))</x:f>
        <x:v>78.11774947740156</x:v>
      </x:c>
      <x:c r="C348" t="n">
        <x:f>IF(C$1="","",IFERROR(INDEX('包络曲线数据'!$B$2:$U$742,ROW()-1,MATCH(C$1,'包络曲线数据'!$B$1:$U$1,0)),""))</x:f>
        <x:v>53.76957876816719</x:v>
      </x:c>
      <x:c r="D348" t="n">
        <x:f>IF(D$1="","",IFERROR(INDEX('包络曲线数据'!$B$2:$U$742,ROW()-1,MATCH(D$1,'包络曲线数据'!$B$1:$U$1,0)),""))</x:f>
        <x:v>76.34179165720325</x:v>
      </x:c>
      <x:c r="E348" t="str">
        <x:f>IF(E$1="","",IFERROR(INDEX('包络曲线数据'!$B$2:$U$742,ROW()-1,MATCH(E$1,'包络曲线数据'!$B$1:$U$1,0)),""))</x:f>
      </x:c>
      <x:c r="F348" t="str">
        <x:f>IF(F$1="","",IFERROR(INDEX('包络曲线数据'!$B$2:$U$742,ROW()-1,MATCH(F$1,'包络曲线数据'!$B$1:$U$1,0)),""))</x:f>
      </x:c>
      <x:c r="G348" t="str">
        <x:f>IF(G$1="","",IFERROR(INDEX('包络曲线数据'!$B$2:$U$742,ROW()-1,MATCH(G$1,'包络曲线数据'!$B$1:$U$1,0)),""))</x:f>
      </x:c>
    </x:row>
    <x:row r="349">
      <x:c r="A349" t="n">
        <x:v>34.7</x:v>
      </x:c>
      <x:c r="B349" t="n">
        <x:f>IF(B$1="","",IFERROR(INDEX('包络曲线数据'!$B$2:$U$742,ROW()-1,MATCH(B$1,'包络曲线数据'!$B$1:$U$1,0)),""))</x:f>
        <x:v>71.30634958363208</x:v>
      </x:c>
      <x:c r="C349" t="n">
        <x:f>IF(C$1="","",IFERROR(INDEX('包络曲线数据'!$B$2:$U$742,ROW()-1,MATCH(C$1,'包络曲线数据'!$B$1:$U$1,0)),""))</x:f>
        <x:v>52.39175843351897</x:v>
      </x:c>
      <x:c r="D349" t="n">
        <x:f>IF(D$1="","",IFERROR(INDEX('包络曲线数据'!$B$2:$U$742,ROW()-1,MATCH(D$1,'包络曲线数据'!$B$1:$U$1,0)),""))</x:f>
        <x:v>76.34179165720325</x:v>
      </x:c>
      <x:c r="E349" t="str">
        <x:f>IF(E$1="","",IFERROR(INDEX('包络曲线数据'!$B$2:$U$742,ROW()-1,MATCH(E$1,'包络曲线数据'!$B$1:$U$1,0)),""))</x:f>
      </x:c>
      <x:c r="F349" t="str">
        <x:f>IF(F$1="","",IFERROR(INDEX('包络曲线数据'!$B$2:$U$742,ROW()-1,MATCH(F$1,'包络曲线数据'!$B$1:$U$1,0)),""))</x:f>
      </x:c>
      <x:c r="G349" t="str">
        <x:f>IF(G$1="","",IFERROR(INDEX('包络曲线数据'!$B$2:$U$742,ROW()-1,MATCH(G$1,'包络曲线数据'!$B$1:$U$1,0)),""))</x:f>
      </x:c>
    </x:row>
    <x:row r="350">
      <x:c r="A350" t="n">
        <x:v>34.800000000000004</x:v>
      </x:c>
      <x:c r="B350" t="n">
        <x:f>IF(B$1="","",IFERROR(INDEX('包络曲线数据'!$B$2:$U$742,ROW()-1,MATCH(B$1,'包络曲线数据'!$B$1:$U$1,0)),""))</x:f>
        <x:v>65.88406720258912</x:v>
      </x:c>
      <x:c r="C350" t="n">
        <x:f>IF(C$1="","",IFERROR(INDEX('包络曲线数据'!$B$2:$U$742,ROW()-1,MATCH(C$1,'包络曲线数据'!$B$1:$U$1,0)),""))</x:f>
        <x:v>56.40094856688587</x:v>
      </x:c>
      <x:c r="D350" t="n">
        <x:f>IF(D$1="","",IFERROR(INDEX('包络曲线数据'!$B$2:$U$742,ROW()-1,MATCH(D$1,'包络曲线数据'!$B$1:$U$1,0)),""))</x:f>
        <x:v>72.77363391606416</x:v>
      </x:c>
      <x:c r="E350" t="str">
        <x:f>IF(E$1="","",IFERROR(INDEX('包络曲线数据'!$B$2:$U$742,ROW()-1,MATCH(E$1,'包络曲线数据'!$B$1:$U$1,0)),""))</x:f>
      </x:c>
      <x:c r="F350" t="str">
        <x:f>IF(F$1="","",IFERROR(INDEX('包络曲线数据'!$B$2:$U$742,ROW()-1,MATCH(F$1,'包络曲线数据'!$B$1:$U$1,0)),""))</x:f>
      </x:c>
      <x:c r="G350" t="str">
        <x:f>IF(G$1="","",IFERROR(INDEX('包络曲线数据'!$B$2:$U$742,ROW()-1,MATCH(G$1,'包络曲线数据'!$B$1:$U$1,0)),""))</x:f>
      </x:c>
    </x:row>
    <x:row r="351">
      <x:c r="A351" t="n">
        <x:v>34.9</x:v>
      </x:c>
      <x:c r="B351" t="n">
        <x:f>IF(B$1="","",IFERROR(INDEX('包络曲线数据'!$B$2:$U$742,ROW()-1,MATCH(B$1,'包络曲线数据'!$B$1:$U$1,0)),""))</x:f>
        <x:v>67.57225656699471</x:v>
      </x:c>
      <x:c r="C351" t="n">
        <x:f>IF(C$1="","",IFERROR(INDEX('包络曲线数据'!$B$2:$U$742,ROW()-1,MATCH(C$1,'包络曲线数据'!$B$1:$U$1,0)),""))</x:f>
        <x:v>61.41243623359387</x:v>
      </x:c>
      <x:c r="D351" t="n">
        <x:f>IF(D$1="","",IFERROR(INDEX('包络曲线数据'!$B$2:$U$742,ROW()-1,MATCH(D$1,'包络曲线数据'!$B$1:$U$1,0)),""))</x:f>
        <x:v>64.46947434449362</x:v>
      </x:c>
      <x:c r="E351" t="str">
        <x:f>IF(E$1="","",IFERROR(INDEX('包络曲线数据'!$B$2:$U$742,ROW()-1,MATCH(E$1,'包络曲线数据'!$B$1:$U$1,0)),""))</x:f>
      </x:c>
      <x:c r="F351" t="str">
        <x:f>IF(F$1="","",IFERROR(INDEX('包络曲线数据'!$B$2:$U$742,ROW()-1,MATCH(F$1,'包络曲线数据'!$B$1:$U$1,0)),""))</x:f>
      </x:c>
      <x:c r="G351" t="str">
        <x:f>IF(G$1="","",IFERROR(INDEX('包络曲线数据'!$B$2:$U$742,ROW()-1,MATCH(G$1,'包络曲线数据'!$B$1:$U$1,0)),""))</x:f>
      </x:c>
    </x:row>
    <x:row r="352">
      <x:c r="A352" t="n">
        <x:v>35</x:v>
      </x:c>
      <x:c r="B352" t="n">
        <x:f>IF(B$1="","",IFERROR(INDEX('包络曲线数据'!$B$2:$U$742,ROW()-1,MATCH(B$1,'包络曲线数据'!$B$1:$U$1,0)),""))</x:f>
        <x:v>70.05608561126095</x:v>
      </x:c>
      <x:c r="C352" t="n">
        <x:f>IF(C$1="","",IFERROR(INDEX('包络曲线数据'!$B$2:$U$742,ROW()-1,MATCH(C$1,'包络曲线数据'!$B$1:$U$1,0)),""))</x:f>
        <x:v>64.41932883361895</x:v>
      </x:c>
      <x:c r="D352" t="n">
        <x:f>IF(D$1="","",IFERROR(INDEX('包络曲线数据'!$B$2:$U$742,ROW()-1,MATCH(D$1,'包络曲线数据'!$B$1:$U$1,0)),""))</x:f>
        <x:v>63.41470576289373</x:v>
      </x:c>
      <x:c r="E352" t="str">
        <x:f>IF(E$1="","",IFERROR(INDEX('包络曲线数据'!$B$2:$U$742,ROW()-1,MATCH(E$1,'包络曲线数据'!$B$1:$U$1,0)),""))</x:f>
      </x:c>
      <x:c r="F352" t="str">
        <x:f>IF(F$1="","",IFERROR(INDEX('包络曲线数据'!$B$2:$U$742,ROW()-1,MATCH(F$1,'包络曲线数据'!$B$1:$U$1,0)),""))</x:f>
      </x:c>
      <x:c r="G352" t="str">
        <x:f>IF(G$1="","",IFERROR(INDEX('包络曲线数据'!$B$2:$U$742,ROW()-1,MATCH(G$1,'包络曲线数据'!$B$1:$U$1,0)),""))</x:f>
      </x:c>
    </x:row>
    <x:row r="353">
      <x:c r="A353" t="n">
        <x:v>35.1</x:v>
      </x:c>
      <x:c r="B353" t="n">
        <x:f>IF(B$1="","",IFERROR(INDEX('包络曲线数据'!$B$2:$U$742,ROW()-1,MATCH(B$1,'包络曲线数据'!$B$1:$U$1,0)),""))</x:f>
        <x:v>70.05608561126095</x:v>
      </x:c>
      <x:c r="C353" t="n">
        <x:f>IF(C$1="","",IFERROR(INDEX('包络曲线数据'!$B$2:$U$742,ROW()-1,MATCH(C$1,'包络曲线数据'!$B$1:$U$1,0)),""))</x:f>
        <x:v>64.41932883361895</x:v>
      </x:c>
      <x:c r="D353" t="n">
        <x:f>IF(D$1="","",IFERROR(INDEX('包络曲线数据'!$B$2:$U$742,ROW()-1,MATCH(D$1,'包络曲线数据'!$B$1:$U$1,0)),""))</x:f>
        <x:v>63.73704194844042</x:v>
      </x:c>
      <x:c r="E353" t="str">
        <x:f>IF(E$1="","",IFERROR(INDEX('包络曲线数据'!$B$2:$U$742,ROW()-1,MATCH(E$1,'包络曲线数据'!$B$1:$U$1,0)),""))</x:f>
      </x:c>
      <x:c r="F353" t="str">
        <x:f>IF(F$1="","",IFERROR(INDEX('包络曲线数据'!$B$2:$U$742,ROW()-1,MATCH(F$1,'包络曲线数据'!$B$1:$U$1,0)),""))</x:f>
      </x:c>
      <x:c r="G353" t="str">
        <x:f>IF(G$1="","",IFERROR(INDEX('包络曲线数据'!$B$2:$U$742,ROW()-1,MATCH(G$1,'包络曲线数据'!$B$1:$U$1,0)),""))</x:f>
      </x:c>
    </x:row>
    <x:row r="354">
      <x:c r="A354" t="n">
        <x:v>35.2</x:v>
      </x:c>
      <x:c r="B354" t="n">
        <x:f>IF(B$1="","",IFERROR(INDEX('包络曲线数据'!$B$2:$U$742,ROW()-1,MATCH(B$1,'包络曲线数据'!$B$1:$U$1,0)),""))</x:f>
        <x:v>70.88273785444072</x:v>
      </x:c>
      <x:c r="C354" t="n">
        <x:f>IF(C$1="","",IFERROR(INDEX('包络曲线数据'!$B$2:$U$742,ROW()-1,MATCH(C$1,'包络曲线数据'!$B$1:$U$1,0)),""))</x:f>
        <x:v>75.63630027809428</x:v>
      </x:c>
      <x:c r="D354" t="n">
        <x:f>IF(D$1="","",IFERROR(INDEX('包络曲线数据'!$B$2:$U$742,ROW()-1,MATCH(D$1,'包络曲线数据'!$B$1:$U$1,0)),""))</x:f>
        <x:v>63.73704194844042</x:v>
      </x:c>
      <x:c r="E354" t="str">
        <x:f>IF(E$1="","",IFERROR(INDEX('包络曲线数据'!$B$2:$U$742,ROW()-1,MATCH(E$1,'包络曲线数据'!$B$1:$U$1,0)),""))</x:f>
      </x:c>
      <x:c r="F354" t="str">
        <x:f>IF(F$1="","",IFERROR(INDEX('包络曲线数据'!$B$2:$U$742,ROW()-1,MATCH(F$1,'包络曲线数据'!$B$1:$U$1,0)),""))</x:f>
      </x:c>
      <x:c r="G354" t="str">
        <x:f>IF(G$1="","",IFERROR(INDEX('包络曲线数据'!$B$2:$U$742,ROW()-1,MATCH(G$1,'包络曲线数据'!$B$1:$U$1,0)),""))</x:f>
      </x:c>
    </x:row>
    <x:row r="355">
      <x:c r="A355" t="n">
        <x:v>35.300000000000004</x:v>
      </x:c>
      <x:c r="B355" t="n">
        <x:f>IF(B$1="","",IFERROR(INDEX('包络曲线数据'!$B$2:$U$742,ROW()-1,MATCH(B$1,'包络曲线数据'!$B$1:$U$1,0)),""))</x:f>
        <x:v>71.13521221754256</x:v>
      </x:c>
      <x:c r="C355" t="n">
        <x:f>IF(C$1="","",IFERROR(INDEX('包络曲线数据'!$B$2:$U$742,ROW()-1,MATCH(C$1,'包络曲线数据'!$B$1:$U$1,0)),""))</x:f>
        <x:v>75.63630027809428</x:v>
      </x:c>
      <x:c r="D355" t="n">
        <x:f>IF(D$1="","",IFERROR(INDEX('包络曲线数据'!$B$2:$U$742,ROW()-1,MATCH(D$1,'包络曲线数据'!$B$1:$U$1,0)),""))</x:f>
        <x:v>63.58515405070827</x:v>
      </x:c>
      <x:c r="E355" t="str">
        <x:f>IF(E$1="","",IFERROR(INDEX('包络曲线数据'!$B$2:$U$742,ROW()-1,MATCH(E$1,'包络曲线数据'!$B$1:$U$1,0)),""))</x:f>
      </x:c>
      <x:c r="F355" t="str">
        <x:f>IF(F$1="","",IFERROR(INDEX('包络曲线数据'!$B$2:$U$742,ROW()-1,MATCH(F$1,'包络曲线数据'!$B$1:$U$1,0)),""))</x:f>
      </x:c>
      <x:c r="G355" t="str">
        <x:f>IF(G$1="","",IFERROR(INDEX('包络曲线数据'!$B$2:$U$742,ROW()-1,MATCH(G$1,'包络曲线数据'!$B$1:$U$1,0)),""))</x:f>
      </x:c>
    </x:row>
    <x:row r="356">
      <x:c r="A356" t="n">
        <x:v>35.4</x:v>
      </x:c>
      <x:c r="B356" t="n">
        <x:f>IF(B$1="","",IFERROR(INDEX('包络曲线数据'!$B$2:$U$742,ROW()-1,MATCH(B$1,'包络曲线数据'!$B$1:$U$1,0)),""))</x:f>
        <x:v>71.81964041581122</x:v>
      </x:c>
      <x:c r="C356" t="n">
        <x:f>IF(C$1="","",IFERROR(INDEX('包络曲线数据'!$B$2:$U$742,ROW()-1,MATCH(C$1,'包络曲线数据'!$B$1:$U$1,0)),""))</x:f>
        <x:v>72.86764548200911</x:v>
      </x:c>
      <x:c r="D356" t="n">
        <x:f>IF(D$1="","",IFERROR(INDEX('包络曲线数据'!$B$2:$U$742,ROW()-1,MATCH(D$1,'包络曲线数据'!$B$1:$U$1,0)),""))</x:f>
        <x:v>63.332007554488044</x:v>
      </x:c>
      <x:c r="E356" t="str">
        <x:f>IF(E$1="","",IFERROR(INDEX('包络曲线数据'!$B$2:$U$742,ROW()-1,MATCH(E$1,'包络曲线数据'!$B$1:$U$1,0)),""))</x:f>
      </x:c>
      <x:c r="F356" t="str">
        <x:f>IF(F$1="","",IFERROR(INDEX('包络曲线数据'!$B$2:$U$742,ROW()-1,MATCH(F$1,'包络曲线数据'!$B$1:$U$1,0)),""))</x:f>
      </x:c>
      <x:c r="G356" t="str">
        <x:f>IF(G$1="","",IFERROR(INDEX('包络曲线数据'!$B$2:$U$742,ROW()-1,MATCH(G$1,'包络曲线数据'!$B$1:$U$1,0)),""))</x:f>
      </x:c>
    </x:row>
    <x:row r="357">
      <x:c r="A357" t="n">
        <x:v>35.5</x:v>
      </x:c>
      <x:c r="B357" t="n">
        <x:f>IF(B$1="","",IFERROR(INDEX('包络曲线数据'!$B$2:$U$742,ROW()-1,MATCH(B$1,'包络曲线数据'!$B$1:$U$1,0)),""))</x:f>
        <x:v>71.81964041581122</x:v>
      </x:c>
      <x:c r="C357" t="n">
        <x:f>IF(C$1="","",IFERROR(INDEX('包络曲线数据'!$B$2:$U$742,ROW()-1,MATCH(C$1,'包络曲线数据'!$B$1:$U$1,0)),""))</x:f>
        <x:v>69.23219025123363</x:v>
      </x:c>
      <x:c r="D357" t="n">
        <x:f>IF(D$1="","",IFERROR(INDEX('包络曲线数据'!$B$2:$U$742,ROW()-1,MATCH(D$1,'包络曲线数据'!$B$1:$U$1,0)),""))</x:f>
        <x:v>63.332007554488044</x:v>
      </x:c>
      <x:c r="E357" t="str">
        <x:f>IF(E$1="","",IFERROR(INDEX('包络曲线数据'!$B$2:$U$742,ROW()-1,MATCH(E$1,'包络曲线数据'!$B$1:$U$1,0)),""))</x:f>
      </x:c>
      <x:c r="F357" t="str">
        <x:f>IF(F$1="","",IFERROR(INDEX('包络曲线数据'!$B$2:$U$742,ROW()-1,MATCH(F$1,'包络曲线数据'!$B$1:$U$1,0)),""))</x:f>
      </x:c>
      <x:c r="G357" t="str">
        <x:f>IF(G$1="","",IFERROR(INDEX('包络曲线数据'!$B$2:$U$742,ROW()-1,MATCH(G$1,'包络曲线数据'!$B$1:$U$1,0)),""))</x:f>
      </x:c>
    </x:row>
    <x:row r="358">
      <x:c r="A358" t="n">
        <x:v>35.6</x:v>
      </x:c>
      <x:c r="B358" t="n">
        <x:f>IF(B$1="","",IFERROR(INDEX('包络曲线数据'!$B$2:$U$742,ROW()-1,MATCH(B$1,'包络曲线数据'!$B$1:$U$1,0)),""))</x:f>
        <x:v>71.1122760097804</x:v>
      </x:c>
      <x:c r="C358" t="n">
        <x:f>IF(C$1="","",IFERROR(INDEX('包络曲线数据'!$B$2:$U$742,ROW()-1,MATCH(C$1,'包络曲线数据'!$B$1:$U$1,0)),""))</x:f>
        <x:v>65.19373258786598</x:v>
      </x:c>
      <x:c r="D358" t="n">
        <x:f>IF(D$1="","",IFERROR(INDEX('包络曲线数据'!$B$2:$U$742,ROW()-1,MATCH(D$1,'包络曲线数据'!$B$1:$U$1,0)),""))</x:f>
        <x:v>61.71254771555735</x:v>
      </x:c>
      <x:c r="E358" t="str">
        <x:f>IF(E$1="","",IFERROR(INDEX('包络曲线数据'!$B$2:$U$742,ROW()-1,MATCH(E$1,'包络曲线数据'!$B$1:$U$1,0)),""))</x:f>
      </x:c>
      <x:c r="F358" t="str">
        <x:f>IF(F$1="","",IFERROR(INDEX('包络曲线数据'!$B$2:$U$742,ROW()-1,MATCH(F$1,'包络曲线数据'!$B$1:$U$1,0)),""))</x:f>
      </x:c>
      <x:c r="G358" t="str">
        <x:f>IF(G$1="","",IFERROR(INDEX('包络曲线数据'!$B$2:$U$742,ROW()-1,MATCH(G$1,'包络曲线数据'!$B$1:$U$1,0)),""))</x:f>
      </x:c>
    </x:row>
    <x:row r="359">
      <x:c r="A359" t="n">
        <x:v>35.7</x:v>
      </x:c>
      <x:c r="B359" t="n">
        <x:f>IF(B$1="","",IFERROR(INDEX('包络曲线数据'!$B$2:$U$742,ROW()-1,MATCH(B$1,'包络曲线数据'!$B$1:$U$1,0)),""))</x:f>
        <x:v>71.47923755233714</x:v>
      </x:c>
      <x:c r="C359" t="n">
        <x:f>IF(C$1="","",IFERROR(INDEX('包络曲线数据'!$B$2:$U$742,ROW()-1,MATCH(C$1,'包络曲线数据'!$B$1:$U$1,0)),""))</x:f>
        <x:v>66.56216675437325</x:v>
      </x:c>
      <x:c r="D359" t="n">
        <x:f>IF(D$1="","",IFERROR(INDEX('包络曲线数据'!$B$2:$U$742,ROW()-1,MATCH(D$1,'包络曲线数据'!$B$1:$U$1,0)),""))</x:f>
        <x:v>65.44913867404753</x:v>
      </x:c>
      <x:c r="E359" t="str">
        <x:f>IF(E$1="","",IFERROR(INDEX('包络曲线数据'!$B$2:$U$742,ROW()-1,MATCH(E$1,'包络曲线数据'!$B$1:$U$1,0)),""))</x:f>
      </x:c>
      <x:c r="F359" t="str">
        <x:f>IF(F$1="","",IFERROR(INDEX('包络曲线数据'!$B$2:$U$742,ROW()-1,MATCH(F$1,'包络曲线数据'!$B$1:$U$1,0)),""))</x:f>
      </x:c>
      <x:c r="G359" t="str">
        <x:f>IF(G$1="","",IFERROR(INDEX('包络曲线数据'!$B$2:$U$742,ROW()-1,MATCH(G$1,'包络曲线数据'!$B$1:$U$1,0)),""))</x:f>
      </x:c>
    </x:row>
    <x:row r="360">
      <x:c r="A360" t="n">
        <x:v>35.800000000000004</x:v>
      </x:c>
      <x:c r="B360" t="n">
        <x:f>IF(B$1="","",IFERROR(INDEX('包络曲线数据'!$B$2:$U$742,ROW()-1,MATCH(B$1,'包络曲线数据'!$B$1:$U$1,0)),""))</x:f>
        <x:v>71.47923755233714</x:v>
      </x:c>
      <x:c r="C360" t="n">
        <x:f>IF(C$1="","",IFERROR(INDEX('包络曲线数据'!$B$2:$U$742,ROW()-1,MATCH(C$1,'包络曲线数据'!$B$1:$U$1,0)),""))</x:f>
        <x:v>66.84016353348115</x:v>
      </x:c>
      <x:c r="D360" t="n">
        <x:f>IF(D$1="","",IFERROR(INDEX('包络曲线数据'!$B$2:$U$742,ROW()-1,MATCH(D$1,'包络曲线数据'!$B$1:$U$1,0)),""))</x:f>
        <x:v>65.44913867404753</x:v>
      </x:c>
      <x:c r="E360" t="str">
        <x:f>IF(E$1="","",IFERROR(INDEX('包络曲线数据'!$B$2:$U$742,ROW()-1,MATCH(E$1,'包络曲线数据'!$B$1:$U$1,0)),""))</x:f>
      </x:c>
      <x:c r="F360" t="str">
        <x:f>IF(F$1="","",IFERROR(INDEX('包络曲线数据'!$B$2:$U$742,ROW()-1,MATCH(F$1,'包络曲线数据'!$B$1:$U$1,0)),""))</x:f>
      </x:c>
      <x:c r="G360" t="str">
        <x:f>IF(G$1="","",IFERROR(INDEX('包络曲线数据'!$B$2:$U$742,ROW()-1,MATCH(G$1,'包络曲线数据'!$B$1:$U$1,0)),""))</x:f>
      </x:c>
    </x:row>
    <x:row r="361">
      <x:c r="A361" t="n">
        <x:v>35.9</x:v>
      </x:c>
      <x:c r="B361" t="n">
        <x:f>IF(B$1="","",IFERROR(INDEX('包络曲线数据'!$B$2:$U$742,ROW()-1,MATCH(B$1,'包络曲线数据'!$B$1:$U$1,0)),""))</x:f>
        <x:v>71.67263875035695</x:v>
      </x:c>
      <x:c r="C361" t="n">
        <x:f>IF(C$1="","",IFERROR(INDEX('包络曲线数据'!$B$2:$U$742,ROW()-1,MATCH(C$1,'包络曲线数据'!$B$1:$U$1,0)),""))</x:f>
        <x:v>67.14334890154566</x:v>
      </x:c>
      <x:c r="D361" t="n">
        <x:f>IF(D$1="","",IFERROR(INDEX('包络曲线数据'!$B$2:$U$742,ROW()-1,MATCH(D$1,'包络曲线数据'!$B$1:$U$1,0)),""))</x:f>
        <x:v>77.35667222210054</x:v>
      </x:c>
      <x:c r="E361" t="str">
        <x:f>IF(E$1="","",IFERROR(INDEX('包络曲线数据'!$B$2:$U$742,ROW()-1,MATCH(E$1,'包络曲线数据'!$B$1:$U$1,0)),""))</x:f>
      </x:c>
      <x:c r="F361" t="str">
        <x:f>IF(F$1="","",IFERROR(INDEX('包络曲线数据'!$B$2:$U$742,ROW()-1,MATCH(F$1,'包络曲线数据'!$B$1:$U$1,0)),""))</x:f>
      </x:c>
      <x:c r="G361" t="str">
        <x:f>IF(G$1="","",IFERROR(INDEX('包络曲线数据'!$B$2:$U$742,ROW()-1,MATCH(G$1,'包络曲线数据'!$B$1:$U$1,0)),""))</x:f>
      </x:c>
    </x:row>
    <x:row r="362">
      <x:c r="A362" t="n">
        <x:v>36</x:v>
      </x:c>
      <x:c r="B362" t="n">
        <x:f>IF(B$1="","",IFERROR(INDEX('包络曲线数据'!$B$2:$U$742,ROW()-1,MATCH(B$1,'包络曲线数据'!$B$1:$U$1,0)),""))</x:f>
        <x:v>71.67263875035695</x:v>
      </x:c>
      <x:c r="C362" t="n">
        <x:f>IF(C$1="","",IFERROR(INDEX('包络曲线数据'!$B$2:$U$742,ROW()-1,MATCH(C$1,'包络曲线数据'!$B$1:$U$1,0)),""))</x:f>
        <x:v>66.171290484119</x:v>
      </x:c>
      <x:c r="D362" t="n">
        <x:f>IF(D$1="","",IFERROR(INDEX('包络曲线数据'!$B$2:$U$742,ROW()-1,MATCH(D$1,'包络曲线数据'!$B$1:$U$1,0)),""))</x:f>
        <x:v>78.70789861165022</x:v>
      </x:c>
      <x:c r="E362" t="str">
        <x:f>IF(E$1="","",IFERROR(INDEX('包络曲线数据'!$B$2:$U$742,ROW()-1,MATCH(E$1,'包络曲线数据'!$B$1:$U$1,0)),""))</x:f>
      </x:c>
      <x:c r="F362" t="str">
        <x:f>IF(F$1="","",IFERROR(INDEX('包络曲线数据'!$B$2:$U$742,ROW()-1,MATCH(F$1,'包络曲线数据'!$B$1:$U$1,0)),""))</x:f>
      </x:c>
      <x:c r="G362" t="str">
        <x:f>IF(G$1="","",IFERROR(INDEX('包络曲线数据'!$B$2:$U$742,ROW()-1,MATCH(G$1,'包络曲线数据'!$B$1:$U$1,0)),""))</x:f>
      </x:c>
    </x:row>
    <x:row r="363">
      <x:c r="A363" t="n">
        <x:v>36.1</x:v>
      </x:c>
      <x:c r="B363" t="n">
        <x:f>IF(B$1="","",IFERROR(INDEX('包络曲线数据'!$B$2:$U$742,ROW()-1,MATCH(B$1,'包络曲线数据'!$B$1:$U$1,0)),""))</x:f>
        <x:v>70.65039677692091</x:v>
      </x:c>
      <x:c r="C363" t="n">
        <x:f>IF(C$1="","",IFERROR(INDEX('包络曲线数据'!$B$2:$U$742,ROW()-1,MATCH(C$1,'包络曲线数据'!$B$1:$U$1,0)),""))</x:f>
        <x:v>66.71580820031417</x:v>
      </x:c>
      <x:c r="D363" t="n">
        <x:f>IF(D$1="","",IFERROR(INDEX('包络曲线数据'!$B$2:$U$742,ROW()-1,MATCH(D$1,'包络曲线数据'!$B$1:$U$1,0)),""))</x:f>
        <x:v>78.70789861165022</x:v>
      </x:c>
      <x:c r="E363" t="str">
        <x:f>IF(E$1="","",IFERROR(INDEX('包络曲线数据'!$B$2:$U$742,ROW()-1,MATCH(E$1,'包络曲线数据'!$B$1:$U$1,0)),""))</x:f>
      </x:c>
      <x:c r="F363" t="str">
        <x:f>IF(F$1="","",IFERROR(INDEX('包络曲线数据'!$B$2:$U$742,ROW()-1,MATCH(F$1,'包络曲线数据'!$B$1:$U$1,0)),""))</x:f>
      </x:c>
      <x:c r="G363" t="str">
        <x:f>IF(G$1="","",IFERROR(INDEX('包络曲线数据'!$B$2:$U$742,ROW()-1,MATCH(G$1,'包络曲线数据'!$B$1:$U$1,0)),""))</x:f>
      </x:c>
    </x:row>
    <x:row r="364">
      <x:c r="A364" t="n">
        <x:v>36.2</x:v>
      </x:c>
      <x:c r="B364" t="n">
        <x:f>IF(B$1="","",IFERROR(INDEX('包络曲线数据'!$B$2:$U$742,ROW()-1,MATCH(B$1,'包络曲线数据'!$B$1:$U$1,0)),""))</x:f>
        <x:v>76.31752974179534</x:v>
      </x:c>
      <x:c r="C364" t="n">
        <x:f>IF(C$1="","",IFERROR(INDEX('包络曲线数据'!$B$2:$U$742,ROW()-1,MATCH(C$1,'包络曲线数据'!$B$1:$U$1,0)),""))</x:f>
        <x:v>67.07762634270671</x:v>
      </x:c>
      <x:c r="D364" t="n">
        <x:f>IF(D$1="","",IFERROR(INDEX('包络曲线数据'!$B$2:$U$742,ROW()-1,MATCH(D$1,'包络曲线数据'!$B$1:$U$1,0)),""))</x:f>
        <x:v>69.21794824611437</x:v>
      </x:c>
      <x:c r="E364" t="str">
        <x:f>IF(E$1="","",IFERROR(INDEX('包络曲线数据'!$B$2:$U$742,ROW()-1,MATCH(E$1,'包络曲线数据'!$B$1:$U$1,0)),""))</x:f>
      </x:c>
      <x:c r="F364" t="str">
        <x:f>IF(F$1="","",IFERROR(INDEX('包络曲线数据'!$B$2:$U$742,ROW()-1,MATCH(F$1,'包络曲线数据'!$B$1:$U$1,0)),""))</x:f>
      </x:c>
      <x:c r="G364" t="str">
        <x:f>IF(G$1="","",IFERROR(INDEX('包络曲线数据'!$B$2:$U$742,ROW()-1,MATCH(G$1,'包络曲线数据'!$B$1:$U$1,0)),""))</x:f>
      </x:c>
    </x:row>
    <x:row r="365">
      <x:c r="A365" t="n">
        <x:v>36.300000000000004</x:v>
      </x:c>
      <x:c r="B365" t="n">
        <x:f>IF(B$1="","",IFERROR(INDEX('包络曲线数据'!$B$2:$U$742,ROW()-1,MATCH(B$1,'包络曲线数据'!$B$1:$U$1,0)),""))</x:f>
        <x:v>76.31752974179534</x:v>
      </x:c>
      <x:c r="C365" t="n">
        <x:f>IF(C$1="","",IFERROR(INDEX('包络曲线数据'!$B$2:$U$742,ROW()-1,MATCH(C$1,'包络曲线数据'!$B$1:$U$1,0)),""))</x:f>
        <x:v>67.32260262305682</x:v>
      </x:c>
      <x:c r="D365" t="n">
        <x:f>IF(D$1="","",IFERROR(INDEX('包络曲线数据'!$B$2:$U$742,ROW()-1,MATCH(D$1,'包络曲线数据'!$B$1:$U$1,0)),""))</x:f>
        <x:v>60.29781294525847</x:v>
      </x:c>
      <x:c r="E365" t="str">
        <x:f>IF(E$1="","",IFERROR(INDEX('包络曲线数据'!$B$2:$U$742,ROW()-1,MATCH(E$1,'包络曲线数据'!$B$1:$U$1,0)),""))</x:f>
      </x:c>
      <x:c r="F365" t="str">
        <x:f>IF(F$1="","",IFERROR(INDEX('包络曲线数据'!$B$2:$U$742,ROW()-1,MATCH(F$1,'包络曲线数据'!$B$1:$U$1,0)),""))</x:f>
      </x:c>
      <x:c r="G365" t="str">
        <x:f>IF(G$1="","",IFERROR(INDEX('包络曲线数据'!$B$2:$U$742,ROW()-1,MATCH(G$1,'包络曲线数据'!$B$1:$U$1,0)),""))</x:f>
      </x:c>
    </x:row>
    <x:row r="366">
      <x:c r="A366" t="n">
        <x:v>36.4</x:v>
      </x:c>
      <x:c r="B366" t="n">
        <x:f>IF(B$1="","",IFERROR(INDEX('包络曲线数据'!$B$2:$U$742,ROW()-1,MATCH(B$1,'包络曲线数据'!$B$1:$U$1,0)),""))</x:f>
        <x:v>68.30042870341808</x:v>
      </x:c>
      <x:c r="C366" t="n">
        <x:f>IF(C$1="","",IFERROR(INDEX('包络曲线数据'!$B$2:$U$742,ROW()-1,MATCH(C$1,'包络曲线数据'!$B$1:$U$1,0)),""))</x:f>
        <x:v>67.09746662205016</x:v>
      </x:c>
      <x:c r="D366" t="n">
        <x:f>IF(D$1="","",IFERROR(INDEX('包络曲线数据'!$B$2:$U$742,ROW()-1,MATCH(D$1,'包络曲线数据'!$B$1:$U$1,0)),""))</x:f>
        <x:v>60.29781294525847</x:v>
      </x:c>
      <x:c r="E366" t="str">
        <x:f>IF(E$1="","",IFERROR(INDEX('包络曲线数据'!$B$2:$U$742,ROW()-1,MATCH(E$1,'包络曲线数据'!$B$1:$U$1,0)),""))</x:f>
      </x:c>
      <x:c r="F366" t="str">
        <x:f>IF(F$1="","",IFERROR(INDEX('包络曲线数据'!$B$2:$U$742,ROW()-1,MATCH(F$1,'包络曲线数据'!$B$1:$U$1,0)),""))</x:f>
      </x:c>
      <x:c r="G366" t="str">
        <x:f>IF(G$1="","",IFERROR(INDEX('包络曲线数据'!$B$2:$U$742,ROW()-1,MATCH(G$1,'包络曲线数据'!$B$1:$U$1,0)),""))</x:f>
      </x:c>
    </x:row>
    <x:row r="367">
      <x:c r="A367" t="n">
        <x:v>36.5</x:v>
      </x:c>
      <x:c r="B367" t="n">
        <x:f>IF(B$1="","",IFERROR(INDEX('包络曲线数据'!$B$2:$U$742,ROW()-1,MATCH(B$1,'包络曲线数据'!$B$1:$U$1,0)),""))</x:f>
        <x:v>63.07889428381363</x:v>
      </x:c>
      <x:c r="C367" t="n">
        <x:f>IF(C$1="","",IFERROR(INDEX('包络曲线数据'!$B$2:$U$742,ROW()-1,MATCH(C$1,'包络曲线数据'!$B$1:$U$1,0)),""))</x:f>
        <x:v>67.46590190319762</x:v>
      </x:c>
      <x:c r="D367" t="n">
        <x:f>IF(D$1="","",IFERROR(INDEX('包络曲线数据'!$B$2:$U$742,ROW()-1,MATCH(D$1,'包络曲线数据'!$B$1:$U$1,0)),""))</x:f>
        <x:v>62.32723991792956</x:v>
      </x:c>
      <x:c r="E367" t="str">
        <x:f>IF(E$1="","",IFERROR(INDEX('包络曲线数据'!$B$2:$U$742,ROW()-1,MATCH(E$1,'包络曲线数据'!$B$1:$U$1,0)),""))</x:f>
      </x:c>
      <x:c r="F367" t="str">
        <x:f>IF(F$1="","",IFERROR(INDEX('包络曲线数据'!$B$2:$U$742,ROW()-1,MATCH(F$1,'包络曲线数据'!$B$1:$U$1,0)),""))</x:f>
      </x:c>
      <x:c r="G367" t="str">
        <x:f>IF(G$1="","",IFERROR(INDEX('包络曲线数据'!$B$2:$U$742,ROW()-1,MATCH(G$1,'包络曲线数据'!$B$1:$U$1,0)),""))</x:f>
      </x:c>
    </x:row>
    <x:row r="368">
      <x:c r="A368" t="n">
        <x:v>36.6</x:v>
      </x:c>
      <x:c r="B368" t="n">
        <x:f>IF(B$1="","",IFERROR(INDEX('包络曲线数据'!$B$2:$U$742,ROW()-1,MATCH(B$1,'包络曲线数据'!$B$1:$U$1,0)),""))</x:f>
        <x:v>64.9695867035999</x:v>
      </x:c>
      <x:c r="C368" t="n">
        <x:f>IF(C$1="","",IFERROR(INDEX('包络曲线数据'!$B$2:$U$742,ROW()-1,MATCH(C$1,'包络曲线数据'!$B$1:$U$1,0)),""))</x:f>
        <x:v>67.87610074274173</x:v>
      </x:c>
      <x:c r="D368" t="n">
        <x:f>IF(D$1="","",IFERROR(INDEX('包络曲线数据'!$B$2:$U$742,ROW()-1,MATCH(D$1,'包络曲线数据'!$B$1:$U$1,0)),""))</x:f>
        <x:v>62.32723991792956</x:v>
      </x:c>
      <x:c r="E368" t="str">
        <x:f>IF(E$1="","",IFERROR(INDEX('包络曲线数据'!$B$2:$U$742,ROW()-1,MATCH(E$1,'包络曲线数据'!$B$1:$U$1,0)),""))</x:f>
      </x:c>
      <x:c r="F368" t="str">
        <x:f>IF(F$1="","",IFERROR(INDEX('包络曲线数据'!$B$2:$U$742,ROW()-1,MATCH(F$1,'包络曲线数据'!$B$1:$U$1,0)),""))</x:f>
      </x:c>
      <x:c r="G368" t="str">
        <x:f>IF(G$1="","",IFERROR(INDEX('包络曲线数据'!$B$2:$U$742,ROW()-1,MATCH(G$1,'包络曲线数据'!$B$1:$U$1,0)),""))</x:f>
      </x:c>
    </x:row>
    <x:row r="369">
      <x:c r="A369" t="n">
        <x:v>36.7</x:v>
      </x:c>
      <x:c r="B369" t="n">
        <x:f>IF(B$1="","",IFERROR(INDEX('包络曲线数据'!$B$2:$U$742,ROW()-1,MATCH(B$1,'包络曲线数据'!$B$1:$U$1,0)),""))</x:f>
        <x:v>64.9695867035999</x:v>
      </x:c>
      <x:c r="C369" t="n">
        <x:f>IF(C$1="","",IFERROR(INDEX('包络曲线数据'!$B$2:$U$742,ROW()-1,MATCH(C$1,'包络曲线数据'!$B$1:$U$1,0)),""))</x:f>
        <x:v>68.64620576769639</x:v>
      </x:c>
      <x:c r="D369" t="n">
        <x:f>IF(D$1="","",IFERROR(INDEX('包络曲线数据'!$B$2:$U$742,ROW()-1,MATCH(D$1,'包络曲线数据'!$B$1:$U$1,0)),""))</x:f>
        <x:v>60.33613580724784</x:v>
      </x:c>
      <x:c r="E369" t="str">
        <x:f>IF(E$1="","",IFERROR(INDEX('包络曲线数据'!$B$2:$U$742,ROW()-1,MATCH(E$1,'包络曲线数据'!$B$1:$U$1,0)),""))</x:f>
      </x:c>
      <x:c r="F369" t="str">
        <x:f>IF(F$1="","",IFERROR(INDEX('包络曲线数据'!$B$2:$U$742,ROW()-1,MATCH(F$1,'包络曲线数据'!$B$1:$U$1,0)),""))</x:f>
      </x:c>
      <x:c r="G369" t="str">
        <x:f>IF(G$1="","",IFERROR(INDEX('包络曲线数据'!$B$2:$U$742,ROW()-1,MATCH(G$1,'包络曲线数据'!$B$1:$U$1,0)),""))</x:f>
      </x:c>
    </x:row>
    <x:row r="370">
      <x:c r="A370" t="n">
        <x:v>36.800000000000004</x:v>
      </x:c>
      <x:c r="B370" t="n">
        <x:f>IF(B$1="","",IFERROR(INDEX('包络曲线数据'!$B$2:$U$742,ROW()-1,MATCH(B$1,'包络曲线数据'!$B$1:$U$1,0)),""))</x:f>
        <x:v>51.595284178115094</x:v>
      </x:c>
      <x:c r="C370" t="n">
        <x:f>IF(C$1="","",IFERROR(INDEX('包络曲线数据'!$B$2:$U$742,ROW()-1,MATCH(C$1,'包络曲线数据'!$B$1:$U$1,0)),""))</x:f>
        <x:v>68.64620576769639</x:v>
      </x:c>
      <x:c r="D370" t="n">
        <x:f>IF(D$1="","",IFERROR(INDEX('包络曲线数据'!$B$2:$U$742,ROW()-1,MATCH(D$1,'包络曲线数据'!$B$1:$U$1,0)),""))</x:f>
        <x:v>60.17122072799297</x:v>
      </x:c>
      <x:c r="E370" t="str">
        <x:f>IF(E$1="","",IFERROR(INDEX('包络曲线数据'!$B$2:$U$742,ROW()-1,MATCH(E$1,'包络曲线数据'!$B$1:$U$1,0)),""))</x:f>
      </x:c>
      <x:c r="F370" t="str">
        <x:f>IF(F$1="","",IFERROR(INDEX('包络曲线数据'!$B$2:$U$742,ROW()-1,MATCH(F$1,'包络曲线数据'!$B$1:$U$1,0)),""))</x:f>
      </x:c>
      <x:c r="G370" t="str">
        <x:f>IF(G$1="","",IFERROR(INDEX('包络曲线数据'!$B$2:$U$742,ROW()-1,MATCH(G$1,'包络曲线数据'!$B$1:$U$1,0)),""))</x:f>
      </x:c>
    </x:row>
    <x:row r="371">
      <x:c r="A371" t="n">
        <x:v>36.9</x:v>
      </x:c>
      <x:c r="B371" t="n">
        <x:f>IF(B$1="","",IFERROR(INDEX('包络曲线数据'!$B$2:$U$742,ROW()-1,MATCH(B$1,'包络曲线数据'!$B$1:$U$1,0)),""))</x:f>
        <x:v>55.239169969735734</x:v>
      </x:c>
      <x:c r="C371" t="n">
        <x:f>IF(C$1="","",IFERROR(INDEX('包络曲线数据'!$B$2:$U$742,ROW()-1,MATCH(C$1,'包络曲线数据'!$B$1:$U$1,0)),""))</x:f>
        <x:v>66.7057451264856</x:v>
      </x:c>
      <x:c r="D371" t="n">
        <x:f>IF(D$1="","",IFERROR(INDEX('包络曲线数据'!$B$2:$U$742,ROW()-1,MATCH(D$1,'包络曲线数据'!$B$1:$U$1,0)),""))</x:f>
        <x:v>67.13987726265128</x:v>
      </x:c>
      <x:c r="E371" t="str">
        <x:f>IF(E$1="","",IFERROR(INDEX('包络曲线数据'!$B$2:$U$742,ROW()-1,MATCH(E$1,'包络曲线数据'!$B$1:$U$1,0)),""))</x:f>
      </x:c>
      <x:c r="F371" t="str">
        <x:f>IF(F$1="","",IFERROR(INDEX('包络曲线数据'!$B$2:$U$742,ROW()-1,MATCH(F$1,'包络曲线数据'!$B$1:$U$1,0)),""))</x:f>
      </x:c>
      <x:c r="G371" t="str">
        <x:f>IF(G$1="","",IFERROR(INDEX('包络曲线数据'!$B$2:$U$742,ROW()-1,MATCH(G$1,'包络曲线数据'!$B$1:$U$1,0)),""))</x:f>
      </x:c>
    </x:row>
    <x:row r="372">
      <x:c r="A372" t="n">
        <x:v>37</x:v>
      </x:c>
      <x:c r="B372" t="n">
        <x:f>IF(B$1="","",IFERROR(INDEX('包络曲线数据'!$B$2:$U$742,ROW()-1,MATCH(B$1,'包络曲线数据'!$B$1:$U$1,0)),""))</x:f>
        <x:v>64.34888444878766</x:v>
      </x:c>
      <x:c r="C372" t="n">
        <x:f>IF(C$1="","",IFERROR(INDEX('包络曲线数据'!$B$2:$U$742,ROW()-1,MATCH(C$1,'包络曲线数据'!$B$1:$U$1,0)),""))</x:f>
        <x:v>63.163320507767125</x:v>
      </x:c>
      <x:c r="D372" t="n">
        <x:f>IF(D$1="","",IFERROR(INDEX('包络曲线数据'!$B$2:$U$742,ROW()-1,MATCH(D$1,'包络曲线数据'!$B$1:$U$1,0)),""))</x:f>
        <x:v>76.87767700212359</x:v>
      </x:c>
      <x:c r="E372" t="str">
        <x:f>IF(E$1="","",IFERROR(INDEX('包络曲线数据'!$B$2:$U$742,ROW()-1,MATCH(E$1,'包络曲线数据'!$B$1:$U$1,0)),""))</x:f>
      </x:c>
      <x:c r="F372" t="str">
        <x:f>IF(F$1="","",IFERROR(INDEX('包络曲线数据'!$B$2:$U$742,ROW()-1,MATCH(F$1,'包络曲线数据'!$B$1:$U$1,0)),""))</x:f>
      </x:c>
      <x:c r="G372" t="str">
        <x:f>IF(G$1="","",IFERROR(INDEX('包络曲线数据'!$B$2:$U$742,ROW()-1,MATCH(G$1,'包络曲线数据'!$B$1:$U$1,0)),""))</x:f>
      </x:c>
    </x:row>
    <x:row r="373">
      <x:c r="A373" t="n">
        <x:v>37.1</x:v>
      </x:c>
      <x:c r="B373" t="n">
        <x:f>IF(B$1="","",IFERROR(INDEX('包络曲线数据'!$B$2:$U$742,ROW()-1,MATCH(B$1,'包络曲线数据'!$B$1:$U$1,0)),""))</x:f>
        <x:v>64.34888444878766</x:v>
      </x:c>
      <x:c r="C373" t="n">
        <x:f>IF(C$1="","",IFERROR(INDEX('包络曲线数据'!$B$2:$U$742,ROW()-1,MATCH(C$1,'包络曲线数据'!$B$1:$U$1,0)),""))</x:f>
        <x:v>79.40142898811389</x:v>
      </x:c>
      <x:c r="D373" t="n">
        <x:f>IF(D$1="","",IFERROR(INDEX('包络曲线数据'!$B$2:$U$742,ROW()-1,MATCH(D$1,'包络曲线数据'!$B$1:$U$1,0)),""))</x:f>
        <x:v>78.0250178938513</x:v>
      </x:c>
      <x:c r="E373" t="str">
        <x:f>IF(E$1="","",IFERROR(INDEX('包络曲线数据'!$B$2:$U$742,ROW()-1,MATCH(E$1,'包络曲线数据'!$B$1:$U$1,0)),""))</x:f>
      </x:c>
      <x:c r="F373" t="str">
        <x:f>IF(F$1="","",IFERROR(INDEX('包络曲线数据'!$B$2:$U$742,ROW()-1,MATCH(F$1,'包络曲线数据'!$B$1:$U$1,0)),""))</x:f>
      </x:c>
      <x:c r="G373" t="str">
        <x:f>IF(G$1="","",IFERROR(INDEX('包络曲线数据'!$B$2:$U$742,ROW()-1,MATCH(G$1,'包络曲线数据'!$B$1:$U$1,0)),""))</x:f>
      </x:c>
    </x:row>
    <x:row r="374">
      <x:c r="A374" t="n">
        <x:v>37.2</x:v>
      </x:c>
      <x:c r="B374" t="n">
        <x:f>IF(B$1="","",IFERROR(INDEX('包络曲线数据'!$B$2:$U$742,ROW()-1,MATCH(B$1,'包络曲线数据'!$B$1:$U$1,0)),""))</x:f>
        <x:v>62.262584592162334</x:v>
      </x:c>
      <x:c r="C374" t="n">
        <x:f>IF(C$1="","",IFERROR(INDEX('包络曲线数据'!$B$2:$U$742,ROW()-1,MATCH(C$1,'包络曲线数据'!$B$1:$U$1,0)),""))</x:f>
        <x:v>80.72663576189068</x:v>
      </x:c>
      <x:c r="D374" t="n">
        <x:f>IF(D$1="","",IFERROR(INDEX('包络曲线数据'!$B$2:$U$742,ROW()-1,MATCH(D$1,'包络曲线数据'!$B$1:$U$1,0)),""))</x:f>
        <x:v>77.45362027562355</x:v>
      </x:c>
      <x:c r="E374" t="str">
        <x:f>IF(E$1="","",IFERROR(INDEX('包络曲线数据'!$B$2:$U$742,ROW()-1,MATCH(E$1,'包络曲线数据'!$B$1:$U$1,0)),""))</x:f>
      </x:c>
      <x:c r="F374" t="str">
        <x:f>IF(F$1="","",IFERROR(INDEX('包络曲线数据'!$B$2:$U$742,ROW()-1,MATCH(F$1,'包络曲线数据'!$B$1:$U$1,0)),""))</x:f>
      </x:c>
      <x:c r="G374" t="str">
        <x:f>IF(G$1="","",IFERROR(INDEX('包络曲线数据'!$B$2:$U$742,ROW()-1,MATCH(G$1,'包络曲线数据'!$B$1:$U$1,0)),""))</x:f>
      </x:c>
    </x:row>
    <x:row r="375">
      <x:c r="A375" t="n">
        <x:v>37.300000000000004</x:v>
      </x:c>
      <x:c r="B375" t="n">
        <x:f>IF(B$1="","",IFERROR(INDEX('包络曲线数据'!$B$2:$U$742,ROW()-1,MATCH(B$1,'包络曲线数据'!$B$1:$U$1,0)),""))</x:f>
        <x:v>51.595284178115094</x:v>
      </x:c>
      <x:c r="C375" t="n">
        <x:f>IF(C$1="","",IFERROR(INDEX('包络曲线数据'!$B$2:$U$742,ROW()-1,MATCH(C$1,'包络曲线数据'!$B$1:$U$1,0)),""))</x:f>
        <x:v>80.72663576188975</x:v>
      </x:c>
      <x:c r="D375" t="n">
        <x:f>IF(D$1="","",IFERROR(INDEX('包络曲线数据'!$B$2:$U$742,ROW()-1,MATCH(D$1,'包络曲线数据'!$B$1:$U$1,0)),""))</x:f>
        <x:v>69.29039861205929</x:v>
      </x:c>
      <x:c r="E375" t="str">
        <x:f>IF(E$1="","",IFERROR(INDEX('包络曲线数据'!$B$2:$U$742,ROW()-1,MATCH(E$1,'包络曲线数据'!$B$1:$U$1,0)),""))</x:f>
      </x:c>
      <x:c r="F375" t="str">
        <x:f>IF(F$1="","",IFERROR(INDEX('包络曲线数据'!$B$2:$U$742,ROW()-1,MATCH(F$1,'包络曲线数据'!$B$1:$U$1,0)),""))</x:f>
      </x:c>
      <x:c r="G375" t="str">
        <x:f>IF(G$1="","",IFERROR(INDEX('包络曲线数据'!$B$2:$U$742,ROW()-1,MATCH(G$1,'包络曲线数据'!$B$1:$U$1,0)),""))</x:f>
      </x:c>
    </x:row>
    <x:row r="376">
      <x:c r="A376" t="n">
        <x:v>37.4</x:v>
      </x:c>
      <x:c r="B376" t="n">
        <x:f>IF(B$1="","",IFERROR(INDEX('包络曲线数据'!$B$2:$U$742,ROW()-1,MATCH(B$1,'包络曲线数据'!$B$1:$U$1,0)),""))</x:f>
        <x:v>76.17908768021655</x:v>
      </x:c>
      <x:c r="C376" t="n">
        <x:f>IF(C$1="","",IFERROR(INDEX('包络曲线数据'!$B$2:$U$742,ROW()-1,MATCH(C$1,'包络曲线数据'!$B$1:$U$1,0)),""))</x:f>
        <x:v>70.11421682098113</x:v>
      </x:c>
      <x:c r="D376" t="n">
        <x:f>IF(D$1="","",IFERROR(INDEX('包络曲线数据'!$B$2:$U$742,ROW()-1,MATCH(D$1,'包络曲线数据'!$B$1:$U$1,0)),""))</x:f>
        <x:v>66.39241683648311</x:v>
      </x:c>
      <x:c r="E376" t="str">
        <x:f>IF(E$1="","",IFERROR(INDEX('包络曲线数据'!$B$2:$U$742,ROW()-1,MATCH(E$1,'包络曲线数据'!$B$1:$U$1,0)),""))</x:f>
      </x:c>
      <x:c r="F376" t="str">
        <x:f>IF(F$1="","",IFERROR(INDEX('包络曲线数据'!$B$2:$U$742,ROW()-1,MATCH(F$1,'包络曲线数据'!$B$1:$U$1,0)),""))</x:f>
      </x:c>
      <x:c r="G376" t="str">
        <x:f>IF(G$1="","",IFERROR(INDEX('包络曲线数据'!$B$2:$U$742,ROW()-1,MATCH(G$1,'包络曲线数据'!$B$1:$U$1,0)),""))</x:f>
      </x:c>
    </x:row>
    <x:row r="377">
      <x:c r="A377" t="n">
        <x:v>37.5</x:v>
      </x:c>
      <x:c r="B377" t="n">
        <x:f>IF(B$1="","",IFERROR(INDEX('包络曲线数据'!$B$2:$U$742,ROW()-1,MATCH(B$1,'包络曲线数据'!$B$1:$U$1,0)),""))</x:f>
        <x:v>77.46032186432353</x:v>
      </x:c>
      <x:c r="C377" t="n">
        <x:f>IF(C$1="","",IFERROR(INDEX('包络曲线数据'!$B$2:$U$742,ROW()-1,MATCH(C$1,'包络曲线数据'!$B$1:$U$1,0)),""))</x:f>
        <x:v>59.870135373438146</x:v>
      </x:c>
      <x:c r="D377" t="n">
        <x:f>IF(D$1="","",IFERROR(INDEX('包络曲线数据'!$B$2:$U$742,ROW()-1,MATCH(D$1,'包络曲线数据'!$B$1:$U$1,0)),""))</x:f>
        <x:v>65.59113648643564</x:v>
      </x:c>
      <x:c r="E377" t="str">
        <x:f>IF(E$1="","",IFERROR(INDEX('包络曲线数据'!$B$2:$U$742,ROW()-1,MATCH(E$1,'包络曲线数据'!$B$1:$U$1,0)),""))</x:f>
      </x:c>
      <x:c r="F377" t="str">
        <x:f>IF(F$1="","",IFERROR(INDEX('包络曲线数据'!$B$2:$U$742,ROW()-1,MATCH(F$1,'包络曲线数据'!$B$1:$U$1,0)),""))</x:f>
      </x:c>
      <x:c r="G377" t="str">
        <x:f>IF(G$1="","",IFERROR(INDEX('包络曲线数据'!$B$2:$U$742,ROW()-1,MATCH(G$1,'包络曲线数据'!$B$1:$U$1,0)),""))</x:f>
      </x:c>
    </x:row>
    <x:row r="378">
      <x:c r="A378" t="n">
        <x:v>37.6</x:v>
      </x:c>
      <x:c r="B378" t="n">
        <x:f>IF(B$1="","",IFERROR(INDEX('包络曲线数据'!$B$2:$U$742,ROW()-1,MATCH(B$1,'包络曲线数据'!$B$1:$U$1,0)),""))</x:f>
        <x:v>77.04177614775162</x:v>
      </x:c>
      <x:c r="C378" t="n">
        <x:f>IF(C$1="","",IFERROR(INDEX('包络曲线数据'!$B$2:$U$742,ROW()-1,MATCH(C$1,'包络曲线数据'!$B$1:$U$1,0)),""))</x:f>
        <x:v>56.319752738385404</x:v>
      </x:c>
      <x:c r="D378" t="n">
        <x:f>IF(D$1="","",IFERROR(INDEX('包络曲线数据'!$B$2:$U$742,ROW()-1,MATCH(D$1,'包络曲线数据'!$B$1:$U$1,0)),""))</x:f>
        <x:v>64.99808739976439</x:v>
      </x:c>
      <x:c r="E378" t="str">
        <x:f>IF(E$1="","",IFERROR(INDEX('包络曲线数据'!$B$2:$U$742,ROW()-1,MATCH(E$1,'包络曲线数据'!$B$1:$U$1,0)),""))</x:f>
      </x:c>
      <x:c r="F378" t="str">
        <x:f>IF(F$1="","",IFERROR(INDEX('包络曲线数据'!$B$2:$U$742,ROW()-1,MATCH(F$1,'包络曲线数据'!$B$1:$U$1,0)),""))</x:f>
      </x:c>
      <x:c r="G378" t="str">
        <x:f>IF(G$1="","",IFERROR(INDEX('包络曲线数据'!$B$2:$U$742,ROW()-1,MATCH(G$1,'包络曲线数据'!$B$1:$U$1,0)),""))</x:f>
      </x:c>
    </x:row>
    <x:row r="379">
      <x:c r="A379" t="n">
        <x:v>37.7</x:v>
      </x:c>
      <x:c r="B379" t="n">
        <x:f>IF(B$1="","",IFERROR(INDEX('包络曲线数据'!$B$2:$U$742,ROW()-1,MATCH(B$1,'包络曲线数据'!$B$1:$U$1,0)),""))</x:f>
        <x:v>71.83060520745337</x:v>
      </x:c>
      <x:c r="C379" t="n">
        <x:f>IF(C$1="","",IFERROR(INDEX('包络曲线数据'!$B$2:$U$742,ROW()-1,MATCH(C$1,'包络曲线数据'!$B$1:$U$1,0)),""))</x:f>
        <x:v>52.39175843351897</x:v>
      </x:c>
      <x:c r="D379" t="n">
        <x:f>IF(D$1="","",IFERROR(INDEX('包络曲线数据'!$B$2:$U$742,ROW()-1,MATCH(D$1,'包络曲线数据'!$B$1:$U$1,0)),""))</x:f>
        <x:v>62.78525910123781</x:v>
      </x:c>
      <x:c r="E379" t="str">
        <x:f>IF(E$1="","",IFERROR(INDEX('包络曲线数据'!$B$2:$U$742,ROW()-1,MATCH(E$1,'包络曲线数据'!$B$1:$U$1,0)),""))</x:f>
      </x:c>
      <x:c r="F379" t="str">
        <x:f>IF(F$1="","",IFERROR(INDEX('包络曲线数据'!$B$2:$U$742,ROW()-1,MATCH(F$1,'包络曲线数据'!$B$1:$U$1,0)),""))</x:f>
      </x:c>
      <x:c r="G379" t="str">
        <x:f>IF(G$1="","",IFERROR(INDEX('包络曲线数据'!$B$2:$U$742,ROW()-1,MATCH(G$1,'包络曲线数据'!$B$1:$U$1,0)),""))</x:f>
      </x:c>
    </x:row>
    <x:row r="380">
      <x:c r="A380" t="n">
        <x:v>37.800000000000004</x:v>
      </x:c>
      <x:c r="B380" t="n">
        <x:f>IF(B$1="","",IFERROR(INDEX('包络曲线数据'!$B$2:$U$742,ROW()-1,MATCH(B$1,'包络曲线数据'!$B$1:$U$1,0)),""))</x:f>
        <x:v>64.72825071642393</x:v>
      </x:c>
      <x:c r="C380" t="n">
        <x:f>IF(C$1="","",IFERROR(INDEX('包络曲线数据'!$B$2:$U$742,ROW()-1,MATCH(C$1,'包络曲线数据'!$B$1:$U$1,0)),""))</x:f>
        <x:v>52.39175843351897</x:v>
      </x:c>
      <x:c r="D380" t="n">
        <x:f>IF(D$1="","",IFERROR(INDEX('包络曲线数据'!$B$2:$U$742,ROW()-1,MATCH(D$1,'包络曲线数据'!$B$1:$U$1,0)),""))</x:f>
        <x:v>62.78525910123781</x:v>
      </x:c>
      <x:c r="E380" t="str">
        <x:f>IF(E$1="","",IFERROR(INDEX('包络曲线数据'!$B$2:$U$742,ROW()-1,MATCH(E$1,'包络曲线数据'!$B$1:$U$1,0)),""))</x:f>
      </x:c>
      <x:c r="F380" t="str">
        <x:f>IF(F$1="","",IFERROR(INDEX('包络曲线数据'!$B$2:$U$742,ROW()-1,MATCH(F$1,'包络曲线数据'!$B$1:$U$1,0)),""))</x:f>
      </x:c>
      <x:c r="G380" t="str">
        <x:f>IF(G$1="","",IFERROR(INDEX('包络曲线数据'!$B$2:$U$742,ROW()-1,MATCH(G$1,'包络曲线数据'!$B$1:$U$1,0)),""))</x:f>
      </x:c>
    </x:row>
    <x:row r="381">
      <x:c r="A381" t="n">
        <x:v>37.9</x:v>
      </x:c>
      <x:c r="B381" t="n">
        <x:f>IF(B$1="","",IFERROR(INDEX('包络曲线数据'!$B$2:$U$742,ROW()-1,MATCH(B$1,'包络曲线数据'!$B$1:$U$1,0)),""))</x:f>
        <x:v>67.53650193928735</x:v>
      </x:c>
      <x:c r="C381" t="n">
        <x:f>IF(C$1="","",IFERROR(INDEX('包络曲线数据'!$B$2:$U$742,ROW()-1,MATCH(C$1,'包络曲线数据'!$B$1:$U$1,0)),""))</x:f>
        <x:v>56.11395731497595</x:v>
      </x:c>
      <x:c r="D381" t="n">
        <x:f>IF(D$1="","",IFERROR(INDEX('包络曲线数据'!$B$2:$U$742,ROW()-1,MATCH(D$1,'包络曲线数据'!$B$1:$U$1,0)),""))</x:f>
        <x:v>63.97180292143323</x:v>
      </x:c>
      <x:c r="E381" t="str">
        <x:f>IF(E$1="","",IFERROR(INDEX('包络曲线数据'!$B$2:$U$742,ROW()-1,MATCH(E$1,'包络曲线数据'!$B$1:$U$1,0)),""))</x:f>
      </x:c>
      <x:c r="F381" t="str">
        <x:f>IF(F$1="","",IFERROR(INDEX('包络曲线数据'!$B$2:$U$742,ROW()-1,MATCH(F$1,'包络曲线数据'!$B$1:$U$1,0)),""))</x:f>
      </x:c>
      <x:c r="G381" t="str">
        <x:f>IF(G$1="","",IFERROR(INDEX('包络曲线数据'!$B$2:$U$742,ROW()-1,MATCH(G$1,'包络曲线数据'!$B$1:$U$1,0)),""))</x:f>
      </x:c>
    </x:row>
    <x:row r="382">
      <x:c r="A382" t="n">
        <x:v>38</x:v>
      </x:c>
      <x:c r="B382" t="n">
        <x:f>IF(B$1="","",IFERROR(INDEX('包络曲线数据'!$B$2:$U$742,ROW()-1,MATCH(B$1,'包络曲线数据'!$B$1:$U$1,0)),""))</x:f>
        <x:v>69.72429017851417</x:v>
      </x:c>
      <x:c r="C382" t="n">
        <x:f>IF(C$1="","",IFERROR(INDEX('包络曲线数据'!$B$2:$U$742,ROW()-1,MATCH(C$1,'包络曲线数据'!$B$1:$U$1,0)),""))</x:f>
        <x:v>65.03051457904104</x:v>
      </x:c>
      <x:c r="D382" t="n">
        <x:f>IF(D$1="","",IFERROR(INDEX('包络曲线数据'!$B$2:$U$742,ROW()-1,MATCH(D$1,'包络曲线数据'!$B$1:$U$1,0)),""))</x:f>
        <x:v>65.21640858751091</x:v>
      </x:c>
      <x:c r="E382" t="str">
        <x:f>IF(E$1="","",IFERROR(INDEX('包络曲线数据'!$B$2:$U$742,ROW()-1,MATCH(E$1,'包络曲线数据'!$B$1:$U$1,0)),""))</x:f>
      </x:c>
      <x:c r="F382" t="str">
        <x:f>IF(F$1="","",IFERROR(INDEX('包络曲线数据'!$B$2:$U$742,ROW()-1,MATCH(F$1,'包络曲线数据'!$B$1:$U$1,0)),""))</x:f>
      </x:c>
      <x:c r="G382" t="str">
        <x:f>IF(G$1="","",IFERROR(INDEX('包络曲线数据'!$B$2:$U$742,ROW()-1,MATCH(G$1,'包络曲线数据'!$B$1:$U$1,0)),""))</x:f>
      </x:c>
    </x:row>
    <x:row r="383">
      <x:c r="A383" t="n">
        <x:v>38.1</x:v>
      </x:c>
      <x:c r="B383" t="n">
        <x:f>IF(B$1="","",IFERROR(INDEX('包络曲线数据'!$B$2:$U$742,ROW()-1,MATCH(B$1,'包络曲线数据'!$B$1:$U$1,0)),""))</x:f>
        <x:v>70.69549516480825</x:v>
      </x:c>
      <x:c r="C383" t="n">
        <x:f>IF(C$1="","",IFERROR(INDEX('包络曲线数据'!$B$2:$U$742,ROW()-1,MATCH(C$1,'包络曲线数据'!$B$1:$U$1,0)),""))</x:f>
        <x:v>65.03051457904104</x:v>
      </x:c>
      <x:c r="D383" t="n">
        <x:f>IF(D$1="","",IFERROR(INDEX('包络曲线数据'!$B$2:$U$742,ROW()-1,MATCH(D$1,'包络曲线数据'!$B$1:$U$1,0)),""))</x:f>
        <x:v>66.43320077398755</x:v>
      </x:c>
      <x:c r="E383" t="str">
        <x:f>IF(E$1="","",IFERROR(INDEX('包络曲线数据'!$B$2:$U$742,ROW()-1,MATCH(E$1,'包络曲线数据'!$B$1:$U$1,0)),""))</x:f>
      </x:c>
      <x:c r="F383" t="str">
        <x:f>IF(F$1="","",IFERROR(INDEX('包络曲线数据'!$B$2:$U$742,ROW()-1,MATCH(F$1,'包络曲线数据'!$B$1:$U$1,0)),""))</x:f>
      </x:c>
      <x:c r="G383" t="str">
        <x:f>IF(G$1="","",IFERROR(INDEX('包络曲线数据'!$B$2:$U$742,ROW()-1,MATCH(G$1,'包络曲线数据'!$B$1:$U$1,0)),""))</x:f>
      </x:c>
    </x:row>
    <x:row r="384">
      <x:c r="A384" t="n">
        <x:v>38.2</x:v>
      </x:c>
      <x:c r="B384" t="n">
        <x:f>IF(B$1="","",IFERROR(INDEX('包络曲线数据'!$B$2:$U$742,ROW()-1,MATCH(B$1,'包络曲线数据'!$B$1:$U$1,0)),""))</x:f>
        <x:v>70.69549516480825</x:v>
      </x:c>
      <x:c r="C384" t="n">
        <x:f>IF(C$1="","",IFERROR(INDEX('包络曲线数据'!$B$2:$U$742,ROW()-1,MATCH(C$1,'包络曲线数据'!$B$1:$U$1,0)),""))</x:f>
        <x:v>65.52915626851414</x:v>
      </x:c>
      <x:c r="D384" t="n">
        <x:f>IF(D$1="","",IFERROR(INDEX('包络曲线数据'!$B$2:$U$742,ROW()-1,MATCH(D$1,'包络曲线数据'!$B$1:$U$1,0)),""))</x:f>
        <x:v>73.37042181950423</x:v>
      </x:c>
      <x:c r="E384" t="str">
        <x:f>IF(E$1="","",IFERROR(INDEX('包络曲线数据'!$B$2:$U$742,ROW()-1,MATCH(E$1,'包络曲线数据'!$B$1:$U$1,0)),""))</x:f>
      </x:c>
      <x:c r="F384" t="str">
        <x:f>IF(F$1="","",IFERROR(INDEX('包络曲线数据'!$B$2:$U$742,ROW()-1,MATCH(F$1,'包络曲线数据'!$B$1:$U$1,0)),""))</x:f>
      </x:c>
      <x:c r="G384" t="str">
        <x:f>IF(G$1="","",IFERROR(INDEX('包络曲线数据'!$B$2:$U$742,ROW()-1,MATCH(G$1,'包络曲线数据'!$B$1:$U$1,0)),""))</x:f>
      </x:c>
    </x:row>
    <x:row r="385">
      <x:c r="A385" t="n">
        <x:v>38.300000000000004</x:v>
      </x:c>
      <x:c r="B385" t="n">
        <x:f>IF(B$1="","",IFERROR(INDEX('包络曲线数据'!$B$2:$U$742,ROW()-1,MATCH(B$1,'包络曲线数据'!$B$1:$U$1,0)),""))</x:f>
        <x:v>70.31089365625478</x:v>
      </x:c>
      <x:c r="C385" t="n">
        <x:f>IF(C$1="","",IFERROR(INDEX('包络曲线数据'!$B$2:$U$742,ROW()-1,MATCH(C$1,'包络曲线数据'!$B$1:$U$1,0)),""))</x:f>
        <x:v>72.8639887362344</x:v>
      </x:c>
      <x:c r="D385" t="n">
        <x:f>IF(D$1="","",IFERROR(INDEX('包络曲线数据'!$B$2:$U$742,ROW()-1,MATCH(D$1,'包络曲线数据'!$B$1:$U$1,0)),""))</x:f>
        <x:v>78.55290578483144</x:v>
      </x:c>
      <x:c r="E385" t="str">
        <x:f>IF(E$1="","",IFERROR(INDEX('包络曲线数据'!$B$2:$U$742,ROW()-1,MATCH(E$1,'包络曲线数据'!$B$1:$U$1,0)),""))</x:f>
      </x:c>
      <x:c r="F385" t="str">
        <x:f>IF(F$1="","",IFERROR(INDEX('包络曲线数据'!$B$2:$U$742,ROW()-1,MATCH(F$1,'包络曲线数据'!$B$1:$U$1,0)),""))</x:f>
      </x:c>
      <x:c r="G385" t="str">
        <x:f>IF(G$1="","",IFERROR(INDEX('包络曲线数据'!$B$2:$U$742,ROW()-1,MATCH(G$1,'包络曲线数据'!$B$1:$U$1,0)),""))</x:f>
      </x:c>
    </x:row>
    <x:row r="386">
      <x:c r="A386" t="n">
        <x:v>38.400000000000006</x:v>
      </x:c>
      <x:c r="B386" t="n">
        <x:f>IF(B$1="","",IFERROR(INDEX('包络曲线数据'!$B$2:$U$742,ROW()-1,MATCH(B$1,'包络曲线数据'!$B$1:$U$1,0)),""))</x:f>
        <x:v>70.31089365625476</x:v>
      </x:c>
      <x:c r="C386" t="n">
        <x:f>IF(C$1="","",IFERROR(INDEX('包络曲线数据'!$B$2:$U$742,ROW()-1,MATCH(C$1,'包络曲线数据'!$B$1:$U$1,0)),""))</x:f>
        <x:v>73.55086582457967</x:v>
      </x:c>
      <x:c r="D386" t="n">
        <x:f>IF(D$1="","",IFERROR(INDEX('包络曲线数据'!$B$2:$U$742,ROW()-1,MATCH(D$1,'包络曲线数据'!$B$1:$U$1,0)),""))</x:f>
        <x:v>78.55290578483144</x:v>
      </x:c>
      <x:c r="E386" t="str">
        <x:f>IF(E$1="","",IFERROR(INDEX('包络曲线数据'!$B$2:$U$742,ROW()-1,MATCH(E$1,'包络曲线数据'!$B$1:$U$1,0)),""))</x:f>
      </x:c>
      <x:c r="F386" t="str">
        <x:f>IF(F$1="","",IFERROR(INDEX('包络曲线数据'!$B$2:$U$742,ROW()-1,MATCH(F$1,'包络曲线数据'!$B$1:$U$1,0)),""))</x:f>
      </x:c>
      <x:c r="G386" t="str">
        <x:f>IF(G$1="","",IFERROR(INDEX('包络曲线数据'!$B$2:$U$742,ROW()-1,MATCH(G$1,'包络曲线数据'!$B$1:$U$1,0)),""))</x:f>
      </x:c>
    </x:row>
    <x:row r="387">
      <x:c r="A387" t="n">
        <x:v>38.5</x:v>
      </x:c>
      <x:c r="B387" t="n">
        <x:f>IF(B$1="","",IFERROR(INDEX('包络曲线数据'!$B$2:$U$742,ROW()-1,MATCH(B$1,'包络曲线数据'!$B$1:$U$1,0)),""))</x:f>
        <x:v>70.24861340728114</x:v>
      </x:c>
      <x:c r="C387" t="n">
        <x:f>IF(C$1="","",IFERROR(INDEX('包络曲线数据'!$B$2:$U$742,ROW()-1,MATCH(C$1,'包络曲线数据'!$B$1:$U$1,0)),""))</x:f>
        <x:v>73.55086582457967</x:v>
      </x:c>
      <x:c r="D387" t="n">
        <x:f>IF(D$1="","",IFERROR(INDEX('包络曲线数据'!$B$2:$U$742,ROW()-1,MATCH(D$1,'包络曲线数据'!$B$1:$U$1,0)),""))</x:f>
        <x:v>71.5011583759131</x:v>
      </x:c>
      <x:c r="E387" t="str">
        <x:f>IF(E$1="","",IFERROR(INDEX('包络曲线数据'!$B$2:$U$742,ROW()-1,MATCH(E$1,'包络曲线数据'!$B$1:$U$1,0)),""))</x:f>
      </x:c>
      <x:c r="F387" t="str">
        <x:f>IF(F$1="","",IFERROR(INDEX('包络曲线数据'!$B$2:$U$742,ROW()-1,MATCH(F$1,'包络曲线数据'!$B$1:$U$1,0)),""))</x:f>
      </x:c>
      <x:c r="G387" t="str">
        <x:f>IF(G$1="","",IFERROR(INDEX('包络曲线数据'!$B$2:$U$742,ROW()-1,MATCH(G$1,'包络曲线数据'!$B$1:$U$1,0)),""))</x:f>
      </x:c>
    </x:row>
    <x:row r="388">
      <x:c r="A388" t="n">
        <x:v>38.6</x:v>
      </x:c>
      <x:c r="B388" t="n">
        <x:f>IF(B$1="","",IFERROR(INDEX('包络曲线数据'!$B$2:$U$742,ROW()-1,MATCH(B$1,'包络曲线数据'!$B$1:$U$1,0)),""))</x:f>
        <x:v>70.49218781204067</x:v>
      </x:c>
      <x:c r="C388" t="n">
        <x:f>IF(C$1="","",IFERROR(INDEX('包络曲线数据'!$B$2:$U$742,ROW()-1,MATCH(C$1,'包络曲线数据'!$B$1:$U$1,0)),""))</x:f>
        <x:v>67.65249136712139</x:v>
      </x:c>
      <x:c r="D388" t="n">
        <x:f>IF(D$1="","",IFERROR(INDEX('包络曲线数据'!$B$2:$U$742,ROW()-1,MATCH(D$1,'包络曲线数据'!$B$1:$U$1,0)),""))</x:f>
        <x:v>69.81411430817826</x:v>
      </x:c>
      <x:c r="E388" t="str">
        <x:f>IF(E$1="","",IFERROR(INDEX('包络曲线数据'!$B$2:$U$742,ROW()-1,MATCH(E$1,'包络曲线数据'!$B$1:$U$1,0)),""))</x:f>
      </x:c>
      <x:c r="F388" t="str">
        <x:f>IF(F$1="","",IFERROR(INDEX('包络曲线数据'!$B$2:$U$742,ROW()-1,MATCH(F$1,'包络曲线数据'!$B$1:$U$1,0)),""))</x:f>
      </x:c>
      <x:c r="G388" t="str">
        <x:f>IF(G$1="","",IFERROR(INDEX('包络曲线数据'!$B$2:$U$742,ROW()-1,MATCH(G$1,'包络曲线数据'!$B$1:$U$1,0)),""))</x:f>
      </x:c>
    </x:row>
    <x:row r="389">
      <x:c r="A389" t="n">
        <x:v>38.7</x:v>
      </x:c>
      <x:c r="B389" t="n">
        <x:f>IF(B$1="","",IFERROR(INDEX('包络曲线数据'!$B$2:$U$742,ROW()-1,MATCH(B$1,'包络曲线数据'!$B$1:$U$1,0)),""))</x:f>
        <x:v>92.59472645647482</x:v>
      </x:c>
      <x:c r="C389" t="n">
        <x:f>IF(C$1="","",IFERROR(INDEX('包络曲线数据'!$B$2:$U$742,ROW()-1,MATCH(C$1,'包络曲线数据'!$B$1:$U$1,0)),""))</x:f>
        <x:v>61.97982089717422</x:v>
      </x:c>
      <x:c r="D389" t="n">
        <x:f>IF(D$1="","",IFERROR(INDEX('包络曲线数据'!$B$2:$U$742,ROW()-1,MATCH(D$1,'包络曲线数据'!$B$1:$U$1,0)),""))</x:f>
        <x:v>67.94635876155833</x:v>
      </x:c>
      <x:c r="E389" t="str">
        <x:f>IF(E$1="","",IFERROR(INDEX('包络曲线数据'!$B$2:$U$742,ROW()-1,MATCH(E$1,'包络曲线数据'!$B$1:$U$1,0)),""))</x:f>
      </x:c>
      <x:c r="F389" t="str">
        <x:f>IF(F$1="","",IFERROR(INDEX('包络曲线数据'!$B$2:$U$742,ROW()-1,MATCH(F$1,'包络曲线数据'!$B$1:$U$1,0)),""))</x:f>
      </x:c>
      <x:c r="G389" t="str">
        <x:f>IF(G$1="","",IFERROR(INDEX('包络曲线数据'!$B$2:$U$742,ROW()-1,MATCH(G$1,'包络曲线数据'!$B$1:$U$1,0)),""))</x:f>
      </x:c>
    </x:row>
    <x:row r="390">
      <x:c r="A390" t="n">
        <x:v>38.800000000000004</x:v>
      </x:c>
      <x:c r="B390" t="n">
        <x:f>IF(B$1="","",IFERROR(INDEX('包络曲线数据'!$B$2:$U$742,ROW()-1,MATCH(B$1,'包络曲线数据'!$B$1:$U$1,0)),""))</x:f>
        <x:v>92.59472645647482</x:v>
      </x:c>
      <x:c r="C390" t="n">
        <x:f>IF(C$1="","",IFERROR(INDEX('包络曲线数据'!$B$2:$U$742,ROW()-1,MATCH(C$1,'包络曲线数据'!$B$1:$U$1,0)),""))</x:f>
        <x:v>64.78867630765087</x:v>
      </x:c>
      <x:c r="D390" t="n">
        <x:f>IF(D$1="","",IFERROR(INDEX('包络曲线数据'!$B$2:$U$742,ROW()-1,MATCH(D$1,'包络曲线数据'!$B$1:$U$1,0)),""))</x:f>
        <x:v>67.94635876155833</x:v>
      </x:c>
      <x:c r="E390" t="str">
        <x:f>IF(E$1="","",IFERROR(INDEX('包络曲线数据'!$B$2:$U$742,ROW()-1,MATCH(E$1,'包络曲线数据'!$B$1:$U$1,0)),""))</x:f>
      </x:c>
      <x:c r="F390" t="str">
        <x:f>IF(F$1="","",IFERROR(INDEX('包络曲线数据'!$B$2:$U$742,ROW()-1,MATCH(F$1,'包络曲线数据'!$B$1:$U$1,0)),""))</x:f>
      </x:c>
      <x:c r="G390" t="str">
        <x:f>IF(G$1="","",IFERROR(INDEX('包络曲线数据'!$B$2:$U$742,ROW()-1,MATCH(G$1,'包络曲线数据'!$B$1:$U$1,0)),""))</x:f>
      </x:c>
    </x:row>
    <x:row r="391">
      <x:c r="A391" t="n">
        <x:v>38.900000000000006</x:v>
      </x:c>
      <x:c r="B391" t="n">
        <x:f>IF(B$1="","",IFERROR(INDEX('包络曲线数据'!$B$2:$U$742,ROW()-1,MATCH(B$1,'包络曲线数据'!$B$1:$U$1,0)),""))</x:f>
        <x:v>88.66416229155689</x:v>
      </x:c>
      <x:c r="C391" t="n">
        <x:f>IF(C$1="","",IFERROR(INDEX('包络曲线数据'!$B$2:$U$742,ROW()-1,MATCH(C$1,'包络曲线数据'!$B$1:$U$1,0)),""))</x:f>
        <x:v>66.19675941243571</x:v>
      </x:c>
      <x:c r="D391" t="str">
        <x:f>IF(D$1="","",IFERROR(INDEX('包络曲线数据'!$B$2:$U$742,ROW()-1,MATCH(D$1,'包络曲线数据'!$B$1:$U$1,0)),""))</x:f>
      </x:c>
      <x:c r="E391" t="str">
        <x:f>IF(E$1="","",IFERROR(INDEX('包络曲线数据'!$B$2:$U$742,ROW()-1,MATCH(E$1,'包络曲线数据'!$B$1:$U$1,0)),""))</x:f>
      </x:c>
      <x:c r="F391" t="str">
        <x:f>IF(F$1="","",IFERROR(INDEX('包络曲线数据'!$B$2:$U$742,ROW()-1,MATCH(F$1,'包络曲线数据'!$B$1:$U$1,0)),""))</x:f>
      </x:c>
      <x:c r="G391" t="str">
        <x:f>IF(G$1="","",IFERROR(INDEX('包络曲线数据'!$B$2:$U$742,ROW()-1,MATCH(G$1,'包络曲线数据'!$B$1:$U$1,0)),""))</x:f>
      </x:c>
    </x:row>
    <x:row r="392">
      <x:c r="A392" t="n">
        <x:v>39</x:v>
      </x:c>
      <x:c r="B392" t="n">
        <x:f>IF(B$1="","",IFERROR(INDEX('包络曲线数据'!$B$2:$U$742,ROW()-1,MATCH(B$1,'包络曲线数据'!$B$1:$U$1,0)),""))</x:f>
        <x:v>78.31380048180236</x:v>
      </x:c>
      <x:c r="C392" t="n">
        <x:f>IF(C$1="","",IFERROR(INDEX('包络曲线数据'!$B$2:$U$742,ROW()-1,MATCH(C$1,'包络曲线数据'!$B$1:$U$1,0)),""))</x:f>
        <x:v>66.36635367822777</x:v>
      </x:c>
      <x:c r="D392" t="str">
        <x:f>IF(D$1="","",IFERROR(INDEX('包络曲线数据'!$B$2:$U$742,ROW()-1,MATCH(D$1,'包络曲线数据'!$B$1:$U$1,0)),""))</x:f>
      </x:c>
      <x:c r="E392" t="str">
        <x:f>IF(E$1="","",IFERROR(INDEX('包络曲线数据'!$B$2:$U$742,ROW()-1,MATCH(E$1,'包络曲线数据'!$B$1:$U$1,0)),""))</x:f>
      </x:c>
      <x:c r="F392" t="str">
        <x:f>IF(F$1="","",IFERROR(INDEX('包络曲线数据'!$B$2:$U$742,ROW()-1,MATCH(F$1,'包络曲线数据'!$B$1:$U$1,0)),""))</x:f>
      </x:c>
      <x:c r="G392" t="str">
        <x:f>IF(G$1="","",IFERROR(INDEX('包络曲线数据'!$B$2:$U$742,ROW()-1,MATCH(G$1,'包络曲线数据'!$B$1:$U$1,0)),""))</x:f>
      </x:c>
    </x:row>
    <x:row r="393">
      <x:c r="A393" t="n">
        <x:v>39.1</x:v>
      </x:c>
      <x:c r="B393" t="n">
        <x:f>IF(B$1="","",IFERROR(INDEX('包络曲线数据'!$B$2:$U$742,ROW()-1,MATCH(B$1,'包络曲线数据'!$B$1:$U$1,0)),""))</x:f>
        <x:v>76.20500881448723</x:v>
      </x:c>
      <x:c r="C393" t="n">
        <x:f>IF(C$1="","",IFERROR(INDEX('包络曲线数据'!$B$2:$U$742,ROW()-1,MATCH(C$1,'包络曲线数据'!$B$1:$U$1,0)),""))</x:f>
        <x:v>66.38142141286895</x:v>
      </x:c>
      <x:c r="D393" t="str">
        <x:f>IF(D$1="","",IFERROR(INDEX('包络曲线数据'!$B$2:$U$742,ROW()-1,MATCH(D$1,'包络曲线数据'!$B$1:$U$1,0)),""))</x:f>
      </x:c>
      <x:c r="E393" t="str">
        <x:f>IF(E$1="","",IFERROR(INDEX('包络曲线数据'!$B$2:$U$742,ROW()-1,MATCH(E$1,'包络曲线数据'!$B$1:$U$1,0)),""))</x:f>
      </x:c>
      <x:c r="F393" t="str">
        <x:f>IF(F$1="","",IFERROR(INDEX('包络曲线数据'!$B$2:$U$742,ROW()-1,MATCH(F$1,'包络曲线数据'!$B$1:$U$1,0)),""))</x:f>
      </x:c>
      <x:c r="G393" t="str">
        <x:f>IF(G$1="","",IFERROR(INDEX('包络曲线数据'!$B$2:$U$742,ROW()-1,MATCH(G$1,'包络曲线数据'!$B$1:$U$1,0)),""))</x:f>
      </x:c>
    </x:row>
    <x:row r="394">
      <x:c r="A394" t="n">
        <x:v>39.2</x:v>
      </x:c>
      <x:c r="B394" t="n">
        <x:f>IF(B$1="","",IFERROR(INDEX('包络曲线数据'!$B$2:$U$742,ROW()-1,MATCH(B$1,'包络曲线数据'!$B$1:$U$1,0)),""))</x:f>
        <x:v>76.20500881448723</x:v>
      </x:c>
      <x:c r="C394" t="n">
        <x:f>IF(C$1="","",IFERROR(INDEX('包络曲线数据'!$B$2:$U$742,ROW()-1,MATCH(C$1,'包络曲线数据'!$B$1:$U$1,0)),""))</x:f>
        <x:v>66.38142141286895</x:v>
      </x:c>
      <x:c r="D394" t="str">
        <x:f>IF(D$1="","",IFERROR(INDEX('包络曲线数据'!$B$2:$U$742,ROW()-1,MATCH(D$1,'包络曲线数据'!$B$1:$U$1,0)),""))</x:f>
      </x:c>
      <x:c r="E394" t="str">
        <x:f>IF(E$1="","",IFERROR(INDEX('包络曲线数据'!$B$2:$U$742,ROW()-1,MATCH(E$1,'包络曲线数据'!$B$1:$U$1,0)),""))</x:f>
      </x:c>
      <x:c r="F394" t="str">
        <x:f>IF(F$1="","",IFERROR(INDEX('包络曲线数据'!$B$2:$U$742,ROW()-1,MATCH(F$1,'包络曲线数据'!$B$1:$U$1,0)),""))</x:f>
      </x:c>
      <x:c r="G394" t="str">
        <x:f>IF(G$1="","",IFERROR(INDEX('包络曲线数据'!$B$2:$U$742,ROW()-1,MATCH(G$1,'包络曲线数据'!$B$1:$U$1,0)),""))</x:f>
      </x:c>
    </x:row>
    <x:row r="395">
      <x:c r="A395" t="n">
        <x:v>39.300000000000004</x:v>
      </x:c>
      <x:c r="B395" t="n">
        <x:f>IF(B$1="","",IFERROR(INDEX('包络曲线数据'!$B$2:$U$742,ROW()-1,MATCH(B$1,'包络曲线数据'!$B$1:$U$1,0)),""))</x:f>
        <x:v>66.90248709377511</x:v>
      </x:c>
      <x:c r="C395" t="n">
        <x:f>IF(C$1="","",IFERROR(INDEX('包络曲线数据'!$B$2:$U$742,ROW()-1,MATCH(C$1,'包络曲线数据'!$B$1:$U$1,0)),""))</x:f>
        <x:v>66.67903646051745</x:v>
      </x:c>
      <x:c r="D395" t="str">
        <x:f>IF(D$1="","",IFERROR(INDEX('包络曲线数据'!$B$2:$U$742,ROW()-1,MATCH(D$1,'包络曲线数据'!$B$1:$U$1,0)),""))</x:f>
      </x:c>
      <x:c r="E395" t="str">
        <x:f>IF(E$1="","",IFERROR(INDEX('包络曲线数据'!$B$2:$U$742,ROW()-1,MATCH(E$1,'包络曲线数据'!$B$1:$U$1,0)),""))</x:f>
      </x:c>
      <x:c r="F395" t="str">
        <x:f>IF(F$1="","",IFERROR(INDEX('包络曲线数据'!$B$2:$U$742,ROW()-1,MATCH(F$1,'包络曲线数据'!$B$1:$U$1,0)),""))</x:f>
      </x:c>
      <x:c r="G395" t="str">
        <x:f>IF(G$1="","",IFERROR(INDEX('包络曲线数据'!$B$2:$U$742,ROW()-1,MATCH(G$1,'包络曲线数据'!$B$1:$U$1,0)),""))</x:f>
      </x:c>
    </x:row>
    <x:row r="396">
      <x:c r="A396" t="n">
        <x:v>39.400000000000006</x:v>
      </x:c>
      <x:c r="B396" t="n">
        <x:f>IF(B$1="","",IFERROR(INDEX('包络曲线数据'!$B$2:$U$742,ROW()-1,MATCH(B$1,'包络曲线数据'!$B$1:$U$1,0)),""))</x:f>
        <x:v>66.90248709377511</x:v>
      </x:c>
      <x:c r="C396" t="n">
        <x:f>IF(C$1="","",IFERROR(INDEX('包络曲线数据'!$B$2:$U$742,ROW()-1,MATCH(C$1,'包络曲线数据'!$B$1:$U$1,0)),""))</x:f>
        <x:v>66.67903646051745</x:v>
      </x:c>
      <x:c r="D396" t="str">
        <x:f>IF(D$1="","",IFERROR(INDEX('包络曲线数据'!$B$2:$U$742,ROW()-1,MATCH(D$1,'包络曲线数据'!$B$1:$U$1,0)),""))</x:f>
      </x:c>
      <x:c r="E396" t="str">
        <x:f>IF(E$1="","",IFERROR(INDEX('包络曲线数据'!$B$2:$U$742,ROW()-1,MATCH(E$1,'包络曲线数据'!$B$1:$U$1,0)),""))</x:f>
      </x:c>
      <x:c r="F396" t="str">
        <x:f>IF(F$1="","",IFERROR(INDEX('包络曲线数据'!$B$2:$U$742,ROW()-1,MATCH(F$1,'包络曲线数据'!$B$1:$U$1,0)),""))</x:f>
      </x:c>
      <x:c r="G396" t="str">
        <x:f>IF(G$1="","",IFERROR(INDEX('包络曲线数据'!$B$2:$U$742,ROW()-1,MATCH(G$1,'包络曲线数据'!$B$1:$U$1,0)),""))</x:f>
      </x:c>
    </x:row>
    <x:row r="397">
      <x:c r="A397" t="n">
        <x:v>39.5</x:v>
      </x:c>
      <x:c r="B397" t="n">
        <x:f>IF(B$1="","",IFERROR(INDEX('包络曲线数据'!$B$2:$U$742,ROW()-1,MATCH(B$1,'包络曲线数据'!$B$1:$U$1,0)),""))</x:f>
        <x:v>61.8042686786069</x:v>
      </x:c>
      <x:c r="C397" t="n">
        <x:f>IF(C$1="","",IFERROR(INDEX('包络曲线数据'!$B$2:$U$742,ROW()-1,MATCH(C$1,'包络曲线数据'!$B$1:$U$1,0)),""))</x:f>
        <x:v>64.76931522389239</x:v>
      </x:c>
      <x:c r="D397" t="str">
        <x:f>IF(D$1="","",IFERROR(INDEX('包络曲线数据'!$B$2:$U$742,ROW()-1,MATCH(D$1,'包络曲线数据'!$B$1:$U$1,0)),""))</x:f>
      </x:c>
      <x:c r="E397" t="str">
        <x:f>IF(E$1="","",IFERROR(INDEX('包络曲线数据'!$B$2:$U$742,ROW()-1,MATCH(E$1,'包络曲线数据'!$B$1:$U$1,0)),""))</x:f>
      </x:c>
      <x:c r="F397" t="str">
        <x:f>IF(F$1="","",IFERROR(INDEX('包络曲线数据'!$B$2:$U$742,ROW()-1,MATCH(F$1,'包络曲线数据'!$B$1:$U$1,0)),""))</x:f>
      </x:c>
      <x:c r="G397" t="str">
        <x:f>IF(G$1="","",IFERROR(INDEX('包络曲线数据'!$B$2:$U$742,ROW()-1,MATCH(G$1,'包络曲线数据'!$B$1:$U$1,0)),""))</x:f>
      </x:c>
    </x:row>
    <x:row r="398">
      <x:c r="A398" t="n">
        <x:v>39.6</x:v>
      </x:c>
      <x:c r="B398" t="n">
        <x:f>IF(B$1="","",IFERROR(INDEX('包络曲线数据'!$B$2:$U$742,ROW()-1,MATCH(B$1,'包络曲线数据'!$B$1:$U$1,0)),""))</x:f>
        <x:v>61.8042686786069</x:v>
      </x:c>
      <x:c r="C398" t="n">
        <x:f>IF(C$1="","",IFERROR(INDEX('包络曲线数据'!$B$2:$U$742,ROW()-1,MATCH(C$1,'包络曲线数据'!$B$1:$U$1,0)),""))</x:f>
        <x:v>65.35174315038945</x:v>
      </x:c>
      <x:c r="D398" t="str">
        <x:f>IF(D$1="","",IFERROR(INDEX('包络曲线数据'!$B$2:$U$742,ROW()-1,MATCH(D$1,'包络曲线数据'!$B$1:$U$1,0)),""))</x:f>
      </x:c>
      <x:c r="E398" t="str">
        <x:f>IF(E$1="","",IFERROR(INDEX('包络曲线数据'!$B$2:$U$742,ROW()-1,MATCH(E$1,'包络曲线数据'!$B$1:$U$1,0)),""))</x:f>
      </x:c>
      <x:c r="F398" t="str">
        <x:f>IF(F$1="","",IFERROR(INDEX('包络曲线数据'!$B$2:$U$742,ROW()-1,MATCH(F$1,'包络曲线数据'!$B$1:$U$1,0)),""))</x:f>
      </x:c>
      <x:c r="G398" t="str">
        <x:f>IF(G$1="","",IFERROR(INDEX('包络曲线数据'!$B$2:$U$742,ROW()-1,MATCH(G$1,'包络曲线数据'!$B$1:$U$1,0)),""))</x:f>
      </x:c>
    </x:row>
    <x:row r="399">
      <x:c r="A399" t="n">
        <x:v>39.7</x:v>
      </x:c>
      <x:c r="B399" t="n">
        <x:f>IF(B$1="","",IFERROR(INDEX('包络曲线数据'!$B$2:$U$742,ROW()-1,MATCH(B$1,'包络曲线数据'!$B$1:$U$1,0)),""))</x:f>
        <x:v>51.595284178115094</x:v>
      </x:c>
      <x:c r="C399" t="n">
        <x:f>IF(C$1="","",IFERROR(INDEX('包络曲线数据'!$B$2:$U$742,ROW()-1,MATCH(C$1,'包络曲线数据'!$B$1:$U$1,0)),""))</x:f>
        <x:v>85.3815661825975</x:v>
      </x:c>
      <x:c r="D399" t="str">
        <x:f>IF(D$1="","",IFERROR(INDEX('包络曲线数据'!$B$2:$U$742,ROW()-1,MATCH(D$1,'包络曲线数据'!$B$1:$U$1,0)),""))</x:f>
      </x:c>
      <x:c r="E399" t="str">
        <x:f>IF(E$1="","",IFERROR(INDEX('包络曲线数据'!$B$2:$U$742,ROW()-1,MATCH(E$1,'包络曲线数据'!$B$1:$U$1,0)),""))</x:f>
      </x:c>
      <x:c r="F399" t="str">
        <x:f>IF(F$1="","",IFERROR(INDEX('包络曲线数据'!$B$2:$U$742,ROW()-1,MATCH(F$1,'包络曲线数据'!$B$1:$U$1,0)),""))</x:f>
      </x:c>
      <x:c r="G399" t="str">
        <x:f>IF(G$1="","",IFERROR(INDEX('包络曲线数据'!$B$2:$U$742,ROW()-1,MATCH(G$1,'包络曲线数据'!$B$1:$U$1,0)),""))</x:f>
      </x:c>
    </x:row>
    <x:row r="400">
      <x:c r="A400" t="n">
        <x:v>39.800000000000004</x:v>
      </x:c>
      <x:c r="B400" t="n">
        <x:f>IF(B$1="","",IFERROR(INDEX('包络曲线数据'!$B$2:$U$742,ROW()-1,MATCH(B$1,'包络曲线数据'!$B$1:$U$1,0)),""))</x:f>
        <x:v>51.595284178115094</x:v>
      </x:c>
      <x:c r="C400" t="n">
        <x:f>IF(C$1="","",IFERROR(INDEX('包络曲线数据'!$B$2:$U$742,ROW()-1,MATCH(C$1,'包络曲线数据'!$B$1:$U$1,0)),""))</x:f>
        <x:v>90.28091370846793</x:v>
      </x:c>
      <x:c r="D400" t="str">
        <x:f>IF(D$1="","",IFERROR(INDEX('包络曲线数据'!$B$2:$U$742,ROW()-1,MATCH(D$1,'包络曲线数据'!$B$1:$U$1,0)),""))</x:f>
      </x:c>
      <x:c r="E400" t="str">
        <x:f>IF(E$1="","",IFERROR(INDEX('包络曲线数据'!$B$2:$U$742,ROW()-1,MATCH(E$1,'包络曲线数据'!$B$1:$U$1,0)),""))</x:f>
      </x:c>
      <x:c r="F400" t="str">
        <x:f>IF(F$1="","",IFERROR(INDEX('包络曲线数据'!$B$2:$U$742,ROW()-1,MATCH(F$1,'包络曲线数据'!$B$1:$U$1,0)),""))</x:f>
      </x:c>
      <x:c r="G400" t="str">
        <x:f>IF(G$1="","",IFERROR(INDEX('包络曲线数据'!$B$2:$U$742,ROW()-1,MATCH(G$1,'包络曲线数据'!$B$1:$U$1,0)),""))</x:f>
      </x:c>
    </x:row>
    <x:row r="401">
      <x:c r="A401" t="n">
        <x:v>39.900000000000006</x:v>
      </x:c>
      <x:c r="B401" t="n">
        <x:f>IF(B$1="","",IFERROR(INDEX('包络曲线数据'!$B$2:$U$742,ROW()-1,MATCH(B$1,'包络曲线数据'!$B$1:$U$1,0)),""))</x:f>
        <x:v>76.20703325514322</x:v>
      </x:c>
      <x:c r="C401" t="n">
        <x:f>IF(C$1="","",IFERROR(INDEX('包络曲线数据'!$B$2:$U$742,ROW()-1,MATCH(C$1,'包络曲线数据'!$B$1:$U$1,0)),""))</x:f>
        <x:v>90.28091370846793</x:v>
      </x:c>
      <x:c r="D401" t="str">
        <x:f>IF(D$1="","",IFERROR(INDEX('包络曲线数据'!$B$2:$U$742,ROW()-1,MATCH(D$1,'包络曲线数据'!$B$1:$U$1,0)),""))</x:f>
      </x:c>
      <x:c r="E401" t="str">
        <x:f>IF(E$1="","",IFERROR(INDEX('包络曲线数据'!$B$2:$U$742,ROW()-1,MATCH(E$1,'包络曲线数据'!$B$1:$U$1,0)),""))</x:f>
      </x:c>
      <x:c r="F401" t="str">
        <x:f>IF(F$1="","",IFERROR(INDEX('包络曲线数据'!$B$2:$U$742,ROW()-1,MATCH(F$1,'包络曲线数据'!$B$1:$U$1,0)),""))</x:f>
      </x:c>
      <x:c r="G401" t="str">
        <x:f>IF(G$1="","",IFERROR(INDEX('包络曲线数据'!$B$2:$U$742,ROW()-1,MATCH(G$1,'包络曲线数据'!$B$1:$U$1,0)),""))</x:f>
      </x:c>
    </x:row>
    <x:row r="402">
      <x:c r="A402" t="n">
        <x:v>40</x:v>
      </x:c>
      <x:c r="B402" t="n">
        <x:f>IF(B$1="","",IFERROR(INDEX('包络曲线数据'!$B$2:$U$742,ROW()-1,MATCH(B$1,'包络曲线数据'!$B$1:$U$1,0)),""))</x:f>
        <x:v>76.20703325514322</x:v>
      </x:c>
      <x:c r="C402" t="n">
        <x:f>IF(C$1="","",IFERROR(INDEX('包络曲线数据'!$B$2:$U$742,ROW()-1,MATCH(C$1,'包络曲线数据'!$B$1:$U$1,0)),""))</x:f>
        <x:v>82.54254149122508</x:v>
      </x:c>
      <x:c r="D402" t="str">
        <x:f>IF(D$1="","",IFERROR(INDEX('包络曲线数据'!$B$2:$U$742,ROW()-1,MATCH(D$1,'包络曲线数据'!$B$1:$U$1,0)),""))</x:f>
      </x:c>
      <x:c r="E402" t="str">
        <x:f>IF(E$1="","",IFERROR(INDEX('包络曲线数据'!$B$2:$U$742,ROW()-1,MATCH(E$1,'包络曲线数据'!$B$1:$U$1,0)),""))</x:f>
      </x:c>
      <x:c r="F402" t="str">
        <x:f>IF(F$1="","",IFERROR(INDEX('包络曲线数据'!$B$2:$U$742,ROW()-1,MATCH(F$1,'包络曲线数据'!$B$1:$U$1,0)),""))</x:f>
      </x:c>
      <x:c r="G402" t="str">
        <x:f>IF(G$1="","",IFERROR(INDEX('包络曲线数据'!$B$2:$U$742,ROW()-1,MATCH(G$1,'包络曲线数据'!$B$1:$U$1,0)),""))</x:f>
      </x:c>
    </x:row>
    <x:row r="403">
      <x:c r="A403" t="n">
        <x:v>40.1</x:v>
      </x:c>
      <x:c r="B403" t="n">
        <x:f>IF(B$1="","",IFERROR(INDEX('包络曲线数据'!$B$2:$U$742,ROW()-1,MATCH(B$1,'包络曲线数据'!$B$1:$U$1,0)),""))</x:f>
        <x:v>73.05298008592155</x:v>
      </x:c>
      <x:c r="C403" t="n">
        <x:f>IF(C$1="","",IFERROR(INDEX('包络曲线数据'!$B$2:$U$742,ROW()-1,MATCH(C$1,'包络曲线数据'!$B$1:$U$1,0)),""))</x:f>
        <x:v>75.65430886087977</x:v>
      </x:c>
      <x:c r="D403" t="str">
        <x:f>IF(D$1="","",IFERROR(INDEX('包络曲线数据'!$B$2:$U$742,ROW()-1,MATCH(D$1,'包络曲线数据'!$B$1:$U$1,0)),""))</x:f>
      </x:c>
      <x:c r="E403" t="str">
        <x:f>IF(E$1="","",IFERROR(INDEX('包络曲线数据'!$B$2:$U$742,ROW()-1,MATCH(E$1,'包络曲线数据'!$B$1:$U$1,0)),""))</x:f>
      </x:c>
      <x:c r="F403" t="str">
        <x:f>IF(F$1="","",IFERROR(INDEX('包络曲线数据'!$B$2:$U$742,ROW()-1,MATCH(F$1,'包络曲线数据'!$B$1:$U$1,0)),""))</x:f>
      </x:c>
      <x:c r="G403" t="str">
        <x:f>IF(G$1="","",IFERROR(INDEX('包络曲线数据'!$B$2:$U$742,ROW()-1,MATCH(G$1,'包络曲线数据'!$B$1:$U$1,0)),""))</x:f>
      </x:c>
    </x:row>
    <x:row r="404">
      <x:c r="A404" t="n">
        <x:v>40.2</x:v>
      </x:c>
      <x:c r="B404" t="n">
        <x:f>IF(B$1="","",IFERROR(INDEX('包络曲线数据'!$B$2:$U$742,ROW()-1,MATCH(B$1,'包络曲线数据'!$B$1:$U$1,0)),""))</x:f>
        <x:v>66.80103129364551</x:v>
      </x:c>
      <x:c r="C404" t="n">
        <x:f>IF(C$1="","",IFERROR(INDEX('包络曲线数据'!$B$2:$U$742,ROW()-1,MATCH(C$1,'包络曲线数据'!$B$1:$U$1,0)),""))</x:f>
        <x:v>73.48613081425593</x:v>
      </x:c>
      <x:c r="D404" t="str">
        <x:f>IF(D$1="","",IFERROR(INDEX('包络曲线数据'!$B$2:$U$742,ROW()-1,MATCH(D$1,'包络曲线数据'!$B$1:$U$1,0)),""))</x:f>
      </x:c>
      <x:c r="E404" t="str">
        <x:f>IF(E$1="","",IFERROR(INDEX('包络曲线数据'!$B$2:$U$742,ROW()-1,MATCH(E$1,'包络曲线数据'!$B$1:$U$1,0)),""))</x:f>
      </x:c>
      <x:c r="F404" t="str">
        <x:f>IF(F$1="","",IFERROR(INDEX('包络曲线数据'!$B$2:$U$742,ROW()-1,MATCH(F$1,'包络曲线数据'!$B$1:$U$1,0)),""))</x:f>
      </x:c>
      <x:c r="G404" t="str">
        <x:f>IF(G$1="","",IFERROR(INDEX('包络曲线数据'!$B$2:$U$742,ROW()-1,MATCH(G$1,'包络曲线数据'!$B$1:$U$1,0)),""))</x:f>
      </x:c>
    </x:row>
    <x:row r="405">
      <x:c r="A405" t="n">
        <x:v>40.300000000000004</x:v>
      </x:c>
      <x:c r="B405" t="n">
        <x:f>IF(B$1="","",IFERROR(INDEX('包络曲线数据'!$B$2:$U$742,ROW()-1,MATCH(B$1,'包络曲线数据'!$B$1:$U$1,0)),""))</x:f>
        <x:v>51.595284178115094</x:v>
      </x:c>
      <x:c r="C405" t="n">
        <x:f>IF(C$1="","",IFERROR(INDEX('包络曲线数据'!$B$2:$U$742,ROW()-1,MATCH(C$1,'包络曲线数据'!$B$1:$U$1,0)),""))</x:f>
        <x:v>71.42016248421439</x:v>
      </x:c>
      <x:c r="D405" t="str">
        <x:f>IF(D$1="","",IFERROR(INDEX('包络曲线数据'!$B$2:$U$742,ROW()-1,MATCH(D$1,'包络曲线数据'!$B$1:$U$1,0)),""))</x:f>
      </x:c>
      <x:c r="E405" t="str">
        <x:f>IF(E$1="","",IFERROR(INDEX('包络曲线数据'!$B$2:$U$742,ROW()-1,MATCH(E$1,'包络曲线数据'!$B$1:$U$1,0)),""))</x:f>
      </x:c>
      <x:c r="F405" t="str">
        <x:f>IF(F$1="","",IFERROR(INDEX('包络曲线数据'!$B$2:$U$742,ROW()-1,MATCH(F$1,'包络曲线数据'!$B$1:$U$1,0)),""))</x:f>
      </x:c>
      <x:c r="G405" t="str">
        <x:f>IF(G$1="","",IFERROR(INDEX('包络曲线数据'!$B$2:$U$742,ROW()-1,MATCH(G$1,'包络曲线数据'!$B$1:$U$1,0)),""))</x:f>
      </x:c>
    </x:row>
    <x:row r="406">
      <x:c r="A406" t="n">
        <x:v>40.400000000000006</x:v>
      </x:c>
      <x:c r="B406" t="n">
        <x:f>IF(B$1="","",IFERROR(INDEX('包络曲线数据'!$B$2:$U$742,ROW()-1,MATCH(B$1,'包络曲线数据'!$B$1:$U$1,0)),""))</x:f>
        <x:v>69.10039934226543</x:v>
      </x:c>
      <x:c r="C406" t="n">
        <x:f>IF(C$1="","",IFERROR(INDEX('包络曲线数据'!$B$2:$U$742,ROW()-1,MATCH(C$1,'包络曲线数据'!$B$1:$U$1,0)),""))</x:f>
        <x:v>70.19424561146158</x:v>
      </x:c>
      <x:c r="D406" t="str">
        <x:f>IF(D$1="","",IFERROR(INDEX('包络曲线数据'!$B$2:$U$742,ROW()-1,MATCH(D$1,'包络曲线数据'!$B$1:$U$1,0)),""))</x:f>
      </x:c>
      <x:c r="E406" t="str">
        <x:f>IF(E$1="","",IFERROR(INDEX('包络曲线数据'!$B$2:$U$742,ROW()-1,MATCH(E$1,'包络曲线数据'!$B$1:$U$1,0)),""))</x:f>
      </x:c>
      <x:c r="F406" t="str">
        <x:f>IF(F$1="","",IFERROR(INDEX('包络曲线数据'!$B$2:$U$742,ROW()-1,MATCH(F$1,'包络曲线数据'!$B$1:$U$1,0)),""))</x:f>
      </x:c>
      <x:c r="G406" t="str">
        <x:f>IF(G$1="","",IFERROR(INDEX('包络曲线数据'!$B$2:$U$742,ROW()-1,MATCH(G$1,'包络曲线数据'!$B$1:$U$1,0)),""))</x:f>
      </x:c>
    </x:row>
    <x:row r="407">
      <x:c r="A407" t="n">
        <x:v>40.5</x:v>
      </x:c>
      <x:c r="B407" t="n">
        <x:f>IF(B$1="","",IFERROR(INDEX('包络曲线数据'!$B$2:$U$742,ROW()-1,MATCH(B$1,'包络曲线数据'!$B$1:$U$1,0)),""))</x:f>
        <x:v>69.80036332840847</x:v>
      </x:c>
      <x:c r="C407" t="n">
        <x:f>IF(C$1="","",IFERROR(INDEX('包络曲线数据'!$B$2:$U$742,ROW()-1,MATCH(C$1,'包络曲线数据'!$B$1:$U$1,0)),""))</x:f>
        <x:v>66.31116422334445</x:v>
      </x:c>
      <x:c r="D407" t="str">
        <x:f>IF(D$1="","",IFERROR(INDEX('包络曲线数据'!$B$2:$U$742,ROW()-1,MATCH(D$1,'包络曲线数据'!$B$1:$U$1,0)),""))</x:f>
      </x:c>
      <x:c r="E407" t="str">
        <x:f>IF(E$1="","",IFERROR(INDEX('包络曲线数据'!$B$2:$U$742,ROW()-1,MATCH(E$1,'包络曲线数据'!$B$1:$U$1,0)),""))</x:f>
      </x:c>
      <x:c r="F407" t="str">
        <x:f>IF(F$1="","",IFERROR(INDEX('包络曲线数据'!$B$2:$U$742,ROW()-1,MATCH(F$1,'包络曲线数据'!$B$1:$U$1,0)),""))</x:f>
      </x:c>
      <x:c r="G407" t="str">
        <x:f>IF(G$1="","",IFERROR(INDEX('包络曲线数据'!$B$2:$U$742,ROW()-1,MATCH(G$1,'包络曲线数据'!$B$1:$U$1,0)),""))</x:f>
      </x:c>
    </x:row>
    <x:row r="408">
      <x:c r="A408" t="n">
        <x:v>40.6</x:v>
      </x:c>
      <x:c r="B408" t="n">
        <x:f>IF(B$1="","",IFERROR(INDEX('包络曲线数据'!$B$2:$U$742,ROW()-1,MATCH(B$1,'包络曲线数据'!$B$1:$U$1,0)),""))</x:f>
        <x:v>69.80036332840847</x:v>
      </x:c>
      <x:c r="C408" t="n">
        <x:f>IF(C$1="","",IFERROR(INDEX('包络曲线数据'!$B$2:$U$742,ROW()-1,MATCH(C$1,'包络曲线数据'!$B$1:$U$1,0)),""))</x:f>
        <x:v>66.31116422334445</x:v>
      </x:c>
      <x:c r="D408" t="str">
        <x:f>IF(D$1="","",IFERROR(INDEX('包络曲线数据'!$B$2:$U$742,ROW()-1,MATCH(D$1,'包络曲线数据'!$B$1:$U$1,0)),""))</x:f>
      </x:c>
      <x:c r="E408" t="str">
        <x:f>IF(E$1="","",IFERROR(INDEX('包络曲线数据'!$B$2:$U$742,ROW()-1,MATCH(E$1,'包络曲线数据'!$B$1:$U$1,0)),""))</x:f>
      </x:c>
      <x:c r="F408" t="str">
        <x:f>IF(F$1="","",IFERROR(INDEX('包络曲线数据'!$B$2:$U$742,ROW()-1,MATCH(F$1,'包络曲线数据'!$B$1:$U$1,0)),""))</x:f>
      </x:c>
      <x:c r="G408" t="str">
        <x:f>IF(G$1="","",IFERROR(INDEX('包络曲线数据'!$B$2:$U$742,ROW()-1,MATCH(G$1,'包络曲线数据'!$B$1:$U$1,0)),""))</x:f>
      </x:c>
    </x:row>
    <x:row r="409">
      <x:c r="A409" t="n">
        <x:v>40.7</x:v>
      </x:c>
      <x:c r="B409" t="n">
        <x:f>IF(B$1="","",IFERROR(INDEX('包络曲线数据'!$B$2:$U$742,ROW()-1,MATCH(B$1,'包络曲线数据'!$B$1:$U$1,0)),""))</x:f>
        <x:v>69.65086673638667</x:v>
      </x:c>
      <x:c r="C409" t="n">
        <x:f>IF(C$1="","",IFERROR(INDEX('包络曲线数据'!$B$2:$U$742,ROW()-1,MATCH(C$1,'包络曲线数据'!$B$1:$U$1,0)),""))</x:f>
        <x:v>64.60982454286403</x:v>
      </x:c>
      <x:c r="D409" t="str">
        <x:f>IF(D$1="","",IFERROR(INDEX('包络曲线数据'!$B$2:$U$742,ROW()-1,MATCH(D$1,'包络曲线数据'!$B$1:$U$1,0)),""))</x:f>
      </x:c>
      <x:c r="E409" t="str">
        <x:f>IF(E$1="","",IFERROR(INDEX('包络曲线数据'!$B$2:$U$742,ROW()-1,MATCH(E$1,'包络曲线数据'!$B$1:$U$1,0)),""))</x:f>
      </x:c>
      <x:c r="F409" t="str">
        <x:f>IF(F$1="","",IFERROR(INDEX('包络曲线数据'!$B$2:$U$742,ROW()-1,MATCH(F$1,'包络曲线数据'!$B$1:$U$1,0)),""))</x:f>
      </x:c>
      <x:c r="G409" t="str">
        <x:f>IF(G$1="","",IFERROR(INDEX('包络曲线数据'!$B$2:$U$742,ROW()-1,MATCH(G$1,'包络曲线数据'!$B$1:$U$1,0)),""))</x:f>
      </x:c>
    </x:row>
    <x:row r="410">
      <x:c r="A410" t="n">
        <x:v>40.800000000000004</x:v>
      </x:c>
      <x:c r="B410" t="n">
        <x:f>IF(B$1="","",IFERROR(INDEX('包络曲线数据'!$B$2:$U$742,ROW()-1,MATCH(B$1,'包络曲线数据'!$B$1:$U$1,0)),""))</x:f>
        <x:v>69.51107386930295</x:v>
      </x:c>
      <x:c r="C410" t="n">
        <x:f>IF(C$1="","",IFERROR(INDEX('包络曲线数据'!$B$2:$U$742,ROW()-1,MATCH(C$1,'包络曲线数据'!$B$1:$U$1,0)),""))</x:f>
        <x:v>56.09755812902998</x:v>
      </x:c>
      <x:c r="D410" t="str">
        <x:f>IF(D$1="","",IFERROR(INDEX('包络曲线数据'!$B$2:$U$742,ROW()-1,MATCH(D$1,'包络曲线数据'!$B$1:$U$1,0)),""))</x:f>
      </x:c>
      <x:c r="E410" t="str">
        <x:f>IF(E$1="","",IFERROR(INDEX('包络曲线数据'!$B$2:$U$742,ROW()-1,MATCH(E$1,'包络曲线数据'!$B$1:$U$1,0)),""))</x:f>
      </x:c>
      <x:c r="F410" t="str">
        <x:f>IF(F$1="","",IFERROR(INDEX('包络曲线数据'!$B$2:$U$742,ROW()-1,MATCH(F$1,'包络曲线数据'!$B$1:$U$1,0)),""))</x:f>
      </x:c>
      <x:c r="G410" t="str">
        <x:f>IF(G$1="","",IFERROR(INDEX('包络曲线数据'!$B$2:$U$742,ROW()-1,MATCH(G$1,'包络曲线数据'!$B$1:$U$1,0)),""))</x:f>
      </x:c>
    </x:row>
    <x:row r="411">
      <x:c r="A411" t="n">
        <x:v>40.900000000000006</x:v>
      </x:c>
      <x:c r="B411" t="n">
        <x:f>IF(B$1="","",IFERROR(INDEX('包络曲线数据'!$B$2:$U$742,ROW()-1,MATCH(B$1,'包络曲线数据'!$B$1:$U$1,0)),""))</x:f>
        <x:v>70.1680461512826</x:v>
      </x:c>
      <x:c r="C411" t="n">
        <x:f>IF(C$1="","",IFERROR(INDEX('包络曲线数据'!$B$2:$U$742,ROW()-1,MATCH(C$1,'包络曲线数据'!$B$1:$U$1,0)),""))</x:f>
        <x:v>70.93097981704831</x:v>
      </x:c>
      <x:c r="D411" t="str">
        <x:f>IF(D$1="","",IFERROR(INDEX('包络曲线数据'!$B$2:$U$742,ROW()-1,MATCH(D$1,'包络曲线数据'!$B$1:$U$1,0)),""))</x:f>
      </x:c>
      <x:c r="E411" t="str">
        <x:f>IF(E$1="","",IFERROR(INDEX('包络曲线数据'!$B$2:$U$742,ROW()-1,MATCH(E$1,'包络曲线数据'!$B$1:$U$1,0)),""))</x:f>
      </x:c>
      <x:c r="F411" t="str">
        <x:f>IF(F$1="","",IFERROR(INDEX('包络曲线数据'!$B$2:$U$742,ROW()-1,MATCH(F$1,'包络曲线数据'!$B$1:$U$1,0)),""))</x:f>
      </x:c>
      <x:c r="G411" t="str">
        <x:f>IF(G$1="","",IFERROR(INDEX('包络曲线数据'!$B$2:$U$742,ROW()-1,MATCH(G$1,'包络曲线数据'!$B$1:$U$1,0)),""))</x:f>
      </x:c>
    </x:row>
    <x:row r="412">
      <x:c r="A412" t="n">
        <x:v>41</x:v>
      </x:c>
      <x:c r="B412" t="n">
        <x:f>IF(B$1="","",IFERROR(INDEX('包络曲线数据'!$B$2:$U$742,ROW()-1,MATCH(B$1,'包络曲线数据'!$B$1:$U$1,0)),""))</x:f>
        <x:v>70.1680461512826</x:v>
      </x:c>
      <x:c r="C412" t="n">
        <x:f>IF(C$1="","",IFERROR(INDEX('包络曲线数据'!$B$2:$U$742,ROW()-1,MATCH(C$1,'包络曲线数据'!$B$1:$U$1,0)),""))</x:f>
        <x:v>73.77257582714763</x:v>
      </x:c>
      <x:c r="D412" t="str">
        <x:f>IF(D$1="","",IFERROR(INDEX('包络曲线数据'!$B$2:$U$742,ROW()-1,MATCH(D$1,'包络曲线数据'!$B$1:$U$1,0)),""))</x:f>
      </x:c>
      <x:c r="E412" t="str">
        <x:f>IF(E$1="","",IFERROR(INDEX('包络曲线数据'!$B$2:$U$742,ROW()-1,MATCH(E$1,'包络曲线数据'!$B$1:$U$1,0)),""))</x:f>
      </x:c>
      <x:c r="F412" t="str">
        <x:f>IF(F$1="","",IFERROR(INDEX('包络曲线数据'!$B$2:$U$742,ROW()-1,MATCH(F$1,'包络曲线数据'!$B$1:$U$1,0)),""))</x:f>
      </x:c>
      <x:c r="G412" t="str">
        <x:f>IF(G$1="","",IFERROR(INDEX('包络曲线数据'!$B$2:$U$742,ROW()-1,MATCH(G$1,'包络曲线数据'!$B$1:$U$1,0)),""))</x:f>
      </x:c>
    </x:row>
    <x:row r="413">
      <x:c r="A413" t="n">
        <x:v>41.1</x:v>
      </x:c>
      <x:c r="B413" t="n">
        <x:f>IF(B$1="","",IFERROR(INDEX('包络曲线数据'!$B$2:$U$742,ROW()-1,MATCH(B$1,'包络曲线数据'!$B$1:$U$1,0)),""))</x:f>
        <x:v>71.18081748314584</x:v>
      </x:c>
      <x:c r="C413" t="n">
        <x:f>IF(C$1="","",IFERROR(INDEX('包络曲线数据'!$B$2:$U$742,ROW()-1,MATCH(C$1,'包络曲线数据'!$B$1:$U$1,0)),""))</x:f>
        <x:v>73.77257582714763</x:v>
      </x:c>
      <x:c r="D413" t="str">
        <x:f>IF(D$1="","",IFERROR(INDEX('包络曲线数据'!$B$2:$U$742,ROW()-1,MATCH(D$1,'包络曲线数据'!$B$1:$U$1,0)),""))</x:f>
      </x:c>
      <x:c r="E413" t="str">
        <x:f>IF(E$1="","",IFERROR(INDEX('包络曲线数据'!$B$2:$U$742,ROW()-1,MATCH(E$1,'包络曲线数据'!$B$1:$U$1,0)),""))</x:f>
      </x:c>
      <x:c r="F413" t="str">
        <x:f>IF(F$1="","",IFERROR(INDEX('包络曲线数据'!$B$2:$U$742,ROW()-1,MATCH(F$1,'包络曲线数据'!$B$1:$U$1,0)),""))</x:f>
      </x:c>
      <x:c r="G413" t="str">
        <x:f>IF(G$1="","",IFERROR(INDEX('包络曲线数据'!$B$2:$U$742,ROW()-1,MATCH(G$1,'包络曲线数据'!$B$1:$U$1,0)),""))</x:f>
      </x:c>
    </x:row>
    <x:row r="414">
      <x:c r="A414" t="n">
        <x:v>41.2</x:v>
      </x:c>
      <x:c r="B414" t="n">
        <x:f>IF(B$1="","",IFERROR(INDEX('包络曲线数据'!$B$2:$U$742,ROW()-1,MATCH(B$1,'包络曲线数据'!$B$1:$U$1,0)),""))</x:f>
        <x:v>71.18081748314584</x:v>
      </x:c>
      <x:c r="C414" t="n">
        <x:f>IF(C$1="","",IFERROR(INDEX('包络曲线数据'!$B$2:$U$742,ROW()-1,MATCH(C$1,'包络曲线数据'!$B$1:$U$1,0)),""))</x:f>
        <x:v>63.293875838243515</x:v>
      </x:c>
      <x:c r="D414" t="str">
        <x:f>IF(D$1="","",IFERROR(INDEX('包络曲线数据'!$B$2:$U$742,ROW()-1,MATCH(D$1,'包络曲线数据'!$B$1:$U$1,0)),""))</x:f>
      </x:c>
      <x:c r="E414" t="str">
        <x:f>IF(E$1="","",IFERROR(INDEX('包络曲线数据'!$B$2:$U$742,ROW()-1,MATCH(E$1,'包络曲线数据'!$B$1:$U$1,0)),""))</x:f>
      </x:c>
      <x:c r="F414" t="str">
        <x:f>IF(F$1="","",IFERROR(INDEX('包络曲线数据'!$B$2:$U$742,ROW()-1,MATCH(F$1,'包络曲线数据'!$B$1:$U$1,0)),""))</x:f>
      </x:c>
      <x:c r="G414" t="str">
        <x:f>IF(G$1="","",IFERROR(INDEX('包络曲线数据'!$B$2:$U$742,ROW()-1,MATCH(G$1,'包络曲线数据'!$B$1:$U$1,0)),""))</x:f>
      </x:c>
    </x:row>
    <x:row r="415">
      <x:c r="A415" t="n">
        <x:v>41.300000000000004</x:v>
      </x:c>
      <x:c r="B415" t="n">
        <x:f>IF(B$1="","",IFERROR(INDEX('包络曲线数据'!$B$2:$U$742,ROW()-1,MATCH(B$1,'包络曲线数据'!$B$1:$U$1,0)),""))</x:f>
        <x:v>70.1111434300991</x:v>
      </x:c>
      <x:c r="C415" t="n">
        <x:f>IF(C$1="","",IFERROR(INDEX('包络曲线数据'!$B$2:$U$742,ROW()-1,MATCH(C$1,'包络曲线数据'!$B$1:$U$1,0)),""))</x:f>
        <x:v>52.39175843351897</x:v>
      </x:c>
      <x:c r="D415" t="str">
        <x:f>IF(D$1="","",IFERROR(INDEX('包络曲线数据'!$B$2:$U$742,ROW()-1,MATCH(D$1,'包络曲线数据'!$B$1:$U$1,0)),""))</x:f>
      </x:c>
      <x:c r="E415" t="str">
        <x:f>IF(E$1="","",IFERROR(INDEX('包络曲线数据'!$B$2:$U$742,ROW()-1,MATCH(E$1,'包络曲线数据'!$B$1:$U$1,0)),""))</x:f>
      </x:c>
      <x:c r="F415" t="str">
        <x:f>IF(F$1="","",IFERROR(INDEX('包络曲线数据'!$B$2:$U$742,ROW()-1,MATCH(F$1,'包络曲线数据'!$B$1:$U$1,0)),""))</x:f>
      </x:c>
      <x:c r="G415" t="str">
        <x:f>IF(G$1="","",IFERROR(INDEX('包络曲线数据'!$B$2:$U$742,ROW()-1,MATCH(G$1,'包络曲线数据'!$B$1:$U$1,0)),""))</x:f>
      </x:c>
    </x:row>
    <x:row r="416">
      <x:c r="A416" t="n">
        <x:v>41.400000000000006</x:v>
      </x:c>
      <x:c r="B416" t="n">
        <x:f>IF(B$1="","",IFERROR(INDEX('包络曲线数据'!$B$2:$U$742,ROW()-1,MATCH(B$1,'包络曲线数据'!$B$1:$U$1,0)),""))</x:f>
        <x:v>84.21508268874271</x:v>
      </x:c>
      <x:c r="C416" t="n">
        <x:f>IF(C$1="","",IFERROR(INDEX('包络曲线数据'!$B$2:$U$742,ROW()-1,MATCH(C$1,'包络曲线数据'!$B$1:$U$1,0)),""))</x:f>
        <x:v>57.723916877415384</x:v>
      </x:c>
      <x:c r="D416" t="str">
        <x:f>IF(D$1="","",IFERROR(INDEX('包络曲线数据'!$B$2:$U$742,ROW()-1,MATCH(D$1,'包络曲线数据'!$B$1:$U$1,0)),""))</x:f>
      </x:c>
      <x:c r="E416" t="str">
        <x:f>IF(E$1="","",IFERROR(INDEX('包络曲线数据'!$B$2:$U$742,ROW()-1,MATCH(E$1,'包络曲线数据'!$B$1:$U$1,0)),""))</x:f>
      </x:c>
      <x:c r="F416" t="str">
        <x:f>IF(F$1="","",IFERROR(INDEX('包络曲线数据'!$B$2:$U$742,ROW()-1,MATCH(F$1,'包络曲线数据'!$B$1:$U$1,0)),""))</x:f>
      </x:c>
      <x:c r="G416" t="str">
        <x:f>IF(G$1="","",IFERROR(INDEX('包络曲线数据'!$B$2:$U$742,ROW()-1,MATCH(G$1,'包络曲线数据'!$B$1:$U$1,0)),""))</x:f>
      </x:c>
    </x:row>
    <x:row r="417">
      <x:c r="A417" t="n">
        <x:v>41.5</x:v>
      </x:c>
      <x:c r="B417" t="n">
        <x:f>IF(B$1="","",IFERROR(INDEX('包络曲线数据'!$B$2:$U$742,ROW()-1,MATCH(B$1,'包络曲线数据'!$B$1:$U$1,0)),""))</x:f>
        <x:v>85.78565232839635</x:v>
      </x:c>
      <x:c r="C417" t="n">
        <x:f>IF(C$1="","",IFERROR(INDEX('包络曲线数据'!$B$2:$U$742,ROW()-1,MATCH(C$1,'包络曲线数据'!$B$1:$U$1,0)),""))</x:f>
        <x:v>64.83602795714444</x:v>
      </x:c>
      <x:c r="D417" t="str">
        <x:f>IF(D$1="","",IFERROR(INDEX('包络曲线数据'!$B$2:$U$742,ROW()-1,MATCH(D$1,'包络曲线数据'!$B$1:$U$1,0)),""))</x:f>
      </x:c>
      <x:c r="E417" t="str">
        <x:f>IF(E$1="","",IFERROR(INDEX('包络曲线数据'!$B$2:$U$742,ROW()-1,MATCH(E$1,'包络曲线数据'!$B$1:$U$1,0)),""))</x:f>
      </x:c>
      <x:c r="F417" t="str">
        <x:f>IF(F$1="","",IFERROR(INDEX('包络曲线数据'!$B$2:$U$742,ROW()-1,MATCH(F$1,'包络曲线数据'!$B$1:$U$1,0)),""))</x:f>
      </x:c>
      <x:c r="G417" t="str">
        <x:f>IF(G$1="","",IFERROR(INDEX('包络曲线数据'!$B$2:$U$742,ROW()-1,MATCH(G$1,'包络曲线数据'!$B$1:$U$1,0)),""))</x:f>
      </x:c>
    </x:row>
    <x:row r="418">
      <x:c r="A418" t="n">
        <x:v>41.6</x:v>
      </x:c>
      <x:c r="B418" t="n">
        <x:f>IF(B$1="","",IFERROR(INDEX('包络曲线数据'!$B$2:$U$742,ROW()-1,MATCH(B$1,'包络曲线数据'!$B$1:$U$1,0)),""))</x:f>
        <x:v>85.78565232839635</x:v>
      </x:c>
      <x:c r="C418" t="n">
        <x:f>IF(C$1="","",IFERROR(INDEX('包络曲线数据'!$B$2:$U$742,ROW()-1,MATCH(C$1,'包络曲线数据'!$B$1:$U$1,0)),""))</x:f>
        <x:v>64.91161722581447</x:v>
      </x:c>
      <x:c r="D418" t="str">
        <x:f>IF(D$1="","",IFERROR(INDEX('包络曲线数据'!$B$2:$U$742,ROW()-1,MATCH(D$1,'包络曲线数据'!$B$1:$U$1,0)),""))</x:f>
      </x:c>
      <x:c r="E418" t="str">
        <x:f>IF(E$1="","",IFERROR(INDEX('包络曲线数据'!$B$2:$U$742,ROW()-1,MATCH(E$1,'包络曲线数据'!$B$1:$U$1,0)),""))</x:f>
      </x:c>
      <x:c r="F418" t="str">
        <x:f>IF(F$1="","",IFERROR(INDEX('包络曲线数据'!$B$2:$U$742,ROW()-1,MATCH(F$1,'包络曲线数据'!$B$1:$U$1,0)),""))</x:f>
      </x:c>
      <x:c r="G418" t="str">
        <x:f>IF(G$1="","",IFERROR(INDEX('包络曲线数据'!$B$2:$U$742,ROW()-1,MATCH(G$1,'包络曲线数据'!$B$1:$U$1,0)),""))</x:f>
      </x:c>
    </x:row>
    <x:row r="419">
      <x:c r="A419" t="n">
        <x:v>41.7</x:v>
      </x:c>
      <x:c r="B419" t="n">
        <x:f>IF(B$1="","",IFERROR(INDEX('包络曲线数据'!$B$2:$U$742,ROW()-1,MATCH(B$1,'包络曲线数据'!$B$1:$U$1,0)),""))</x:f>
        <x:v>76.10277564862746</x:v>
      </x:c>
      <x:c r="C419" t="n">
        <x:f>IF(C$1="","",IFERROR(INDEX('包络曲线数据'!$B$2:$U$742,ROW()-1,MATCH(C$1,'包络曲线数据'!$B$1:$U$1,0)),""))</x:f>
        <x:v>64.79639025298756</x:v>
      </x:c>
      <x:c r="D419" t="str">
        <x:f>IF(D$1="","",IFERROR(INDEX('包络曲线数据'!$B$2:$U$742,ROW()-1,MATCH(D$1,'包络曲线数据'!$B$1:$U$1,0)),""))</x:f>
      </x:c>
      <x:c r="E419" t="str">
        <x:f>IF(E$1="","",IFERROR(INDEX('包络曲线数据'!$B$2:$U$742,ROW()-1,MATCH(E$1,'包络曲线数据'!$B$1:$U$1,0)),""))</x:f>
      </x:c>
      <x:c r="F419" t="str">
        <x:f>IF(F$1="","",IFERROR(INDEX('包络曲线数据'!$B$2:$U$742,ROW()-1,MATCH(F$1,'包络曲线数据'!$B$1:$U$1,0)),""))</x:f>
      </x:c>
      <x:c r="G419" t="str">
        <x:f>IF(G$1="","",IFERROR(INDEX('包络曲线数据'!$B$2:$U$742,ROW()-1,MATCH(G$1,'包络曲线数据'!$B$1:$U$1,0)),""))</x:f>
      </x:c>
    </x:row>
    <x:row r="420">
      <x:c r="A420" t="n">
        <x:v>41.800000000000004</x:v>
      </x:c>
      <x:c r="B420" t="n">
        <x:f>IF(B$1="","",IFERROR(INDEX('包络曲线数据'!$B$2:$U$742,ROW()-1,MATCH(B$1,'包络曲线数据'!$B$1:$U$1,0)),""))</x:f>
        <x:v>68.96787153183172</x:v>
      </x:c>
      <x:c r="C420" t="n">
        <x:f>IF(C$1="","",IFERROR(INDEX('包络曲线数据'!$B$2:$U$742,ROW()-1,MATCH(C$1,'包络曲线数据'!$B$1:$U$1,0)),""))</x:f>
        <x:v>63.0518254395384</x:v>
      </x:c>
      <x:c r="D420" t="str">
        <x:f>IF(D$1="","",IFERROR(INDEX('包络曲线数据'!$B$2:$U$742,ROW()-1,MATCH(D$1,'包络曲线数据'!$B$1:$U$1,0)),""))</x:f>
      </x:c>
      <x:c r="E420" t="str">
        <x:f>IF(E$1="","",IFERROR(INDEX('包络曲线数据'!$B$2:$U$742,ROW()-1,MATCH(E$1,'包络曲线数据'!$B$1:$U$1,0)),""))</x:f>
      </x:c>
      <x:c r="F420" t="str">
        <x:f>IF(F$1="","",IFERROR(INDEX('包络曲线数据'!$B$2:$U$742,ROW()-1,MATCH(F$1,'包络曲线数据'!$B$1:$U$1,0)),""))</x:f>
      </x:c>
      <x:c r="G420" t="str">
        <x:f>IF(G$1="","",IFERROR(INDEX('包络曲线数据'!$B$2:$U$742,ROW()-1,MATCH(G$1,'包络曲线数据'!$B$1:$U$1,0)),""))</x:f>
      </x:c>
    </x:row>
    <x:row r="421">
      <x:c r="A421" t="n">
        <x:v>41.900000000000006</x:v>
      </x:c>
      <x:c r="B421" t="n">
        <x:f>IF(B$1="","",IFERROR(INDEX('包络曲线数据'!$B$2:$U$742,ROW()-1,MATCH(B$1,'包络曲线数据'!$B$1:$U$1,0)),""))</x:f>
        <x:v>68.49671953454327</x:v>
      </x:c>
      <x:c r="C421" t="n">
        <x:f>IF(C$1="","",IFERROR(INDEX('包络曲线数据'!$B$2:$U$742,ROW()-1,MATCH(C$1,'包络曲线数据'!$B$1:$U$1,0)),""))</x:f>
        <x:v>63.05182543953823</x:v>
      </x:c>
      <x:c r="D421" t="str">
        <x:f>IF(D$1="","",IFERROR(INDEX('包络曲线数据'!$B$2:$U$742,ROW()-1,MATCH(D$1,'包络曲线数据'!$B$1:$U$1,0)),""))</x:f>
      </x:c>
      <x:c r="E421" t="str">
        <x:f>IF(E$1="","",IFERROR(INDEX('包络曲线数据'!$B$2:$U$742,ROW()-1,MATCH(E$1,'包络曲线数据'!$B$1:$U$1,0)),""))</x:f>
      </x:c>
      <x:c r="F421" t="str">
        <x:f>IF(F$1="","",IFERROR(INDEX('包络曲线数据'!$B$2:$U$742,ROW()-1,MATCH(F$1,'包络曲线数据'!$B$1:$U$1,0)),""))</x:f>
      </x:c>
      <x:c r="G421" t="str">
        <x:f>IF(G$1="","",IFERROR(INDEX('包络曲线数据'!$B$2:$U$742,ROW()-1,MATCH(G$1,'包络曲线数据'!$B$1:$U$1,0)),""))</x:f>
      </x:c>
    </x:row>
    <x:row r="422">
      <x:c r="A422" t="n">
        <x:v>42</x:v>
      </x:c>
      <x:c r="B422" t="n">
        <x:f>IF(B$1="","",IFERROR(INDEX('包络曲线数据'!$B$2:$U$742,ROW()-1,MATCH(B$1,'包络曲线数据'!$B$1:$U$1,0)),""))</x:f>
        <x:v>62.411881279744065</x:v>
      </x:c>
      <x:c r="C422" t="n">
        <x:f>IF(C$1="","",IFERROR(INDEX('包络曲线数据'!$B$2:$U$742,ROW()-1,MATCH(C$1,'包络曲线数据'!$B$1:$U$1,0)),""))</x:f>
        <x:v>62.397036481490645</x:v>
      </x:c>
      <x:c r="D422" t="str">
        <x:f>IF(D$1="","",IFERROR(INDEX('包络曲线数据'!$B$2:$U$742,ROW()-1,MATCH(D$1,'包络曲线数据'!$B$1:$U$1,0)),""))</x:f>
      </x:c>
      <x:c r="E422" t="str">
        <x:f>IF(E$1="","",IFERROR(INDEX('包络曲线数据'!$B$2:$U$742,ROW()-1,MATCH(E$1,'包络曲线数据'!$B$1:$U$1,0)),""))</x:f>
      </x:c>
      <x:c r="F422" t="str">
        <x:f>IF(F$1="","",IFERROR(INDEX('包络曲线数据'!$B$2:$U$742,ROW()-1,MATCH(F$1,'包络曲线数据'!$B$1:$U$1,0)),""))</x:f>
      </x:c>
      <x:c r="G422" t="str">
        <x:f>IF(G$1="","",IFERROR(INDEX('包络曲线数据'!$B$2:$U$742,ROW()-1,MATCH(G$1,'包络曲线数据'!$B$1:$U$1,0)),""))</x:f>
      </x:c>
    </x:row>
    <x:row r="423">
      <x:c r="A423" t="n">
        <x:v>42.1</x:v>
      </x:c>
      <x:c r="B423" t="n">
        <x:f>IF(B$1="","",IFERROR(INDEX('包络曲线数据'!$B$2:$U$742,ROW()-1,MATCH(B$1,'包络曲线数据'!$B$1:$U$1,0)),""))</x:f>
        <x:v>60.440222021788</x:v>
      </x:c>
      <x:c r="C423" t="n">
        <x:f>IF(C$1="","",IFERROR(INDEX('包络曲线数据'!$B$2:$U$742,ROW()-1,MATCH(C$1,'包络曲线数据'!$B$1:$U$1,0)),""))</x:f>
        <x:v>61.70828317990199</x:v>
      </x:c>
      <x:c r="D423" t="str">
        <x:f>IF(D$1="","",IFERROR(INDEX('包络曲线数据'!$B$2:$U$742,ROW()-1,MATCH(D$1,'包络曲线数据'!$B$1:$U$1,0)),""))</x:f>
      </x:c>
      <x:c r="E423" t="str">
        <x:f>IF(E$1="","",IFERROR(INDEX('包络曲线数据'!$B$2:$U$742,ROW()-1,MATCH(E$1,'包络曲线数据'!$B$1:$U$1,0)),""))</x:f>
      </x:c>
      <x:c r="F423" t="str">
        <x:f>IF(F$1="","",IFERROR(INDEX('包络曲线数据'!$B$2:$U$742,ROW()-1,MATCH(F$1,'包络曲线数据'!$B$1:$U$1,0)),""))</x:f>
      </x:c>
      <x:c r="G423" t="str">
        <x:f>IF(G$1="","",IFERROR(INDEX('包络曲线数据'!$B$2:$U$742,ROW()-1,MATCH(G$1,'包络曲线数据'!$B$1:$U$1,0)),""))</x:f>
      </x:c>
    </x:row>
    <x:row r="424">
      <x:c r="A424" t="n">
        <x:v>42.2</x:v>
      </x:c>
      <x:c r="B424" t="n">
        <x:f>IF(B$1="","",IFERROR(INDEX('包络曲线数据'!$B$2:$U$742,ROW()-1,MATCH(B$1,'包络曲线数据'!$B$1:$U$1,0)),""))</x:f>
        <x:v>60.77659111138742</x:v>
      </x:c>
      <x:c r="C424" t="n">
        <x:f>IF(C$1="","",IFERROR(INDEX('包络曲线数据'!$B$2:$U$742,ROW()-1,MATCH(C$1,'包络曲线数据'!$B$1:$U$1,0)),""))</x:f>
        <x:v>64.64765732520691</x:v>
      </x:c>
      <x:c r="D424" t="str">
        <x:f>IF(D$1="","",IFERROR(INDEX('包络曲线数据'!$B$2:$U$742,ROW()-1,MATCH(D$1,'包络曲线数据'!$B$1:$U$1,0)),""))</x:f>
      </x:c>
      <x:c r="E424" t="str">
        <x:f>IF(E$1="","",IFERROR(INDEX('包络曲线数据'!$B$2:$U$742,ROW()-1,MATCH(E$1,'包络曲线数据'!$B$1:$U$1,0)),""))</x:f>
      </x:c>
      <x:c r="F424" t="str">
        <x:f>IF(F$1="","",IFERROR(INDEX('包络曲线数据'!$B$2:$U$742,ROW()-1,MATCH(F$1,'包络曲线数据'!$B$1:$U$1,0)),""))</x:f>
      </x:c>
      <x:c r="G424" t="str">
        <x:f>IF(G$1="","",IFERROR(INDEX('包络曲线数据'!$B$2:$U$742,ROW()-1,MATCH(G$1,'包络曲线数据'!$B$1:$U$1,0)),""))</x:f>
      </x:c>
    </x:row>
    <x:row r="425">
      <x:c r="A425" t="n">
        <x:v>42.300000000000004</x:v>
      </x:c>
      <x:c r="B425" t="n">
        <x:f>IF(B$1="","",IFERROR(INDEX('包络曲线数据'!$B$2:$U$742,ROW()-1,MATCH(B$1,'包络曲线数据'!$B$1:$U$1,0)),""))</x:f>
        <x:v>60.776591111386224</x:v>
      </x:c>
      <x:c r="C425" t="n">
        <x:f>IF(C$1="","",IFERROR(INDEX('包络曲线数据'!$B$2:$U$742,ROW()-1,MATCH(C$1,'包络曲线数据'!$B$1:$U$1,0)),""))</x:f>
        <x:v>64.64765732520752</x:v>
      </x:c>
      <x:c r="D425" t="str">
        <x:f>IF(D$1="","",IFERROR(INDEX('包络曲线数据'!$B$2:$U$742,ROW()-1,MATCH(D$1,'包络曲线数据'!$B$1:$U$1,0)),""))</x:f>
      </x:c>
      <x:c r="E425" t="str">
        <x:f>IF(E$1="","",IFERROR(INDEX('包络曲线数据'!$B$2:$U$742,ROW()-1,MATCH(E$1,'包络曲线数据'!$B$1:$U$1,0)),""))</x:f>
      </x:c>
      <x:c r="F425" t="str">
        <x:f>IF(F$1="","",IFERROR(INDEX('包络曲线数据'!$B$2:$U$742,ROW()-1,MATCH(F$1,'包络曲线数据'!$B$1:$U$1,0)),""))</x:f>
      </x:c>
      <x:c r="G425" t="str">
        <x:f>IF(G$1="","",IFERROR(INDEX('包络曲线数据'!$B$2:$U$742,ROW()-1,MATCH(G$1,'包络曲线数据'!$B$1:$U$1,0)),""))</x:f>
      </x:c>
    </x:row>
    <x:row r="426">
      <x:c r="A426" t="n">
        <x:v>42.400000000000006</x:v>
      </x:c>
      <x:c r="B426" t="n">
        <x:f>IF(B$1="","",IFERROR(INDEX('包络曲线数据'!$B$2:$U$742,ROW()-1,MATCH(B$1,'包络曲线数据'!$B$1:$U$1,0)),""))</x:f>
        <x:v>51.595284178115094</x:v>
      </x:c>
      <x:c r="C426" t="n">
        <x:f>IF(C$1="","",IFERROR(INDEX('包络曲线数据'!$B$2:$U$742,ROW()-1,MATCH(C$1,'包络曲线数据'!$B$1:$U$1,0)),""))</x:f>
        <x:v>67.1801336643487</x:v>
      </x:c>
      <x:c r="D426" t="str">
        <x:f>IF(D$1="","",IFERROR(INDEX('包络曲线数据'!$B$2:$U$742,ROW()-1,MATCH(D$1,'包络曲线数据'!$B$1:$U$1,0)),""))</x:f>
      </x:c>
      <x:c r="E426" t="str">
        <x:f>IF(E$1="","",IFERROR(INDEX('包络曲线数据'!$B$2:$U$742,ROW()-1,MATCH(E$1,'包络曲线数据'!$B$1:$U$1,0)),""))</x:f>
      </x:c>
      <x:c r="F426" t="str">
        <x:f>IF(F$1="","",IFERROR(INDEX('包络曲线数据'!$B$2:$U$742,ROW()-1,MATCH(F$1,'包络曲线数据'!$B$1:$U$1,0)),""))</x:f>
      </x:c>
      <x:c r="G426" t="str">
        <x:f>IF(G$1="","",IFERROR(INDEX('包络曲线数据'!$B$2:$U$742,ROW()-1,MATCH(G$1,'包络曲线数据'!$B$1:$U$1,0)),""))</x:f>
      </x:c>
    </x:row>
    <x:row r="427">
      <x:c r="A427" t="n">
        <x:v>42.5</x:v>
      </x:c>
      <x:c r="B427" t="n">
        <x:f>IF(B$1="","",IFERROR(INDEX('包络曲线数据'!$B$2:$U$742,ROW()-1,MATCH(B$1,'包络曲线数据'!$B$1:$U$1,0)),""))</x:f>
        <x:v>76.11305402871731</x:v>
      </x:c>
      <x:c r="C427" t="n">
        <x:f>IF(C$1="","",IFERROR(INDEX('包络曲线数据'!$B$2:$U$742,ROW()-1,MATCH(C$1,'包络曲线数据'!$B$1:$U$1,0)),""))</x:f>
        <x:v>90.12526219758702</x:v>
      </x:c>
      <x:c r="D427" t="str">
        <x:f>IF(D$1="","",IFERROR(INDEX('包络曲线数据'!$B$2:$U$742,ROW()-1,MATCH(D$1,'包络曲线数据'!$B$1:$U$1,0)),""))</x:f>
      </x:c>
      <x:c r="E427" t="str">
        <x:f>IF(E$1="","",IFERROR(INDEX('包络曲线数据'!$B$2:$U$742,ROW()-1,MATCH(E$1,'包络曲线数据'!$B$1:$U$1,0)),""))</x:f>
      </x:c>
      <x:c r="F427" t="str">
        <x:f>IF(F$1="","",IFERROR(INDEX('包络曲线数据'!$B$2:$U$742,ROW()-1,MATCH(F$1,'包络曲线数据'!$B$1:$U$1,0)),""))</x:f>
      </x:c>
      <x:c r="G427" t="str">
        <x:f>IF(G$1="","",IFERROR(INDEX('包络曲线数据'!$B$2:$U$742,ROW()-1,MATCH(G$1,'包络曲线数据'!$B$1:$U$1,0)),""))</x:f>
      </x:c>
    </x:row>
    <x:row r="428">
      <x:c r="A428" t="n">
        <x:v>42.6</x:v>
      </x:c>
      <x:c r="B428" t="n">
        <x:f>IF(B$1="","",IFERROR(INDEX('包络曲线数据'!$B$2:$U$742,ROW()-1,MATCH(B$1,'包络曲线数据'!$B$1:$U$1,0)),""))</x:f>
        <x:v>77.94626054344806</x:v>
      </x:c>
      <x:c r="C428" t="n">
        <x:f>IF(C$1="","",IFERROR(INDEX('包络曲线数据'!$B$2:$U$742,ROW()-1,MATCH(C$1,'包络曲线数据'!$B$1:$U$1,0)),""))</x:f>
        <x:v>90.12526219758702</x:v>
      </x:c>
      <x:c r="D428" t="str">
        <x:f>IF(D$1="","",IFERROR(INDEX('包络曲线数据'!$B$2:$U$742,ROW()-1,MATCH(D$1,'包络曲线数据'!$B$1:$U$1,0)),""))</x:f>
      </x:c>
      <x:c r="E428" t="str">
        <x:f>IF(E$1="","",IFERROR(INDEX('包络曲线数据'!$B$2:$U$742,ROW()-1,MATCH(E$1,'包络曲线数据'!$B$1:$U$1,0)),""))</x:f>
      </x:c>
      <x:c r="F428" t="str">
        <x:f>IF(F$1="","",IFERROR(INDEX('包络曲线数据'!$B$2:$U$742,ROW()-1,MATCH(F$1,'包络曲线数据'!$B$1:$U$1,0)),""))</x:f>
      </x:c>
      <x:c r="G428" t="str">
        <x:f>IF(G$1="","",IFERROR(INDEX('包络曲线数据'!$B$2:$U$742,ROW()-1,MATCH(G$1,'包络曲线数据'!$B$1:$U$1,0)),""))</x:f>
      </x:c>
    </x:row>
    <x:row r="429">
      <x:c r="A429" t="n">
        <x:v>42.7</x:v>
      </x:c>
      <x:c r="B429" t="n">
        <x:f>IF(B$1="","",IFERROR(INDEX('包络曲线数据'!$B$2:$U$742,ROW()-1,MATCH(B$1,'包络曲线数据'!$B$1:$U$1,0)),""))</x:f>
        <x:v>77.94626054344806</x:v>
      </x:c>
      <x:c r="C429" t="n">
        <x:f>IF(C$1="","",IFERROR(INDEX('包络曲线数据'!$B$2:$U$742,ROW()-1,MATCH(C$1,'包络曲线数据'!$B$1:$U$1,0)),""))</x:f>
        <x:v>86.32211608463176</x:v>
      </x:c>
      <x:c r="D429" t="str">
        <x:f>IF(D$1="","",IFERROR(INDEX('包络曲线数据'!$B$2:$U$742,ROW()-1,MATCH(D$1,'包络曲线数据'!$B$1:$U$1,0)),""))</x:f>
      </x:c>
      <x:c r="E429" t="str">
        <x:f>IF(E$1="","",IFERROR(INDEX('包络曲线数据'!$B$2:$U$742,ROW()-1,MATCH(E$1,'包络曲线数据'!$B$1:$U$1,0)),""))</x:f>
      </x:c>
      <x:c r="F429" t="str">
        <x:f>IF(F$1="","",IFERROR(INDEX('包络曲线数据'!$B$2:$U$742,ROW()-1,MATCH(F$1,'包络曲线数据'!$B$1:$U$1,0)),""))</x:f>
      </x:c>
      <x:c r="G429" t="str">
        <x:f>IF(G$1="","",IFERROR(INDEX('包络曲线数据'!$B$2:$U$742,ROW()-1,MATCH(G$1,'包络曲线数据'!$B$1:$U$1,0)),""))</x:f>
      </x:c>
    </x:row>
    <x:row r="430">
      <x:c r="A430" t="n">
        <x:v>42.800000000000004</x:v>
      </x:c>
      <x:c r="B430" t="n">
        <x:f>IF(B$1="","",IFERROR(INDEX('包络曲线数据'!$B$2:$U$742,ROW()-1,MATCH(B$1,'包络曲线数据'!$B$1:$U$1,0)),""))</x:f>
        <x:v>72.10776078207847</x:v>
      </x:c>
      <x:c r="C430" t="n">
        <x:f>IF(C$1="","",IFERROR(INDEX('包络曲线数据'!$B$2:$U$742,ROW()-1,MATCH(C$1,'包络曲线数据'!$B$1:$U$1,0)),""))</x:f>
        <x:v>77.84078100202585</x:v>
      </x:c>
      <x:c r="D430" t="str">
        <x:f>IF(D$1="","",IFERROR(INDEX('包络曲线数据'!$B$2:$U$742,ROW()-1,MATCH(D$1,'包络曲线数据'!$B$1:$U$1,0)),""))</x:f>
      </x:c>
      <x:c r="E430" t="str">
        <x:f>IF(E$1="","",IFERROR(INDEX('包络曲线数据'!$B$2:$U$742,ROW()-1,MATCH(E$1,'包络曲线数据'!$B$1:$U$1,0)),""))</x:f>
      </x:c>
      <x:c r="F430" t="str">
        <x:f>IF(F$1="","",IFERROR(INDEX('包络曲线数据'!$B$2:$U$742,ROW()-1,MATCH(F$1,'包络曲线数据'!$B$1:$U$1,0)),""))</x:f>
      </x:c>
      <x:c r="G430" t="str">
        <x:f>IF(G$1="","",IFERROR(INDEX('包络曲线数据'!$B$2:$U$742,ROW()-1,MATCH(G$1,'包络曲线数据'!$B$1:$U$1,0)),""))</x:f>
      </x:c>
    </x:row>
    <x:row r="431">
      <x:c r="A431" t="n">
        <x:v>42.900000000000006</x:v>
      </x:c>
      <x:c r="B431" t="n">
        <x:f>IF(B$1="","",IFERROR(INDEX('包络曲线数据'!$B$2:$U$742,ROW()-1,MATCH(B$1,'包络曲线数据'!$B$1:$U$1,0)),""))</x:f>
        <x:v>62.80079118023804</x:v>
      </x:c>
      <x:c r="C431" t="n">
        <x:f>IF(C$1="","",IFERROR(INDEX('包络曲线数据'!$B$2:$U$742,ROW()-1,MATCH(C$1,'包络曲线数据'!$B$1:$U$1,0)),""))</x:f>
        <x:v>76.41081600498876</x:v>
      </x:c>
      <x:c r="D431" t="str">
        <x:f>IF(D$1="","",IFERROR(INDEX('包络曲线数据'!$B$2:$U$742,ROW()-1,MATCH(D$1,'包络曲线数据'!$B$1:$U$1,0)),""))</x:f>
      </x:c>
      <x:c r="E431" t="str">
        <x:f>IF(E$1="","",IFERROR(INDEX('包络曲线数据'!$B$2:$U$742,ROW()-1,MATCH(E$1,'包络曲线数据'!$B$1:$U$1,0)),""))</x:f>
      </x:c>
      <x:c r="F431" t="str">
        <x:f>IF(F$1="","",IFERROR(INDEX('包络曲线数据'!$B$2:$U$742,ROW()-1,MATCH(F$1,'包络曲线数据'!$B$1:$U$1,0)),""))</x:f>
      </x:c>
      <x:c r="G431" t="str">
        <x:f>IF(G$1="","",IFERROR(INDEX('包络曲线数据'!$B$2:$U$742,ROW()-1,MATCH(G$1,'包络曲线数据'!$B$1:$U$1,0)),""))</x:f>
      </x:c>
    </x:row>
    <x:row r="432">
      <x:c r="A432" t="n">
        <x:v>43</x:v>
      </x:c>
      <x:c r="B432" t="n">
        <x:f>IF(B$1="","",IFERROR(INDEX('包络曲线数据'!$B$2:$U$742,ROW()-1,MATCH(B$1,'包络曲线数据'!$B$1:$U$1,0)),""))</x:f>
        <x:v>65.98530100615002</x:v>
      </x:c>
      <x:c r="C432" t="n">
        <x:f>IF(C$1="","",IFERROR(INDEX('包络曲线数据'!$B$2:$U$742,ROW()-1,MATCH(C$1,'包络曲线数据'!$B$1:$U$1,0)),""))</x:f>
        <x:v>74.7155043381057</x:v>
      </x:c>
      <x:c r="D432" t="str">
        <x:f>IF(D$1="","",IFERROR(INDEX('包络曲线数据'!$B$2:$U$742,ROW()-1,MATCH(D$1,'包络曲线数据'!$B$1:$U$1,0)),""))</x:f>
      </x:c>
      <x:c r="E432" t="str">
        <x:f>IF(E$1="","",IFERROR(INDEX('包络曲线数据'!$B$2:$U$742,ROW()-1,MATCH(E$1,'包络曲线数据'!$B$1:$U$1,0)),""))</x:f>
      </x:c>
      <x:c r="F432" t="str">
        <x:f>IF(F$1="","",IFERROR(INDEX('包络曲线数据'!$B$2:$U$742,ROW()-1,MATCH(F$1,'包络曲线数据'!$B$1:$U$1,0)),""))</x:f>
      </x:c>
      <x:c r="G432" t="str">
        <x:f>IF(G$1="","",IFERROR(INDEX('包络曲线数据'!$B$2:$U$742,ROW()-1,MATCH(G$1,'包络曲线数据'!$B$1:$U$1,0)),""))</x:f>
      </x:c>
    </x:row>
    <x:row r="433">
      <x:c r="A433" t="n">
        <x:v>43.1</x:v>
      </x:c>
      <x:c r="B433" t="n">
        <x:f>IF(B$1="","",IFERROR(INDEX('包络曲线数据'!$B$2:$U$742,ROW()-1,MATCH(B$1,'包络曲线数据'!$B$1:$U$1,0)),""))</x:f>
        <x:v>69.06536492256578</x:v>
      </x:c>
      <x:c r="C433" t="n">
        <x:f>IF(C$1="","",IFERROR(INDEX('包络曲线数据'!$B$2:$U$742,ROW()-1,MATCH(C$1,'包络曲线数据'!$B$1:$U$1,0)),""))</x:f>
        <x:v>73.11970541759291</x:v>
      </x:c>
      <x:c r="D433" t="str">
        <x:f>IF(D$1="","",IFERROR(INDEX('包络曲线数据'!$B$2:$U$742,ROW()-1,MATCH(D$1,'包络曲线数据'!$B$1:$U$1,0)),""))</x:f>
      </x:c>
      <x:c r="E433" t="str">
        <x:f>IF(E$1="","",IFERROR(INDEX('包络曲线数据'!$B$2:$U$742,ROW()-1,MATCH(E$1,'包络曲线数据'!$B$1:$U$1,0)),""))</x:f>
      </x:c>
      <x:c r="F433" t="str">
        <x:f>IF(F$1="","",IFERROR(INDEX('包络曲线数据'!$B$2:$U$742,ROW()-1,MATCH(F$1,'包络曲线数据'!$B$1:$U$1,0)),""))</x:f>
      </x:c>
      <x:c r="G433" t="str">
        <x:f>IF(G$1="","",IFERROR(INDEX('包络曲线数据'!$B$2:$U$742,ROW()-1,MATCH(G$1,'包络曲线数据'!$B$1:$U$1,0)),""))</x:f>
      </x:c>
    </x:row>
    <x:row r="434">
      <x:c r="A434" t="n">
        <x:v>43.2</x:v>
      </x:c>
      <x:c r="B434" t="n">
        <x:f>IF(B$1="","",IFERROR(INDEX('包络曲线数据'!$B$2:$U$742,ROW()-1,MATCH(B$1,'包络曲线数据'!$B$1:$U$1,0)),""))</x:f>
        <x:v>69.35609020783224</x:v>
      </x:c>
      <x:c r="C434" t="n">
        <x:f>IF(C$1="","",IFERROR(INDEX('包络曲线数据'!$B$2:$U$742,ROW()-1,MATCH(C$1,'包络曲线数据'!$B$1:$U$1,0)),""))</x:f>
        <x:v>67.70693467898687</x:v>
      </x:c>
      <x:c r="D434" t="str">
        <x:f>IF(D$1="","",IFERROR(INDEX('包络曲线数据'!$B$2:$U$742,ROW()-1,MATCH(D$1,'包络曲线数据'!$B$1:$U$1,0)),""))</x:f>
      </x:c>
      <x:c r="E434" t="str">
        <x:f>IF(E$1="","",IFERROR(INDEX('包络曲线数据'!$B$2:$U$742,ROW()-1,MATCH(E$1,'包络曲线数据'!$B$1:$U$1,0)),""))</x:f>
      </x:c>
      <x:c r="F434" t="str">
        <x:f>IF(F$1="","",IFERROR(INDEX('包络曲线数据'!$B$2:$U$742,ROW()-1,MATCH(F$1,'包络曲线数据'!$B$1:$U$1,0)),""))</x:f>
      </x:c>
      <x:c r="G434" t="str">
        <x:f>IF(G$1="","",IFERROR(INDEX('包络曲线数据'!$B$2:$U$742,ROW()-1,MATCH(G$1,'包络曲线数据'!$B$1:$U$1,0)),""))</x:f>
      </x:c>
    </x:row>
    <x:row r="435">
      <x:c r="A435" t="n">
        <x:v>43.300000000000004</x:v>
      </x:c>
      <x:c r="B435" t="n">
        <x:f>IF(B$1="","",IFERROR(INDEX('包络曲线数据'!$B$2:$U$742,ROW()-1,MATCH(B$1,'包络曲线数据'!$B$1:$U$1,0)),""))</x:f>
        <x:v>71.01926076003659</x:v>
      </x:c>
      <x:c r="C435" t="n">
        <x:f>IF(C$1="","",IFERROR(INDEX('包络曲线数据'!$B$2:$U$742,ROW()-1,MATCH(C$1,'包络曲线数据'!$B$1:$U$1,0)),""))</x:f>
        <x:v>68.29994857498241</x:v>
      </x:c>
      <x:c r="D435" t="str">
        <x:f>IF(D$1="","",IFERROR(INDEX('包络曲线数据'!$B$2:$U$742,ROW()-1,MATCH(D$1,'包络曲线数据'!$B$1:$U$1,0)),""))</x:f>
      </x:c>
      <x:c r="E435" t="str">
        <x:f>IF(E$1="","",IFERROR(INDEX('包络曲线数据'!$B$2:$U$742,ROW()-1,MATCH(E$1,'包络曲线数据'!$B$1:$U$1,0)),""))</x:f>
      </x:c>
      <x:c r="F435" t="str">
        <x:f>IF(F$1="","",IFERROR(INDEX('包络曲线数据'!$B$2:$U$742,ROW()-1,MATCH(F$1,'包络曲线数据'!$B$1:$U$1,0)),""))</x:f>
      </x:c>
      <x:c r="G435" t="str">
        <x:f>IF(G$1="","",IFERROR(INDEX('包络曲线数据'!$B$2:$U$742,ROW()-1,MATCH(G$1,'包络曲线数据'!$B$1:$U$1,0)),""))</x:f>
      </x:c>
    </x:row>
    <x:row r="436">
      <x:c r="A436" t="n">
        <x:v>43.400000000000006</x:v>
      </x:c>
      <x:c r="B436" t="n">
        <x:f>IF(B$1="","",IFERROR(INDEX('包络曲线数据'!$B$2:$U$742,ROW()-1,MATCH(B$1,'包络曲线数据'!$B$1:$U$1,0)),""))</x:f>
        <x:v>71.01926076003659</x:v>
      </x:c>
      <x:c r="C436" t="n">
        <x:f>IF(C$1="","",IFERROR(INDEX('包络曲线数据'!$B$2:$U$742,ROW()-1,MATCH(C$1,'包络曲线数据'!$B$1:$U$1,0)),""))</x:f>
        <x:v>68.29994857498221</x:v>
      </x:c>
      <x:c r="D436" t="str">
        <x:f>IF(D$1="","",IFERROR(INDEX('包络曲线数据'!$B$2:$U$742,ROW()-1,MATCH(D$1,'包络曲线数据'!$B$1:$U$1,0)),""))</x:f>
      </x:c>
      <x:c r="E436" t="str">
        <x:f>IF(E$1="","",IFERROR(INDEX('包络曲线数据'!$B$2:$U$742,ROW()-1,MATCH(E$1,'包络曲线数据'!$B$1:$U$1,0)),""))</x:f>
      </x:c>
      <x:c r="F436" t="str">
        <x:f>IF(F$1="","",IFERROR(INDEX('包络曲线数据'!$B$2:$U$742,ROW()-1,MATCH(F$1,'包络曲线数据'!$B$1:$U$1,0)),""))</x:f>
      </x:c>
      <x:c r="G436" t="str">
        <x:f>IF(G$1="","",IFERROR(INDEX('包络曲线数据'!$B$2:$U$742,ROW()-1,MATCH(G$1,'包络曲线数据'!$B$1:$U$1,0)),""))</x:f>
      </x:c>
    </x:row>
    <x:row r="437">
      <x:c r="A437" t="n">
        <x:v>43.5</x:v>
      </x:c>
      <x:c r="B437" t="n">
        <x:f>IF(B$1="","",IFERROR(INDEX('包络曲线数据'!$B$2:$U$742,ROW()-1,MATCH(B$1,'包络曲线数据'!$B$1:$U$1,0)),""))</x:f>
        <x:v>70.87525917617015</x:v>
      </x:c>
      <x:c r="C437" t="n">
        <x:f>IF(C$1="","",IFERROR(INDEX('包络曲线数据'!$B$2:$U$742,ROW()-1,MATCH(C$1,'包络曲线数据'!$B$1:$U$1,0)),""))</x:f>
        <x:v>64.82669213338141</x:v>
      </x:c>
      <x:c r="D437" t="str">
        <x:f>IF(D$1="","",IFERROR(INDEX('包络曲线数据'!$B$2:$U$742,ROW()-1,MATCH(D$1,'包络曲线数据'!$B$1:$U$1,0)),""))</x:f>
      </x:c>
      <x:c r="E437" t="str">
        <x:f>IF(E$1="","",IFERROR(INDEX('包络曲线数据'!$B$2:$U$742,ROW()-1,MATCH(E$1,'包络曲线数据'!$B$1:$U$1,0)),""))</x:f>
      </x:c>
      <x:c r="F437" t="str">
        <x:f>IF(F$1="","",IFERROR(INDEX('包络曲线数据'!$B$2:$U$742,ROW()-1,MATCH(F$1,'包络曲线数据'!$B$1:$U$1,0)),""))</x:f>
      </x:c>
      <x:c r="G437" t="str">
        <x:f>IF(G$1="","",IFERROR(INDEX('包络曲线数据'!$B$2:$U$742,ROW()-1,MATCH(G$1,'包络曲线数据'!$B$1:$U$1,0)),""))</x:f>
      </x:c>
    </x:row>
    <x:row r="438">
      <x:c r="A438" t="n">
        <x:v>43.6</x:v>
      </x:c>
      <x:c r="B438" t="n">
        <x:f>IF(B$1="","",IFERROR(INDEX('包络曲线数据'!$B$2:$U$742,ROW()-1,MATCH(B$1,'包络曲线数据'!$B$1:$U$1,0)),""))</x:f>
        <x:v>70.87525917617015</x:v>
      </x:c>
      <x:c r="C438" t="n">
        <x:f>IF(C$1="","",IFERROR(INDEX('包络曲线数据'!$B$2:$U$742,ROW()-1,MATCH(C$1,'包络曲线数据'!$B$1:$U$1,0)),""))</x:f>
        <x:v>75.30869211595815</x:v>
      </x:c>
      <x:c r="D438" t="str">
        <x:f>IF(D$1="","",IFERROR(INDEX('包络曲线数据'!$B$2:$U$742,ROW()-1,MATCH(D$1,'包络曲线数据'!$B$1:$U$1,0)),""))</x:f>
      </x:c>
      <x:c r="E438" t="str">
        <x:f>IF(E$1="","",IFERROR(INDEX('包络曲线数据'!$B$2:$U$742,ROW()-1,MATCH(E$1,'包络曲线数据'!$B$1:$U$1,0)),""))</x:f>
      </x:c>
      <x:c r="F438" t="str">
        <x:f>IF(F$1="","",IFERROR(INDEX('包络曲线数据'!$B$2:$U$742,ROW()-1,MATCH(F$1,'包络曲线数据'!$B$1:$U$1,0)),""))</x:f>
      </x:c>
      <x:c r="G438" t="str">
        <x:f>IF(G$1="","",IFERROR(INDEX('包络曲线数据'!$B$2:$U$742,ROW()-1,MATCH(G$1,'包络曲线数据'!$B$1:$U$1,0)),""))</x:f>
      </x:c>
    </x:row>
    <x:row r="439">
      <x:c r="A439" t="n">
        <x:v>43.7</x:v>
      </x:c>
      <x:c r="B439" t="n">
        <x:f>IF(B$1="","",IFERROR(INDEX('包络曲线数据'!$B$2:$U$742,ROW()-1,MATCH(B$1,'包络曲线数据'!$B$1:$U$1,0)),""))</x:f>
        <x:v>70.42209540239708</x:v>
      </x:c>
      <x:c r="C439" t="n">
        <x:f>IF(C$1="","",IFERROR(INDEX('包络曲线数据'!$B$2:$U$742,ROW()-1,MATCH(C$1,'包络曲线数据'!$B$1:$U$1,0)),""))</x:f>
        <x:v>75.30869211595815</x:v>
      </x:c>
      <x:c r="D439" t="str">
        <x:f>IF(D$1="","",IFERROR(INDEX('包络曲线数据'!$B$2:$U$742,ROW()-1,MATCH(D$1,'包络曲线数据'!$B$1:$U$1,0)),""))</x:f>
      </x:c>
      <x:c r="E439" t="str">
        <x:f>IF(E$1="","",IFERROR(INDEX('包络曲线数据'!$B$2:$U$742,ROW()-1,MATCH(E$1,'包络曲线数据'!$B$1:$U$1,0)),""))</x:f>
      </x:c>
      <x:c r="F439" t="str">
        <x:f>IF(F$1="","",IFERROR(INDEX('包络曲线数据'!$B$2:$U$742,ROW()-1,MATCH(F$1,'包络曲线数据'!$B$1:$U$1,0)),""))</x:f>
      </x:c>
      <x:c r="G439" t="str">
        <x:f>IF(G$1="","",IFERROR(INDEX('包络曲线数据'!$B$2:$U$742,ROW()-1,MATCH(G$1,'包络曲线数据'!$B$1:$U$1,0)),""))</x:f>
      </x:c>
    </x:row>
    <x:row r="440">
      <x:c r="A440" t="n">
        <x:v>43.800000000000004</x:v>
      </x:c>
      <x:c r="B440" t="n">
        <x:f>IF(B$1="","",IFERROR(INDEX('包络曲线数据'!$B$2:$U$742,ROW()-1,MATCH(B$1,'包络曲线数据'!$B$1:$U$1,0)),""))</x:f>
        <x:v>70.1769957046726</x:v>
      </x:c>
      <x:c r="C440" t="n">
        <x:f>IF(C$1="","",IFERROR(INDEX('包络曲线数据'!$B$2:$U$742,ROW()-1,MATCH(C$1,'包络曲线数据'!$B$1:$U$1,0)),""))</x:f>
        <x:v>72.04813807108187</x:v>
      </x:c>
      <x:c r="D440" t="str">
        <x:f>IF(D$1="","",IFERROR(INDEX('包络曲线数据'!$B$2:$U$742,ROW()-1,MATCH(D$1,'包络曲线数据'!$B$1:$U$1,0)),""))</x:f>
      </x:c>
      <x:c r="E440" t="str">
        <x:f>IF(E$1="","",IFERROR(INDEX('包络曲线数据'!$B$2:$U$742,ROW()-1,MATCH(E$1,'包络曲线数据'!$B$1:$U$1,0)),""))</x:f>
      </x:c>
      <x:c r="F440" t="str">
        <x:f>IF(F$1="","",IFERROR(INDEX('包络曲线数据'!$B$2:$U$742,ROW()-1,MATCH(F$1,'包络曲线数据'!$B$1:$U$1,0)),""))</x:f>
      </x:c>
      <x:c r="G440" t="str">
        <x:f>IF(G$1="","",IFERROR(INDEX('包络曲线数据'!$B$2:$U$742,ROW()-1,MATCH(G$1,'包络曲线数据'!$B$1:$U$1,0)),""))</x:f>
      </x:c>
    </x:row>
    <x:row r="441">
      <x:c r="A441" t="n">
        <x:v>43.900000000000006</x:v>
      </x:c>
      <x:c r="B441" t="n">
        <x:f>IF(B$1="","",IFERROR(INDEX('包络曲线数据'!$B$2:$U$742,ROW()-1,MATCH(B$1,'包络曲线数据'!$B$1:$U$1,0)),""))</x:f>
        <x:v>70.1769957046726</x:v>
      </x:c>
      <x:c r="C441" t="n">
        <x:f>IF(C$1="","",IFERROR(INDEX('包络曲线数据'!$B$2:$U$742,ROW()-1,MATCH(C$1,'包络曲线数据'!$B$1:$U$1,0)),""))</x:f>
        <x:v>65.02711738386887</x:v>
      </x:c>
      <x:c r="D441" t="str">
        <x:f>IF(D$1="","",IFERROR(INDEX('包络曲线数据'!$B$2:$U$742,ROW()-1,MATCH(D$1,'包络曲线数据'!$B$1:$U$1,0)),""))</x:f>
      </x:c>
      <x:c r="E441" t="str">
        <x:f>IF(E$1="","",IFERROR(INDEX('包络曲线数据'!$B$2:$U$742,ROW()-1,MATCH(E$1,'包络曲线数据'!$B$1:$U$1,0)),""))</x:f>
      </x:c>
      <x:c r="F441" t="str">
        <x:f>IF(F$1="","",IFERROR(INDEX('包络曲线数据'!$B$2:$U$742,ROW()-1,MATCH(F$1,'包络曲线数据'!$B$1:$U$1,0)),""))</x:f>
      </x:c>
      <x:c r="G441" t="str">
        <x:f>IF(G$1="","",IFERROR(INDEX('包络曲线数据'!$B$2:$U$742,ROW()-1,MATCH(G$1,'包络曲线数据'!$B$1:$U$1,0)),""))</x:f>
      </x:c>
    </x:row>
    <x:row r="442">
      <x:c r="A442" t="n">
        <x:v>44</x:v>
      </x:c>
      <x:c r="B442" t="n">
        <x:f>IF(B$1="","",IFERROR(INDEX('包络曲线数据'!$B$2:$U$742,ROW()-1,MATCH(B$1,'包络曲线数据'!$B$1:$U$1,0)),""))</x:f>
        <x:v>69.70398884379053</x:v>
      </x:c>
      <x:c r="C442" t="n">
        <x:f>IF(C$1="","",IFERROR(INDEX('包络曲线数据'!$B$2:$U$742,ROW()-1,MATCH(C$1,'包络曲线数据'!$B$1:$U$1,0)),""))</x:f>
        <x:v>52.39175843351897</x:v>
      </x:c>
      <x:c r="D442" t="str">
        <x:f>IF(D$1="","",IFERROR(INDEX('包络曲线数据'!$B$2:$U$742,ROW()-1,MATCH(D$1,'包络曲线数据'!$B$1:$U$1,0)),""))</x:f>
      </x:c>
      <x:c r="E442" t="str">
        <x:f>IF(E$1="","",IFERROR(INDEX('包络曲线数据'!$B$2:$U$742,ROW()-1,MATCH(E$1,'包络曲线数据'!$B$1:$U$1,0)),""))</x:f>
      </x:c>
      <x:c r="F442" t="str">
        <x:f>IF(F$1="","",IFERROR(INDEX('包络曲线数据'!$B$2:$U$742,ROW()-1,MATCH(F$1,'包络曲线数据'!$B$1:$U$1,0)),""))</x:f>
      </x:c>
      <x:c r="G442" t="str">
        <x:f>IF(G$1="","",IFERROR(INDEX('包络曲线数据'!$B$2:$U$742,ROW()-1,MATCH(G$1,'包络曲线数据'!$B$1:$U$1,0)),""))</x:f>
      </x:c>
    </x:row>
    <x:row r="443">
      <x:c r="A443" t="n">
        <x:v>44.1</x:v>
      </x:c>
      <x:c r="B443" t="n">
        <x:f>IF(B$1="","",IFERROR(INDEX('包络曲线数据'!$B$2:$U$742,ROW()-1,MATCH(B$1,'包络曲线数据'!$B$1:$U$1,0)),""))</x:f>
        <x:v>70.25697705915165</x:v>
      </x:c>
      <x:c r="C443" t="n">
        <x:f>IF(C$1="","",IFERROR(INDEX('包络曲线数据'!$B$2:$U$742,ROW()-1,MATCH(C$1,'包络曲线数据'!$B$1:$U$1,0)),""))</x:f>
        <x:v>53.226552231697596</x:v>
      </x:c>
      <x:c r="D443" t="str">
        <x:f>IF(D$1="","",IFERROR(INDEX('包络曲线数据'!$B$2:$U$742,ROW()-1,MATCH(D$1,'包络曲线数据'!$B$1:$U$1,0)),""))</x:f>
      </x:c>
      <x:c r="E443" t="str">
        <x:f>IF(E$1="","",IFERROR(INDEX('包络曲线数据'!$B$2:$U$742,ROW()-1,MATCH(E$1,'包络曲线数据'!$B$1:$U$1,0)),""))</x:f>
      </x:c>
      <x:c r="F443" t="str">
        <x:f>IF(F$1="","",IFERROR(INDEX('包络曲线数据'!$B$2:$U$742,ROW()-1,MATCH(F$1,'包络曲线数据'!$B$1:$U$1,0)),""))</x:f>
      </x:c>
      <x:c r="G443" t="str">
        <x:f>IF(G$1="","",IFERROR(INDEX('包络曲线数据'!$B$2:$U$742,ROW()-1,MATCH(G$1,'包络曲线数据'!$B$1:$U$1,0)),""))</x:f>
      </x:c>
    </x:row>
    <x:row r="444">
      <x:c r="A444" t="n">
        <x:v>44.2</x:v>
      </x:c>
      <x:c r="B444" t="n">
        <x:f>IF(B$1="","",IFERROR(INDEX('包络曲线数据'!$B$2:$U$742,ROW()-1,MATCH(B$1,'包络曲线数据'!$B$1:$U$1,0)),""))</x:f>
        <x:v>81.87584402513266</x:v>
      </x:c>
      <x:c r="C444" t="n">
        <x:f>IF(C$1="","",IFERROR(INDEX('包络曲线数据'!$B$2:$U$742,ROW()-1,MATCH(C$1,'包络曲线数据'!$B$1:$U$1,0)),""))</x:f>
        <x:v>64.34106641840997</x:v>
      </x:c>
      <x:c r="D444" t="str">
        <x:f>IF(D$1="","",IFERROR(INDEX('包络曲线数据'!$B$2:$U$742,ROW()-1,MATCH(D$1,'包络曲线数据'!$B$1:$U$1,0)),""))</x:f>
      </x:c>
      <x:c r="E444" t="str">
        <x:f>IF(E$1="","",IFERROR(INDEX('包络曲线数据'!$B$2:$U$742,ROW()-1,MATCH(E$1,'包络曲线数据'!$B$1:$U$1,0)),""))</x:f>
      </x:c>
      <x:c r="F444" t="str">
        <x:f>IF(F$1="","",IFERROR(INDEX('包络曲线数据'!$B$2:$U$742,ROW()-1,MATCH(F$1,'包络曲线数据'!$B$1:$U$1,0)),""))</x:f>
      </x:c>
      <x:c r="G444" t="str">
        <x:f>IF(G$1="","",IFERROR(INDEX('包络曲线数据'!$B$2:$U$742,ROW()-1,MATCH(G$1,'包络曲线数据'!$B$1:$U$1,0)),""))</x:f>
      </x:c>
    </x:row>
    <x:row r="445">
      <x:c r="A445" t="n">
        <x:v>44.300000000000004</x:v>
      </x:c>
      <x:c r="B445" t="n">
        <x:f>IF(B$1="","",IFERROR(INDEX('包络曲线数据'!$B$2:$U$742,ROW()-1,MATCH(B$1,'包络曲线数据'!$B$1:$U$1,0)),""))</x:f>
        <x:v>81.87584402513266</x:v>
      </x:c>
      <x:c r="C445" t="n">
        <x:f>IF(C$1="","",IFERROR(INDEX('包络曲线数据'!$B$2:$U$742,ROW()-1,MATCH(C$1,'包络曲线数据'!$B$1:$U$1,0)),""))</x:f>
        <x:v>65.99893246344871</x:v>
      </x:c>
      <x:c r="D445" t="str">
        <x:f>IF(D$1="","",IFERROR(INDEX('包络曲线数据'!$B$2:$U$742,ROW()-1,MATCH(D$1,'包络曲线数据'!$B$1:$U$1,0)),""))</x:f>
      </x:c>
      <x:c r="E445" t="str">
        <x:f>IF(E$1="","",IFERROR(INDEX('包络曲线数据'!$B$2:$U$742,ROW()-1,MATCH(E$1,'包络曲线数据'!$B$1:$U$1,0)),""))</x:f>
      </x:c>
      <x:c r="F445" t="str">
        <x:f>IF(F$1="","",IFERROR(INDEX('包络曲线数据'!$B$2:$U$742,ROW()-1,MATCH(F$1,'包络曲线数据'!$B$1:$U$1,0)),""))</x:f>
      </x:c>
      <x:c r="G445" t="str">
        <x:f>IF(G$1="","",IFERROR(INDEX('包络曲线数据'!$B$2:$U$742,ROW()-1,MATCH(G$1,'包络曲线数据'!$B$1:$U$1,0)),""))</x:f>
      </x:c>
    </x:row>
    <x:row r="446">
      <x:c r="A446" t="n">
        <x:v>44.400000000000006</x:v>
      </x:c>
      <x:c r="B446" t="n">
        <x:f>IF(B$1="","",IFERROR(INDEX('包络曲线数据'!$B$2:$U$742,ROW()-1,MATCH(B$1,'包络曲线数据'!$B$1:$U$1,0)),""))</x:f>
        <x:v>74.05147158440465</x:v>
      </x:c>
      <x:c r="C446" t="n">
        <x:f>IF(C$1="","",IFERROR(INDEX('包络曲线数据'!$B$2:$U$742,ROW()-1,MATCH(C$1,'包络曲线数据'!$B$1:$U$1,0)),""))</x:f>
        <x:v>65.74221153109724</x:v>
      </x:c>
      <x:c r="D446" t="str">
        <x:f>IF(D$1="","",IFERROR(INDEX('包络曲线数据'!$B$2:$U$742,ROW()-1,MATCH(D$1,'包络曲线数据'!$B$1:$U$1,0)),""))</x:f>
      </x:c>
      <x:c r="E446" t="str">
        <x:f>IF(E$1="","",IFERROR(INDEX('包络曲线数据'!$B$2:$U$742,ROW()-1,MATCH(E$1,'包络曲线数据'!$B$1:$U$1,0)),""))</x:f>
      </x:c>
      <x:c r="F446" t="str">
        <x:f>IF(F$1="","",IFERROR(INDEX('包络曲线数据'!$B$2:$U$742,ROW()-1,MATCH(F$1,'包络曲线数据'!$B$1:$U$1,0)),""))</x:f>
      </x:c>
      <x:c r="G446" t="str">
        <x:f>IF(G$1="","",IFERROR(INDEX('包络曲线数据'!$B$2:$U$742,ROW()-1,MATCH(G$1,'包络曲线数据'!$B$1:$U$1,0)),""))</x:f>
      </x:c>
    </x:row>
    <x:row r="447">
      <x:c r="A447" t="n">
        <x:v>44.5</x:v>
      </x:c>
      <x:c r="B447" t="n">
        <x:f>IF(B$1="","",IFERROR(INDEX('包络曲线数据'!$B$2:$U$742,ROW()-1,MATCH(B$1,'包络曲线数据'!$B$1:$U$1,0)),""))</x:f>
        <x:v>64.23036197351323</x:v>
      </x:c>
      <x:c r="C447" t="n">
        <x:f>IF(C$1="","",IFERROR(INDEX('包络曲线数据'!$B$2:$U$742,ROW()-1,MATCH(C$1,'包络曲线数据'!$B$1:$U$1,0)),""))</x:f>
        <x:v>63.16202077341507</x:v>
      </x:c>
      <x:c r="D447" t="str">
        <x:f>IF(D$1="","",IFERROR(INDEX('包络曲线数据'!$B$2:$U$742,ROW()-1,MATCH(D$1,'包络曲线数据'!$B$1:$U$1,0)),""))</x:f>
      </x:c>
      <x:c r="E447" t="str">
        <x:f>IF(E$1="","",IFERROR(INDEX('包络曲线数据'!$B$2:$U$742,ROW()-1,MATCH(E$1,'包络曲线数据'!$B$1:$U$1,0)),""))</x:f>
      </x:c>
      <x:c r="F447" t="str">
        <x:f>IF(F$1="","",IFERROR(INDEX('包络曲线数据'!$B$2:$U$742,ROW()-1,MATCH(F$1,'包络曲线数据'!$B$1:$U$1,0)),""))</x:f>
      </x:c>
      <x:c r="G447" t="str">
        <x:f>IF(G$1="","",IFERROR(INDEX('包络曲线数据'!$B$2:$U$742,ROW()-1,MATCH(G$1,'包络曲线数据'!$B$1:$U$1,0)),""))</x:f>
      </x:c>
    </x:row>
    <x:row r="448">
      <x:c r="A448" t="n">
        <x:v>44.6</x:v>
      </x:c>
      <x:c r="B448" t="n">
        <x:f>IF(B$1="","",IFERROR(INDEX('包络曲线数据'!$B$2:$U$742,ROW()-1,MATCH(B$1,'包络曲线数据'!$B$1:$U$1,0)),""))</x:f>
        <x:v>62.747875474675496</x:v>
      </x:c>
      <x:c r="C448" t="n">
        <x:f>IF(C$1="","",IFERROR(INDEX('包络曲线数据'!$B$2:$U$742,ROW()-1,MATCH(C$1,'包络曲线数据'!$B$1:$U$1,0)),""))</x:f>
        <x:v>63.98548723644602</x:v>
      </x:c>
      <x:c r="D448" t="str">
        <x:f>IF(D$1="","",IFERROR(INDEX('包络曲线数据'!$B$2:$U$742,ROW()-1,MATCH(D$1,'包络曲线数据'!$B$1:$U$1,0)),""))</x:f>
      </x:c>
      <x:c r="E448" t="str">
        <x:f>IF(E$1="","",IFERROR(INDEX('包络曲线数据'!$B$2:$U$742,ROW()-1,MATCH(E$1,'包络曲线数据'!$B$1:$U$1,0)),""))</x:f>
      </x:c>
      <x:c r="F448" t="str">
        <x:f>IF(F$1="","",IFERROR(INDEX('包络曲线数据'!$B$2:$U$742,ROW()-1,MATCH(F$1,'包络曲线数据'!$B$1:$U$1,0)),""))</x:f>
      </x:c>
      <x:c r="G448" t="str">
        <x:f>IF(G$1="","",IFERROR(INDEX('包络曲线数据'!$B$2:$U$742,ROW()-1,MATCH(G$1,'包络曲线数据'!$B$1:$U$1,0)),""))</x:f>
      </x:c>
    </x:row>
    <x:row r="449">
      <x:c r="A449" t="n">
        <x:v>44.7</x:v>
      </x:c>
      <x:c r="B449" t="n">
        <x:f>IF(B$1="","",IFERROR(INDEX('包络曲线数据'!$B$2:$U$742,ROW()-1,MATCH(B$1,'包络曲线数据'!$B$1:$U$1,0)),""))</x:f>
        <x:v>62.747875474675496</x:v>
      </x:c>
      <x:c r="C449" t="n">
        <x:f>IF(C$1="","",IFERROR(INDEX('包络曲线数据'!$B$2:$U$742,ROW()-1,MATCH(C$1,'包络曲线数据'!$B$1:$U$1,0)),""))</x:f>
        <x:v>63.98548723644602</x:v>
      </x:c>
      <x:c r="D449" t="str">
        <x:f>IF(D$1="","",IFERROR(INDEX('包络曲线数据'!$B$2:$U$742,ROW()-1,MATCH(D$1,'包络曲线数据'!$B$1:$U$1,0)),""))</x:f>
      </x:c>
      <x:c r="E449" t="str">
        <x:f>IF(E$1="","",IFERROR(INDEX('包络曲线数据'!$B$2:$U$742,ROW()-1,MATCH(E$1,'包络曲线数据'!$B$1:$U$1,0)),""))</x:f>
      </x:c>
      <x:c r="F449" t="str">
        <x:f>IF(F$1="","",IFERROR(INDEX('包络曲线数据'!$B$2:$U$742,ROW()-1,MATCH(F$1,'包络曲线数据'!$B$1:$U$1,0)),""))</x:f>
      </x:c>
      <x:c r="G449" t="str">
        <x:f>IF(G$1="","",IFERROR(INDEX('包络曲线数据'!$B$2:$U$742,ROW()-1,MATCH(G$1,'包络曲线数据'!$B$1:$U$1,0)),""))</x:f>
      </x:c>
    </x:row>
    <x:row r="450">
      <x:c r="A450" t="n">
        <x:v>44.800000000000004</x:v>
      </x:c>
      <x:c r="B450" t="n">
        <x:f>IF(B$1="","",IFERROR(INDEX('包络曲线数据'!$B$2:$U$742,ROW()-1,MATCH(B$1,'包络曲线数据'!$B$1:$U$1,0)),""))</x:f>
        <x:v>57.3902904312024</x:v>
      </x:c>
      <x:c r="C450" t="n">
        <x:f>IF(C$1="","",IFERROR(INDEX('包络曲线数据'!$B$2:$U$742,ROW()-1,MATCH(C$1,'包络曲线数据'!$B$1:$U$1,0)),""))</x:f>
        <x:v>65.88167121553118</x:v>
      </x:c>
      <x:c r="D450" t="str">
        <x:f>IF(D$1="","",IFERROR(INDEX('包络曲线数据'!$B$2:$U$742,ROW()-1,MATCH(D$1,'包络曲线数据'!$B$1:$U$1,0)),""))</x:f>
      </x:c>
      <x:c r="E450" t="str">
        <x:f>IF(E$1="","",IFERROR(INDEX('包络曲线数据'!$B$2:$U$742,ROW()-1,MATCH(E$1,'包络曲线数据'!$B$1:$U$1,0)),""))</x:f>
      </x:c>
      <x:c r="F450" t="str">
        <x:f>IF(F$1="","",IFERROR(INDEX('包络曲线数据'!$B$2:$U$742,ROW()-1,MATCH(F$1,'包络曲线数据'!$B$1:$U$1,0)),""))</x:f>
      </x:c>
      <x:c r="G450" t="str">
        <x:f>IF(G$1="","",IFERROR(INDEX('包络曲线数据'!$B$2:$U$742,ROW()-1,MATCH(G$1,'包络曲线数据'!$B$1:$U$1,0)),""))</x:f>
      </x:c>
    </x:row>
    <x:row r="451">
      <x:c r="A451" t="n">
        <x:v>44.900000000000006</x:v>
      </x:c>
      <x:c r="B451" t="n">
        <x:f>IF(B$1="","",IFERROR(INDEX('包络曲线数据'!$B$2:$U$742,ROW()-1,MATCH(B$1,'包络曲线数据'!$B$1:$U$1,0)),""))</x:f>
        <x:v>60.782941718583245</x:v>
      </x:c>
      <x:c r="C451" t="n">
        <x:f>IF(C$1="","",IFERROR(INDEX('包络曲线数据'!$B$2:$U$742,ROW()-1,MATCH(C$1,'包络曲线数据'!$B$1:$U$1,0)),""))</x:f>
        <x:v>65.88167121553118</x:v>
      </x:c>
      <x:c r="D451" t="str">
        <x:f>IF(D$1="","",IFERROR(INDEX('包络曲线数据'!$B$2:$U$742,ROW()-1,MATCH(D$1,'包络曲线数据'!$B$1:$U$1,0)),""))</x:f>
      </x:c>
      <x:c r="E451" t="str">
        <x:f>IF(E$1="","",IFERROR(INDEX('包络曲线数据'!$B$2:$U$742,ROW()-1,MATCH(E$1,'包络曲线数据'!$B$1:$U$1,0)),""))</x:f>
      </x:c>
      <x:c r="F451" t="str">
        <x:f>IF(F$1="","",IFERROR(INDEX('包络曲线数据'!$B$2:$U$742,ROW()-1,MATCH(F$1,'包络曲线数据'!$B$1:$U$1,0)),""))</x:f>
      </x:c>
      <x:c r="G451" t="str">
        <x:f>IF(G$1="","",IFERROR(INDEX('包络曲线数据'!$B$2:$U$742,ROW()-1,MATCH(G$1,'包络曲线数据'!$B$1:$U$1,0)),""))</x:f>
      </x:c>
    </x:row>
    <x:row r="452">
      <x:c r="A452" t="n">
        <x:v>45</x:v>
      </x:c>
      <x:c r="B452" t="n">
        <x:f>IF(B$1="","",IFERROR(INDEX('包络曲线数据'!$B$2:$U$742,ROW()-1,MATCH(B$1,'包络曲线数据'!$B$1:$U$1,0)),""))</x:f>
        <x:v>63.49706274848758</x:v>
      </x:c>
      <x:c r="C452" t="n">
        <x:f>IF(C$1="","",IFERROR(INDEX('包络曲线数据'!$B$2:$U$742,ROW()-1,MATCH(C$1,'包络曲线数据'!$B$1:$U$1,0)),""))</x:f>
        <x:v>63.10305604403868</x:v>
      </x:c>
      <x:c r="D452" t="str">
        <x:f>IF(D$1="","",IFERROR(INDEX('包络曲线数据'!$B$2:$U$742,ROW()-1,MATCH(D$1,'包络曲线数据'!$B$1:$U$1,0)),""))</x:f>
      </x:c>
      <x:c r="E452" t="str">
        <x:f>IF(E$1="","",IFERROR(INDEX('包络曲线数据'!$B$2:$U$742,ROW()-1,MATCH(E$1,'包络曲线数据'!$B$1:$U$1,0)),""))</x:f>
      </x:c>
      <x:c r="F452" t="str">
        <x:f>IF(F$1="","",IFERROR(INDEX('包络曲线数据'!$B$2:$U$742,ROW()-1,MATCH(F$1,'包络曲线数据'!$B$1:$U$1,0)),""))</x:f>
      </x:c>
      <x:c r="G452" t="str">
        <x:f>IF(G$1="","",IFERROR(INDEX('包络曲线数据'!$B$2:$U$742,ROW()-1,MATCH(G$1,'包络曲线数据'!$B$1:$U$1,0)),""))</x:f>
      </x:c>
    </x:row>
    <x:row r="453">
      <x:c r="A453" t="n">
        <x:v>45.1</x:v>
      </x:c>
      <x:c r="B453" t="n">
        <x:f>IF(B$1="","",IFERROR(INDEX('包络曲线数据'!$B$2:$U$742,ROW()-1,MATCH(B$1,'包络曲线数据'!$B$1:$U$1,0)),""))</x:f>
        <x:v>63.49706274848758</x:v>
      </x:c>
      <x:c r="C453" t="n">
        <x:f>IF(C$1="","",IFERROR(INDEX('包络曲线数据'!$B$2:$U$742,ROW()-1,MATCH(C$1,'包络曲线数据'!$B$1:$U$1,0)),""))</x:f>
        <x:v>65.83824886862843</x:v>
      </x:c>
      <x:c r="D453" t="str">
        <x:f>IF(D$1="","",IFERROR(INDEX('包络曲线数据'!$B$2:$U$742,ROW()-1,MATCH(D$1,'包络曲线数据'!$B$1:$U$1,0)),""))</x:f>
      </x:c>
      <x:c r="E453" t="str">
        <x:f>IF(E$1="","",IFERROR(INDEX('包络曲线数据'!$B$2:$U$742,ROW()-1,MATCH(E$1,'包络曲线数据'!$B$1:$U$1,0)),""))</x:f>
      </x:c>
      <x:c r="F453" t="str">
        <x:f>IF(F$1="","",IFERROR(INDEX('包络曲线数据'!$B$2:$U$742,ROW()-1,MATCH(F$1,'包络曲线数据'!$B$1:$U$1,0)),""))</x:f>
      </x:c>
      <x:c r="G453" t="str">
        <x:f>IF(G$1="","",IFERROR(INDEX('包络曲线数据'!$B$2:$U$742,ROW()-1,MATCH(G$1,'包络曲线数据'!$B$1:$U$1,0)),""))</x:f>
      </x:c>
    </x:row>
    <x:row r="454">
      <x:c r="A454" t="n">
        <x:v>45.2</x:v>
      </x:c>
      <x:c r="B454" t="n">
        <x:f>IF(B$1="","",IFERROR(INDEX('包络曲线数据'!$B$2:$U$742,ROW()-1,MATCH(B$1,'包络曲线数据'!$B$1:$U$1,0)),""))</x:f>
        <x:v>62.1733435858533</x:v>
      </x:c>
      <x:c r="C454" t="n">
        <x:f>IF(C$1="","",IFERROR(INDEX('包络曲线数据'!$B$2:$U$742,ROW()-1,MATCH(C$1,'包络曲线数据'!$B$1:$U$1,0)),""))</x:f>
        <x:v>89.25413480164859</x:v>
      </x:c>
      <x:c r="D454" t="str">
        <x:f>IF(D$1="","",IFERROR(INDEX('包络曲线数据'!$B$2:$U$742,ROW()-1,MATCH(D$1,'包络曲线数据'!$B$1:$U$1,0)),""))</x:f>
      </x:c>
      <x:c r="E454" t="str">
        <x:f>IF(E$1="","",IFERROR(INDEX('包络曲线数据'!$B$2:$U$742,ROW()-1,MATCH(E$1,'包络曲线数据'!$B$1:$U$1,0)),""))</x:f>
      </x:c>
      <x:c r="F454" t="str">
        <x:f>IF(F$1="","",IFERROR(INDEX('包络曲线数据'!$B$2:$U$742,ROW()-1,MATCH(F$1,'包络曲线数据'!$B$1:$U$1,0)),""))</x:f>
      </x:c>
      <x:c r="G454" t="str">
        <x:f>IF(G$1="","",IFERROR(INDEX('包络曲线数据'!$B$2:$U$742,ROW()-1,MATCH(G$1,'包络曲线数据'!$B$1:$U$1,0)),""))</x:f>
      </x:c>
    </x:row>
    <x:row r="455">
      <x:c r="A455" t="n">
        <x:v>45.300000000000004</x:v>
      </x:c>
      <x:c r="B455" t="n">
        <x:f>IF(B$1="","",IFERROR(INDEX('包络曲线数据'!$B$2:$U$742,ROW()-1,MATCH(B$1,'包络曲线数据'!$B$1:$U$1,0)),""))</x:f>
        <x:v>61.64385592080365</x:v>
      </x:c>
      <x:c r="C455" t="n">
        <x:f>IF(C$1="","",IFERROR(INDEX('包络曲线数据'!$B$2:$U$742,ROW()-1,MATCH(C$1,'包络曲线数据'!$B$1:$U$1,0)),""))</x:f>
        <x:v>90.45936995471216</x:v>
      </x:c>
      <x:c r="D455" t="str">
        <x:f>IF(D$1="","",IFERROR(INDEX('包络曲线数据'!$B$2:$U$742,ROW()-1,MATCH(D$1,'包络曲线数据'!$B$1:$U$1,0)),""))</x:f>
      </x:c>
      <x:c r="E455" t="str">
        <x:f>IF(E$1="","",IFERROR(INDEX('包络曲线数据'!$B$2:$U$742,ROW()-1,MATCH(E$1,'包络曲线数据'!$B$1:$U$1,0)),""))</x:f>
      </x:c>
      <x:c r="F455" t="str">
        <x:f>IF(F$1="","",IFERROR(INDEX('包络曲线数据'!$B$2:$U$742,ROW()-1,MATCH(F$1,'包络曲线数据'!$B$1:$U$1,0)),""))</x:f>
      </x:c>
      <x:c r="G455" t="str">
        <x:f>IF(G$1="","",IFERROR(INDEX('包络曲线数据'!$B$2:$U$742,ROW()-1,MATCH(G$1,'包络曲线数据'!$B$1:$U$1,0)),""))</x:f>
      </x:c>
    </x:row>
    <x:row r="456">
      <x:c r="A456" t="n">
        <x:v>45.400000000000006</x:v>
      </x:c>
      <x:c r="B456" t="n">
        <x:f>IF(B$1="","",IFERROR(INDEX('包络曲线数据'!$B$2:$U$742,ROW()-1,MATCH(B$1,'包络曲线数据'!$B$1:$U$1,0)),""))</x:f>
        <x:v>76.2170663724656</x:v>
      </x:c>
      <x:c r="C456" t="n">
        <x:f>IF(C$1="","",IFERROR(INDEX('包络曲线数据'!$B$2:$U$742,ROW()-1,MATCH(C$1,'包络曲线数据'!$B$1:$U$1,0)),""))</x:f>
        <x:v>90.4593699547112</x:v>
      </x:c>
      <x:c r="D456" t="str">
        <x:f>IF(D$1="","",IFERROR(INDEX('包络曲线数据'!$B$2:$U$742,ROW()-1,MATCH(D$1,'包络曲线数据'!$B$1:$U$1,0)),""))</x:f>
      </x:c>
      <x:c r="E456" t="str">
        <x:f>IF(E$1="","",IFERROR(INDEX('包络曲线数据'!$B$2:$U$742,ROW()-1,MATCH(E$1,'包络曲线数据'!$B$1:$U$1,0)),""))</x:f>
      </x:c>
      <x:c r="F456" t="str">
        <x:f>IF(F$1="","",IFERROR(INDEX('包络曲线数据'!$B$2:$U$742,ROW()-1,MATCH(F$1,'包络曲线数据'!$B$1:$U$1,0)),""))</x:f>
      </x:c>
      <x:c r="G456" t="str">
        <x:f>IF(G$1="","",IFERROR(INDEX('包络曲线数据'!$B$2:$U$742,ROW()-1,MATCH(G$1,'包络曲线数据'!$B$1:$U$1,0)),""))</x:f>
      </x:c>
    </x:row>
    <x:row r="457">
      <x:c r="A457" t="n">
        <x:v>45.5</x:v>
      </x:c>
      <x:c r="B457" t="n">
        <x:f>IF(B$1="","",IFERROR(INDEX('包络曲线数据'!$B$2:$U$742,ROW()-1,MATCH(B$1,'包络曲线数据'!$B$1:$U$1,0)),""))</x:f>
        <x:v>76.2170663724656</x:v>
      </x:c>
      <x:c r="C457" t="n">
        <x:f>IF(C$1="","",IFERROR(INDEX('包络曲线数据'!$B$2:$U$742,ROW()-1,MATCH(C$1,'包络曲线数据'!$B$1:$U$1,0)),""))</x:f>
        <x:v>80.60333080683256</x:v>
      </x:c>
      <x:c r="D457" t="str">
        <x:f>IF(D$1="","",IFERROR(INDEX('包络曲线数据'!$B$2:$U$742,ROW()-1,MATCH(D$1,'包络曲线数据'!$B$1:$U$1,0)),""))</x:f>
      </x:c>
      <x:c r="E457" t="str">
        <x:f>IF(E$1="","",IFERROR(INDEX('包络曲线数据'!$B$2:$U$742,ROW()-1,MATCH(E$1,'包络曲线数据'!$B$1:$U$1,0)),""))</x:f>
      </x:c>
      <x:c r="F457" t="str">
        <x:f>IF(F$1="","",IFERROR(INDEX('包络曲线数据'!$B$2:$U$742,ROW()-1,MATCH(F$1,'包络曲线数据'!$B$1:$U$1,0)),""))</x:f>
      </x:c>
      <x:c r="G457" t="str">
        <x:f>IF(G$1="","",IFERROR(INDEX('包络曲线数据'!$B$2:$U$742,ROW()-1,MATCH(G$1,'包络曲线数据'!$B$1:$U$1,0)),""))</x:f>
      </x:c>
    </x:row>
    <x:row r="458">
      <x:c r="A458" t="n">
        <x:v>45.6</x:v>
      </x:c>
      <x:c r="B458" t="n">
        <x:f>IF(B$1="","",IFERROR(INDEX('包络曲线数据'!$B$2:$U$742,ROW()-1,MATCH(B$1,'包络曲线数据'!$B$1:$U$1,0)),""))</x:f>
        <x:v>73.02518504843272</x:v>
      </x:c>
      <x:c r="C458" t="n">
        <x:f>IF(C$1="","",IFERROR(INDEX('包络曲线数据'!$B$2:$U$742,ROW()-1,MATCH(C$1,'包络曲线数据'!$B$1:$U$1,0)),""))</x:f>
        <x:v>74.00727271833222</x:v>
      </x:c>
      <x:c r="D458" t="str">
        <x:f>IF(D$1="","",IFERROR(INDEX('包络曲线数据'!$B$2:$U$742,ROW()-1,MATCH(D$1,'包络曲线数据'!$B$1:$U$1,0)),""))</x:f>
      </x:c>
      <x:c r="E458" t="str">
        <x:f>IF(E$1="","",IFERROR(INDEX('包络曲线数据'!$B$2:$U$742,ROW()-1,MATCH(E$1,'包络曲线数据'!$B$1:$U$1,0)),""))</x:f>
      </x:c>
      <x:c r="F458" t="str">
        <x:f>IF(F$1="","",IFERROR(INDEX('包络曲线数据'!$B$2:$U$742,ROW()-1,MATCH(F$1,'包络曲线数据'!$B$1:$U$1,0)),""))</x:f>
      </x:c>
      <x:c r="G458" t="str">
        <x:f>IF(G$1="","",IFERROR(INDEX('包络曲线数据'!$B$2:$U$742,ROW()-1,MATCH(G$1,'包络曲线数据'!$B$1:$U$1,0)),""))</x:f>
      </x:c>
    </x:row>
    <x:row r="459">
      <x:c r="A459" t="n">
        <x:v>45.7</x:v>
      </x:c>
      <x:c r="B459" t="n">
        <x:f>IF(B$1="","",IFERROR(INDEX('包络曲线数据'!$B$2:$U$742,ROW()-1,MATCH(B$1,'包络曲线数据'!$B$1:$U$1,0)),""))</x:f>
        <x:v>69.69105957442558</x:v>
      </x:c>
      <x:c r="C459" t="n">
        <x:f>IF(C$1="","",IFERROR(INDEX('包络曲线数据'!$B$2:$U$742,ROW()-1,MATCH(C$1,'包络曲线数据'!$B$1:$U$1,0)),""))</x:f>
        <x:v>72.4325358721987</x:v>
      </x:c>
      <x:c r="D459" t="str">
        <x:f>IF(D$1="","",IFERROR(INDEX('包络曲线数据'!$B$2:$U$742,ROW()-1,MATCH(D$1,'包络曲线数据'!$B$1:$U$1,0)),""))</x:f>
      </x:c>
      <x:c r="E459" t="str">
        <x:f>IF(E$1="","",IFERROR(INDEX('包络曲线数据'!$B$2:$U$742,ROW()-1,MATCH(E$1,'包络曲线数据'!$B$1:$U$1,0)),""))</x:f>
      </x:c>
      <x:c r="F459" t="str">
        <x:f>IF(F$1="","",IFERROR(INDEX('包络曲线数据'!$B$2:$U$742,ROW()-1,MATCH(F$1,'包络曲线数据'!$B$1:$U$1,0)),""))</x:f>
      </x:c>
      <x:c r="G459" t="str">
        <x:f>IF(G$1="","",IFERROR(INDEX('包络曲线数据'!$B$2:$U$742,ROW()-1,MATCH(G$1,'包络曲线数据'!$B$1:$U$1,0)),""))</x:f>
      </x:c>
    </x:row>
    <x:row r="460">
      <x:c r="A460" t="n">
        <x:v>45.800000000000004</x:v>
      </x:c>
      <x:c r="B460" t="n">
        <x:f>IF(B$1="","",IFERROR(INDEX('包络曲线数据'!$B$2:$U$742,ROW()-1,MATCH(B$1,'包络曲线数据'!$B$1:$U$1,0)),""))</x:f>
        <x:v>67.60675138733524</x:v>
      </x:c>
      <x:c r="C460" t="n">
        <x:f>IF(C$1="","",IFERROR(INDEX('包络曲线数据'!$B$2:$U$742,ROW()-1,MATCH(C$1,'包络曲线数据'!$B$1:$U$1,0)),""))</x:f>
        <x:v>69.13870422419625</x:v>
      </x:c>
      <x:c r="D460" t="str">
        <x:f>IF(D$1="","",IFERROR(INDEX('包络曲线数据'!$B$2:$U$742,ROW()-1,MATCH(D$1,'包络曲线数据'!$B$1:$U$1,0)),""))</x:f>
      </x:c>
      <x:c r="E460" t="str">
        <x:f>IF(E$1="","",IFERROR(INDEX('包络曲线数据'!$B$2:$U$742,ROW()-1,MATCH(E$1,'包络曲线数据'!$B$1:$U$1,0)),""))</x:f>
      </x:c>
      <x:c r="F460" t="str">
        <x:f>IF(F$1="","",IFERROR(INDEX('包络曲线数据'!$B$2:$U$742,ROW()-1,MATCH(F$1,'包络曲线数据'!$B$1:$U$1,0)),""))</x:f>
      </x:c>
      <x:c r="G460" t="str">
        <x:f>IF(G$1="","",IFERROR(INDEX('包络曲线数据'!$B$2:$U$742,ROW()-1,MATCH(G$1,'包络曲线数据'!$B$1:$U$1,0)),""))</x:f>
      </x:c>
    </x:row>
    <x:row r="461">
      <x:c r="A461" t="n">
        <x:v>45.900000000000006</x:v>
      </x:c>
      <x:c r="B461" t="n">
        <x:f>IF(B$1="","",IFERROR(INDEX('包络曲线数据'!$B$2:$U$742,ROW()-1,MATCH(B$1,'包络曲线数据'!$B$1:$U$1,0)),""))</x:f>
        <x:v>68.04048010837846</x:v>
      </x:c>
      <x:c r="C461" t="n">
        <x:f>IF(C$1="","",IFERROR(INDEX('包络曲线数据'!$B$2:$U$742,ROW()-1,MATCH(C$1,'包络曲线数据'!$B$1:$U$1,0)),""))</x:f>
        <x:v>67.1341833751571</x:v>
      </x:c>
      <x:c r="D461" t="str">
        <x:f>IF(D$1="","",IFERROR(INDEX('包络曲线数据'!$B$2:$U$742,ROW()-1,MATCH(D$1,'包络曲线数据'!$B$1:$U$1,0)),""))</x:f>
      </x:c>
      <x:c r="E461" t="str">
        <x:f>IF(E$1="","",IFERROR(INDEX('包络曲线数据'!$B$2:$U$742,ROW()-1,MATCH(E$1,'包络曲线数据'!$B$1:$U$1,0)),""))</x:f>
      </x:c>
      <x:c r="F461" t="str">
        <x:f>IF(F$1="","",IFERROR(INDEX('包络曲线数据'!$B$2:$U$742,ROW()-1,MATCH(F$1,'包络曲线数据'!$B$1:$U$1,0)),""))</x:f>
      </x:c>
      <x:c r="G461" t="str">
        <x:f>IF(G$1="","",IFERROR(INDEX('包络曲线数据'!$B$2:$U$742,ROW()-1,MATCH(G$1,'包络曲线数据'!$B$1:$U$1,0)),""))</x:f>
      </x:c>
    </x:row>
    <x:row r="462">
      <x:c r="A462" t="n">
        <x:v>46</x:v>
      </x:c>
      <x:c r="B462" t="n">
        <x:f>IF(B$1="","",IFERROR(INDEX('包络曲线数据'!$B$2:$U$742,ROW()-1,MATCH(B$1,'包络曲线数据'!$B$1:$U$1,0)),""))</x:f>
        <x:v>69.1596802385929</x:v>
      </x:c>
      <x:c r="C462" t="n">
        <x:f>IF(C$1="","",IFERROR(INDEX('包络曲线数据'!$B$2:$U$742,ROW()-1,MATCH(C$1,'包络曲线数据'!$B$1:$U$1,0)),""))</x:f>
        <x:v>65.78785251955787</x:v>
      </x:c>
      <x:c r="D462" t="str">
        <x:f>IF(D$1="","",IFERROR(INDEX('包络曲线数据'!$B$2:$U$742,ROW()-1,MATCH(D$1,'包络曲线数据'!$B$1:$U$1,0)),""))</x:f>
      </x:c>
      <x:c r="E462" t="str">
        <x:f>IF(E$1="","",IFERROR(INDEX('包络曲线数据'!$B$2:$U$742,ROW()-1,MATCH(E$1,'包络曲线数据'!$B$1:$U$1,0)),""))</x:f>
      </x:c>
      <x:c r="F462" t="str">
        <x:f>IF(F$1="","",IFERROR(INDEX('包络曲线数据'!$B$2:$U$742,ROW()-1,MATCH(F$1,'包络曲线数据'!$B$1:$U$1,0)),""))</x:f>
      </x:c>
      <x:c r="G462" t="str">
        <x:f>IF(G$1="","",IFERROR(INDEX('包络曲线数据'!$B$2:$U$742,ROW()-1,MATCH(G$1,'包络曲线数据'!$B$1:$U$1,0)),""))</x:f>
      </x:c>
    </x:row>
    <x:row r="463">
      <x:c r="A463" t="n">
        <x:v>46.1</x:v>
      </x:c>
      <x:c r="B463" t="n">
        <x:f>IF(B$1="","",IFERROR(INDEX('包络曲线数据'!$B$2:$U$742,ROW()-1,MATCH(B$1,'包络曲线数据'!$B$1:$U$1,0)),""))</x:f>
        <x:v>69.2704570491237</x:v>
      </x:c>
      <x:c r="C463" t="n">
        <x:f>IF(C$1="","",IFERROR(INDEX('包络曲线数据'!$B$2:$U$742,ROW()-1,MATCH(C$1,'包络曲线数据'!$B$1:$U$1,0)),""))</x:f>
        <x:v>65.78785251955787</x:v>
      </x:c>
      <x:c r="D463" t="str">
        <x:f>IF(D$1="","",IFERROR(INDEX('包络曲线数据'!$B$2:$U$742,ROW()-1,MATCH(D$1,'包络曲线数据'!$B$1:$U$1,0)),""))</x:f>
      </x:c>
      <x:c r="E463" t="str">
        <x:f>IF(E$1="","",IFERROR(INDEX('包络曲线数据'!$B$2:$U$742,ROW()-1,MATCH(E$1,'包络曲线数据'!$B$1:$U$1,0)),""))</x:f>
      </x:c>
      <x:c r="F463" t="str">
        <x:f>IF(F$1="","",IFERROR(INDEX('包络曲线数据'!$B$2:$U$742,ROW()-1,MATCH(F$1,'包络曲线数据'!$B$1:$U$1,0)),""))</x:f>
      </x:c>
      <x:c r="G463" t="str">
        <x:f>IF(G$1="","",IFERROR(INDEX('包络曲线数据'!$B$2:$U$742,ROW()-1,MATCH(G$1,'包络曲线数据'!$B$1:$U$1,0)),""))</x:f>
      </x:c>
    </x:row>
    <x:row r="464">
      <x:c r="A464" t="n">
        <x:v>46.2</x:v>
      </x:c>
      <x:c r="B464" t="n">
        <x:f>IF(B$1="","",IFERROR(INDEX('包络曲线数据'!$B$2:$U$742,ROW()-1,MATCH(B$1,'包络曲线数据'!$B$1:$U$1,0)),""))</x:f>
        <x:v>69.2704570491237</x:v>
      </x:c>
      <x:c r="C464" t="n">
        <x:f>IF(C$1="","",IFERROR(INDEX('包络曲线数据'!$B$2:$U$742,ROW()-1,MATCH(C$1,'包络曲线数据'!$B$1:$U$1,0)),""))</x:f>
        <x:v>60.74415717555222</x:v>
      </x:c>
      <x:c r="D464" t="str">
        <x:f>IF(D$1="","",IFERROR(INDEX('包络曲线数据'!$B$2:$U$742,ROW()-1,MATCH(D$1,'包络曲线数据'!$B$1:$U$1,0)),""))</x:f>
      </x:c>
      <x:c r="E464" t="str">
        <x:f>IF(E$1="","",IFERROR(INDEX('包络曲线数据'!$B$2:$U$742,ROW()-1,MATCH(E$1,'包络曲线数据'!$B$1:$U$1,0)),""))</x:f>
      </x:c>
      <x:c r="F464" t="str">
        <x:f>IF(F$1="","",IFERROR(INDEX('包络曲线数据'!$B$2:$U$742,ROW()-1,MATCH(F$1,'包络曲线数据'!$B$1:$U$1,0)),""))</x:f>
      </x:c>
      <x:c r="G464" t="str">
        <x:f>IF(G$1="","",IFERROR(INDEX('包络曲线数据'!$B$2:$U$742,ROW()-1,MATCH(G$1,'包络曲线数据'!$B$1:$U$1,0)),""))</x:f>
      </x:c>
    </x:row>
    <x:row r="465">
      <x:c r="A465" t="n">
        <x:v>46.300000000000004</x:v>
      </x:c>
      <x:c r="B465" t="n">
        <x:f>IF(B$1="","",IFERROR(INDEX('包络曲线数据'!$B$2:$U$742,ROW()-1,MATCH(B$1,'包络曲线数据'!$B$1:$U$1,0)),""))</x:f>
        <x:v>69.04567052520072</x:v>
      </x:c>
      <x:c r="C465" t="n">
        <x:f>IF(C$1="","",IFERROR(INDEX('包络曲线数据'!$B$2:$U$742,ROW()-1,MATCH(C$1,'包络曲线数据'!$B$1:$U$1,0)),""))</x:f>
        <x:v>52.39175843351897</x:v>
      </x:c>
      <x:c r="D465" t="str">
        <x:f>IF(D$1="","",IFERROR(INDEX('包络曲线数据'!$B$2:$U$742,ROW()-1,MATCH(D$1,'包络曲线数据'!$B$1:$U$1,0)),""))</x:f>
      </x:c>
      <x:c r="E465" t="str">
        <x:f>IF(E$1="","",IFERROR(INDEX('包络曲线数据'!$B$2:$U$742,ROW()-1,MATCH(E$1,'包络曲线数据'!$B$1:$U$1,0)),""))</x:f>
      </x:c>
      <x:c r="F465" t="str">
        <x:f>IF(F$1="","",IFERROR(INDEX('包络曲线数据'!$B$2:$U$742,ROW()-1,MATCH(F$1,'包络曲线数据'!$B$1:$U$1,0)),""))</x:f>
      </x:c>
      <x:c r="G465" t="str">
        <x:f>IF(G$1="","",IFERROR(INDEX('包络曲线数据'!$B$2:$U$742,ROW()-1,MATCH(G$1,'包络曲线数据'!$B$1:$U$1,0)),""))</x:f>
      </x:c>
    </x:row>
    <x:row r="466">
      <x:c r="A466" t="n">
        <x:v>46.400000000000006</x:v>
      </x:c>
      <x:c r="B466" t="n">
        <x:f>IF(B$1="","",IFERROR(INDEX('包络曲线数据'!$B$2:$U$742,ROW()-1,MATCH(B$1,'包络曲线数据'!$B$1:$U$1,0)),""))</x:f>
        <x:v>69.04567052520072</x:v>
      </x:c>
      <x:c r="C466" t="n">
        <x:f>IF(C$1="","",IFERROR(INDEX('包络曲线数据'!$B$2:$U$742,ROW()-1,MATCH(C$1,'包络曲线数据'!$B$1:$U$1,0)),""))</x:f>
        <x:v>74.69542997333329</x:v>
      </x:c>
      <x:c r="D466" t="str">
        <x:f>IF(D$1="","",IFERROR(INDEX('包络曲线数据'!$B$2:$U$742,ROW()-1,MATCH(D$1,'包络曲线数据'!$B$1:$U$1,0)),""))</x:f>
      </x:c>
      <x:c r="E466" t="str">
        <x:f>IF(E$1="","",IFERROR(INDEX('包络曲线数据'!$B$2:$U$742,ROW()-1,MATCH(E$1,'包络曲线数据'!$B$1:$U$1,0)),""))</x:f>
      </x:c>
      <x:c r="F466" t="str">
        <x:f>IF(F$1="","",IFERROR(INDEX('包络曲线数据'!$B$2:$U$742,ROW()-1,MATCH(F$1,'包络曲线数据'!$B$1:$U$1,0)),""))</x:f>
      </x:c>
      <x:c r="G466" t="str">
        <x:f>IF(G$1="","",IFERROR(INDEX('包络曲线数据'!$B$2:$U$742,ROW()-1,MATCH(G$1,'包络曲线数据'!$B$1:$U$1,0)),""))</x:f>
      </x:c>
    </x:row>
    <x:row r="467">
      <x:c r="A467" t="n">
        <x:v>46.5</x:v>
      </x:c>
      <x:c r="B467" t="n">
        <x:f>IF(B$1="","",IFERROR(INDEX('包络曲线数据'!$B$2:$U$742,ROW()-1,MATCH(B$1,'包络曲线数据'!$B$1:$U$1,0)),""))</x:f>
        <x:v>68.91241547360848</x:v>
      </x:c>
      <x:c r="C467" t="n">
        <x:f>IF(C$1="","",IFERROR(INDEX('包络曲线数据'!$B$2:$U$742,ROW()-1,MATCH(C$1,'包络曲线数据'!$B$1:$U$1,0)),""))</x:f>
        <x:v>75.49253903058822</x:v>
      </x:c>
      <x:c r="D467" t="str">
        <x:f>IF(D$1="","",IFERROR(INDEX('包络曲线数据'!$B$2:$U$742,ROW()-1,MATCH(D$1,'包络曲线数据'!$B$1:$U$1,0)),""))</x:f>
      </x:c>
      <x:c r="E467" t="str">
        <x:f>IF(E$1="","",IFERROR(INDEX('包络曲线数据'!$B$2:$U$742,ROW()-1,MATCH(E$1,'包络曲线数据'!$B$1:$U$1,0)),""))</x:f>
      </x:c>
      <x:c r="F467" t="str">
        <x:f>IF(F$1="","",IFERROR(INDEX('包络曲线数据'!$B$2:$U$742,ROW()-1,MATCH(F$1,'包络曲线数据'!$B$1:$U$1,0)),""))</x:f>
      </x:c>
      <x:c r="G467" t="str">
        <x:f>IF(G$1="","",IFERROR(INDEX('包络曲线数据'!$B$2:$U$742,ROW()-1,MATCH(G$1,'包络曲线数据'!$B$1:$U$1,0)),""))</x:f>
      </x:c>
    </x:row>
    <x:row r="468">
      <x:c r="A468" t="n">
        <x:v>46.6</x:v>
      </x:c>
      <x:c r="B468" t="n">
        <x:f>IF(B$1="","",IFERROR(INDEX('包络曲线数据'!$B$2:$U$742,ROW()-1,MATCH(B$1,'包络曲线数据'!$B$1:$U$1,0)),""))</x:f>
        <x:v>68.82533609994213</x:v>
      </x:c>
      <x:c r="C468" t="n">
        <x:f>IF(C$1="","",IFERROR(INDEX('包络曲线数据'!$B$2:$U$742,ROW()-1,MATCH(C$1,'包络曲线数据'!$B$1:$U$1,0)),""))</x:f>
        <x:v>73.91605595948873</x:v>
      </x:c>
      <x:c r="D468" t="str">
        <x:f>IF(D$1="","",IFERROR(INDEX('包络曲线数据'!$B$2:$U$742,ROW()-1,MATCH(D$1,'包络曲线数据'!$B$1:$U$1,0)),""))</x:f>
      </x:c>
      <x:c r="E468" t="str">
        <x:f>IF(E$1="","",IFERROR(INDEX('包络曲线数据'!$B$2:$U$742,ROW()-1,MATCH(E$1,'包络曲线数据'!$B$1:$U$1,0)),""))</x:f>
      </x:c>
      <x:c r="F468" t="str">
        <x:f>IF(F$1="","",IFERROR(INDEX('包络曲线数据'!$B$2:$U$742,ROW()-1,MATCH(F$1,'包络曲线数据'!$B$1:$U$1,0)),""))</x:f>
      </x:c>
      <x:c r="G468" t="str">
        <x:f>IF(G$1="","",IFERROR(INDEX('包络曲线数据'!$B$2:$U$742,ROW()-1,MATCH(G$1,'包络曲线数据'!$B$1:$U$1,0)),""))</x:f>
      </x:c>
    </x:row>
    <x:row r="469">
      <x:c r="A469" t="n">
        <x:v>46.7</x:v>
      </x:c>
      <x:c r="B469" t="n">
        <x:f>IF(B$1="","",IFERROR(INDEX('包络曲线数据'!$B$2:$U$742,ROW()-1,MATCH(B$1,'包络曲线数据'!$B$1:$U$1,0)),""))</x:f>
        <x:v>69.34195001638534</x:v>
      </x:c>
      <x:c r="C469" t="n">
        <x:f>IF(C$1="","",IFERROR(INDEX('包络曲线数据'!$B$2:$U$742,ROW()-1,MATCH(C$1,'包络曲线数据'!$B$1:$U$1,0)),""))</x:f>
        <x:v>62.84789779082321</x:v>
      </x:c>
      <x:c r="D469" t="str">
        <x:f>IF(D$1="","",IFERROR(INDEX('包络曲线数据'!$B$2:$U$742,ROW()-1,MATCH(D$1,'包络曲线数据'!$B$1:$U$1,0)),""))</x:f>
      </x:c>
      <x:c r="E469" t="str">
        <x:f>IF(E$1="","",IFERROR(INDEX('包络曲线数据'!$B$2:$U$742,ROW()-1,MATCH(E$1,'包络曲线数据'!$B$1:$U$1,0)),""))</x:f>
      </x:c>
      <x:c r="F469" t="str">
        <x:f>IF(F$1="","",IFERROR(INDEX('包络曲线数据'!$B$2:$U$742,ROW()-1,MATCH(F$1,'包络曲线数据'!$B$1:$U$1,0)),""))</x:f>
      </x:c>
      <x:c r="G469" t="str">
        <x:f>IF(G$1="","",IFERROR(INDEX('包络曲线数据'!$B$2:$U$742,ROW()-1,MATCH(G$1,'包络曲线数据'!$B$1:$U$1,0)),""))</x:f>
      </x:c>
    </x:row>
    <x:row r="470">
      <x:c r="A470" t="n">
        <x:v>46.800000000000004</x:v>
      </x:c>
      <x:c r="B470" t="n">
        <x:f>IF(B$1="","",IFERROR(INDEX('包络曲线数据'!$B$2:$U$742,ROW()-1,MATCH(B$1,'包络曲线数据'!$B$1:$U$1,0)),""))</x:f>
        <x:v>69.83096631421053</x:v>
      </x:c>
      <x:c r="C470" t="n">
        <x:f>IF(C$1="","",IFERROR(INDEX('包络曲线数据'!$B$2:$U$742,ROW()-1,MATCH(C$1,'包络曲线数据'!$B$1:$U$1,0)),""))</x:f>
        <x:v>52.39175843351897</x:v>
      </x:c>
      <x:c r="D470" t="str">
        <x:f>IF(D$1="","",IFERROR(INDEX('包络曲线数据'!$B$2:$U$742,ROW()-1,MATCH(D$1,'包络曲线数据'!$B$1:$U$1,0)),""))</x:f>
      </x:c>
      <x:c r="E470" t="str">
        <x:f>IF(E$1="","",IFERROR(INDEX('包络曲线数据'!$B$2:$U$742,ROW()-1,MATCH(E$1,'包络曲线数据'!$B$1:$U$1,0)),""))</x:f>
      </x:c>
      <x:c r="F470" t="str">
        <x:f>IF(F$1="","",IFERROR(INDEX('包络曲线数据'!$B$2:$U$742,ROW()-1,MATCH(F$1,'包络曲线数据'!$B$1:$U$1,0)),""))</x:f>
      </x:c>
      <x:c r="G470" t="str">
        <x:f>IF(G$1="","",IFERROR(INDEX('包络曲线数据'!$B$2:$U$742,ROW()-1,MATCH(G$1,'包络曲线数据'!$B$1:$U$1,0)),""))</x:f>
      </x:c>
    </x:row>
    <x:row r="471">
      <x:c r="A471" t="n">
        <x:v>46.900000000000006</x:v>
      </x:c>
      <x:c r="B471" t="n">
        <x:f>IF(B$1="","",IFERROR(INDEX('包络曲线数据'!$B$2:$U$742,ROW()-1,MATCH(B$1,'包络曲线数据'!$B$1:$U$1,0)),""))</x:f>
        <x:v>70.31966700819406</x:v>
      </x:c>
      <x:c r="C471" t="n">
        <x:f>IF(C$1="","",IFERROR(INDEX('包络曲线数据'!$B$2:$U$742,ROW()-1,MATCH(C$1,'包络曲线数据'!$B$1:$U$1,0)),""))</x:f>
        <x:v>63.74324256364552</x:v>
      </x:c>
      <x:c r="D471" t="str">
        <x:f>IF(D$1="","",IFERROR(INDEX('包络曲线数据'!$B$2:$U$742,ROW()-1,MATCH(D$1,'包络曲线数据'!$B$1:$U$1,0)),""))</x:f>
      </x:c>
      <x:c r="E471" t="str">
        <x:f>IF(E$1="","",IFERROR(INDEX('包络曲线数据'!$B$2:$U$742,ROW()-1,MATCH(E$1,'包络曲线数据'!$B$1:$U$1,0)),""))</x:f>
      </x:c>
      <x:c r="F471" t="str">
        <x:f>IF(F$1="","",IFERROR(INDEX('包络曲线数据'!$B$2:$U$742,ROW()-1,MATCH(F$1,'包络曲线数据'!$B$1:$U$1,0)),""))</x:f>
      </x:c>
      <x:c r="G471" t="str">
        <x:f>IF(G$1="","",IFERROR(INDEX('包络曲线数据'!$B$2:$U$742,ROW()-1,MATCH(G$1,'包络曲线数据'!$B$1:$U$1,0)),""))</x:f>
      </x:c>
    </x:row>
    <x:row r="472">
      <x:c r="A472" t="n">
        <x:v>47</x:v>
      </x:c>
      <x:c r="B472" t="n">
        <x:f>IF(B$1="","",IFERROR(INDEX('包络曲线数据'!$B$2:$U$742,ROW()-1,MATCH(B$1,'包络曲线数据'!$B$1:$U$1,0)),""))</x:f>
        <x:v>80.84151960883713</x:v>
      </x:c>
      <x:c r="C472" t="n">
        <x:f>IF(C$1="","",IFERROR(INDEX('包络曲线数据'!$B$2:$U$742,ROW()-1,MATCH(C$1,'包络曲线数据'!$B$1:$U$1,0)),""))</x:f>
        <x:v>65.29257822817996</x:v>
      </x:c>
      <x:c r="D472" t="str">
        <x:f>IF(D$1="","",IFERROR(INDEX('包络曲线数据'!$B$2:$U$742,ROW()-1,MATCH(D$1,'包络曲线数据'!$B$1:$U$1,0)),""))</x:f>
      </x:c>
      <x:c r="E472" t="str">
        <x:f>IF(E$1="","",IFERROR(INDEX('包络曲线数据'!$B$2:$U$742,ROW()-1,MATCH(E$1,'包络曲线数据'!$B$1:$U$1,0)),""))</x:f>
      </x:c>
      <x:c r="F472" t="str">
        <x:f>IF(F$1="","",IFERROR(INDEX('包络曲线数据'!$B$2:$U$742,ROW()-1,MATCH(F$1,'包络曲线数据'!$B$1:$U$1,0)),""))</x:f>
      </x:c>
      <x:c r="G472" t="str">
        <x:f>IF(G$1="","",IFERROR(INDEX('包络曲线数据'!$B$2:$U$742,ROW()-1,MATCH(G$1,'包络曲线数据'!$B$1:$U$1,0)),""))</x:f>
      </x:c>
    </x:row>
    <x:row r="473">
      <x:c r="A473" t="n">
        <x:v>47.1</x:v>
      </x:c>
      <x:c r="B473" t="n">
        <x:f>IF(B$1="","",IFERROR(INDEX('包络曲线数据'!$B$2:$U$742,ROW()-1,MATCH(B$1,'包络曲线数据'!$B$1:$U$1,0)),""))</x:f>
        <x:v>81.07007058944455</x:v>
      </x:c>
      <x:c r="C473" t="n">
        <x:f>IF(C$1="","",IFERROR(INDEX('包络曲线数据'!$B$2:$U$742,ROW()-1,MATCH(C$1,'包络曲线数据'!$B$1:$U$1,0)),""))</x:f>
        <x:v>66.0248150848659</x:v>
      </x:c>
      <x:c r="D473" t="str">
        <x:f>IF(D$1="","",IFERROR(INDEX('包络曲线数据'!$B$2:$U$742,ROW()-1,MATCH(D$1,'包络曲线数据'!$B$1:$U$1,0)),""))</x:f>
      </x:c>
      <x:c r="E473" t="str">
        <x:f>IF(E$1="","",IFERROR(INDEX('包络曲线数据'!$B$2:$U$742,ROW()-1,MATCH(E$1,'包络曲线数据'!$B$1:$U$1,0)),""))</x:f>
      </x:c>
      <x:c r="F473" t="str">
        <x:f>IF(F$1="","",IFERROR(INDEX('包络曲线数据'!$B$2:$U$742,ROW()-1,MATCH(F$1,'包络曲线数据'!$B$1:$U$1,0)),""))</x:f>
      </x:c>
      <x:c r="G473" t="str">
        <x:f>IF(G$1="","",IFERROR(INDEX('包络曲线数据'!$B$2:$U$742,ROW()-1,MATCH(G$1,'包络曲线数据'!$B$1:$U$1,0)),""))</x:f>
      </x:c>
    </x:row>
    <x:row r="474">
      <x:c r="A474" t="n">
        <x:v>47.2</x:v>
      </x:c>
      <x:c r="B474" t="n">
        <x:f>IF(B$1="","",IFERROR(INDEX('包络曲线数据'!$B$2:$U$742,ROW()-1,MATCH(B$1,'包络曲线数据'!$B$1:$U$1,0)),""))</x:f>
        <x:v>79.00511030745555</x:v>
      </x:c>
      <x:c r="C474" t="n">
        <x:f>IF(C$1="","",IFERROR(INDEX('包络曲线数据'!$B$2:$U$742,ROW()-1,MATCH(C$1,'包络曲线数据'!$B$1:$U$1,0)),""))</x:f>
        <x:v>66.0248150848659</x:v>
      </x:c>
      <x:c r="D474" t="str">
        <x:f>IF(D$1="","",IFERROR(INDEX('包络曲线数据'!$B$2:$U$742,ROW()-1,MATCH(D$1,'包络曲线数据'!$B$1:$U$1,0)),""))</x:f>
      </x:c>
      <x:c r="E474" t="str">
        <x:f>IF(E$1="","",IFERROR(INDEX('包络曲线数据'!$B$2:$U$742,ROW()-1,MATCH(E$1,'包络曲线数据'!$B$1:$U$1,0)),""))</x:f>
      </x:c>
      <x:c r="F474" t="str">
        <x:f>IF(F$1="","",IFERROR(INDEX('包络曲线数据'!$B$2:$U$742,ROW()-1,MATCH(F$1,'包络曲线数据'!$B$1:$U$1,0)),""))</x:f>
      </x:c>
      <x:c r="G474" t="str">
        <x:f>IF(G$1="","",IFERROR(INDEX('包络曲线数据'!$B$2:$U$742,ROW()-1,MATCH(G$1,'包络曲线数据'!$B$1:$U$1,0)),""))</x:f>
      </x:c>
    </x:row>
    <x:row r="475">
      <x:c r="A475" t="n">
        <x:v>47.300000000000004</x:v>
      </x:c>
      <x:c r="B475" t="n">
        <x:f>IF(B$1="","",IFERROR(INDEX('包络曲线数据'!$B$2:$U$742,ROW()-1,MATCH(B$1,'包络曲线数据'!$B$1:$U$1,0)),""))</x:f>
        <x:v>69.17644015640127</x:v>
      </x:c>
      <x:c r="C475" t="n">
        <x:f>IF(C$1="","",IFERROR(INDEX('包络曲线数据'!$B$2:$U$742,ROW()-1,MATCH(C$1,'包络曲线数据'!$B$1:$U$1,0)),""))</x:f>
        <x:v>65.02641590372235</x:v>
      </x:c>
      <x:c r="D475" t="str">
        <x:f>IF(D$1="","",IFERROR(INDEX('包络曲线数据'!$B$2:$U$742,ROW()-1,MATCH(D$1,'包络曲线数据'!$B$1:$U$1,0)),""))</x:f>
      </x:c>
      <x:c r="E475" t="str">
        <x:f>IF(E$1="","",IFERROR(INDEX('包络曲线数据'!$B$2:$U$742,ROW()-1,MATCH(E$1,'包络曲线数据'!$B$1:$U$1,0)),""))</x:f>
      </x:c>
      <x:c r="F475" t="str">
        <x:f>IF(F$1="","",IFERROR(INDEX('包络曲线数据'!$B$2:$U$742,ROW()-1,MATCH(F$1,'包络曲线数据'!$B$1:$U$1,0)),""))</x:f>
      </x:c>
      <x:c r="G475" t="str">
        <x:f>IF(G$1="","",IFERROR(INDEX('包络曲线数据'!$B$2:$U$742,ROW()-1,MATCH(G$1,'包络曲线数据'!$B$1:$U$1,0)),""))</x:f>
      </x:c>
    </x:row>
    <x:row r="476">
      <x:c r="A476" t="n">
        <x:v>47.400000000000006</x:v>
      </x:c>
      <x:c r="B476" t="n">
        <x:f>IF(B$1="","",IFERROR(INDEX('包络曲线数据'!$B$2:$U$742,ROW()-1,MATCH(B$1,'包络曲线数据'!$B$1:$U$1,0)),""))</x:f>
        <x:v>51.595284178115094</x:v>
      </x:c>
      <x:c r="C476" t="n">
        <x:f>IF(C$1="","",IFERROR(INDEX('包络曲线数据'!$B$2:$U$742,ROW()-1,MATCH(C$1,'包络曲线数据'!$B$1:$U$1,0)),""))</x:f>
        <x:v>66.48584012506024</x:v>
      </x:c>
      <x:c r="D476" t="str">
        <x:f>IF(D$1="","",IFERROR(INDEX('包络曲线数据'!$B$2:$U$742,ROW()-1,MATCH(D$1,'包络曲线数据'!$B$1:$U$1,0)),""))</x:f>
      </x:c>
      <x:c r="E476" t="str">
        <x:f>IF(E$1="","",IFERROR(INDEX('包络曲线数据'!$B$2:$U$742,ROW()-1,MATCH(E$1,'包络曲线数据'!$B$1:$U$1,0)),""))</x:f>
      </x:c>
      <x:c r="F476" t="str">
        <x:f>IF(F$1="","",IFERROR(INDEX('包络曲线数据'!$B$2:$U$742,ROW()-1,MATCH(F$1,'包络曲线数据'!$B$1:$U$1,0)),""))</x:f>
      </x:c>
      <x:c r="G476" t="str">
        <x:f>IF(G$1="","",IFERROR(INDEX('包络曲线数据'!$B$2:$U$742,ROW()-1,MATCH(G$1,'包络曲线数据'!$B$1:$U$1,0)),""))</x:f>
      </x:c>
    </x:row>
    <x:row r="477">
      <x:c r="A477" t="n">
        <x:v>47.5</x:v>
      </x:c>
      <x:c r="B477" t="n">
        <x:f>IF(B$1="","",IFERROR(INDEX('包络曲线数据'!$B$2:$U$742,ROW()-1,MATCH(B$1,'包络曲线数据'!$B$1:$U$1,0)),""))</x:f>
        <x:v>51.595284178115094</x:v>
      </x:c>
      <x:c r="C477" t="n">
        <x:f>IF(C$1="","",IFERROR(INDEX('包络曲线数据'!$B$2:$U$742,ROW()-1,MATCH(C$1,'包络曲线数据'!$B$1:$U$1,0)),""))</x:f>
        <x:v>66.96682339656523</x:v>
      </x:c>
      <x:c r="D477" t="str">
        <x:f>IF(D$1="","",IFERROR(INDEX('包络曲线数据'!$B$2:$U$742,ROW()-1,MATCH(D$1,'包络曲线数据'!$B$1:$U$1,0)),""))</x:f>
      </x:c>
      <x:c r="E477" t="str">
        <x:f>IF(E$1="","",IFERROR(INDEX('包络曲线数据'!$B$2:$U$742,ROW()-1,MATCH(E$1,'包络曲线数据'!$B$1:$U$1,0)),""))</x:f>
      </x:c>
      <x:c r="F477" t="str">
        <x:f>IF(F$1="","",IFERROR(INDEX('包络曲线数据'!$B$2:$U$742,ROW()-1,MATCH(F$1,'包络曲线数据'!$B$1:$U$1,0)),""))</x:f>
      </x:c>
      <x:c r="G477" t="str">
        <x:f>IF(G$1="","",IFERROR(INDEX('包络曲线数据'!$B$2:$U$742,ROW()-1,MATCH(G$1,'包络曲线数据'!$B$1:$U$1,0)),""))</x:f>
      </x:c>
    </x:row>
    <x:row r="478">
      <x:c r="A478" t="n">
        <x:v>47.6</x:v>
      </x:c>
      <x:c r="B478" t="n">
        <x:f>IF(B$1="","",IFERROR(INDEX('包络曲线数据'!$B$2:$U$742,ROW()-1,MATCH(B$1,'包络曲线数据'!$B$1:$U$1,0)),""))</x:f>
        <x:v>60.89916479811606</x:v>
      </x:c>
      <x:c r="C478" t="n">
        <x:f>IF(C$1="","",IFERROR(INDEX('包络曲线数据'!$B$2:$U$742,ROW()-1,MATCH(C$1,'包络曲线数据'!$B$1:$U$1,0)),""))</x:f>
        <x:v>67.07768696324017</x:v>
      </x:c>
      <x:c r="D478" t="str">
        <x:f>IF(D$1="","",IFERROR(INDEX('包络曲线数据'!$B$2:$U$742,ROW()-1,MATCH(D$1,'包络曲线数据'!$B$1:$U$1,0)),""))</x:f>
      </x:c>
      <x:c r="E478" t="str">
        <x:f>IF(E$1="","",IFERROR(INDEX('包络曲线数据'!$B$2:$U$742,ROW()-1,MATCH(E$1,'包络曲线数据'!$B$1:$U$1,0)),""))</x:f>
      </x:c>
      <x:c r="F478" t="str">
        <x:f>IF(F$1="","",IFERROR(INDEX('包络曲线数据'!$B$2:$U$742,ROW()-1,MATCH(F$1,'包络曲线数据'!$B$1:$U$1,0)),""))</x:f>
      </x:c>
      <x:c r="G478" t="str">
        <x:f>IF(G$1="","",IFERROR(INDEX('包络曲线数据'!$B$2:$U$742,ROW()-1,MATCH(G$1,'包络曲线数据'!$B$1:$U$1,0)),""))</x:f>
      </x:c>
    </x:row>
    <x:row r="479">
      <x:c r="A479" t="n">
        <x:v>47.7</x:v>
      </x:c>
      <x:c r="B479" t="n">
        <x:f>IF(B$1="","",IFERROR(INDEX('包络曲线数据'!$B$2:$U$742,ROW()-1,MATCH(B$1,'包络曲线数据'!$B$1:$U$1,0)),""))</x:f>
        <x:v>64.39951937797602</x:v>
      </x:c>
      <x:c r="C479" t="n">
        <x:f>IF(C$1="","",IFERROR(INDEX('包络曲线数据'!$B$2:$U$742,ROW()-1,MATCH(C$1,'包络曲线数据'!$B$1:$U$1,0)),""))</x:f>
        <x:v>68.78709700191415</x:v>
      </x:c>
      <x:c r="D479" t="str">
        <x:f>IF(D$1="","",IFERROR(INDEX('包络曲线数据'!$B$2:$U$742,ROW()-1,MATCH(D$1,'包络曲线数据'!$B$1:$U$1,0)),""))</x:f>
      </x:c>
      <x:c r="E479" t="str">
        <x:f>IF(E$1="","",IFERROR(INDEX('包络曲线数据'!$B$2:$U$742,ROW()-1,MATCH(E$1,'包络曲线数据'!$B$1:$U$1,0)),""))</x:f>
      </x:c>
      <x:c r="F479" t="str">
        <x:f>IF(F$1="","",IFERROR(INDEX('包络曲线数据'!$B$2:$U$742,ROW()-1,MATCH(F$1,'包络曲线数据'!$B$1:$U$1,0)),""))</x:f>
      </x:c>
      <x:c r="G479" t="str">
        <x:f>IF(G$1="","",IFERROR(INDEX('包络曲线数据'!$B$2:$U$742,ROW()-1,MATCH(G$1,'包络曲线数据'!$B$1:$U$1,0)),""))</x:f>
      </x:c>
    </x:row>
    <x:row r="480">
      <x:c r="A480" t="n">
        <x:v>47.800000000000004</x:v>
      </x:c>
      <x:c r="B480" t="n">
        <x:f>IF(B$1="","",IFERROR(INDEX('包络曲线数据'!$B$2:$U$742,ROW()-1,MATCH(B$1,'包络曲线数据'!$B$1:$U$1,0)),""))</x:f>
        <x:v>64.39951937797602</x:v>
      </x:c>
      <x:c r="C480" t="n">
        <x:f>IF(C$1="","",IFERROR(INDEX('包络曲线数据'!$B$2:$U$742,ROW()-1,MATCH(C$1,'包络曲线数据'!$B$1:$U$1,0)),""))</x:f>
        <x:v>68.78709700191415</x:v>
      </x:c>
      <x:c r="D480" t="str">
        <x:f>IF(D$1="","",IFERROR(INDEX('包络曲线数据'!$B$2:$U$742,ROW()-1,MATCH(D$1,'包络曲线数据'!$B$1:$U$1,0)),""))</x:f>
      </x:c>
      <x:c r="E480" t="str">
        <x:f>IF(E$1="","",IFERROR(INDEX('包络曲线数据'!$B$2:$U$742,ROW()-1,MATCH(E$1,'包络曲线数据'!$B$1:$U$1,0)),""))</x:f>
      </x:c>
      <x:c r="F480" t="str">
        <x:f>IF(F$1="","",IFERROR(INDEX('包络曲线数据'!$B$2:$U$742,ROW()-1,MATCH(F$1,'包络曲线数据'!$B$1:$U$1,0)),""))</x:f>
      </x:c>
      <x:c r="G480" t="str">
        <x:f>IF(G$1="","",IFERROR(INDEX('包络曲线数据'!$B$2:$U$742,ROW()-1,MATCH(G$1,'包络曲线数据'!$B$1:$U$1,0)),""))</x:f>
      </x:c>
    </x:row>
    <x:row r="481">
      <x:c r="A481" t="n">
        <x:v>47.900000000000006</x:v>
      </x:c>
      <x:c r="B481" t="n">
        <x:f>IF(B$1="","",IFERROR(INDEX('包络曲线数据'!$B$2:$U$742,ROW()-1,MATCH(B$1,'包络曲线数据'!$B$1:$U$1,0)),""))</x:f>
        <x:v>62.643866035498846</x:v>
      </x:c>
      <x:c r="C481" t="n">
        <x:f>IF(C$1="","",IFERROR(INDEX('包络曲线数据'!$B$2:$U$742,ROW()-1,MATCH(C$1,'包络曲线数据'!$B$1:$U$1,0)),""))</x:f>
        <x:v>68.27885631064845</x:v>
      </x:c>
      <x:c r="D481" t="str">
        <x:f>IF(D$1="","",IFERROR(INDEX('包络曲线数据'!$B$2:$U$742,ROW()-1,MATCH(D$1,'包络曲线数据'!$B$1:$U$1,0)),""))</x:f>
      </x:c>
      <x:c r="E481" t="str">
        <x:f>IF(E$1="","",IFERROR(INDEX('包络曲线数据'!$B$2:$U$742,ROW()-1,MATCH(E$1,'包络曲线数据'!$B$1:$U$1,0)),""))</x:f>
      </x:c>
      <x:c r="F481" t="str">
        <x:f>IF(F$1="","",IFERROR(INDEX('包络曲线数据'!$B$2:$U$742,ROW()-1,MATCH(F$1,'包络曲线数据'!$B$1:$U$1,0)),""))</x:f>
      </x:c>
      <x:c r="G481" t="str">
        <x:f>IF(G$1="","",IFERROR(INDEX('包络曲线数据'!$B$2:$U$742,ROW()-1,MATCH(G$1,'包络曲线数据'!$B$1:$U$1,0)),""))</x:f>
      </x:c>
    </x:row>
    <x:row r="482">
      <x:c r="A482" t="n">
        <x:v>48</x:v>
      </x:c>
      <x:c r="B482" t="n">
        <x:f>IF(B$1="","",IFERROR(INDEX('包络曲线数据'!$B$2:$U$742,ROW()-1,MATCH(B$1,'包络曲线数据'!$B$1:$U$1,0)),""))</x:f>
        <x:v>53.235441169452486</x:v>
      </x:c>
      <x:c r="C482" t="n">
        <x:f>IF(C$1="","",IFERROR(INDEX('包络曲线数据'!$B$2:$U$742,ROW()-1,MATCH(C$1,'包络曲线数据'!$B$1:$U$1,0)),""))</x:f>
        <x:v>68.27885631064845</x:v>
      </x:c>
      <x:c r="D482" t="str">
        <x:f>IF(D$1="","",IFERROR(INDEX('包络曲线数据'!$B$2:$U$742,ROW()-1,MATCH(D$1,'包络曲线数据'!$B$1:$U$1,0)),""))</x:f>
      </x:c>
      <x:c r="E482" t="str">
        <x:f>IF(E$1="","",IFERROR(INDEX('包络曲线数据'!$B$2:$U$742,ROW()-1,MATCH(E$1,'包络曲线数据'!$B$1:$U$1,0)),""))</x:f>
      </x:c>
      <x:c r="F482" t="str">
        <x:f>IF(F$1="","",IFERROR(INDEX('包络曲线数据'!$B$2:$U$742,ROW()-1,MATCH(F$1,'包络曲线数据'!$B$1:$U$1,0)),""))</x:f>
      </x:c>
      <x:c r="G482" t="str">
        <x:f>IF(G$1="","",IFERROR(INDEX('包络曲线数据'!$B$2:$U$742,ROW()-1,MATCH(G$1,'包络曲线数据'!$B$1:$U$1,0)),""))</x:f>
      </x:c>
    </x:row>
    <x:row r="483">
      <x:c r="A483" t="n">
        <x:v>48.1</x:v>
      </x:c>
      <x:c r="B483" t="n">
        <x:f>IF(B$1="","",IFERROR(INDEX('包络曲线数据'!$B$2:$U$742,ROW()-1,MATCH(B$1,'包络曲线数据'!$B$1:$U$1,0)),""))</x:f>
        <x:v>51.595284178115094</x:v>
      </x:c>
      <x:c r="C483" t="n">
        <x:f>IF(C$1="","",IFERROR(INDEX('包络曲线数据'!$B$2:$U$742,ROW()-1,MATCH(C$1,'包络曲线数据'!$B$1:$U$1,0)),""))</x:f>
        <x:v>88.14683405893645</x:v>
      </x:c>
      <x:c r="D483" t="str">
        <x:f>IF(D$1="","",IFERROR(INDEX('包络曲线数据'!$B$2:$U$742,ROW()-1,MATCH(D$1,'包络曲线数据'!$B$1:$U$1,0)),""))</x:f>
      </x:c>
      <x:c r="E483" t="str">
        <x:f>IF(E$1="","",IFERROR(INDEX('包络曲线数据'!$B$2:$U$742,ROW()-1,MATCH(E$1,'包络曲线数据'!$B$1:$U$1,0)),""))</x:f>
      </x:c>
      <x:c r="F483" t="str">
        <x:f>IF(F$1="","",IFERROR(INDEX('包络曲线数据'!$B$2:$U$742,ROW()-1,MATCH(F$1,'包络曲线数据'!$B$1:$U$1,0)),""))</x:f>
      </x:c>
      <x:c r="G483" t="str">
        <x:f>IF(G$1="","",IFERROR(INDEX('包络曲线数据'!$B$2:$U$742,ROW()-1,MATCH(G$1,'包络曲线数据'!$B$1:$U$1,0)),""))</x:f>
      </x:c>
    </x:row>
    <x:row r="484">
      <x:c r="A484" t="n">
        <x:v>48.2</x:v>
      </x:c>
      <x:c r="B484" t="n">
        <x:f>IF(B$1="","",IFERROR(INDEX('包络曲线数据'!$B$2:$U$742,ROW()-1,MATCH(B$1,'包络曲线数据'!$B$1:$U$1,0)),""))</x:f>
        <x:v>75.61365202067107</x:v>
      </x:c>
      <x:c r="C484" t="n">
        <x:f>IF(C$1="","",IFERROR(INDEX('包络曲线数据'!$B$2:$U$742,ROW()-1,MATCH(C$1,'包络曲线数据'!$B$1:$U$1,0)),""))</x:f>
        <x:v>88.14683405893645</x:v>
      </x:c>
      <x:c r="D484" t="str">
        <x:f>IF(D$1="","",IFERROR(INDEX('包络曲线数据'!$B$2:$U$742,ROW()-1,MATCH(D$1,'包络曲线数据'!$B$1:$U$1,0)),""))</x:f>
      </x:c>
      <x:c r="E484" t="str">
        <x:f>IF(E$1="","",IFERROR(INDEX('包络曲线数据'!$B$2:$U$742,ROW()-1,MATCH(E$1,'包络曲线数据'!$B$1:$U$1,0)),""))</x:f>
      </x:c>
      <x:c r="F484" t="str">
        <x:f>IF(F$1="","",IFERROR(INDEX('包络曲线数据'!$B$2:$U$742,ROW()-1,MATCH(F$1,'包络曲线数据'!$B$1:$U$1,0)),""))</x:f>
      </x:c>
      <x:c r="G484" t="str">
        <x:f>IF(G$1="","",IFERROR(INDEX('包络曲线数据'!$B$2:$U$742,ROW()-1,MATCH(G$1,'包络曲线数据'!$B$1:$U$1,0)),""))</x:f>
      </x:c>
    </x:row>
    <x:row r="485">
      <x:c r="A485" t="n">
        <x:v>48.300000000000004</x:v>
      </x:c>
      <x:c r="B485" t="n">
        <x:f>IF(B$1="","",IFERROR(INDEX('包络曲线数据'!$B$2:$U$742,ROW()-1,MATCH(B$1,'包络曲线数据'!$B$1:$U$1,0)),""))</x:f>
        <x:v>76.45726199028833</x:v>
      </x:c>
      <x:c r="C485" t="n">
        <x:f>IF(C$1="","",IFERROR(INDEX('包络曲线数据'!$B$2:$U$742,ROW()-1,MATCH(C$1,'包络曲线数据'!$B$1:$U$1,0)),""))</x:f>
        <x:v>80.06503846069123</x:v>
      </x:c>
      <x:c r="D485" t="str">
        <x:f>IF(D$1="","",IFERROR(INDEX('包络曲线数据'!$B$2:$U$742,ROW()-1,MATCH(D$1,'包络曲线数据'!$B$1:$U$1,0)),""))</x:f>
      </x:c>
      <x:c r="E485" t="str">
        <x:f>IF(E$1="","",IFERROR(INDEX('包络曲线数据'!$B$2:$U$742,ROW()-1,MATCH(E$1,'包络曲线数据'!$B$1:$U$1,0)),""))</x:f>
      </x:c>
      <x:c r="F485" t="str">
        <x:f>IF(F$1="","",IFERROR(INDEX('包络曲线数据'!$B$2:$U$742,ROW()-1,MATCH(F$1,'包络曲线数据'!$B$1:$U$1,0)),""))</x:f>
      </x:c>
      <x:c r="G485" t="str">
        <x:f>IF(G$1="","",IFERROR(INDEX('包络曲线数据'!$B$2:$U$742,ROW()-1,MATCH(G$1,'包络曲线数据'!$B$1:$U$1,0)),""))</x:f>
      </x:c>
    </x:row>
    <x:row r="486">
      <x:c r="A486" t="n">
        <x:v>48.400000000000006</x:v>
      </x:c>
      <x:c r="B486" t="n">
        <x:f>IF(B$1="","",IFERROR(INDEX('包络曲线数据'!$B$2:$U$742,ROW()-1,MATCH(B$1,'包络曲线数据'!$B$1:$U$1,0)),""))</x:f>
        <x:v>75.64838821263766</x:v>
      </x:c>
      <x:c r="C486" t="n">
        <x:f>IF(C$1="","",IFERROR(INDEX('包络曲线数据'!$B$2:$U$742,ROW()-1,MATCH(C$1,'包络曲线数据'!$B$1:$U$1,0)),""))</x:f>
        <x:v>72.6194239329191</x:v>
      </x:c>
      <x:c r="D486" t="str">
        <x:f>IF(D$1="","",IFERROR(INDEX('包络曲线数据'!$B$2:$U$742,ROW()-1,MATCH(D$1,'包络曲线数据'!$B$1:$U$1,0)),""))</x:f>
      </x:c>
      <x:c r="E486" t="str">
        <x:f>IF(E$1="","",IFERROR(INDEX('包络曲线数据'!$B$2:$U$742,ROW()-1,MATCH(E$1,'包络曲线数据'!$B$1:$U$1,0)),""))</x:f>
      </x:c>
      <x:c r="F486" t="str">
        <x:f>IF(F$1="","",IFERROR(INDEX('包络曲线数据'!$B$2:$U$742,ROW()-1,MATCH(F$1,'包络曲线数据'!$B$1:$U$1,0)),""))</x:f>
      </x:c>
      <x:c r="G486" t="str">
        <x:f>IF(G$1="","",IFERROR(INDEX('包络曲线数据'!$B$2:$U$742,ROW()-1,MATCH(G$1,'包络曲线数据'!$B$1:$U$1,0)),""))</x:f>
      </x:c>
    </x:row>
    <x:row r="487">
      <x:c r="A487" t="n">
        <x:v>48.5</x:v>
      </x:c>
      <x:c r="B487" t="n">
        <x:f>IF(B$1="","",IFERROR(INDEX('包络曲线数据'!$B$2:$U$742,ROW()-1,MATCH(B$1,'包络曲线数据'!$B$1:$U$1,0)),""))</x:f>
        <x:v>69.43398321541476</x:v>
      </x:c>
      <x:c r="C487" t="n">
        <x:f>IF(C$1="","",IFERROR(INDEX('包络曲线数据'!$B$2:$U$742,ROW()-1,MATCH(C$1,'包络曲线数据'!$B$1:$U$1,0)),""))</x:f>
        <x:v>67.78605956074638</x:v>
      </x:c>
      <x:c r="D487" t="str">
        <x:f>IF(D$1="","",IFERROR(INDEX('包络曲线数据'!$B$2:$U$742,ROW()-1,MATCH(D$1,'包络曲线数据'!$B$1:$U$1,0)),""))</x:f>
      </x:c>
      <x:c r="E487" t="str">
        <x:f>IF(E$1="","",IFERROR(INDEX('包络曲线数据'!$B$2:$U$742,ROW()-1,MATCH(E$1,'包络曲线数据'!$B$1:$U$1,0)),""))</x:f>
      </x:c>
      <x:c r="F487" t="str">
        <x:f>IF(F$1="","",IFERROR(INDEX('包络曲线数据'!$B$2:$U$742,ROW()-1,MATCH(F$1,'包络曲线数据'!$B$1:$U$1,0)),""))</x:f>
      </x:c>
      <x:c r="G487" t="str">
        <x:f>IF(G$1="","",IFERROR(INDEX('包络曲线数据'!$B$2:$U$742,ROW()-1,MATCH(G$1,'包络曲线数据'!$B$1:$U$1,0)),""))</x:f>
      </x:c>
    </x:row>
    <x:row r="488">
      <x:c r="A488" t="n">
        <x:v>48.6</x:v>
      </x:c>
      <x:c r="B488" t="n">
        <x:f>IF(B$1="","",IFERROR(INDEX('包络曲线数据'!$B$2:$U$742,ROW()-1,MATCH(B$1,'包络曲线数据'!$B$1:$U$1,0)),""))</x:f>
        <x:v>65.2912775643114</x:v>
      </x:c>
      <x:c r="C488" t="n">
        <x:f>IF(C$1="","",IFERROR(INDEX('包络曲线数据'!$B$2:$U$742,ROW()-1,MATCH(C$1,'包络曲线数据'!$B$1:$U$1,0)),""))</x:f>
        <x:v>62.03691308784837</x:v>
      </x:c>
      <x:c r="D488" t="str">
        <x:f>IF(D$1="","",IFERROR(INDEX('包络曲线数据'!$B$2:$U$742,ROW()-1,MATCH(D$1,'包络曲线数据'!$B$1:$U$1,0)),""))</x:f>
      </x:c>
      <x:c r="E488" t="str">
        <x:f>IF(E$1="","",IFERROR(INDEX('包络曲线数据'!$B$2:$U$742,ROW()-1,MATCH(E$1,'包络曲线数据'!$B$1:$U$1,0)),""))</x:f>
      </x:c>
      <x:c r="F488" t="str">
        <x:f>IF(F$1="","",IFERROR(INDEX('包络曲线数据'!$B$2:$U$742,ROW()-1,MATCH(F$1,'包络曲线数据'!$B$1:$U$1,0)),""))</x:f>
      </x:c>
      <x:c r="G488" t="str">
        <x:f>IF(G$1="","",IFERROR(INDEX('包络曲线数据'!$B$2:$U$742,ROW()-1,MATCH(G$1,'包络曲线数据'!$B$1:$U$1,0)),""))</x:f>
      </x:c>
    </x:row>
    <x:row r="489">
      <x:c r="A489" t="n">
        <x:v>48.7</x:v>
      </x:c>
      <x:c r="B489" t="n">
        <x:f>IF(B$1="","",IFERROR(INDEX('包络曲线数据'!$B$2:$U$742,ROW()-1,MATCH(B$1,'包络曲线数据'!$B$1:$U$1,0)),""))</x:f>
        <x:v>67.79202672614325</x:v>
      </x:c>
      <x:c r="C489" t="n">
        <x:f>IF(C$1="","",IFERROR(INDEX('包络曲线数据'!$B$2:$U$742,ROW()-1,MATCH(C$1,'包络曲线数据'!$B$1:$U$1,0)),""))</x:f>
        <x:v>60.08133986112365</x:v>
      </x:c>
      <x:c r="D489" t="str">
        <x:f>IF(D$1="","",IFERROR(INDEX('包络曲线数据'!$B$2:$U$742,ROW()-1,MATCH(D$1,'包络曲线数据'!$B$1:$U$1,0)),""))</x:f>
      </x:c>
      <x:c r="E489" t="str">
        <x:f>IF(E$1="","",IFERROR(INDEX('包络曲线数据'!$B$2:$U$742,ROW()-1,MATCH(E$1,'包络曲线数据'!$B$1:$U$1,0)),""))</x:f>
      </x:c>
      <x:c r="F489" t="str">
        <x:f>IF(F$1="","",IFERROR(INDEX('包络曲线数据'!$B$2:$U$742,ROW()-1,MATCH(F$1,'包络曲线数据'!$B$1:$U$1,0)),""))</x:f>
      </x:c>
      <x:c r="G489" t="str">
        <x:f>IF(G$1="","",IFERROR(INDEX('包络曲线数据'!$B$2:$U$742,ROW()-1,MATCH(G$1,'包络曲线数据'!$B$1:$U$1,0)),""))</x:f>
      </x:c>
    </x:row>
    <x:row r="490">
      <x:c r="A490" t="n">
        <x:v>48.800000000000004</x:v>
      </x:c>
      <x:c r="B490" t="n">
        <x:f>IF(B$1="","",IFERROR(INDEX('包络曲线数据'!$B$2:$U$742,ROW()-1,MATCH(B$1,'包络曲线数据'!$B$1:$U$1,0)),""))</x:f>
        <x:v>70.16448663912823</x:v>
      </x:c>
      <x:c r="C490" t="n">
        <x:f>IF(C$1="","",IFERROR(INDEX('包络曲线数据'!$B$2:$U$742,ROW()-1,MATCH(C$1,'包络曲线数据'!$B$1:$U$1,0)),""))</x:f>
        <x:v>59.72347841022527</x:v>
      </x:c>
      <x:c r="D490" t="str">
        <x:f>IF(D$1="","",IFERROR(INDEX('包络曲线数据'!$B$2:$U$742,ROW()-1,MATCH(D$1,'包络曲线数据'!$B$1:$U$1,0)),""))</x:f>
      </x:c>
      <x:c r="E490" t="str">
        <x:f>IF(E$1="","",IFERROR(INDEX('包络曲线数据'!$B$2:$U$742,ROW()-1,MATCH(E$1,'包络曲线数据'!$B$1:$U$1,0)),""))</x:f>
      </x:c>
      <x:c r="F490" t="str">
        <x:f>IF(F$1="","",IFERROR(INDEX('包络曲线数据'!$B$2:$U$742,ROW()-1,MATCH(F$1,'包络曲线数据'!$B$1:$U$1,0)),""))</x:f>
      </x:c>
      <x:c r="G490" t="str">
        <x:f>IF(G$1="","",IFERROR(INDEX('包络曲线数据'!$B$2:$U$742,ROW()-1,MATCH(G$1,'包络曲线数据'!$B$1:$U$1,0)),""))</x:f>
      </x:c>
    </x:row>
    <x:row r="491">
      <x:c r="A491" t="n">
        <x:v>48.900000000000006</x:v>
      </x:c>
      <x:c r="B491" t="n">
        <x:f>IF(B$1="","",IFERROR(INDEX('包络曲线数据'!$B$2:$U$742,ROW()-1,MATCH(B$1,'包络曲线数据'!$B$1:$U$1,0)),""))</x:f>
        <x:v>70.28787204285123</x:v>
      </x:c>
      <x:c r="C491" t="n">
        <x:f>IF(C$1="","",IFERROR(INDEX('包络曲线数据'!$B$2:$U$742,ROW()-1,MATCH(C$1,'包络曲线数据'!$B$1:$U$1,0)),""))</x:f>
        <x:v>65.78633272390198</x:v>
      </x:c>
      <x:c r="D491" t="str">
        <x:f>IF(D$1="","",IFERROR(INDEX('包络曲线数据'!$B$2:$U$742,ROW()-1,MATCH(D$1,'包络曲线数据'!$B$1:$U$1,0)),""))</x:f>
      </x:c>
      <x:c r="E491" t="str">
        <x:f>IF(E$1="","",IFERROR(INDEX('包络曲线数据'!$B$2:$U$742,ROW()-1,MATCH(E$1,'包络曲线数据'!$B$1:$U$1,0)),""))</x:f>
      </x:c>
      <x:c r="F491" t="str">
        <x:f>IF(F$1="","",IFERROR(INDEX('包络曲线数据'!$B$2:$U$742,ROW()-1,MATCH(F$1,'包络曲线数据'!$B$1:$U$1,0)),""))</x:f>
      </x:c>
      <x:c r="G491" t="str">
        <x:f>IF(G$1="","",IFERROR(INDEX('包络曲线数据'!$B$2:$U$742,ROW()-1,MATCH(G$1,'包络曲线数据'!$B$1:$U$1,0)),""))</x:f>
      </x:c>
    </x:row>
    <x:row r="492">
      <x:c r="A492" t="n">
        <x:v>49</x:v>
      </x:c>
      <x:c r="B492" t="n">
        <x:f>IF(B$1="","",IFERROR(INDEX('包络曲线数据'!$B$2:$U$742,ROW()-1,MATCH(B$1,'包络曲线数据'!$B$1:$U$1,0)),""))</x:f>
        <x:v>70.35610633365336</x:v>
      </x:c>
      <x:c r="C492" t="n">
        <x:f>IF(C$1="","",IFERROR(INDEX('包络曲线数据'!$B$2:$U$742,ROW()-1,MATCH(C$1,'包络曲线数据'!$B$1:$U$1,0)),""))</x:f>
        <x:v>65.78633272390198</x:v>
      </x:c>
      <x:c r="D492" t="str">
        <x:f>IF(D$1="","",IFERROR(INDEX('包络曲线数据'!$B$2:$U$742,ROW()-1,MATCH(D$1,'包络曲线数据'!$B$1:$U$1,0)),""))</x:f>
      </x:c>
      <x:c r="E492" t="str">
        <x:f>IF(E$1="","",IFERROR(INDEX('包络曲线数据'!$B$2:$U$742,ROW()-1,MATCH(E$1,'包络曲线数据'!$B$1:$U$1,0)),""))</x:f>
      </x:c>
      <x:c r="F492" t="str">
        <x:f>IF(F$1="","",IFERROR(INDEX('包络曲线数据'!$B$2:$U$742,ROW()-1,MATCH(F$1,'包络曲线数据'!$B$1:$U$1,0)),""))</x:f>
      </x:c>
      <x:c r="G492" t="str">
        <x:f>IF(G$1="","",IFERROR(INDEX('包络曲线数据'!$B$2:$U$742,ROW()-1,MATCH(G$1,'包络曲线数据'!$B$1:$U$1,0)),""))</x:f>
      </x:c>
    </x:row>
    <x:row r="493">
      <x:c r="A493" t="n">
        <x:v>49.1</x:v>
      </x:c>
      <x:c r="B493" t="n">
        <x:f>IF(B$1="","",IFERROR(INDEX('包络曲线数据'!$B$2:$U$742,ROW()-1,MATCH(B$1,'包络曲线数据'!$B$1:$U$1,0)),""))</x:f>
        <x:v>70.35610633365336</x:v>
      </x:c>
      <x:c r="C493" t="n">
        <x:f>IF(C$1="","",IFERROR(INDEX('包络曲线数据'!$B$2:$U$742,ROW()-1,MATCH(C$1,'包络曲线数据'!$B$1:$U$1,0)),""))</x:f>
        <x:v>56.29709959306246</x:v>
      </x:c>
      <x:c r="D493" t="str">
        <x:f>IF(D$1="","",IFERROR(INDEX('包络曲线数据'!$B$2:$U$742,ROW()-1,MATCH(D$1,'包络曲线数据'!$B$1:$U$1,0)),""))</x:f>
      </x:c>
      <x:c r="E493" t="str">
        <x:f>IF(E$1="","",IFERROR(INDEX('包络曲线数据'!$B$2:$U$742,ROW()-1,MATCH(E$1,'包络曲线数据'!$B$1:$U$1,0)),""))</x:f>
      </x:c>
      <x:c r="F493" t="str">
        <x:f>IF(F$1="","",IFERROR(INDEX('包络曲线数据'!$B$2:$U$742,ROW()-1,MATCH(F$1,'包络曲线数据'!$B$1:$U$1,0)),""))</x:f>
      </x:c>
      <x:c r="G493" t="str">
        <x:f>IF(G$1="","",IFERROR(INDEX('包络曲线数据'!$B$2:$U$742,ROW()-1,MATCH(G$1,'包络曲线数据'!$B$1:$U$1,0)),""))</x:f>
      </x:c>
    </x:row>
    <x:row r="494">
      <x:c r="A494" t="n">
        <x:v>49.2</x:v>
      </x:c>
      <x:c r="B494" t="n">
        <x:f>IF(B$1="","",IFERROR(INDEX('包络曲线数据'!$B$2:$U$742,ROW()-1,MATCH(B$1,'包络曲线数据'!$B$1:$U$1,0)),""))</x:f>
        <x:v>68.57529010936682</x:v>
      </x:c>
      <x:c r="C494" t="n">
        <x:f>IF(C$1="","",IFERROR(INDEX('包络曲线数据'!$B$2:$U$742,ROW()-1,MATCH(C$1,'包络曲线数据'!$B$1:$U$1,0)),""))</x:f>
        <x:v>63.17427796687624</x:v>
      </x:c>
      <x:c r="D494" t="str">
        <x:f>IF(D$1="","",IFERROR(INDEX('包络曲线数据'!$B$2:$U$742,ROW()-1,MATCH(D$1,'包络曲线数据'!$B$1:$U$1,0)),""))</x:f>
      </x:c>
      <x:c r="E494" t="str">
        <x:f>IF(E$1="","",IFERROR(INDEX('包络曲线数据'!$B$2:$U$742,ROW()-1,MATCH(E$1,'包络曲线数据'!$B$1:$U$1,0)),""))</x:f>
      </x:c>
      <x:c r="F494" t="str">
        <x:f>IF(F$1="","",IFERROR(INDEX('包络曲线数据'!$B$2:$U$742,ROW()-1,MATCH(F$1,'包络曲线数据'!$B$1:$U$1,0)),""))</x:f>
      </x:c>
      <x:c r="G494" t="str">
        <x:f>IF(G$1="","",IFERROR(INDEX('包络曲线数据'!$B$2:$U$742,ROW()-1,MATCH(G$1,'包络曲线数据'!$B$1:$U$1,0)),""))</x:f>
      </x:c>
    </x:row>
    <x:row r="495">
      <x:c r="A495" t="n">
        <x:v>49.300000000000004</x:v>
      </x:c>
      <x:c r="B495" t="n">
        <x:f>IF(B$1="","",IFERROR(INDEX('包络曲线数据'!$B$2:$U$742,ROW()-1,MATCH(B$1,'包络曲线数据'!$B$1:$U$1,0)),""))</x:f>
        <x:v>70.08690775798726</x:v>
      </x:c>
      <x:c r="C495" t="n">
        <x:f>IF(C$1="","",IFERROR(INDEX('包络曲线数据'!$B$2:$U$742,ROW()-1,MATCH(C$1,'包络曲线数据'!$B$1:$U$1,0)),""))</x:f>
        <x:v>73.49004552759446</x:v>
      </x:c>
      <x:c r="D495" t="str">
        <x:f>IF(D$1="","",IFERROR(INDEX('包络曲线数据'!$B$2:$U$742,ROW()-1,MATCH(D$1,'包络曲线数据'!$B$1:$U$1,0)),""))</x:f>
      </x:c>
      <x:c r="E495" t="str">
        <x:f>IF(E$1="","",IFERROR(INDEX('包络曲线数据'!$B$2:$U$742,ROW()-1,MATCH(E$1,'包络曲线数据'!$B$1:$U$1,0)),""))</x:f>
      </x:c>
      <x:c r="F495" t="str">
        <x:f>IF(F$1="","",IFERROR(INDEX('包络曲线数据'!$B$2:$U$742,ROW()-1,MATCH(F$1,'包络曲线数据'!$B$1:$U$1,0)),""))</x:f>
      </x:c>
      <x:c r="G495" t="str">
        <x:f>IF(G$1="","",IFERROR(INDEX('包络曲线数据'!$B$2:$U$742,ROW()-1,MATCH(G$1,'包络曲线数据'!$B$1:$U$1,0)),""))</x:f>
      </x:c>
    </x:row>
    <x:row r="496">
      <x:c r="A496" t="n">
        <x:v>49.400000000000006</x:v>
      </x:c>
      <x:c r="B496" t="n">
        <x:f>IF(B$1="","",IFERROR(INDEX('包络曲线数据'!$B$2:$U$742,ROW()-1,MATCH(B$1,'包络曲线数据'!$B$1:$U$1,0)),""))</x:f>
        <x:v>70.08690775798726</x:v>
      </x:c>
      <x:c r="C496" t="n">
        <x:f>IF(C$1="","",IFERROR(INDEX('包络曲线数据'!$B$2:$U$742,ROW()-1,MATCH(C$1,'包络曲线数据'!$B$1:$U$1,0)),""))</x:f>
        <x:v>73.49004552759445</x:v>
      </x:c>
      <x:c r="D496" t="str">
        <x:f>IF(D$1="","",IFERROR(INDEX('包络曲线数据'!$B$2:$U$742,ROW()-1,MATCH(D$1,'包络曲线数据'!$B$1:$U$1,0)),""))</x:f>
      </x:c>
      <x:c r="E496" t="str">
        <x:f>IF(E$1="","",IFERROR(INDEX('包络曲线数据'!$B$2:$U$742,ROW()-1,MATCH(E$1,'包络曲线数据'!$B$1:$U$1,0)),""))</x:f>
      </x:c>
      <x:c r="F496" t="str">
        <x:f>IF(F$1="","",IFERROR(INDEX('包络曲线数据'!$B$2:$U$742,ROW()-1,MATCH(F$1,'包络曲线数据'!$B$1:$U$1,0)),""))</x:f>
      </x:c>
      <x:c r="G496" t="str">
        <x:f>IF(G$1="","",IFERROR(INDEX('包络曲线数据'!$B$2:$U$742,ROW()-1,MATCH(G$1,'包络曲线数据'!$B$1:$U$1,0)),""))</x:f>
      </x:c>
    </x:row>
    <x:row r="497">
      <x:c r="A497" t="n">
        <x:v>49.5</x:v>
      </x:c>
      <x:c r="B497" t="n">
        <x:f>IF(B$1="","",IFERROR(INDEX('包络曲线数据'!$B$2:$U$742,ROW()-1,MATCH(B$1,'包络曲线数据'!$B$1:$U$1,0)),""))</x:f>
        <x:v>69.41052894818023</x:v>
      </x:c>
      <x:c r="C497" t="n">
        <x:f>IF(C$1="","",IFERROR(INDEX('包络曲线数据'!$B$2:$U$742,ROW()-1,MATCH(C$1,'包络曲线数据'!$B$1:$U$1,0)),""))</x:f>
        <x:v>67.15170642169203</x:v>
      </x:c>
      <x:c r="D497" t="str">
        <x:f>IF(D$1="","",IFERROR(INDEX('包络曲线数据'!$B$2:$U$742,ROW()-1,MATCH(D$1,'包络曲线数据'!$B$1:$U$1,0)),""))</x:f>
      </x:c>
      <x:c r="E497" t="str">
        <x:f>IF(E$1="","",IFERROR(INDEX('包络曲线数据'!$B$2:$U$742,ROW()-1,MATCH(E$1,'包络曲线数据'!$B$1:$U$1,0)),""))</x:f>
      </x:c>
      <x:c r="F497" t="str">
        <x:f>IF(F$1="","",IFERROR(INDEX('包络曲线数据'!$B$2:$U$742,ROW()-1,MATCH(F$1,'包络曲线数据'!$B$1:$U$1,0)),""))</x:f>
      </x:c>
      <x:c r="G497" t="str">
        <x:f>IF(G$1="","",IFERROR(INDEX('包络曲线数据'!$B$2:$U$742,ROW()-1,MATCH(G$1,'包络曲线数据'!$B$1:$U$1,0)),""))</x:f>
      </x:c>
    </x:row>
    <x:row r="498">
      <x:c r="A498" t="n">
        <x:v>49.6</x:v>
      </x:c>
      <x:c r="B498" t="n">
        <x:f>IF(B$1="","",IFERROR(INDEX('包络曲线数据'!$B$2:$U$742,ROW()-1,MATCH(B$1,'包络曲线数据'!$B$1:$U$1,0)),""))</x:f>
        <x:v>68.40091217986837</x:v>
      </x:c>
      <x:c r="C498" t="n">
        <x:f>IF(C$1="","",IFERROR(INDEX('包络曲线数据'!$B$2:$U$742,ROW()-1,MATCH(C$1,'包络曲线数据'!$B$1:$U$1,0)),""))</x:f>
        <x:v>54.2735594511674</x:v>
      </x:c>
      <x:c r="D498" t="str">
        <x:f>IF(D$1="","",IFERROR(INDEX('包络曲线数据'!$B$2:$U$742,ROW()-1,MATCH(D$1,'包络曲线数据'!$B$1:$U$1,0)),""))</x:f>
      </x:c>
      <x:c r="E498" t="str">
        <x:f>IF(E$1="","",IFERROR(INDEX('包络曲线数据'!$B$2:$U$742,ROW()-1,MATCH(E$1,'包络曲线数据'!$B$1:$U$1,0)),""))</x:f>
      </x:c>
      <x:c r="F498" t="str">
        <x:f>IF(F$1="","",IFERROR(INDEX('包络曲线数据'!$B$2:$U$742,ROW()-1,MATCH(F$1,'包络曲线数据'!$B$1:$U$1,0)),""))</x:f>
      </x:c>
      <x:c r="G498" t="str">
        <x:f>IF(G$1="","",IFERROR(INDEX('包络曲线数据'!$B$2:$U$742,ROW()-1,MATCH(G$1,'包络曲线数据'!$B$1:$U$1,0)),""))</x:f>
      </x:c>
    </x:row>
    <x:row r="499">
      <x:c r="A499" t="n">
        <x:v>49.7</x:v>
      </x:c>
      <x:c r="B499" t="n">
        <x:f>IF(B$1="","",IFERROR(INDEX('包络曲线数据'!$B$2:$U$742,ROW()-1,MATCH(B$1,'包络曲线数据'!$B$1:$U$1,0)),""))</x:f>
        <x:v>68.40091217986837</x:v>
      </x:c>
      <x:c r="C499" t="n">
        <x:f>IF(C$1="","",IFERROR(INDEX('包络曲线数据'!$B$2:$U$742,ROW()-1,MATCH(C$1,'包络曲线数据'!$B$1:$U$1,0)),""))</x:f>
        <x:v>63.29830430008253</x:v>
      </x:c>
      <x:c r="D499" t="str">
        <x:f>IF(D$1="","",IFERROR(INDEX('包络曲线数据'!$B$2:$U$742,ROW()-1,MATCH(D$1,'包络曲线数据'!$B$1:$U$1,0)),""))</x:f>
      </x:c>
      <x:c r="E499" t="str">
        <x:f>IF(E$1="","",IFERROR(INDEX('包络曲线数据'!$B$2:$U$742,ROW()-1,MATCH(E$1,'包络曲线数据'!$B$1:$U$1,0)),""))</x:f>
      </x:c>
      <x:c r="F499" t="str">
        <x:f>IF(F$1="","",IFERROR(INDEX('包络曲线数据'!$B$2:$U$742,ROW()-1,MATCH(F$1,'包络曲线数据'!$B$1:$U$1,0)),""))</x:f>
      </x:c>
      <x:c r="G499" t="str">
        <x:f>IF(G$1="","",IFERROR(INDEX('包络曲线数据'!$B$2:$U$742,ROW()-1,MATCH(G$1,'包络曲线数据'!$B$1:$U$1,0)),""))</x:f>
      </x:c>
    </x:row>
    <x:row r="500">
      <x:c r="A500" t="n">
        <x:v>49.800000000000004</x:v>
      </x:c>
      <x:c r="B500" t="n">
        <x:f>IF(B$1="","",IFERROR(INDEX('包络曲线数据'!$B$2:$U$742,ROW()-1,MATCH(B$1,'包络曲线数据'!$B$1:$U$1,0)),""))</x:f>
        <x:v>67.44020314192787</x:v>
      </x:c>
      <x:c r="C500" t="n">
        <x:f>IF(C$1="","",IFERROR(INDEX('包络曲线数据'!$B$2:$U$742,ROW()-1,MATCH(C$1,'包络曲线数据'!$B$1:$U$1,0)),""))</x:f>
        <x:v>66.52853806322004</x:v>
      </x:c>
      <x:c r="D500" t="str">
        <x:f>IF(D$1="","",IFERROR(INDEX('包络曲线数据'!$B$2:$U$742,ROW()-1,MATCH(D$1,'包络曲线数据'!$B$1:$U$1,0)),""))</x:f>
      </x:c>
      <x:c r="E500" t="str">
        <x:f>IF(E$1="","",IFERROR(INDEX('包络曲线数据'!$B$2:$U$742,ROW()-1,MATCH(E$1,'包络曲线数据'!$B$1:$U$1,0)),""))</x:f>
      </x:c>
      <x:c r="F500" t="str">
        <x:f>IF(F$1="","",IFERROR(INDEX('包络曲线数据'!$B$2:$U$742,ROW()-1,MATCH(F$1,'包络曲线数据'!$B$1:$U$1,0)),""))</x:f>
      </x:c>
      <x:c r="G500" t="str">
        <x:f>IF(G$1="","",IFERROR(INDEX('包络曲线数据'!$B$2:$U$742,ROW()-1,MATCH(G$1,'包络曲线数据'!$B$1:$U$1,0)),""))</x:f>
      </x:c>
    </x:row>
    <x:row r="501">
      <x:c r="A501" t="n">
        <x:v>49.900000000000006</x:v>
      </x:c>
      <x:c r="B501" t="n">
        <x:f>IF(B$1="","",IFERROR(INDEX('包络曲线数据'!$B$2:$U$742,ROW()-1,MATCH(B$1,'包络曲线数据'!$B$1:$U$1,0)),""))</x:f>
        <x:v>69.9595145371562</x:v>
      </x:c>
      <x:c r="C501" t="n">
        <x:f>IF(C$1="","",IFERROR(INDEX('包络曲线数据'!$B$2:$U$742,ROW()-1,MATCH(C$1,'包络曲线数据'!$B$1:$U$1,0)),""))</x:f>
        <x:v>66.52853806322004</x:v>
      </x:c>
      <x:c r="D501" t="str">
        <x:f>IF(D$1="","",IFERROR(INDEX('包络曲线数据'!$B$2:$U$742,ROW()-1,MATCH(D$1,'包络曲线数据'!$B$1:$U$1,0)),""))</x:f>
      </x:c>
      <x:c r="E501" t="str">
        <x:f>IF(E$1="","",IFERROR(INDEX('包络曲线数据'!$B$2:$U$742,ROW()-1,MATCH(E$1,'包络曲线数据'!$B$1:$U$1,0)),""))</x:f>
      </x:c>
      <x:c r="F501" t="str">
        <x:f>IF(F$1="","",IFERROR(INDEX('包络曲线数据'!$B$2:$U$742,ROW()-1,MATCH(F$1,'包络曲线数据'!$B$1:$U$1,0)),""))</x:f>
      </x:c>
      <x:c r="G501" t="str">
        <x:f>IF(G$1="","",IFERROR(INDEX('包络曲线数据'!$B$2:$U$742,ROW()-1,MATCH(G$1,'包络曲线数据'!$B$1:$U$1,0)),""))</x:f>
      </x:c>
    </x:row>
    <x:row r="502">
      <x:c r="A502" t="n">
        <x:v>50</x:v>
      </x:c>
      <x:c r="B502" t="n">
        <x:f>IF(B$1="","",IFERROR(INDEX('包络曲线数据'!$B$2:$U$742,ROW()-1,MATCH(B$1,'包络曲线数据'!$B$1:$U$1,0)),""))</x:f>
        <x:v>77.35803479970656</x:v>
      </x:c>
      <x:c r="C502" t="n">
        <x:f>IF(C$1="","",IFERROR(INDEX('包络曲线数据'!$B$2:$U$742,ROW()-1,MATCH(C$1,'包络曲线数据'!$B$1:$U$1,0)),""))</x:f>
        <x:v>67.12498634625447</x:v>
      </x:c>
      <x:c r="D502" t="str">
        <x:f>IF(D$1="","",IFERROR(INDEX('包络曲线数据'!$B$2:$U$742,ROW()-1,MATCH(D$1,'包络曲线数据'!$B$1:$U$1,0)),""))</x:f>
      </x:c>
      <x:c r="E502" t="str">
        <x:f>IF(E$1="","",IFERROR(INDEX('包络曲线数据'!$B$2:$U$742,ROW()-1,MATCH(E$1,'包络曲线数据'!$B$1:$U$1,0)),""))</x:f>
      </x:c>
      <x:c r="F502" t="str">
        <x:f>IF(F$1="","",IFERROR(INDEX('包络曲线数据'!$B$2:$U$742,ROW()-1,MATCH(F$1,'包络曲线数据'!$B$1:$U$1,0)),""))</x:f>
      </x:c>
      <x:c r="G502" t="str">
        <x:f>IF(G$1="","",IFERROR(INDEX('包络曲线数据'!$B$2:$U$742,ROW()-1,MATCH(G$1,'包络曲线数据'!$B$1:$U$1,0)),""))</x:f>
      </x:c>
    </x:row>
    <x:row r="503">
      <x:c r="A503" t="n">
        <x:v>50.1</x:v>
      </x:c>
      <x:c r="B503" t="n">
        <x:f>IF(B$1="","",IFERROR(INDEX('包络曲线数据'!$B$2:$U$742,ROW()-1,MATCH(B$1,'包络曲线数据'!$B$1:$U$1,0)),""))</x:f>
        <x:v>77.35803479970656</x:v>
      </x:c>
      <x:c r="C503" t="n">
        <x:f>IF(C$1="","",IFERROR(INDEX('包络曲线数据'!$B$2:$U$742,ROW()-1,MATCH(C$1,'包络曲线数据'!$B$1:$U$1,0)),""))</x:f>
        <x:v>67.86090387444125</x:v>
      </x:c>
      <x:c r="D503" t="str">
        <x:f>IF(D$1="","",IFERROR(INDEX('包络曲线数据'!$B$2:$U$742,ROW()-1,MATCH(D$1,'包络曲线数据'!$B$1:$U$1,0)),""))</x:f>
      </x:c>
      <x:c r="E503" t="str">
        <x:f>IF(E$1="","",IFERROR(INDEX('包络曲线数据'!$B$2:$U$742,ROW()-1,MATCH(E$1,'包络曲线数据'!$B$1:$U$1,0)),""))</x:f>
      </x:c>
      <x:c r="F503" t="str">
        <x:f>IF(F$1="","",IFERROR(INDEX('包络曲线数据'!$B$2:$U$742,ROW()-1,MATCH(F$1,'包络曲线数据'!$B$1:$U$1,0)),""))</x:f>
      </x:c>
      <x:c r="G503" t="str">
        <x:f>IF(G$1="","",IFERROR(INDEX('包络曲线数据'!$B$2:$U$742,ROW()-1,MATCH(G$1,'包络曲线数据'!$B$1:$U$1,0)),""))</x:f>
      </x:c>
    </x:row>
    <x:row r="504">
      <x:c r="A504" t="n">
        <x:v>50.2</x:v>
      </x:c>
      <x:c r="B504" t="n">
        <x:f>IF(B$1="","",IFERROR(INDEX('包络曲线数据'!$B$2:$U$742,ROW()-1,MATCH(B$1,'包络曲线数据'!$B$1:$U$1,0)),""))</x:f>
        <x:v>66.14075683974197</x:v>
      </x:c>
      <x:c r="C504" t="n">
        <x:f>IF(C$1="","",IFERROR(INDEX('包络曲线数据'!$B$2:$U$742,ROW()-1,MATCH(C$1,'包络曲线数据'!$B$1:$U$1,0)),""))</x:f>
        <x:v>67.86090387444125</x:v>
      </x:c>
      <x:c r="D504" t="str">
        <x:f>IF(D$1="","",IFERROR(INDEX('包络曲线数据'!$B$2:$U$742,ROW()-1,MATCH(D$1,'包络曲线数据'!$B$1:$U$1,0)),""))</x:f>
      </x:c>
      <x:c r="E504" t="str">
        <x:f>IF(E$1="","",IFERROR(INDEX('包络曲线数据'!$B$2:$U$742,ROW()-1,MATCH(E$1,'包络曲线数据'!$B$1:$U$1,0)),""))</x:f>
      </x:c>
      <x:c r="F504" t="str">
        <x:f>IF(F$1="","",IFERROR(INDEX('包络曲线数据'!$B$2:$U$742,ROW()-1,MATCH(F$1,'包络曲线数据'!$B$1:$U$1,0)),""))</x:f>
      </x:c>
      <x:c r="G504" t="str">
        <x:f>IF(G$1="","",IFERROR(INDEX('包络曲线数据'!$B$2:$U$742,ROW()-1,MATCH(G$1,'包络曲线数据'!$B$1:$U$1,0)),""))</x:f>
      </x:c>
    </x:row>
    <x:row r="505">
      <x:c r="A505" t="n">
        <x:v>50.300000000000004</x:v>
      </x:c>
      <x:c r="B505" t="n">
        <x:f>IF(B$1="","",IFERROR(INDEX('包络曲线数据'!$B$2:$U$742,ROW()-1,MATCH(B$1,'包络曲线数据'!$B$1:$U$1,0)),""))</x:f>
        <x:v>61.4534089521006</x:v>
      </x:c>
      <x:c r="C505" t="n">
        <x:f>IF(C$1="","",IFERROR(INDEX('包络曲线数据'!$B$2:$U$742,ROW()-1,MATCH(C$1,'包络曲线数据'!$B$1:$U$1,0)),""))</x:f>
        <x:v>68.95340807957487</x:v>
      </x:c>
      <x:c r="D505" t="str">
        <x:f>IF(D$1="","",IFERROR(INDEX('包络曲线数据'!$B$2:$U$742,ROW()-1,MATCH(D$1,'包络曲线数据'!$B$1:$U$1,0)),""))</x:f>
      </x:c>
      <x:c r="E505" t="str">
        <x:f>IF(E$1="","",IFERROR(INDEX('包络曲线数据'!$B$2:$U$742,ROW()-1,MATCH(E$1,'包络曲线数据'!$B$1:$U$1,0)),""))</x:f>
      </x:c>
      <x:c r="F505" t="str">
        <x:f>IF(F$1="","",IFERROR(INDEX('包络曲线数据'!$B$2:$U$742,ROW()-1,MATCH(F$1,'包络曲线数据'!$B$1:$U$1,0)),""))</x:f>
      </x:c>
      <x:c r="G505" t="str">
        <x:f>IF(G$1="","",IFERROR(INDEX('包络曲线数据'!$B$2:$U$742,ROW()-1,MATCH(G$1,'包络曲线数据'!$B$1:$U$1,0)),""))</x:f>
      </x:c>
    </x:row>
    <x:row r="506">
      <x:c r="A506" t="n">
        <x:v>50.400000000000006</x:v>
      </x:c>
      <x:c r="B506" t="n">
        <x:f>IF(B$1="","",IFERROR(INDEX('包络曲线数据'!$B$2:$U$742,ROW()-1,MATCH(B$1,'包络曲线数据'!$B$1:$U$1,0)),""))</x:f>
        <x:v>63.10651259508397</x:v>
      </x:c>
      <x:c r="C506" t="n">
        <x:f>IF(C$1="","",IFERROR(INDEX('包络曲线数据'!$B$2:$U$742,ROW()-1,MATCH(C$1,'包络曲线数据'!$B$1:$U$1,0)),""))</x:f>
        <x:v>68.95340807957487</x:v>
      </x:c>
      <x:c r="D506" t="str">
        <x:f>IF(D$1="","",IFERROR(INDEX('包络曲线数据'!$B$2:$U$742,ROW()-1,MATCH(D$1,'包络曲线数据'!$B$1:$U$1,0)),""))</x:f>
      </x:c>
      <x:c r="E506" t="str">
        <x:f>IF(E$1="","",IFERROR(INDEX('包络曲线数据'!$B$2:$U$742,ROW()-1,MATCH(E$1,'包络曲线数据'!$B$1:$U$1,0)),""))</x:f>
      </x:c>
      <x:c r="F506" t="str">
        <x:f>IF(F$1="","",IFERROR(INDEX('包络曲线数据'!$B$2:$U$742,ROW()-1,MATCH(F$1,'包络曲线数据'!$B$1:$U$1,0)),""))</x:f>
      </x:c>
      <x:c r="G506" t="str">
        <x:f>IF(G$1="","",IFERROR(INDEX('包络曲线数据'!$B$2:$U$742,ROW()-1,MATCH(G$1,'包络曲线数据'!$B$1:$U$1,0)),""))</x:f>
      </x:c>
    </x:row>
    <x:row r="507">
      <x:c r="A507" t="n">
        <x:v>50.5</x:v>
      </x:c>
      <x:c r="B507" t="n">
        <x:f>IF(B$1="","",IFERROR(INDEX('包络曲线数据'!$B$2:$U$742,ROW()-1,MATCH(B$1,'包络曲线数据'!$B$1:$U$1,0)),""))</x:f>
        <x:v>65.21271818964867</x:v>
      </x:c>
      <x:c r="C507" t="n">
        <x:f>IF(C$1="","",IFERROR(INDEX('包络曲线数据'!$B$2:$U$742,ROW()-1,MATCH(C$1,'包络曲线数据'!$B$1:$U$1,0)),""))</x:f>
        <x:v>68.15476975106436</x:v>
      </x:c>
      <x:c r="D507" t="str">
        <x:f>IF(D$1="","",IFERROR(INDEX('包络曲线数据'!$B$2:$U$742,ROW()-1,MATCH(D$1,'包络曲线数据'!$B$1:$U$1,0)),""))</x:f>
      </x:c>
      <x:c r="E507" t="str">
        <x:f>IF(E$1="","",IFERROR(INDEX('包络曲线数据'!$B$2:$U$742,ROW()-1,MATCH(E$1,'包络曲线数据'!$B$1:$U$1,0)),""))</x:f>
      </x:c>
      <x:c r="F507" t="str">
        <x:f>IF(F$1="","",IFERROR(INDEX('包络曲线数据'!$B$2:$U$742,ROW()-1,MATCH(F$1,'包络曲线数据'!$B$1:$U$1,0)),""))</x:f>
      </x:c>
      <x:c r="G507" t="str">
        <x:f>IF(G$1="","",IFERROR(INDEX('包络曲线数据'!$B$2:$U$742,ROW()-1,MATCH(G$1,'包络曲线数据'!$B$1:$U$1,0)),""))</x:f>
      </x:c>
    </x:row>
    <x:row r="508">
      <x:c r="A508" t="n">
        <x:v>50.6</x:v>
      </x:c>
      <x:c r="B508" t="n">
        <x:f>IF(B$1="","",IFERROR(INDEX('包络曲线数据'!$B$2:$U$742,ROW()-1,MATCH(B$1,'包络曲线数据'!$B$1:$U$1,0)),""))</x:f>
        <x:v>65.21271818964867</x:v>
      </x:c>
      <x:c r="C508" t="n">
        <x:f>IF(C$1="","",IFERROR(INDEX('包络曲线数据'!$B$2:$U$742,ROW()-1,MATCH(C$1,'包络曲线数据'!$B$1:$U$1,0)),""))</x:f>
        <x:v>68.15476975106436</x:v>
      </x:c>
      <x:c r="D508" t="str">
        <x:f>IF(D$1="","",IFERROR(INDEX('包络曲线数据'!$B$2:$U$742,ROW()-1,MATCH(D$1,'包络曲线数据'!$B$1:$U$1,0)),""))</x:f>
      </x:c>
      <x:c r="E508" t="str">
        <x:f>IF(E$1="","",IFERROR(INDEX('包络曲线数据'!$B$2:$U$742,ROW()-1,MATCH(E$1,'包络曲线数据'!$B$1:$U$1,0)),""))</x:f>
      </x:c>
      <x:c r="F508" t="str">
        <x:f>IF(F$1="","",IFERROR(INDEX('包络曲线数据'!$B$2:$U$742,ROW()-1,MATCH(F$1,'包络曲线数据'!$B$1:$U$1,0)),""))</x:f>
      </x:c>
      <x:c r="G508" t="str">
        <x:f>IF(G$1="","",IFERROR(INDEX('包络曲线数据'!$B$2:$U$742,ROW()-1,MATCH(G$1,'包络曲线数据'!$B$1:$U$1,0)),""))</x:f>
      </x:c>
    </x:row>
    <x:row r="509">
      <x:c r="A509" t="n">
        <x:v>50.7</x:v>
      </x:c>
      <x:c r="B509" t="n">
        <x:f>IF(B$1="","",IFERROR(INDEX('包络曲线数据'!$B$2:$U$742,ROW()-1,MATCH(B$1,'包络曲线数据'!$B$1:$U$1,0)),""))</x:f>
        <x:v>61.31659887863353</x:v>
      </x:c>
      <x:c r="C509" t="n">
        <x:f>IF(C$1="","",IFERROR(INDEX('包络曲线数据'!$B$2:$U$742,ROW()-1,MATCH(C$1,'包络曲线数据'!$B$1:$U$1,0)),""))</x:f>
        <x:v>68.66047408507487</x:v>
      </x:c>
      <x:c r="D509" t="str">
        <x:f>IF(D$1="","",IFERROR(INDEX('包络曲线数据'!$B$2:$U$742,ROW()-1,MATCH(D$1,'包络曲线数据'!$B$1:$U$1,0)),""))</x:f>
      </x:c>
      <x:c r="E509" t="str">
        <x:f>IF(E$1="","",IFERROR(INDEX('包络曲线数据'!$B$2:$U$742,ROW()-1,MATCH(E$1,'包络曲线数据'!$B$1:$U$1,0)),""))</x:f>
      </x:c>
      <x:c r="F509" t="str">
        <x:f>IF(F$1="","",IFERROR(INDEX('包络曲线数据'!$B$2:$U$742,ROW()-1,MATCH(F$1,'包络曲线数据'!$B$1:$U$1,0)),""))</x:f>
      </x:c>
      <x:c r="G509" t="str">
        <x:f>IF(G$1="","",IFERROR(INDEX('包络曲线数据'!$B$2:$U$742,ROW()-1,MATCH(G$1,'包络曲线数据'!$B$1:$U$1,0)),""))</x:f>
      </x:c>
    </x:row>
    <x:row r="510">
      <x:c r="A510" t="n">
        <x:v>50.800000000000004</x:v>
      </x:c>
      <x:c r="B510" t="n">
        <x:f>IF(B$1="","",IFERROR(INDEX('包络曲线数据'!$B$2:$U$742,ROW()-1,MATCH(B$1,'包络曲线数据'!$B$1:$U$1,0)),""))</x:f>
        <x:v>53.539547118218366</x:v>
      </x:c>
      <x:c r="C510" t="n">
        <x:f>IF(C$1="","",IFERROR(INDEX('包络曲线数据'!$B$2:$U$742,ROW()-1,MATCH(C$1,'包络曲线数据'!$B$1:$U$1,0)),""))</x:f>
        <x:v>69.42066710366295</x:v>
      </x:c>
      <x:c r="D510" t="str">
        <x:f>IF(D$1="","",IFERROR(INDEX('包络曲线数据'!$B$2:$U$742,ROW()-1,MATCH(D$1,'包络曲线数据'!$B$1:$U$1,0)),""))</x:f>
      </x:c>
      <x:c r="E510" t="str">
        <x:f>IF(E$1="","",IFERROR(INDEX('包络曲线数据'!$B$2:$U$742,ROW()-1,MATCH(E$1,'包络曲线数据'!$B$1:$U$1,0)),""))</x:f>
      </x:c>
      <x:c r="F510" t="str">
        <x:f>IF(F$1="","",IFERROR(INDEX('包络曲线数据'!$B$2:$U$742,ROW()-1,MATCH(F$1,'包络曲线数据'!$B$1:$U$1,0)),""))</x:f>
      </x:c>
      <x:c r="G510" t="str">
        <x:f>IF(G$1="","",IFERROR(INDEX('包络曲线数据'!$B$2:$U$742,ROW()-1,MATCH(G$1,'包络曲线数据'!$B$1:$U$1,0)),""))</x:f>
      </x:c>
    </x:row>
    <x:row r="511">
      <x:c r="A511" t="n">
        <x:v>50.900000000000006</x:v>
      </x:c>
      <x:c r="B511" t="n">
        <x:f>IF(B$1="","",IFERROR(INDEX('包络曲线数据'!$B$2:$U$742,ROW()-1,MATCH(B$1,'包络曲线数据'!$B$1:$U$1,0)),""))</x:f>
        <x:v>51.595284178115094</x:v>
      </x:c>
      <x:c r="C511" t="n">
        <x:f>IF(C$1="","",IFERROR(INDEX('包络曲线数据'!$B$2:$U$742,ROW()-1,MATCH(C$1,'包络曲线数据'!$B$1:$U$1,0)),""))</x:f>
        <x:v>68.46132454644622</x:v>
      </x:c>
      <x:c r="D511" t="str">
        <x:f>IF(D$1="","",IFERROR(INDEX('包络曲线数据'!$B$2:$U$742,ROW()-1,MATCH(D$1,'包络曲线数据'!$B$1:$U$1,0)),""))</x:f>
      </x:c>
      <x:c r="E511" t="str">
        <x:f>IF(E$1="","",IFERROR(INDEX('包络曲线数据'!$B$2:$U$742,ROW()-1,MATCH(E$1,'包络曲线数据'!$B$1:$U$1,0)),""))</x:f>
      </x:c>
      <x:c r="F511" t="str">
        <x:f>IF(F$1="","",IFERROR(INDEX('包络曲线数据'!$B$2:$U$742,ROW()-1,MATCH(F$1,'包络曲线数据'!$B$1:$U$1,0)),""))</x:f>
      </x:c>
      <x:c r="G511" t="str">
        <x:f>IF(G$1="","",IFERROR(INDEX('包络曲线数据'!$B$2:$U$742,ROW()-1,MATCH(G$1,'包络曲线数据'!$B$1:$U$1,0)),""))</x:f>
      </x:c>
    </x:row>
    <x:row r="512">
      <x:c r="A512" t="n">
        <x:v>51</x:v>
      </x:c>
      <x:c r="B512" t="n">
        <x:f>IF(B$1="","",IFERROR(INDEX('包络曲线数据'!$B$2:$U$742,ROW()-1,MATCH(B$1,'包络曲线数据'!$B$1:$U$1,0)),""))</x:f>
        <x:v>51.595284178115094</x:v>
      </x:c>
      <x:c r="C512" t="n">
        <x:f>IF(C$1="","",IFERROR(INDEX('包络曲线数据'!$B$2:$U$742,ROW()-1,MATCH(C$1,'包络曲线数据'!$B$1:$U$1,0)),""))</x:f>
        <x:v>83.84734025395944</x:v>
      </x:c>
      <x:c r="D512" t="str">
        <x:f>IF(D$1="","",IFERROR(INDEX('包络曲线数据'!$B$2:$U$742,ROW()-1,MATCH(D$1,'包络曲线数据'!$B$1:$U$1,0)),""))</x:f>
      </x:c>
      <x:c r="E512" t="str">
        <x:f>IF(E$1="","",IFERROR(INDEX('包络曲线数据'!$B$2:$U$742,ROW()-1,MATCH(E$1,'包络曲线数据'!$B$1:$U$1,0)),""))</x:f>
      </x:c>
      <x:c r="F512" t="str">
        <x:f>IF(F$1="","",IFERROR(INDEX('包络曲线数据'!$B$2:$U$742,ROW()-1,MATCH(F$1,'包络曲线数据'!$B$1:$U$1,0)),""))</x:f>
      </x:c>
      <x:c r="G512" t="str">
        <x:f>IF(G$1="","",IFERROR(INDEX('包络曲线数据'!$B$2:$U$742,ROW()-1,MATCH(G$1,'包络曲线数据'!$B$1:$U$1,0)),""))</x:f>
      </x:c>
    </x:row>
    <x:row r="513">
      <x:c r="A513" t="n">
        <x:v>51.1</x:v>
      </x:c>
      <x:c r="B513" t="n">
        <x:f>IF(B$1="","",IFERROR(INDEX('包络曲线数据'!$B$2:$U$742,ROW()-1,MATCH(B$1,'包络曲线数据'!$B$1:$U$1,0)),""))</x:f>
        <x:v>65.69607758243588</x:v>
      </x:c>
      <x:c r="C513" t="n">
        <x:f>IF(C$1="","",IFERROR(INDEX('包络曲线数据'!$B$2:$U$742,ROW()-1,MATCH(C$1,'包络曲线数据'!$B$1:$U$1,0)),""))</x:f>
        <x:v>84.27836279322226</x:v>
      </x:c>
      <x:c r="D513" t="str">
        <x:f>IF(D$1="","",IFERROR(INDEX('包络曲线数据'!$B$2:$U$742,ROW()-1,MATCH(D$1,'包络曲线数据'!$B$1:$U$1,0)),""))</x:f>
      </x:c>
      <x:c r="E513" t="str">
        <x:f>IF(E$1="","",IFERROR(INDEX('包络曲线数据'!$B$2:$U$742,ROW()-1,MATCH(E$1,'包络曲线数据'!$B$1:$U$1,0)),""))</x:f>
      </x:c>
      <x:c r="F513" t="str">
        <x:f>IF(F$1="","",IFERROR(INDEX('包络曲线数据'!$B$2:$U$742,ROW()-1,MATCH(F$1,'包络曲线数据'!$B$1:$U$1,0)),""))</x:f>
      </x:c>
      <x:c r="G513" t="str">
        <x:f>IF(G$1="","",IFERROR(INDEX('包络曲线数据'!$B$2:$U$742,ROW()-1,MATCH(G$1,'包络曲线数据'!$B$1:$U$1,0)),""))</x:f>
      </x:c>
    </x:row>
    <x:row r="514">
      <x:c r="A514" t="n">
        <x:v>51.2</x:v>
      </x:c>
      <x:c r="B514" t="n">
        <x:f>IF(B$1="","",IFERROR(INDEX('包络曲线数据'!$B$2:$U$742,ROW()-1,MATCH(B$1,'包络曲线数据'!$B$1:$U$1,0)),""))</x:f>
        <x:v>74.80716126086209</x:v>
      </x:c>
      <x:c r="C514" t="n">
        <x:f>IF(C$1="","",IFERROR(INDEX('包络曲线数据'!$B$2:$U$742,ROW()-1,MATCH(C$1,'包络曲线数据'!$B$1:$U$1,0)),""))</x:f>
        <x:v>82.93231409197152</x:v>
      </x:c>
      <x:c r="D514" t="str">
        <x:f>IF(D$1="","",IFERROR(INDEX('包络曲线数据'!$B$2:$U$742,ROW()-1,MATCH(D$1,'包络曲线数据'!$B$1:$U$1,0)),""))</x:f>
      </x:c>
      <x:c r="E514" t="str">
        <x:f>IF(E$1="","",IFERROR(INDEX('包络曲线数据'!$B$2:$U$742,ROW()-1,MATCH(E$1,'包络曲线数据'!$B$1:$U$1,0)),""))</x:f>
      </x:c>
      <x:c r="F514" t="str">
        <x:f>IF(F$1="","",IFERROR(INDEX('包络曲线数据'!$B$2:$U$742,ROW()-1,MATCH(F$1,'包络曲线数据'!$B$1:$U$1,0)),""))</x:f>
      </x:c>
      <x:c r="G514" t="str">
        <x:f>IF(G$1="","",IFERROR(INDEX('包络曲线数据'!$B$2:$U$742,ROW()-1,MATCH(G$1,'包络曲线数据'!$B$1:$U$1,0)),""))</x:f>
      </x:c>
    </x:row>
    <x:row r="515">
      <x:c r="A515" t="n">
        <x:v>51.300000000000004</x:v>
      </x:c>
      <x:c r="B515" t="n">
        <x:f>IF(B$1="","",IFERROR(INDEX('包络曲线数据'!$B$2:$U$742,ROW()-1,MATCH(B$1,'包络曲线数据'!$B$1:$U$1,0)),""))</x:f>
        <x:v>74.80716126086209</x:v>
      </x:c>
      <x:c r="C515" t="n">
        <x:f>IF(C$1="","",IFERROR(INDEX('包络曲线数据'!$B$2:$U$742,ROW()-1,MATCH(C$1,'包络曲线数据'!$B$1:$U$1,0)),""))</x:f>
        <x:v>72.37704125726191</x:v>
      </x:c>
      <x:c r="D515" t="str">
        <x:f>IF(D$1="","",IFERROR(INDEX('包络曲线数据'!$B$2:$U$742,ROW()-1,MATCH(D$1,'包络曲线数据'!$B$1:$U$1,0)),""))</x:f>
      </x:c>
      <x:c r="E515" t="str">
        <x:f>IF(E$1="","",IFERROR(INDEX('包络曲线数据'!$B$2:$U$742,ROW()-1,MATCH(E$1,'包络曲线数据'!$B$1:$U$1,0)),""))</x:f>
      </x:c>
      <x:c r="F515" t="str">
        <x:f>IF(F$1="","",IFERROR(INDEX('包络曲线数据'!$B$2:$U$742,ROW()-1,MATCH(F$1,'包络曲线数据'!$B$1:$U$1,0)),""))</x:f>
      </x:c>
      <x:c r="G515" t="str">
        <x:f>IF(G$1="","",IFERROR(INDEX('包络曲线数据'!$B$2:$U$742,ROW()-1,MATCH(G$1,'包络曲线数据'!$B$1:$U$1,0)),""))</x:f>
      </x:c>
    </x:row>
    <x:row r="516">
      <x:c r="A516" t="n">
        <x:v>51.400000000000006</x:v>
      </x:c>
      <x:c r="B516" t="n">
        <x:f>IF(B$1="","",IFERROR(INDEX('包络曲线数据'!$B$2:$U$742,ROW()-1,MATCH(B$1,'包络曲线数据'!$B$1:$U$1,0)),""))</x:f>
        <x:v>73.88847751553952</x:v>
      </x:c>
      <x:c r="C516" t="n">
        <x:f>IF(C$1="","",IFERROR(INDEX('包络曲线数据'!$B$2:$U$742,ROW()-1,MATCH(C$1,'包络曲线数据'!$B$1:$U$1,0)),""))</x:f>
        <x:v>66.77653662874799</x:v>
      </x:c>
      <x:c r="D516" t="str">
        <x:f>IF(D$1="","",IFERROR(INDEX('包络曲线数据'!$B$2:$U$742,ROW()-1,MATCH(D$1,'包络曲线数据'!$B$1:$U$1,0)),""))</x:f>
      </x:c>
      <x:c r="E516" t="str">
        <x:f>IF(E$1="","",IFERROR(INDEX('包络曲线数据'!$B$2:$U$742,ROW()-1,MATCH(E$1,'包络曲线数据'!$B$1:$U$1,0)),""))</x:f>
      </x:c>
      <x:c r="F516" t="str">
        <x:f>IF(F$1="","",IFERROR(INDEX('包络曲线数据'!$B$2:$U$742,ROW()-1,MATCH(F$1,'包络曲线数据'!$B$1:$U$1,0)),""))</x:f>
      </x:c>
      <x:c r="G516" t="str">
        <x:f>IF(G$1="","",IFERROR(INDEX('包络曲线数据'!$B$2:$U$742,ROW()-1,MATCH(G$1,'包络曲线数据'!$B$1:$U$1,0)),""))</x:f>
      </x:c>
    </x:row>
    <x:row r="517">
      <x:c r="A517" t="n">
        <x:v>51.5</x:v>
      </x:c>
      <x:c r="B517" t="n">
        <x:f>IF(B$1="","",IFERROR(INDEX('包络曲线数据'!$B$2:$U$742,ROW()-1,MATCH(B$1,'包络曲线数据'!$B$1:$U$1,0)),""))</x:f>
        <x:v>67.46174419389035</x:v>
      </x:c>
      <x:c r="C517" t="n">
        <x:f>IF(C$1="","",IFERROR(INDEX('包络曲线数据'!$B$2:$U$742,ROW()-1,MATCH(C$1,'包络曲线数据'!$B$1:$U$1,0)),""))</x:f>
        <x:v>60.77186892484719</x:v>
      </x:c>
      <x:c r="D517" t="str">
        <x:f>IF(D$1="","",IFERROR(INDEX('包络曲线数据'!$B$2:$U$742,ROW()-1,MATCH(D$1,'包络曲线数据'!$B$1:$U$1,0)),""))</x:f>
      </x:c>
      <x:c r="E517" t="str">
        <x:f>IF(E$1="","",IFERROR(INDEX('包络曲线数据'!$B$2:$U$742,ROW()-1,MATCH(E$1,'包络曲线数据'!$B$1:$U$1,0)),""))</x:f>
      </x:c>
      <x:c r="F517" t="str">
        <x:f>IF(F$1="","",IFERROR(INDEX('包络曲线数据'!$B$2:$U$742,ROW()-1,MATCH(F$1,'包络曲线数据'!$B$1:$U$1,0)),""))</x:f>
      </x:c>
      <x:c r="G517" t="str">
        <x:f>IF(G$1="","",IFERROR(INDEX('包络曲线数据'!$B$2:$U$742,ROW()-1,MATCH(G$1,'包络曲线数据'!$B$1:$U$1,0)),""))</x:f>
      </x:c>
    </x:row>
    <x:row r="518">
      <x:c r="A518" t="n">
        <x:v>51.6</x:v>
      </x:c>
      <x:c r="B518" t="n">
        <x:f>IF(B$1="","",IFERROR(INDEX('包络曲线数据'!$B$2:$U$742,ROW()-1,MATCH(B$1,'包络曲线数据'!$B$1:$U$1,0)),""))</x:f>
        <x:v>65.57665202067864</x:v>
      </x:c>
      <x:c r="C518" t="n">
        <x:f>IF(C$1="","",IFERROR(INDEX('包络曲线数据'!$B$2:$U$742,ROW()-1,MATCH(C$1,'包络曲线数据'!$B$1:$U$1,0)),""))</x:f>
        <x:v>56.9627277924252</x:v>
      </x:c>
      <x:c r="D518" t="str">
        <x:f>IF(D$1="","",IFERROR(INDEX('包络曲线数据'!$B$2:$U$742,ROW()-1,MATCH(D$1,'包络曲线数据'!$B$1:$U$1,0)),""))</x:f>
      </x:c>
      <x:c r="E518" t="str">
        <x:f>IF(E$1="","",IFERROR(INDEX('包络曲线数据'!$B$2:$U$742,ROW()-1,MATCH(E$1,'包络曲线数据'!$B$1:$U$1,0)),""))</x:f>
      </x:c>
      <x:c r="F518" t="str">
        <x:f>IF(F$1="","",IFERROR(INDEX('包络曲线数据'!$B$2:$U$742,ROW()-1,MATCH(F$1,'包络曲线数据'!$B$1:$U$1,0)),""))</x:f>
      </x:c>
      <x:c r="G518" t="str">
        <x:f>IF(G$1="","",IFERROR(INDEX('包络曲线数据'!$B$2:$U$742,ROW()-1,MATCH(G$1,'包络曲线数据'!$B$1:$U$1,0)),""))</x:f>
      </x:c>
    </x:row>
    <x:row r="519">
      <x:c r="A519" t="n">
        <x:v>51.7</x:v>
      </x:c>
      <x:c r="B519" t="n">
        <x:f>IF(B$1="","",IFERROR(INDEX('包络曲线数据'!$B$2:$U$742,ROW()-1,MATCH(B$1,'包络曲线数据'!$B$1:$U$1,0)),""))</x:f>
        <x:v>68.04932013454679</x:v>
      </x:c>
      <x:c r="C519" t="n">
        <x:f>IF(C$1="","",IFERROR(INDEX('包络曲线数据'!$B$2:$U$742,ROW()-1,MATCH(C$1,'包络曲线数据'!$B$1:$U$1,0)),""))</x:f>
        <x:v>53.153586660003214</x:v>
      </x:c>
      <x:c r="D519" t="str">
        <x:f>IF(D$1="","",IFERROR(INDEX('包络曲线数据'!$B$2:$U$742,ROW()-1,MATCH(D$1,'包络曲线数据'!$B$1:$U$1,0)),""))</x:f>
      </x:c>
      <x:c r="E519" t="str">
        <x:f>IF(E$1="","",IFERROR(INDEX('包络曲线数据'!$B$2:$U$742,ROW()-1,MATCH(E$1,'包络曲线数据'!$B$1:$U$1,0)),""))</x:f>
      </x:c>
      <x:c r="F519" t="str">
        <x:f>IF(F$1="","",IFERROR(INDEX('包络曲线数据'!$B$2:$U$742,ROW()-1,MATCH(F$1,'包络曲线数据'!$B$1:$U$1,0)),""))</x:f>
      </x:c>
      <x:c r="G519" t="str">
        <x:f>IF(G$1="","",IFERROR(INDEX('包络曲线数据'!$B$2:$U$742,ROW()-1,MATCH(G$1,'包络曲线数据'!$B$1:$U$1,0)),""))</x:f>
      </x:c>
    </x:row>
    <x:row r="520">
      <x:c r="A520" t="n">
        <x:v>51.800000000000004</x:v>
      </x:c>
      <x:c r="B520" t="n">
        <x:f>IF(B$1="","",IFERROR(INDEX('包络曲线数据'!$B$2:$U$742,ROW()-1,MATCH(B$1,'包络曲线数据'!$B$1:$U$1,0)),""))</x:f>
        <x:v>69.63994892524114</x:v>
      </x:c>
      <x:c r="C520" t="n">
        <x:f>IF(C$1="","",IFERROR(INDEX('包络曲线数据'!$B$2:$U$742,ROW()-1,MATCH(C$1,'包络曲线数据'!$B$1:$U$1,0)),""))</x:f>
        <x:v>60.82763468856758</x:v>
      </x:c>
      <x:c r="D520" t="str">
        <x:f>IF(D$1="","",IFERROR(INDEX('包络曲线数据'!$B$2:$U$742,ROW()-1,MATCH(D$1,'包络曲线数据'!$B$1:$U$1,0)),""))</x:f>
      </x:c>
      <x:c r="E520" t="str">
        <x:f>IF(E$1="","",IFERROR(INDEX('包络曲线数据'!$B$2:$U$742,ROW()-1,MATCH(E$1,'包络曲线数据'!$B$1:$U$1,0)),""))</x:f>
      </x:c>
      <x:c r="F520" t="str">
        <x:f>IF(F$1="","",IFERROR(INDEX('包络曲线数据'!$B$2:$U$742,ROW()-1,MATCH(F$1,'包络曲线数据'!$B$1:$U$1,0)),""))</x:f>
      </x:c>
      <x:c r="G520" t="str">
        <x:f>IF(G$1="","",IFERROR(INDEX('包络曲线数据'!$B$2:$U$742,ROW()-1,MATCH(G$1,'包络曲线数据'!$B$1:$U$1,0)),""))</x:f>
      </x:c>
    </x:row>
    <x:row r="521">
      <x:c r="A521" t="n">
        <x:v>51.900000000000006</x:v>
      </x:c>
      <x:c r="B521" t="n">
        <x:f>IF(B$1="","",IFERROR(INDEX('包络曲线数据'!$B$2:$U$742,ROW()-1,MATCH(B$1,'包络曲线数据'!$B$1:$U$1,0)),""))</x:f>
        <x:v>70.11238924169594</x:v>
      </x:c>
      <x:c r="C521" t="n">
        <x:f>IF(C$1="","",IFERROR(INDEX('包络曲线数据'!$B$2:$U$742,ROW()-1,MATCH(C$1,'包络曲线数据'!$B$1:$U$1,0)),""))</x:f>
        <x:v>65.04557281609151</x:v>
      </x:c>
      <x:c r="D521" t="str">
        <x:f>IF(D$1="","",IFERROR(INDEX('包络曲线数据'!$B$2:$U$742,ROW()-1,MATCH(D$1,'包络曲线数据'!$B$1:$U$1,0)),""))</x:f>
      </x:c>
      <x:c r="E521" t="str">
        <x:f>IF(E$1="","",IFERROR(INDEX('包络曲线数据'!$B$2:$U$742,ROW()-1,MATCH(E$1,'包络曲线数据'!$B$1:$U$1,0)),""))</x:f>
      </x:c>
      <x:c r="F521" t="str">
        <x:f>IF(F$1="","",IFERROR(INDEX('包络曲线数据'!$B$2:$U$742,ROW()-1,MATCH(F$1,'包络曲线数据'!$B$1:$U$1,0)),""))</x:f>
      </x:c>
      <x:c r="G521" t="str">
        <x:f>IF(G$1="","",IFERROR(INDEX('包络曲线数据'!$B$2:$U$742,ROW()-1,MATCH(G$1,'包络曲线数据'!$B$1:$U$1,0)),""))</x:f>
      </x:c>
    </x:row>
    <x:row r="522">
      <x:c r="A522" t="n">
        <x:v>52</x:v>
      </x:c>
      <x:c r="B522" t="n">
        <x:f>IF(B$1="","",IFERROR(INDEX('包络曲线数据'!$B$2:$U$742,ROW()-1,MATCH(B$1,'包络曲线数据'!$B$1:$U$1,0)),""))</x:f>
        <x:v>70.59737365639612</x:v>
      </x:c>
      <x:c r="C522" t="n">
        <x:f>IF(C$1="","",IFERROR(INDEX('包络曲线数据'!$B$2:$U$742,ROW()-1,MATCH(C$1,'包络曲线数据'!$B$1:$U$1,0)),""))</x:f>
        <x:v>62.354888846713116</x:v>
      </x:c>
      <x:c r="D522" t="str">
        <x:f>IF(D$1="","",IFERROR(INDEX('包络曲线数据'!$B$2:$U$742,ROW()-1,MATCH(D$1,'包络曲线数据'!$B$1:$U$1,0)),""))</x:f>
      </x:c>
      <x:c r="E522" t="str">
        <x:f>IF(E$1="","",IFERROR(INDEX('包络曲线数据'!$B$2:$U$742,ROW()-1,MATCH(E$1,'包络曲线数据'!$B$1:$U$1,0)),""))</x:f>
      </x:c>
      <x:c r="F522" t="str">
        <x:f>IF(F$1="","",IFERROR(INDEX('包络曲线数据'!$B$2:$U$742,ROW()-1,MATCH(F$1,'包络曲线数据'!$B$1:$U$1,0)),""))</x:f>
      </x:c>
      <x:c r="G522" t="str">
        <x:f>IF(G$1="","",IFERROR(INDEX('包络曲线数据'!$B$2:$U$742,ROW()-1,MATCH(G$1,'包络曲线数据'!$B$1:$U$1,0)),""))</x:f>
      </x:c>
    </x:row>
    <x:row r="523">
      <x:c r="A523" t="n">
        <x:v>52.1</x:v>
      </x:c>
      <x:c r="B523" t="n">
        <x:f>IF(B$1="","",IFERROR(INDEX('包络曲线数据'!$B$2:$U$742,ROW()-1,MATCH(B$1,'包络曲线数据'!$B$1:$U$1,0)),""))</x:f>
        <x:v>70.94805541800221</x:v>
      </x:c>
      <x:c r="C523" t="n">
        <x:f>IF(C$1="","",IFERROR(INDEX('包络曲线数据'!$B$2:$U$742,ROW()-1,MATCH(C$1,'包络曲线数据'!$B$1:$U$1,0)),""))</x:f>
        <x:v>59.172282302838994</x:v>
      </x:c>
      <x:c r="D523" t="str">
        <x:f>IF(D$1="","",IFERROR(INDEX('包络曲线数据'!$B$2:$U$742,ROW()-1,MATCH(D$1,'包络曲线数据'!$B$1:$U$1,0)),""))</x:f>
      </x:c>
      <x:c r="E523" t="str">
        <x:f>IF(E$1="","",IFERROR(INDEX('包络曲线数据'!$B$2:$U$742,ROW()-1,MATCH(E$1,'包络曲线数据'!$B$1:$U$1,0)),""))</x:f>
      </x:c>
      <x:c r="F523" t="str">
        <x:f>IF(F$1="","",IFERROR(INDEX('包络曲线数据'!$B$2:$U$742,ROW()-1,MATCH(F$1,'包络曲线数据'!$B$1:$U$1,0)),""))</x:f>
      </x:c>
      <x:c r="G523" t="str">
        <x:f>IF(G$1="","",IFERROR(INDEX('包络曲线数据'!$B$2:$U$742,ROW()-1,MATCH(G$1,'包络曲线数据'!$B$1:$U$1,0)),""))</x:f>
      </x:c>
    </x:row>
    <x:row r="524">
      <x:c r="A524" t="n">
        <x:v>52.2</x:v>
      </x:c>
      <x:c r="B524" t="n">
        <x:f>IF(B$1="","",IFERROR(INDEX('包络曲线数据'!$B$2:$U$742,ROW()-1,MATCH(B$1,'包络曲线数据'!$B$1:$U$1,0)),""))</x:f>
        <x:v>70.94805541800221</x:v>
      </x:c>
      <x:c r="C524" t="n">
        <x:f>IF(C$1="","",IFERROR(INDEX('包络曲线数据'!$B$2:$U$742,ROW()-1,MATCH(C$1,'包络曲线数据'!$B$1:$U$1,0)),""))</x:f>
        <x:v>73.98638229798306</x:v>
      </x:c>
      <x:c r="D524" t="str">
        <x:f>IF(D$1="","",IFERROR(INDEX('包络曲线数据'!$B$2:$U$742,ROW()-1,MATCH(D$1,'包络曲线数据'!$B$1:$U$1,0)),""))</x:f>
      </x:c>
      <x:c r="E524" t="str">
        <x:f>IF(E$1="","",IFERROR(INDEX('包络曲线数据'!$B$2:$U$742,ROW()-1,MATCH(E$1,'包络曲线数据'!$B$1:$U$1,0)),""))</x:f>
      </x:c>
      <x:c r="F524" t="str">
        <x:f>IF(F$1="","",IFERROR(INDEX('包络曲线数据'!$B$2:$U$742,ROW()-1,MATCH(F$1,'包络曲线数据'!$B$1:$U$1,0)),""))</x:f>
      </x:c>
      <x:c r="G524" t="str">
        <x:f>IF(G$1="","",IFERROR(INDEX('包络曲线数据'!$B$2:$U$742,ROW()-1,MATCH(G$1,'包络曲线数据'!$B$1:$U$1,0)),""))</x:f>
      </x:c>
    </x:row>
    <x:row r="525">
      <x:c r="A525" t="n">
        <x:v>52.300000000000004</x:v>
      </x:c>
      <x:c r="B525" t="n">
        <x:f>IF(B$1="","",IFERROR(INDEX('包络曲线数据'!$B$2:$U$742,ROW()-1,MATCH(B$1,'包络曲线数据'!$B$1:$U$1,0)),""))</x:f>
        <x:v>70.38577613513557</x:v>
      </x:c>
      <x:c r="C525" t="n">
        <x:f>IF(C$1="","",IFERROR(INDEX('包络曲线数据'!$B$2:$U$742,ROW()-1,MATCH(C$1,'包络曲线数据'!$B$1:$U$1,0)),""))</x:f>
        <x:v>73.98638229798306</x:v>
      </x:c>
      <x:c r="D525" t="str">
        <x:f>IF(D$1="","",IFERROR(INDEX('包络曲线数据'!$B$2:$U$742,ROW()-1,MATCH(D$1,'包络曲线数据'!$B$1:$U$1,0)),""))</x:f>
      </x:c>
      <x:c r="E525" t="str">
        <x:f>IF(E$1="","",IFERROR(INDEX('包络曲线数据'!$B$2:$U$742,ROW()-1,MATCH(E$1,'包络曲线数据'!$B$1:$U$1,0)),""))</x:f>
      </x:c>
      <x:c r="F525" t="str">
        <x:f>IF(F$1="","",IFERROR(INDEX('包络曲线数据'!$B$2:$U$742,ROW()-1,MATCH(F$1,'包络曲线数据'!$B$1:$U$1,0)),""))</x:f>
      </x:c>
      <x:c r="G525" t="str">
        <x:f>IF(G$1="","",IFERROR(INDEX('包络曲线数据'!$B$2:$U$742,ROW()-1,MATCH(G$1,'包络曲线数据'!$B$1:$U$1,0)),""))</x:f>
      </x:c>
    </x:row>
    <x:row r="526">
      <x:c r="A526" t="n">
        <x:v>52.400000000000006</x:v>
      </x:c>
      <x:c r="B526" t="n">
        <x:f>IF(B$1="","",IFERROR(INDEX('包络曲线数据'!$B$2:$U$742,ROW()-1,MATCH(B$1,'包络曲线数据'!$B$1:$U$1,0)),""))</x:f>
        <x:v>70.26605141116451</x:v>
      </x:c>
      <x:c r="C526" t="n">
        <x:f>IF(C$1="","",IFERROR(INDEX('包络曲线数据'!$B$2:$U$742,ROW()-1,MATCH(C$1,'包络曲线数据'!$B$1:$U$1,0)),""))</x:f>
        <x:v>73.09924582432018</x:v>
      </x:c>
      <x:c r="D526" t="str">
        <x:f>IF(D$1="","",IFERROR(INDEX('包络曲线数据'!$B$2:$U$742,ROW()-1,MATCH(D$1,'包络曲线数据'!$B$1:$U$1,0)),""))</x:f>
      </x:c>
      <x:c r="E526" t="str">
        <x:f>IF(E$1="","",IFERROR(INDEX('包络曲线数据'!$B$2:$U$742,ROW()-1,MATCH(E$1,'包络曲线数据'!$B$1:$U$1,0)),""))</x:f>
      </x:c>
      <x:c r="F526" t="str">
        <x:f>IF(F$1="","",IFERROR(INDEX('包络曲线数据'!$B$2:$U$742,ROW()-1,MATCH(F$1,'包络曲线数据'!$B$1:$U$1,0)),""))</x:f>
      </x:c>
      <x:c r="G526" t="str">
        <x:f>IF(G$1="","",IFERROR(INDEX('包络曲线数据'!$B$2:$U$742,ROW()-1,MATCH(G$1,'包络曲线数据'!$B$1:$U$1,0)),""))</x:f>
      </x:c>
    </x:row>
    <x:row r="527">
      <x:c r="A527" t="n">
        <x:v>52.5</x:v>
      </x:c>
      <x:c r="B527" t="n">
        <x:f>IF(B$1="","",IFERROR(INDEX('包络曲线数据'!$B$2:$U$742,ROW()-1,MATCH(B$1,'包络曲线数据'!$B$1:$U$1,0)),""))</x:f>
        <x:v>70.13293747707999</x:v>
      </x:c>
      <x:c r="C527" t="n">
        <x:f>IF(C$1="","",IFERROR(INDEX('包络曲线数据'!$B$2:$U$742,ROW()-1,MATCH(C$1,'包络曲线数据'!$B$1:$U$1,0)),""))</x:f>
        <x:v>66.12172350982783</x:v>
      </x:c>
      <x:c r="D527" t="str">
        <x:f>IF(D$1="","",IFERROR(INDEX('包络曲线数据'!$B$2:$U$742,ROW()-1,MATCH(D$1,'包络曲线数据'!$B$1:$U$1,0)),""))</x:f>
      </x:c>
      <x:c r="E527" t="str">
        <x:f>IF(E$1="","",IFERROR(INDEX('包络曲线数据'!$B$2:$U$742,ROW()-1,MATCH(E$1,'包络曲线数据'!$B$1:$U$1,0)),""))</x:f>
      </x:c>
      <x:c r="F527" t="str">
        <x:f>IF(F$1="","",IFERROR(INDEX('包络曲线数据'!$B$2:$U$742,ROW()-1,MATCH(F$1,'包络曲线数据'!$B$1:$U$1,0)),""))</x:f>
      </x:c>
      <x:c r="G527" t="str">
        <x:f>IF(G$1="","",IFERROR(INDEX('包络曲线数据'!$B$2:$U$742,ROW()-1,MATCH(G$1,'包络曲线数据'!$B$1:$U$1,0)),""))</x:f>
      </x:c>
    </x:row>
    <x:row r="528">
      <x:c r="A528" t="n">
        <x:v>52.6</x:v>
      </x:c>
      <x:c r="B528" t="n">
        <x:f>IF(B$1="","",IFERROR(INDEX('包络曲线数据'!$B$2:$U$742,ROW()-1,MATCH(B$1,'包络曲线数据'!$B$1:$U$1,0)),""))</x:f>
        <x:v>69.95795849462112</x:v>
      </x:c>
      <x:c r="C528" t="n">
        <x:f>IF(C$1="","",IFERROR(INDEX('包络曲线数据'!$B$2:$U$742,ROW()-1,MATCH(C$1,'包络曲线数据'!$B$1:$U$1,0)),""))</x:f>
        <x:v>63.67160893296035</x:v>
      </x:c>
      <x:c r="D528" t="str">
        <x:f>IF(D$1="","",IFERROR(INDEX('包络曲线数据'!$B$2:$U$742,ROW()-1,MATCH(D$1,'包络曲线数据'!$B$1:$U$1,0)),""))</x:f>
      </x:c>
      <x:c r="E528" t="str">
        <x:f>IF(E$1="","",IFERROR(INDEX('包络曲线数据'!$B$2:$U$742,ROW()-1,MATCH(E$1,'包络曲线数据'!$B$1:$U$1,0)),""))</x:f>
      </x:c>
      <x:c r="F528" t="str">
        <x:f>IF(F$1="","",IFERROR(INDEX('包络曲线数据'!$B$2:$U$742,ROW()-1,MATCH(F$1,'包络曲线数据'!$B$1:$U$1,0)),""))</x:f>
      </x:c>
      <x:c r="G528" t="str">
        <x:f>IF(G$1="","",IFERROR(INDEX('包络曲线数据'!$B$2:$U$742,ROW()-1,MATCH(G$1,'包络曲线数据'!$B$1:$U$1,0)),""))</x:f>
      </x:c>
    </x:row>
    <x:row r="529">
      <x:c r="A529" t="n">
        <x:v>52.7</x:v>
      </x:c>
      <x:c r="B529" t="n">
        <x:f>IF(B$1="","",IFERROR(INDEX('包络曲线数据'!$B$2:$U$742,ROW()-1,MATCH(B$1,'包络曲线数据'!$B$1:$U$1,0)),""))</x:f>
        <x:v>71.36720226903324</x:v>
      </x:c>
      <x:c r="C529" t="n">
        <x:f>IF(C$1="","",IFERROR(INDEX('包络曲线数据'!$B$2:$U$742,ROW()-1,MATCH(C$1,'包络曲线数据'!$B$1:$U$1,0)),""))</x:f>
        <x:v>67.46648493038948</x:v>
      </x:c>
      <x:c r="D529" t="str">
        <x:f>IF(D$1="","",IFERROR(INDEX('包络曲线数据'!$B$2:$U$742,ROW()-1,MATCH(D$1,'包络曲线数据'!$B$1:$U$1,0)),""))</x:f>
      </x:c>
      <x:c r="E529" t="str">
        <x:f>IF(E$1="","",IFERROR(INDEX('包络曲线数据'!$B$2:$U$742,ROW()-1,MATCH(E$1,'包络曲线数据'!$B$1:$U$1,0)),""))</x:f>
      </x:c>
      <x:c r="F529" t="str">
        <x:f>IF(F$1="","",IFERROR(INDEX('包络曲线数据'!$B$2:$U$742,ROW()-1,MATCH(F$1,'包络曲线数据'!$B$1:$U$1,0)),""))</x:f>
      </x:c>
      <x:c r="G529" t="str">
        <x:f>IF(G$1="","",IFERROR(INDEX('包络曲线数据'!$B$2:$U$742,ROW()-1,MATCH(G$1,'包络曲线数据'!$B$1:$U$1,0)),""))</x:f>
      </x:c>
    </x:row>
    <x:row r="530">
      <x:c r="A530" t="n">
        <x:v>52.800000000000004</x:v>
      </x:c>
      <x:c r="B530" t="n">
        <x:f>IF(B$1="","",IFERROR(INDEX('包络曲线数据'!$B$2:$U$742,ROW()-1,MATCH(B$1,'包络曲线数据'!$B$1:$U$1,0)),""))</x:f>
        <x:v>71.4132906270948</x:v>
      </x:c>
      <x:c r="C530" t="n">
        <x:f>IF(C$1="","",IFERROR(INDEX('包络曲线数据'!$B$2:$U$742,ROW()-1,MATCH(C$1,'包络曲线数据'!$B$1:$U$1,0)),""))</x:f>
        <x:v>68.05637156443908</x:v>
      </x:c>
      <x:c r="D530" t="str">
        <x:f>IF(D$1="","",IFERROR(INDEX('包络曲线数据'!$B$2:$U$742,ROW()-1,MATCH(D$1,'包络曲线数据'!$B$1:$U$1,0)),""))</x:f>
      </x:c>
      <x:c r="E530" t="str">
        <x:f>IF(E$1="","",IFERROR(INDEX('包络曲线数据'!$B$2:$U$742,ROW()-1,MATCH(E$1,'包络曲线数据'!$B$1:$U$1,0)),""))</x:f>
      </x:c>
      <x:c r="F530" t="str">
        <x:f>IF(F$1="","",IFERROR(INDEX('包络曲线数据'!$B$2:$U$742,ROW()-1,MATCH(F$1,'包络曲线数据'!$B$1:$U$1,0)),""))</x:f>
      </x:c>
      <x:c r="G530" t="str">
        <x:f>IF(G$1="","",IFERROR(INDEX('包络曲线数据'!$B$2:$U$742,ROW()-1,MATCH(G$1,'包络曲线数据'!$B$1:$U$1,0)),""))</x:f>
      </x:c>
    </x:row>
    <x:row r="531">
      <x:c r="A531" t="n">
        <x:v>52.900000000000006</x:v>
      </x:c>
      <x:c r="B531" t="n">
        <x:f>IF(B$1="","",IFERROR(INDEX('包络曲线数据'!$B$2:$U$742,ROW()-1,MATCH(B$1,'包络曲线数据'!$B$1:$U$1,0)),""))</x:f>
        <x:v>79.09570024124116</x:v>
      </x:c>
      <x:c r="C531" t="n">
        <x:f>IF(C$1="","",IFERROR(INDEX('包络曲线数据'!$B$2:$U$742,ROW()-1,MATCH(C$1,'包络曲线数据'!$B$1:$U$1,0)),""))</x:f>
        <x:v>68.05637156443895</x:v>
      </x:c>
      <x:c r="D531" t="str">
        <x:f>IF(D$1="","",IFERROR(INDEX('包络曲线数据'!$B$2:$U$742,ROW()-1,MATCH(D$1,'包络曲线数据'!$B$1:$U$1,0)),""))</x:f>
      </x:c>
      <x:c r="E531" t="str">
        <x:f>IF(E$1="","",IFERROR(INDEX('包络曲线数据'!$B$2:$U$742,ROW()-1,MATCH(E$1,'包络曲线数据'!$B$1:$U$1,0)),""))</x:f>
      </x:c>
      <x:c r="F531" t="str">
        <x:f>IF(F$1="","",IFERROR(INDEX('包络曲线数据'!$B$2:$U$742,ROW()-1,MATCH(F$1,'包络曲线数据'!$B$1:$U$1,0)),""))</x:f>
      </x:c>
      <x:c r="G531" t="str">
        <x:f>IF(G$1="","",IFERROR(INDEX('包络曲线数据'!$B$2:$U$742,ROW()-1,MATCH(G$1,'包络曲线数据'!$B$1:$U$1,0)),""))</x:f>
      </x:c>
    </x:row>
    <x:row r="532">
      <x:c r="A532" t="n">
        <x:v>53</x:v>
      </x:c>
      <x:c r="B532" t="n">
        <x:f>IF(B$1="","",IFERROR(INDEX('包络曲线数据'!$B$2:$U$742,ROW()-1,MATCH(B$1,'包络曲线数据'!$B$1:$U$1,0)),""))</x:f>
        <x:v>79.09570024124116</x:v>
      </x:c>
      <x:c r="C532" t="n">
        <x:f>IF(C$1="","",IFERROR(INDEX('包络曲线数据'!$B$2:$U$742,ROW()-1,MATCH(C$1,'包络曲线数据'!$B$1:$U$1,0)),""))</x:f>
        <x:v>67.57055114820575</x:v>
      </x:c>
      <x:c r="D532" t="str">
        <x:f>IF(D$1="","",IFERROR(INDEX('包络曲线数据'!$B$2:$U$742,ROW()-1,MATCH(D$1,'包络曲线数据'!$B$1:$U$1,0)),""))</x:f>
      </x:c>
      <x:c r="E532" t="str">
        <x:f>IF(E$1="","",IFERROR(INDEX('包络曲线数据'!$B$2:$U$742,ROW()-1,MATCH(E$1,'包络曲线数据'!$B$1:$U$1,0)),""))</x:f>
      </x:c>
      <x:c r="F532" t="str">
        <x:f>IF(F$1="","",IFERROR(INDEX('包络曲线数据'!$B$2:$U$742,ROW()-1,MATCH(F$1,'包络曲线数据'!$B$1:$U$1,0)),""))</x:f>
      </x:c>
      <x:c r="G532" t="str">
        <x:f>IF(G$1="","",IFERROR(INDEX('包络曲线数据'!$B$2:$U$742,ROW()-1,MATCH(G$1,'包络曲线数据'!$B$1:$U$1,0)),""))</x:f>
      </x:c>
    </x:row>
    <x:row r="533">
      <x:c r="A533" t="n">
        <x:v>53.1</x:v>
      </x:c>
      <x:c r="B533" t="n">
        <x:f>IF(B$1="","",IFERROR(INDEX('包络曲线数据'!$B$2:$U$742,ROW()-1,MATCH(B$1,'包络曲线数据'!$B$1:$U$1,0)),""))</x:f>
        <x:v>75.19343115451662</x:v>
      </x:c>
      <x:c r="C533" t="n">
        <x:f>IF(C$1="","",IFERROR(INDEX('包络曲线数据'!$B$2:$U$742,ROW()-1,MATCH(C$1,'包络曲线数据'!$B$1:$U$1,0)),""))</x:f>
        <x:v>67.57055114820575</x:v>
      </x:c>
      <x:c r="D533" t="str">
        <x:f>IF(D$1="","",IFERROR(INDEX('包络曲线数据'!$B$2:$U$742,ROW()-1,MATCH(D$1,'包络曲线数据'!$B$1:$U$1,0)),""))</x:f>
      </x:c>
      <x:c r="E533" t="str">
        <x:f>IF(E$1="","",IFERROR(INDEX('包络曲线数据'!$B$2:$U$742,ROW()-1,MATCH(E$1,'包络曲线数据'!$B$1:$U$1,0)),""))</x:f>
      </x:c>
      <x:c r="F533" t="str">
        <x:f>IF(F$1="","",IFERROR(INDEX('包络曲线数据'!$B$2:$U$742,ROW()-1,MATCH(F$1,'包络曲线数据'!$B$1:$U$1,0)),""))</x:f>
      </x:c>
      <x:c r="G533" t="str">
        <x:f>IF(G$1="","",IFERROR(INDEX('包络曲线数据'!$B$2:$U$742,ROW()-1,MATCH(G$1,'包络曲线数据'!$B$1:$U$1,0)),""))</x:f>
      </x:c>
    </x:row>
    <x:row r="534">
      <x:c r="A534" t="n">
        <x:v>53.2</x:v>
      </x:c>
      <x:c r="B534" t="n">
        <x:f>IF(B$1="","",IFERROR(INDEX('包络曲线数据'!$B$2:$U$742,ROW()-1,MATCH(B$1,'包络曲线数据'!$B$1:$U$1,0)),""))</x:f>
        <x:v>67.35597253396686</x:v>
      </x:c>
      <x:c r="C534" t="n">
        <x:f>IF(C$1="","",IFERROR(INDEX('包络曲线数据'!$B$2:$U$742,ROW()-1,MATCH(C$1,'包络曲线数据'!$B$1:$U$1,0)),""))</x:f>
        <x:v>68.0716981742407</x:v>
      </x:c>
      <x:c r="D534" t="str">
        <x:f>IF(D$1="","",IFERROR(INDEX('包络曲线数据'!$B$2:$U$742,ROW()-1,MATCH(D$1,'包络曲线数据'!$B$1:$U$1,0)),""))</x:f>
      </x:c>
      <x:c r="E534" t="str">
        <x:f>IF(E$1="","",IFERROR(INDEX('包络曲线数据'!$B$2:$U$742,ROW()-1,MATCH(E$1,'包络曲线数据'!$B$1:$U$1,0)),""))</x:f>
      </x:c>
      <x:c r="F534" t="str">
        <x:f>IF(F$1="","",IFERROR(INDEX('包络曲线数据'!$B$2:$U$742,ROW()-1,MATCH(F$1,'包络曲线数据'!$B$1:$U$1,0)),""))</x:f>
      </x:c>
      <x:c r="G534" t="str">
        <x:f>IF(G$1="","",IFERROR(INDEX('包络曲线数据'!$B$2:$U$742,ROW()-1,MATCH(G$1,'包络曲线数据'!$B$1:$U$1,0)),""))</x:f>
      </x:c>
    </x:row>
    <x:row r="535">
      <x:c r="A535" t="n">
        <x:v>53.300000000000004</x:v>
      </x:c>
      <x:c r="B535" t="n">
        <x:f>IF(B$1="","",IFERROR(INDEX('包络曲线数据'!$B$2:$U$742,ROW()-1,MATCH(B$1,'包络曲线数据'!$B$1:$U$1,0)),""))</x:f>
        <x:v>61.231743873760976</x:v>
      </x:c>
      <x:c r="C535" t="n">
        <x:f>IF(C$1="","",IFERROR(INDEX('包络曲线数据'!$B$2:$U$742,ROW()-1,MATCH(C$1,'包络曲线数据'!$B$1:$U$1,0)),""))</x:f>
        <x:v>68.07169817424052</x:v>
      </x:c>
      <x:c r="D535" t="str">
        <x:f>IF(D$1="","",IFERROR(INDEX('包络曲线数据'!$B$2:$U$742,ROW()-1,MATCH(D$1,'包络曲线数据'!$B$1:$U$1,0)),""))</x:f>
      </x:c>
      <x:c r="E535" t="str">
        <x:f>IF(E$1="","",IFERROR(INDEX('包络曲线数据'!$B$2:$U$742,ROW()-1,MATCH(E$1,'包络曲线数据'!$B$1:$U$1,0)),""))</x:f>
      </x:c>
      <x:c r="F535" t="str">
        <x:f>IF(F$1="","",IFERROR(INDEX('包络曲线数据'!$B$2:$U$742,ROW()-1,MATCH(F$1,'包络曲线数据'!$B$1:$U$1,0)),""))</x:f>
      </x:c>
      <x:c r="G535" t="str">
        <x:f>IF(G$1="","",IFERROR(INDEX('包络曲线数据'!$B$2:$U$742,ROW()-1,MATCH(G$1,'包络曲线数据'!$B$1:$U$1,0)),""))</x:f>
      </x:c>
    </x:row>
    <x:row r="536">
      <x:c r="A536" t="n">
        <x:v>53.400000000000006</x:v>
      </x:c>
      <x:c r="B536" t="n">
        <x:f>IF(B$1="","",IFERROR(INDEX('包络曲线数据'!$B$2:$U$742,ROW()-1,MATCH(B$1,'包络曲线数据'!$B$1:$U$1,0)),""))</x:f>
        <x:v>53.24542986561307</x:v>
      </x:c>
      <x:c r="C536" t="n">
        <x:f>IF(C$1="","",IFERROR(INDEX('包络曲线数据'!$B$2:$U$742,ROW()-1,MATCH(C$1,'包络曲线数据'!$B$1:$U$1,0)),""))</x:f>
        <x:v>68.0479432639862</x:v>
      </x:c>
      <x:c r="D536" t="str">
        <x:f>IF(D$1="","",IFERROR(INDEX('包络曲线数据'!$B$2:$U$742,ROW()-1,MATCH(D$1,'包络曲线数据'!$B$1:$U$1,0)),""))</x:f>
      </x:c>
      <x:c r="E536" t="str">
        <x:f>IF(E$1="","",IFERROR(INDEX('包络曲线数据'!$B$2:$U$742,ROW()-1,MATCH(E$1,'包络曲线数据'!$B$1:$U$1,0)),""))</x:f>
      </x:c>
      <x:c r="F536" t="str">
        <x:f>IF(F$1="","",IFERROR(INDEX('包络曲线数据'!$B$2:$U$742,ROW()-1,MATCH(F$1,'包络曲线数据'!$B$1:$U$1,0)),""))</x:f>
      </x:c>
      <x:c r="G536" t="str">
        <x:f>IF(G$1="","",IFERROR(INDEX('包络曲线数据'!$B$2:$U$742,ROW()-1,MATCH(G$1,'包络曲线数据'!$B$1:$U$1,0)),""))</x:f>
      </x:c>
    </x:row>
    <x:row r="537">
      <x:c r="A537" t="n">
        <x:v>53.5</x:v>
      </x:c>
      <x:c r="B537" t="n">
        <x:f>IF(B$1="","",IFERROR(INDEX('包络曲线数据'!$B$2:$U$742,ROW()-1,MATCH(B$1,'包络曲线数据'!$B$1:$U$1,0)),""))</x:f>
        <x:v>52.37483209744495</x:v>
      </x:c>
      <x:c r="C537" t="n">
        <x:f>IF(C$1="","",IFERROR(INDEX('包络曲线数据'!$B$2:$U$742,ROW()-1,MATCH(C$1,'包络曲线数据'!$B$1:$U$1,0)),""))</x:f>
        <x:v>68.0479432639862</x:v>
      </x:c>
      <x:c r="D537" t="str">
        <x:f>IF(D$1="","",IFERROR(INDEX('包络曲线数据'!$B$2:$U$742,ROW()-1,MATCH(D$1,'包络曲线数据'!$B$1:$U$1,0)),""))</x:f>
      </x:c>
      <x:c r="E537" t="str">
        <x:f>IF(E$1="","",IFERROR(INDEX('包络曲线数据'!$B$2:$U$742,ROW()-1,MATCH(E$1,'包络曲线数据'!$B$1:$U$1,0)),""))</x:f>
      </x:c>
      <x:c r="F537" t="str">
        <x:f>IF(F$1="","",IFERROR(INDEX('包络曲线数据'!$B$2:$U$742,ROW()-1,MATCH(F$1,'包络曲线数据'!$B$1:$U$1,0)),""))</x:f>
      </x:c>
      <x:c r="G537" t="str">
        <x:f>IF(G$1="","",IFERROR(INDEX('包络曲线数据'!$B$2:$U$742,ROW()-1,MATCH(G$1,'包络曲线数据'!$B$1:$U$1,0)),""))</x:f>
      </x:c>
    </x:row>
    <x:row r="538">
      <x:c r="A538" t="n">
        <x:v>53.6</x:v>
      </x:c>
      <x:c r="B538" t="n">
        <x:f>IF(B$1="","",IFERROR(INDEX('包络曲线数据'!$B$2:$U$742,ROW()-1,MATCH(B$1,'包络曲线数据'!$B$1:$U$1,0)),""))</x:f>
        <x:v>56.272571694093685</x:v>
      </x:c>
      <x:c r="C538" t="n">
        <x:f>IF(C$1="","",IFERROR(INDEX('包络曲线数据'!$B$2:$U$742,ROW()-1,MATCH(C$1,'包络曲线数据'!$B$1:$U$1,0)),""))</x:f>
        <x:v>68.29078105598418</x:v>
      </x:c>
      <x:c r="D538" t="str">
        <x:f>IF(D$1="","",IFERROR(INDEX('包络曲线数据'!$B$2:$U$742,ROW()-1,MATCH(D$1,'包络曲线数据'!$B$1:$U$1,0)),""))</x:f>
      </x:c>
      <x:c r="E538" t="str">
        <x:f>IF(E$1="","",IFERROR(INDEX('包络曲线数据'!$B$2:$U$742,ROW()-1,MATCH(E$1,'包络曲线数据'!$B$1:$U$1,0)),""))</x:f>
      </x:c>
      <x:c r="F538" t="str">
        <x:f>IF(F$1="","",IFERROR(INDEX('包络曲线数据'!$B$2:$U$742,ROW()-1,MATCH(F$1,'包络曲线数据'!$B$1:$U$1,0)),""))</x:f>
      </x:c>
      <x:c r="G538" t="str">
        <x:f>IF(G$1="","",IFERROR(INDEX('包络曲线数据'!$B$2:$U$742,ROW()-1,MATCH(G$1,'包络曲线数据'!$B$1:$U$1,0)),""))</x:f>
      </x:c>
    </x:row>
    <x:row r="539">
      <x:c r="A539" t="n">
        <x:v>53.7</x:v>
      </x:c>
      <x:c r="B539" t="n">
        <x:f>IF(B$1="","",IFERROR(INDEX('包络曲线数据'!$B$2:$U$742,ROW()-1,MATCH(B$1,'包络曲线数据'!$B$1:$U$1,0)),""))</x:f>
        <x:v>60.17031129074242</x:v>
      </x:c>
      <x:c r="C539" t="n">
        <x:f>IF(C$1="","",IFERROR(INDEX('包络曲线数据'!$B$2:$U$742,ROW()-1,MATCH(C$1,'包络曲线数据'!$B$1:$U$1,0)),""))</x:f>
        <x:v>68.29078105598418</x:v>
      </x:c>
      <x:c r="D539" t="str">
        <x:f>IF(D$1="","",IFERROR(INDEX('包络曲线数据'!$B$2:$U$742,ROW()-1,MATCH(D$1,'包络曲线数据'!$B$1:$U$1,0)),""))</x:f>
      </x:c>
      <x:c r="E539" t="str">
        <x:f>IF(E$1="","",IFERROR(INDEX('包络曲线数据'!$B$2:$U$742,ROW()-1,MATCH(E$1,'包络曲线数据'!$B$1:$U$1,0)),""))</x:f>
      </x:c>
      <x:c r="F539" t="str">
        <x:f>IF(F$1="","",IFERROR(INDEX('包络曲线数据'!$B$2:$U$742,ROW()-1,MATCH(F$1,'包络曲线数据'!$B$1:$U$1,0)),""))</x:f>
      </x:c>
      <x:c r="G539" t="str">
        <x:f>IF(G$1="","",IFERROR(INDEX('包络曲线数据'!$B$2:$U$742,ROW()-1,MATCH(G$1,'包络曲线数据'!$B$1:$U$1,0)),""))</x:f>
      </x:c>
    </x:row>
    <x:row r="540">
      <x:c r="A540" t="n">
        <x:v>53.800000000000004</x:v>
      </x:c>
      <x:c r="B540" t="n">
        <x:f>IF(B$1="","",IFERROR(INDEX('包络曲线数据'!$B$2:$U$742,ROW()-1,MATCH(B$1,'包络曲线数据'!$B$1:$U$1,0)),""))</x:f>
        <x:v>64.06805088739115</x:v>
      </x:c>
      <x:c r="C540" t="n">
        <x:f>IF(C$1="","",IFERROR(INDEX('包络曲线数据'!$B$2:$U$742,ROW()-1,MATCH(C$1,'包络曲线数据'!$B$1:$U$1,0)),""))</x:f>
        <x:v>67.00195745013812</x:v>
      </x:c>
      <x:c r="D540" t="str">
        <x:f>IF(D$1="","",IFERROR(INDEX('包络曲线数据'!$B$2:$U$742,ROW()-1,MATCH(D$1,'包络曲线数据'!$B$1:$U$1,0)),""))</x:f>
      </x:c>
      <x:c r="E540" t="str">
        <x:f>IF(E$1="","",IFERROR(INDEX('包络曲线数据'!$B$2:$U$742,ROW()-1,MATCH(E$1,'包络曲线数据'!$B$1:$U$1,0)),""))</x:f>
      </x:c>
      <x:c r="F540" t="str">
        <x:f>IF(F$1="","",IFERROR(INDEX('包络曲线数据'!$B$2:$U$742,ROW()-1,MATCH(F$1,'包络曲线数据'!$B$1:$U$1,0)),""))</x:f>
      </x:c>
      <x:c r="G540" t="str">
        <x:f>IF(G$1="","",IFERROR(INDEX('包络曲线数据'!$B$2:$U$742,ROW()-1,MATCH(G$1,'包络曲线数据'!$B$1:$U$1,0)),""))</x:f>
      </x:c>
    </x:row>
    <x:row r="541">
      <x:c r="A541" t="n">
        <x:v>53.900000000000006</x:v>
      </x:c>
      <x:c r="B541" t="n">
        <x:f>IF(B$1="","",IFERROR(INDEX('包络曲线数据'!$B$2:$U$742,ROW()-1,MATCH(B$1,'包络曲线数据'!$B$1:$U$1,0)),""))</x:f>
        <x:v>67.96579048403989</x:v>
      </x:c>
      <x:c r="C541" t="n">
        <x:f>IF(C$1="","",IFERROR(INDEX('包络曲线数据'!$B$2:$U$742,ROW()-1,MATCH(C$1,'包络曲线数据'!$B$1:$U$1,0)),""))</x:f>
        <x:v>66.22692333127307</x:v>
      </x:c>
      <x:c r="D541" t="str">
        <x:f>IF(D$1="","",IFERROR(INDEX('包络曲线数据'!$B$2:$U$742,ROW()-1,MATCH(D$1,'包络曲线数据'!$B$1:$U$1,0)),""))</x:f>
      </x:c>
      <x:c r="E541" t="str">
        <x:f>IF(E$1="","",IFERROR(INDEX('包络曲线数据'!$B$2:$U$742,ROW()-1,MATCH(E$1,'包络曲线数据'!$B$1:$U$1,0)),""))</x:f>
      </x:c>
      <x:c r="F541" t="str">
        <x:f>IF(F$1="","",IFERROR(INDEX('包络曲线数据'!$B$2:$U$742,ROW()-1,MATCH(F$1,'包络曲线数据'!$B$1:$U$1,0)),""))</x:f>
      </x:c>
      <x:c r="G541" t="str">
        <x:f>IF(G$1="","",IFERROR(INDEX('包络曲线数据'!$B$2:$U$742,ROW()-1,MATCH(G$1,'包络曲线数据'!$B$1:$U$1,0)),""))</x:f>
      </x:c>
    </x:row>
    <x:row r="542">
      <x:c r="A542" t="n">
        <x:v>54</x:v>
      </x:c>
      <x:c r="B542" t="n">
        <x:f>IF(B$1="","",IFERROR(INDEX('包络曲线数据'!$B$2:$U$742,ROW()-1,MATCH(B$1,'包络曲线数据'!$B$1:$U$1,0)),""))</x:f>
        <x:v>71.86353008068835</x:v>
      </x:c>
      <x:c r="C542" t="n">
        <x:f>IF(C$1="","",IFERROR(INDEX('包络曲线数据'!$B$2:$U$742,ROW()-1,MATCH(C$1,'包络曲线数据'!$B$1:$U$1,0)),""))</x:f>
        <x:v>79.55734489511428</x:v>
      </x:c>
      <x:c r="D542" t="str">
        <x:f>IF(D$1="","",IFERROR(INDEX('包络曲线数据'!$B$2:$U$742,ROW()-1,MATCH(D$1,'包络曲线数据'!$B$1:$U$1,0)),""))</x:f>
      </x:c>
      <x:c r="E542" t="str">
        <x:f>IF(E$1="","",IFERROR(INDEX('包络曲线数据'!$B$2:$U$742,ROW()-1,MATCH(E$1,'包络曲线数据'!$B$1:$U$1,0)),""))</x:f>
      </x:c>
      <x:c r="F542" t="str">
        <x:f>IF(F$1="","",IFERROR(INDEX('包络曲线数据'!$B$2:$U$742,ROW()-1,MATCH(F$1,'包络曲线数据'!$B$1:$U$1,0)),""))</x:f>
      </x:c>
      <x:c r="G542" t="str">
        <x:f>IF(G$1="","",IFERROR(INDEX('包络曲线数据'!$B$2:$U$742,ROW()-1,MATCH(G$1,'包络曲线数据'!$B$1:$U$1,0)),""))</x:f>
      </x:c>
    </x:row>
    <x:row r="543">
      <x:c r="A543" t="n">
        <x:v>54.1</x:v>
      </x:c>
      <x:c r="B543" t="n">
        <x:f>IF(B$1="","",IFERROR(INDEX('包络曲线数据'!$B$2:$U$742,ROW()-1,MATCH(B$1,'包络曲线数据'!$B$1:$U$1,0)),""))</x:f>
        <x:v>75.76126967733708</x:v>
      </x:c>
      <x:c r="C543" t="n">
        <x:f>IF(C$1="","",IFERROR(INDEX('包络曲线数据'!$B$2:$U$742,ROW()-1,MATCH(C$1,'包络曲线数据'!$B$1:$U$1,0)),""))</x:f>
        <x:v>82.69575293330983</x:v>
      </x:c>
      <x:c r="D543" t="str">
        <x:f>IF(D$1="","",IFERROR(INDEX('包络曲线数据'!$B$2:$U$742,ROW()-1,MATCH(D$1,'包络曲线数据'!$B$1:$U$1,0)),""))</x:f>
      </x:c>
      <x:c r="E543" t="str">
        <x:f>IF(E$1="","",IFERROR(INDEX('包络曲线数据'!$B$2:$U$742,ROW()-1,MATCH(E$1,'包络曲线数据'!$B$1:$U$1,0)),""))</x:f>
      </x:c>
      <x:c r="F543" t="str">
        <x:f>IF(F$1="","",IFERROR(INDEX('包络曲线数据'!$B$2:$U$742,ROW()-1,MATCH(F$1,'包络曲线数据'!$B$1:$U$1,0)),""))</x:f>
      </x:c>
      <x:c r="G543" t="str">
        <x:f>IF(G$1="","",IFERROR(INDEX('包络曲线数据'!$B$2:$U$742,ROW()-1,MATCH(G$1,'包络曲线数据'!$B$1:$U$1,0)),""))</x:f>
      </x:c>
    </x:row>
    <x:row r="544">
      <x:c r="A544" t="n">
        <x:v>54.2</x:v>
      </x:c>
      <x:c r="B544" t="n">
        <x:f>IF(B$1="","",IFERROR(INDEX('包络曲线数据'!$B$2:$U$742,ROW()-1,MATCH(B$1,'包络曲线数据'!$B$1:$U$1,0)),""))</x:f>
        <x:v>76.54081759666666</x:v>
      </x:c>
      <x:c r="C544" t="n">
        <x:f>IF(C$1="","",IFERROR(INDEX('包络曲线数据'!$B$2:$U$742,ROW()-1,MATCH(C$1,'包络曲线数据'!$B$1:$U$1,0)),""))</x:f>
        <x:v>82.69575293330983</x:v>
      </x:c>
      <x:c r="D544" t="str">
        <x:f>IF(D$1="","",IFERROR(INDEX('包络曲线数据'!$B$2:$U$742,ROW()-1,MATCH(D$1,'包络曲线数据'!$B$1:$U$1,0)),""))</x:f>
      </x:c>
      <x:c r="E544" t="str">
        <x:f>IF(E$1="","",IFERROR(INDEX('包络曲线数据'!$B$2:$U$742,ROW()-1,MATCH(E$1,'包络曲线数据'!$B$1:$U$1,0)),""))</x:f>
      </x:c>
      <x:c r="F544" t="str">
        <x:f>IF(F$1="","",IFERROR(INDEX('包络曲线数据'!$B$2:$U$742,ROW()-1,MATCH(F$1,'包络曲线数据'!$B$1:$U$1,0)),""))</x:f>
      </x:c>
      <x:c r="G544" t="str">
        <x:f>IF(G$1="","",IFERROR(INDEX('包络曲线数据'!$B$2:$U$742,ROW()-1,MATCH(G$1,'包络曲线数据'!$B$1:$U$1,0)),""))</x:f>
      </x:c>
    </x:row>
    <x:row r="545">
      <x:c r="A545" t="n">
        <x:v>54.300000000000004</x:v>
      </x:c>
      <x:c r="B545" t="n">
        <x:f>IF(B$1="","",IFERROR(INDEX('包络曲线数据'!$B$2:$U$742,ROW()-1,MATCH(B$1,'包络曲线数据'!$B$1:$U$1,0)),""))</x:f>
        <x:v>75.96198157830632</x:v>
      </x:c>
      <x:c r="C545" t="n">
        <x:f>IF(C$1="","",IFERROR(INDEX('包络曲线数据'!$B$2:$U$742,ROW()-1,MATCH(C$1,'包络曲线数据'!$B$1:$U$1,0)),""))</x:f>
        <x:v>75.35866898572296</x:v>
      </x:c>
      <x:c r="D545" t="str">
        <x:f>IF(D$1="","",IFERROR(INDEX('包络曲线数据'!$B$2:$U$742,ROW()-1,MATCH(D$1,'包络曲线数据'!$B$1:$U$1,0)),""))</x:f>
      </x:c>
      <x:c r="E545" t="str">
        <x:f>IF(E$1="","",IFERROR(INDEX('包络曲线数据'!$B$2:$U$742,ROW()-1,MATCH(E$1,'包络曲线数据'!$B$1:$U$1,0)),""))</x:f>
      </x:c>
      <x:c r="F545" t="str">
        <x:f>IF(F$1="","",IFERROR(INDEX('包络曲线数据'!$B$2:$U$742,ROW()-1,MATCH(F$1,'包络曲线数据'!$B$1:$U$1,0)),""))</x:f>
      </x:c>
      <x:c r="G545" t="str">
        <x:f>IF(G$1="","",IFERROR(INDEX('包络曲线数据'!$B$2:$U$742,ROW()-1,MATCH(G$1,'包络曲线数据'!$B$1:$U$1,0)),""))</x:f>
      </x:c>
    </x:row>
    <x:row r="546">
      <x:c r="A546" t="n">
        <x:v>54.400000000000006</x:v>
      </x:c>
      <x:c r="B546" t="n">
        <x:f>IF(B$1="","",IFERROR(INDEX('包络曲线数据'!$B$2:$U$742,ROW()-1,MATCH(B$1,'包络曲线数据'!$B$1:$U$1,0)),""))</x:f>
        <x:v>69.87643013888099</x:v>
      </x:c>
      <x:c r="C546" t="n">
        <x:f>IF(C$1="","",IFERROR(INDEX('包络曲线数据'!$B$2:$U$742,ROW()-1,MATCH(C$1,'包络曲线数据'!$B$1:$U$1,0)),""))</x:f>
        <x:v>66.15560989078341</x:v>
      </x:c>
      <x:c r="D546" t="str">
        <x:f>IF(D$1="","",IFERROR(INDEX('包络曲线数据'!$B$2:$U$742,ROW()-1,MATCH(D$1,'包络曲线数据'!$B$1:$U$1,0)),""))</x:f>
      </x:c>
      <x:c r="E546" t="str">
        <x:f>IF(E$1="","",IFERROR(INDEX('包络曲线数据'!$B$2:$U$742,ROW()-1,MATCH(E$1,'包络曲线数据'!$B$1:$U$1,0)),""))</x:f>
      </x:c>
      <x:c r="F546" t="str">
        <x:f>IF(F$1="","",IFERROR(INDEX('包络曲线数据'!$B$2:$U$742,ROW()-1,MATCH(F$1,'包络曲线数据'!$B$1:$U$1,0)),""))</x:f>
      </x:c>
      <x:c r="G546" t="str">
        <x:f>IF(G$1="","",IFERROR(INDEX('包络曲线数据'!$B$2:$U$742,ROW()-1,MATCH(G$1,'包络曲线数据'!$B$1:$U$1,0)),""))</x:f>
      </x:c>
    </x:row>
    <x:row r="547">
      <x:c r="A547" t="n">
        <x:v>54.5</x:v>
      </x:c>
      <x:c r="B547" t="n">
        <x:f>IF(B$1="","",IFERROR(INDEX('包络曲线数据'!$B$2:$U$742,ROW()-1,MATCH(B$1,'包络曲线数据'!$B$1:$U$1,0)),""))</x:f>
        <x:v>65.22058385241212</x:v>
      </x:c>
      <x:c r="C547" t="n">
        <x:f>IF(C$1="","",IFERROR(INDEX('包络曲线数据'!$B$2:$U$742,ROW()-1,MATCH(C$1,'包络曲线数据'!$B$1:$U$1,0)),""))</x:f>
        <x:v>55.48691511366546</x:v>
      </x:c>
      <x:c r="D547" t="str">
        <x:f>IF(D$1="","",IFERROR(INDEX('包络曲线数据'!$B$2:$U$742,ROW()-1,MATCH(D$1,'包络曲线数据'!$B$1:$U$1,0)),""))</x:f>
      </x:c>
      <x:c r="E547" t="str">
        <x:f>IF(E$1="","",IFERROR(INDEX('包络曲线数据'!$B$2:$U$742,ROW()-1,MATCH(E$1,'包络曲线数据'!$B$1:$U$1,0)),""))</x:f>
      </x:c>
      <x:c r="F547" t="str">
        <x:f>IF(F$1="","",IFERROR(INDEX('包络曲线数据'!$B$2:$U$742,ROW()-1,MATCH(F$1,'包络曲线数据'!$B$1:$U$1,0)),""))</x:f>
      </x:c>
      <x:c r="G547" t="str">
        <x:f>IF(G$1="","",IFERROR(INDEX('包络曲线数据'!$B$2:$U$742,ROW()-1,MATCH(G$1,'包络曲线数据'!$B$1:$U$1,0)),""))</x:f>
      </x:c>
    </x:row>
    <x:row r="548">
      <x:c r="A548" t="n">
        <x:v>54.6</x:v>
      </x:c>
      <x:c r="B548" t="n">
        <x:f>IF(B$1="","",IFERROR(INDEX('包络曲线数据'!$B$2:$U$742,ROW()-1,MATCH(B$1,'包络曲线数据'!$B$1:$U$1,0)),""))</x:f>
        <x:v>67.58715003085386</x:v>
      </x:c>
      <x:c r="C548" t="n">
        <x:f>IF(C$1="","",IFERROR(INDEX('包络曲线数据'!$B$2:$U$742,ROW()-1,MATCH(C$1,'包络曲线数据'!$B$1:$U$1,0)),""))</x:f>
        <x:v>52.39175843351897</x:v>
      </x:c>
      <x:c r="D548" t="str">
        <x:f>IF(D$1="","",IFERROR(INDEX('包络曲线数据'!$B$2:$U$742,ROW()-1,MATCH(D$1,'包络曲线数据'!$B$1:$U$1,0)),""))</x:f>
      </x:c>
      <x:c r="E548" t="str">
        <x:f>IF(E$1="","",IFERROR(INDEX('包络曲线数据'!$B$2:$U$742,ROW()-1,MATCH(E$1,'包络曲线数据'!$B$1:$U$1,0)),""))</x:f>
      </x:c>
      <x:c r="F548" t="str">
        <x:f>IF(F$1="","",IFERROR(INDEX('包络曲线数据'!$B$2:$U$742,ROW()-1,MATCH(F$1,'包络曲线数据'!$B$1:$U$1,0)),""))</x:f>
      </x:c>
      <x:c r="G548" t="str">
        <x:f>IF(G$1="","",IFERROR(INDEX('包络曲线数据'!$B$2:$U$742,ROW()-1,MATCH(G$1,'包络曲线数据'!$B$1:$U$1,0)),""))</x:f>
      </x:c>
    </x:row>
    <x:row r="549">
      <x:c r="A549" t="n">
        <x:v>54.7</x:v>
      </x:c>
      <x:c r="B549" t="n">
        <x:f>IF(B$1="","",IFERROR(INDEX('包络曲线数据'!$B$2:$U$742,ROW()-1,MATCH(B$1,'包络曲线数据'!$B$1:$U$1,0)),""))</x:f>
        <x:v>69.78554226233315</x:v>
      </x:c>
      <x:c r="C549" t="n">
        <x:f>IF(C$1="","",IFERROR(INDEX('包络曲线数据'!$B$2:$U$742,ROW()-1,MATCH(C$1,'包络曲线数据'!$B$1:$U$1,0)),""))</x:f>
        <x:v>52.39175843351897</x:v>
      </x:c>
      <x:c r="D549" t="str">
        <x:f>IF(D$1="","",IFERROR(INDEX('包络曲线数据'!$B$2:$U$742,ROW()-1,MATCH(D$1,'包络曲线数据'!$B$1:$U$1,0)),""))</x:f>
      </x:c>
      <x:c r="E549" t="str">
        <x:f>IF(E$1="","",IFERROR(INDEX('包络曲线数据'!$B$2:$U$742,ROW()-1,MATCH(E$1,'包络曲线数据'!$B$1:$U$1,0)),""))</x:f>
      </x:c>
      <x:c r="F549" t="str">
        <x:f>IF(F$1="","",IFERROR(INDEX('包络曲线数据'!$B$2:$U$742,ROW()-1,MATCH(F$1,'包络曲线数据'!$B$1:$U$1,0)),""))</x:f>
      </x:c>
      <x:c r="G549" t="str">
        <x:f>IF(G$1="","",IFERROR(INDEX('包络曲线数据'!$B$2:$U$742,ROW()-1,MATCH(G$1,'包络曲线数据'!$B$1:$U$1,0)),""))</x:f>
      </x:c>
    </x:row>
    <x:row r="550">
      <x:c r="A550" t="n">
        <x:v>54.800000000000004</x:v>
      </x:c>
      <x:c r="B550" t="n">
        <x:f>IF(B$1="","",IFERROR(INDEX('包络曲线数据'!$B$2:$U$742,ROW()-1,MATCH(B$1,'包络曲线数据'!$B$1:$U$1,0)),""))</x:f>
        <x:v>69.78554226233315</x:v>
      </x:c>
      <x:c r="C550" t="n">
        <x:f>IF(C$1="","",IFERROR(INDEX('包络曲线数据'!$B$2:$U$742,ROW()-1,MATCH(C$1,'包络曲线数据'!$B$1:$U$1,0)),""))</x:f>
        <x:v>52.39175843352052</x:v>
      </x:c>
      <x:c r="D550" t="str">
        <x:f>IF(D$1="","",IFERROR(INDEX('包络曲线数据'!$B$2:$U$742,ROW()-1,MATCH(D$1,'包络曲线数据'!$B$1:$U$1,0)),""))</x:f>
      </x:c>
      <x:c r="E550" t="str">
        <x:f>IF(E$1="","",IFERROR(INDEX('包络曲线数据'!$B$2:$U$742,ROW()-1,MATCH(E$1,'包络曲线数据'!$B$1:$U$1,0)),""))</x:f>
      </x:c>
      <x:c r="F550" t="str">
        <x:f>IF(F$1="","",IFERROR(INDEX('包络曲线数据'!$B$2:$U$742,ROW()-1,MATCH(F$1,'包络曲线数据'!$B$1:$U$1,0)),""))</x:f>
      </x:c>
      <x:c r="G550" t="str">
        <x:f>IF(G$1="","",IFERROR(INDEX('包络曲线数据'!$B$2:$U$742,ROW()-1,MATCH(G$1,'包络曲线数据'!$B$1:$U$1,0)),""))</x:f>
      </x:c>
    </x:row>
    <x:row r="551">
      <x:c r="A551" t="n">
        <x:v>54.900000000000006</x:v>
      </x:c>
      <x:c r="B551" t="n">
        <x:f>IF(B$1="","",IFERROR(INDEX('包络曲线数据'!$B$2:$U$742,ROW()-1,MATCH(B$1,'包络曲线数据'!$B$1:$U$1,0)),""))</x:f>
        <x:v>69.74533792563781</x:v>
      </x:c>
      <x:c r="C551" t="n">
        <x:f>IF(C$1="","",IFERROR(INDEX('包络曲线数据'!$B$2:$U$742,ROW()-1,MATCH(C$1,'包络曲线数据'!$B$1:$U$1,0)),""))</x:f>
        <x:v>65.17973090389688</x:v>
      </x:c>
      <x:c r="D551" t="str">
        <x:f>IF(D$1="","",IFERROR(INDEX('包络曲线数据'!$B$2:$U$742,ROW()-1,MATCH(D$1,'包络曲线数据'!$B$1:$U$1,0)),""))</x:f>
      </x:c>
      <x:c r="E551" t="str">
        <x:f>IF(E$1="","",IFERROR(INDEX('包络曲线数据'!$B$2:$U$742,ROW()-1,MATCH(E$1,'包络曲线数据'!$B$1:$U$1,0)),""))</x:f>
      </x:c>
      <x:c r="F551" t="str">
        <x:f>IF(F$1="","",IFERROR(INDEX('包络曲线数据'!$B$2:$U$742,ROW()-1,MATCH(F$1,'包络曲线数据'!$B$1:$U$1,0)),""))</x:f>
      </x:c>
      <x:c r="G551" t="str">
        <x:f>IF(G$1="","",IFERROR(INDEX('包络曲线数据'!$B$2:$U$742,ROW()-1,MATCH(G$1,'包络曲线数据'!$B$1:$U$1,0)),""))</x:f>
      </x:c>
    </x:row>
    <x:row r="552">
      <x:c r="A552" t="n">
        <x:v>55</x:v>
      </x:c>
      <x:c r="B552" t="n">
        <x:f>IF(B$1="","",IFERROR(INDEX('包络曲线数据'!$B$2:$U$742,ROW()-1,MATCH(B$1,'包络曲线数据'!$B$1:$U$1,0)),""))</x:f>
        <x:v>70.3756625691997</x:v>
      </x:c>
      <x:c r="C552" t="n">
        <x:f>IF(C$1="","",IFERROR(INDEX('包络曲线数据'!$B$2:$U$742,ROW()-1,MATCH(C$1,'包络曲线数据'!$B$1:$U$1,0)),""))</x:f>
        <x:v>65.17973090389688</x:v>
      </x:c>
      <x:c r="D552" t="str">
        <x:f>IF(D$1="","",IFERROR(INDEX('包络曲线数据'!$B$2:$U$742,ROW()-1,MATCH(D$1,'包络曲线数据'!$B$1:$U$1,0)),""))</x:f>
      </x:c>
      <x:c r="E552" t="str">
        <x:f>IF(E$1="","",IFERROR(INDEX('包络曲线数据'!$B$2:$U$742,ROW()-1,MATCH(E$1,'包络曲线数据'!$B$1:$U$1,0)),""))</x:f>
      </x:c>
      <x:c r="F552" t="str">
        <x:f>IF(F$1="","",IFERROR(INDEX('包络曲线数据'!$B$2:$U$742,ROW()-1,MATCH(F$1,'包络曲线数据'!$B$1:$U$1,0)),""))</x:f>
      </x:c>
      <x:c r="G552" t="str">
        <x:f>IF(G$1="","",IFERROR(INDEX('包络曲线数据'!$B$2:$U$742,ROW()-1,MATCH(G$1,'包络曲线数据'!$B$1:$U$1,0)),""))</x:f>
      </x:c>
    </x:row>
    <x:row r="553">
      <x:c r="A553" t="n">
        <x:v>55.1</x:v>
      </x:c>
      <x:c r="B553" t="n">
        <x:f>IF(B$1="","",IFERROR(INDEX('包络曲线数据'!$B$2:$U$742,ROW()-1,MATCH(B$1,'包络曲线数据'!$B$1:$U$1,0)),""))</x:f>
        <x:v>70.3756625691997</x:v>
      </x:c>
      <x:c r="C553" t="n">
        <x:f>IF(C$1="","",IFERROR(INDEX('包络曲线数据'!$B$2:$U$742,ROW()-1,MATCH(C$1,'包络曲线数据'!$B$1:$U$1,0)),""))</x:f>
        <x:v>72.14537236877477</x:v>
      </x:c>
      <x:c r="D553" t="str">
        <x:f>IF(D$1="","",IFERROR(INDEX('包络曲线数据'!$B$2:$U$742,ROW()-1,MATCH(D$1,'包络曲线数据'!$B$1:$U$1,0)),""))</x:f>
      </x:c>
      <x:c r="E553" t="str">
        <x:f>IF(E$1="","",IFERROR(INDEX('包络曲线数据'!$B$2:$U$742,ROW()-1,MATCH(E$1,'包络曲线数据'!$B$1:$U$1,0)),""))</x:f>
      </x:c>
      <x:c r="F553" t="str">
        <x:f>IF(F$1="","",IFERROR(INDEX('包络曲线数据'!$B$2:$U$742,ROW()-1,MATCH(F$1,'包络曲线数据'!$B$1:$U$1,0)),""))</x:f>
      </x:c>
      <x:c r="G553" t="str">
        <x:f>IF(G$1="","",IFERROR(INDEX('包络曲线数据'!$B$2:$U$742,ROW()-1,MATCH(G$1,'包络曲线数据'!$B$1:$U$1,0)),""))</x:f>
      </x:c>
    </x:row>
    <x:row r="554">
      <x:c r="A554" t="n">
        <x:v>55.2</x:v>
      </x:c>
      <x:c r="B554" t="n">
        <x:f>IF(B$1="","",IFERROR(INDEX('包络曲线数据'!$B$2:$U$742,ROW()-1,MATCH(B$1,'包络曲线数据'!$B$1:$U$1,0)),""))</x:f>
        <x:v>70.90914736115482</x:v>
      </x:c>
      <x:c r="C554" t="n">
        <x:f>IF(C$1="","",IFERROR(INDEX('包络曲线数据'!$B$2:$U$742,ROW()-1,MATCH(C$1,'包络曲线数据'!$B$1:$U$1,0)),""))</x:f>
        <x:v>75.26399029906993</x:v>
      </x:c>
      <x:c r="D554" t="str">
        <x:f>IF(D$1="","",IFERROR(INDEX('包络曲线数据'!$B$2:$U$742,ROW()-1,MATCH(D$1,'包络曲线数据'!$B$1:$U$1,0)),""))</x:f>
      </x:c>
      <x:c r="E554" t="str">
        <x:f>IF(E$1="","",IFERROR(INDEX('包络曲线数据'!$B$2:$U$742,ROW()-1,MATCH(E$1,'包络曲线数据'!$B$1:$U$1,0)),""))</x:f>
      </x:c>
      <x:c r="F554" t="str">
        <x:f>IF(F$1="","",IFERROR(INDEX('包络曲线数据'!$B$2:$U$742,ROW()-1,MATCH(F$1,'包络曲线数据'!$B$1:$U$1,0)),""))</x:f>
      </x:c>
      <x:c r="G554" t="str">
        <x:f>IF(G$1="","",IFERROR(INDEX('包络曲线数据'!$B$2:$U$742,ROW()-1,MATCH(G$1,'包络曲线数据'!$B$1:$U$1,0)),""))</x:f>
      </x:c>
    </x:row>
    <x:row r="555">
      <x:c r="A555" t="n">
        <x:v>55.300000000000004</x:v>
      </x:c>
      <x:c r="B555" t="n">
        <x:f>IF(B$1="","",IFERROR(INDEX('包络曲线数据'!$B$2:$U$742,ROW()-1,MATCH(B$1,'包络曲线数据'!$B$1:$U$1,0)),""))</x:f>
        <x:v>71.72348523359689</x:v>
      </x:c>
      <x:c r="C555" t="n">
        <x:f>IF(C$1="","",IFERROR(INDEX('包络曲线数据'!$B$2:$U$742,ROW()-1,MATCH(C$1,'包络曲线数据'!$B$1:$U$1,0)),""))</x:f>
        <x:v>75.26399029906972</x:v>
      </x:c>
      <x:c r="D555" t="str">
        <x:f>IF(D$1="","",IFERROR(INDEX('包络曲线数据'!$B$2:$U$742,ROW()-1,MATCH(D$1,'包络曲线数据'!$B$1:$U$1,0)),""))</x:f>
      </x:c>
      <x:c r="E555" t="str">
        <x:f>IF(E$1="","",IFERROR(INDEX('包络曲线数据'!$B$2:$U$742,ROW()-1,MATCH(E$1,'包络曲线数据'!$B$1:$U$1,0)),""))</x:f>
      </x:c>
      <x:c r="F555" t="str">
        <x:f>IF(F$1="","",IFERROR(INDEX('包络曲线数据'!$B$2:$U$742,ROW()-1,MATCH(F$1,'包络曲线数据'!$B$1:$U$1,0)),""))</x:f>
      </x:c>
      <x:c r="G555" t="str">
        <x:f>IF(G$1="","",IFERROR(INDEX('包络曲线数据'!$B$2:$U$742,ROW()-1,MATCH(G$1,'包络曲线数据'!$B$1:$U$1,0)),""))</x:f>
      </x:c>
    </x:row>
    <x:row r="556">
      <x:c r="A556" t="n">
        <x:v>55.400000000000006</x:v>
      </x:c>
      <x:c r="B556" t="n">
        <x:f>IF(B$1="","",IFERROR(INDEX('包络曲线数据'!$B$2:$U$742,ROW()-1,MATCH(B$1,'包络曲线数据'!$B$1:$U$1,0)),""))</x:f>
        <x:v>71.61952812396227</x:v>
      </x:c>
      <x:c r="C556" t="n">
        <x:f>IF(C$1="","",IFERROR(INDEX('包络曲线数据'!$B$2:$U$742,ROW()-1,MATCH(C$1,'包络曲线数据'!$B$1:$U$1,0)),""))</x:f>
        <x:v>71.19130808809633</x:v>
      </x:c>
      <x:c r="D556" t="str">
        <x:f>IF(D$1="","",IFERROR(INDEX('包络曲线数据'!$B$2:$U$742,ROW()-1,MATCH(D$1,'包络曲线数据'!$B$1:$U$1,0)),""))</x:f>
      </x:c>
      <x:c r="E556" t="str">
        <x:f>IF(E$1="","",IFERROR(INDEX('包络曲线数据'!$B$2:$U$742,ROW()-1,MATCH(E$1,'包络曲线数据'!$B$1:$U$1,0)),""))</x:f>
      </x:c>
      <x:c r="F556" t="str">
        <x:f>IF(F$1="","",IFERROR(INDEX('包络曲线数据'!$B$2:$U$742,ROW()-1,MATCH(F$1,'包络曲线数据'!$B$1:$U$1,0)),""))</x:f>
      </x:c>
      <x:c r="G556" t="str">
        <x:f>IF(G$1="","",IFERROR(INDEX('包络曲线数据'!$B$2:$U$742,ROW()-1,MATCH(G$1,'包络曲线数据'!$B$1:$U$1,0)),""))</x:f>
      </x:c>
    </x:row>
    <x:row r="557">
      <x:c r="A557" t="n">
        <x:v>55.5</x:v>
      </x:c>
      <x:c r="B557" t="n">
        <x:f>IF(B$1="","",IFERROR(INDEX('包络曲线数据'!$B$2:$U$742,ROW()-1,MATCH(B$1,'包络曲线数据'!$B$1:$U$1,0)),""))</x:f>
        <x:v>71.61952812396227</x:v>
      </x:c>
      <x:c r="C557" t="n">
        <x:f>IF(C$1="","",IFERROR(INDEX('包络曲线数据'!$B$2:$U$742,ROW()-1,MATCH(C$1,'包络曲线数据'!$B$1:$U$1,0)),""))</x:f>
        <x:v>66.08214552684863</x:v>
      </x:c>
      <x:c r="D557" t="str">
        <x:f>IF(D$1="","",IFERROR(INDEX('包络曲线数据'!$B$2:$U$742,ROW()-1,MATCH(D$1,'包络曲线数据'!$B$1:$U$1,0)),""))</x:f>
      </x:c>
      <x:c r="E557" t="str">
        <x:f>IF(E$1="","",IFERROR(INDEX('包络曲线数据'!$B$2:$U$742,ROW()-1,MATCH(E$1,'包络曲线数据'!$B$1:$U$1,0)),""))</x:f>
      </x:c>
      <x:c r="F557" t="str">
        <x:f>IF(F$1="","",IFERROR(INDEX('包络曲线数据'!$B$2:$U$742,ROW()-1,MATCH(F$1,'包络曲线数据'!$B$1:$U$1,0)),""))</x:f>
      </x:c>
      <x:c r="G557" t="str">
        <x:f>IF(G$1="","",IFERROR(INDEX('包络曲线数据'!$B$2:$U$742,ROW()-1,MATCH(G$1,'包络曲线数据'!$B$1:$U$1,0)),""))</x:f>
      </x:c>
    </x:row>
    <x:row r="558">
      <x:c r="A558" t="n">
        <x:v>55.6</x:v>
      </x:c>
      <x:c r="B558" t="n">
        <x:f>IF(B$1="","",IFERROR(INDEX('包络曲线数据'!$B$2:$U$742,ROW()-1,MATCH(B$1,'包络曲线数据'!$B$1:$U$1,0)),""))</x:f>
        <x:v>72.50096601484614</x:v>
      </x:c>
      <x:c r="C558" t="n">
        <x:f>IF(C$1="","",IFERROR(INDEX('包络曲线数据'!$B$2:$U$742,ROW()-1,MATCH(C$1,'包络曲线数据'!$B$1:$U$1,0)),""))</x:f>
        <x:v>65.45553805387283</x:v>
      </x:c>
      <x:c r="D558" t="str">
        <x:f>IF(D$1="","",IFERROR(INDEX('包络曲线数据'!$B$2:$U$742,ROW()-1,MATCH(D$1,'包络曲线数据'!$B$1:$U$1,0)),""))</x:f>
      </x:c>
      <x:c r="E558" t="str">
        <x:f>IF(E$1="","",IFERROR(INDEX('包络曲线数据'!$B$2:$U$742,ROW()-1,MATCH(E$1,'包络曲线数据'!$B$1:$U$1,0)),""))</x:f>
      </x:c>
      <x:c r="F558" t="str">
        <x:f>IF(F$1="","",IFERROR(INDEX('包络曲线数据'!$B$2:$U$742,ROW()-1,MATCH(F$1,'包络曲线数据'!$B$1:$U$1,0)),""))</x:f>
      </x:c>
      <x:c r="G558" t="str">
        <x:f>IF(G$1="","",IFERROR(INDEX('包络曲线数据'!$B$2:$U$742,ROW()-1,MATCH(G$1,'包络曲线数据'!$B$1:$U$1,0)),""))</x:f>
      </x:c>
    </x:row>
    <x:row r="559">
      <x:c r="A559" t="n">
        <x:v>55.7</x:v>
      </x:c>
      <x:c r="B559" t="n">
        <x:f>IF(B$1="","",IFERROR(INDEX('包络曲线数据'!$B$2:$U$742,ROW()-1,MATCH(B$1,'包络曲线数据'!$B$1:$U$1,0)),""))</x:f>
        <x:v>72.50096601484614</x:v>
      </x:c>
      <x:c r="C559" t="n">
        <x:f>IF(C$1="","",IFERROR(INDEX('包络曲线数据'!$B$2:$U$742,ROW()-1,MATCH(C$1,'包络曲线数据'!$B$1:$U$1,0)),""))</x:f>
        <x:v>65.91770729224633</x:v>
      </x:c>
      <x:c r="D559" t="str">
        <x:f>IF(D$1="","",IFERROR(INDEX('包络曲线数据'!$B$2:$U$742,ROW()-1,MATCH(D$1,'包络曲线数据'!$B$1:$U$1,0)),""))</x:f>
      </x:c>
      <x:c r="E559" t="str">
        <x:f>IF(E$1="","",IFERROR(INDEX('包络曲线数据'!$B$2:$U$742,ROW()-1,MATCH(E$1,'包络曲线数据'!$B$1:$U$1,0)),""))</x:f>
      </x:c>
      <x:c r="F559" t="str">
        <x:f>IF(F$1="","",IFERROR(INDEX('包络曲线数据'!$B$2:$U$742,ROW()-1,MATCH(F$1,'包络曲线数据'!$B$1:$U$1,0)),""))</x:f>
      </x:c>
      <x:c r="G559" t="str">
        <x:f>IF(G$1="","",IFERROR(INDEX('包络曲线数据'!$B$2:$U$742,ROW()-1,MATCH(G$1,'包络曲线数据'!$B$1:$U$1,0)),""))</x:f>
      </x:c>
    </x:row>
    <x:row r="560">
      <x:c r="A560" t="n">
        <x:v>55.800000000000004</x:v>
      </x:c>
      <x:c r="B560" t="n">
        <x:f>IF(B$1="","",IFERROR(INDEX('包络曲线数据'!$B$2:$U$742,ROW()-1,MATCH(B$1,'包络曲线数据'!$B$1:$U$1,0)),""))</x:f>
        <x:v>77.42992483621617</x:v>
      </x:c>
      <x:c r="C560" t="n">
        <x:f>IF(C$1="","",IFERROR(INDEX('包络曲线数据'!$B$2:$U$742,ROW()-1,MATCH(C$1,'包络曲线数据'!$B$1:$U$1,0)),""))</x:f>
        <x:v>66.8563837482578</x:v>
      </x:c>
      <x:c r="D560" t="str">
        <x:f>IF(D$1="","",IFERROR(INDEX('包络曲线数据'!$B$2:$U$742,ROW()-1,MATCH(D$1,'包络曲线数据'!$B$1:$U$1,0)),""))</x:f>
      </x:c>
      <x:c r="E560" t="str">
        <x:f>IF(E$1="","",IFERROR(INDEX('包络曲线数据'!$B$2:$U$742,ROW()-1,MATCH(E$1,'包络曲线数据'!$B$1:$U$1,0)),""))</x:f>
      </x:c>
      <x:c r="F560" t="str">
        <x:f>IF(F$1="","",IFERROR(INDEX('包络曲线数据'!$B$2:$U$742,ROW()-1,MATCH(F$1,'包络曲线数据'!$B$1:$U$1,0)),""))</x:f>
      </x:c>
      <x:c r="G560" t="str">
        <x:f>IF(G$1="","",IFERROR(INDEX('包络曲线数据'!$B$2:$U$742,ROW()-1,MATCH(G$1,'包络曲线数据'!$B$1:$U$1,0)),""))</x:f>
      </x:c>
    </x:row>
    <x:row r="561">
      <x:c r="A561" t="n">
        <x:v>55.900000000000006</x:v>
      </x:c>
      <x:c r="B561" t="n">
        <x:f>IF(B$1="","",IFERROR(INDEX('包络曲线数据'!$B$2:$U$742,ROW()-1,MATCH(B$1,'包络曲线数据'!$B$1:$U$1,0)),""))</x:f>
        <x:v>78.29076539322324</x:v>
      </x:c>
      <x:c r="C561" t="n">
        <x:f>IF(C$1="","",IFERROR(INDEX('包络曲线数据'!$B$2:$U$742,ROW()-1,MATCH(C$1,'包络曲线数据'!$B$1:$U$1,0)),""))</x:f>
        <x:v>66.8563837482578</x:v>
      </x:c>
      <x:c r="D561" t="str">
        <x:f>IF(D$1="","",IFERROR(INDEX('包络曲线数据'!$B$2:$U$742,ROW()-1,MATCH(D$1,'包络曲线数据'!$B$1:$U$1,0)),""))</x:f>
      </x:c>
      <x:c r="E561" t="str">
        <x:f>IF(E$1="","",IFERROR(INDEX('包络曲线数据'!$B$2:$U$742,ROW()-1,MATCH(E$1,'包络曲线数据'!$B$1:$U$1,0)),""))</x:f>
      </x:c>
      <x:c r="F561" t="str">
        <x:f>IF(F$1="","",IFERROR(INDEX('包络曲线数据'!$B$2:$U$742,ROW()-1,MATCH(F$1,'包络曲线数据'!$B$1:$U$1,0)),""))</x:f>
      </x:c>
      <x:c r="G561" t="str">
        <x:f>IF(G$1="","",IFERROR(INDEX('包络曲线数据'!$B$2:$U$742,ROW()-1,MATCH(G$1,'包络曲线数据'!$B$1:$U$1,0)),""))</x:f>
      </x:c>
    </x:row>
    <x:row r="562">
      <x:c r="A562" t="n">
        <x:v>56</x:v>
      </x:c>
      <x:c r="B562" t="n">
        <x:f>IF(B$1="","",IFERROR(INDEX('包络曲线数据'!$B$2:$U$742,ROW()-1,MATCH(B$1,'包络曲线数据'!$B$1:$U$1,0)),""))</x:f>
        <x:v>77.39100367149494</x:v>
      </x:c>
      <x:c r="C562" t="n">
        <x:f>IF(C$1="","",IFERROR(INDEX('包络曲线数据'!$B$2:$U$742,ROW()-1,MATCH(C$1,'包络曲线数据'!$B$1:$U$1,0)),""))</x:f>
        <x:v>67.32202340802189</x:v>
      </x:c>
      <x:c r="D562" t="str">
        <x:f>IF(D$1="","",IFERROR(INDEX('包络曲线数据'!$B$2:$U$742,ROW()-1,MATCH(D$1,'包络曲线数据'!$B$1:$U$1,0)),""))</x:f>
      </x:c>
      <x:c r="E562" t="str">
        <x:f>IF(E$1="","",IFERROR(INDEX('包络曲线数据'!$B$2:$U$742,ROW()-1,MATCH(E$1,'包络曲线数据'!$B$1:$U$1,0)),""))</x:f>
      </x:c>
      <x:c r="F562" t="str">
        <x:f>IF(F$1="","",IFERROR(INDEX('包络曲线数据'!$B$2:$U$742,ROW()-1,MATCH(F$1,'包络曲线数据'!$B$1:$U$1,0)),""))</x:f>
      </x:c>
      <x:c r="G562" t="str">
        <x:f>IF(G$1="","",IFERROR(INDEX('包络曲线数据'!$B$2:$U$742,ROW()-1,MATCH(G$1,'包络曲线数据'!$B$1:$U$1,0)),""))</x:f>
      </x:c>
    </x:row>
    <x:row r="563">
      <x:c r="A563" t="n">
        <x:v>56.1</x:v>
      </x:c>
      <x:c r="B563" t="n">
        <x:f>IF(B$1="","",IFERROR(INDEX('包络曲线数据'!$B$2:$U$742,ROW()-1,MATCH(B$1,'包络曲线数据'!$B$1:$U$1,0)),""))</x:f>
        <x:v>64.34648986415436</x:v>
      </x:c>
      <x:c r="C563" t="n">
        <x:f>IF(C$1="","",IFERROR(INDEX('包络曲线数据'!$B$2:$U$742,ROW()-1,MATCH(C$1,'包络曲线数据'!$B$1:$U$1,0)),""))</x:f>
        <x:v>67.32202340802189</x:v>
      </x:c>
      <x:c r="D563" t="str">
        <x:f>IF(D$1="","",IFERROR(INDEX('包络曲线数据'!$B$2:$U$742,ROW()-1,MATCH(D$1,'包络曲线数据'!$B$1:$U$1,0)),""))</x:f>
      </x:c>
      <x:c r="E563" t="str">
        <x:f>IF(E$1="","",IFERROR(INDEX('包络曲线数据'!$B$2:$U$742,ROW()-1,MATCH(E$1,'包络曲线数据'!$B$1:$U$1,0)),""))</x:f>
      </x:c>
      <x:c r="F563" t="str">
        <x:f>IF(F$1="","",IFERROR(INDEX('包络曲线数据'!$B$2:$U$742,ROW()-1,MATCH(F$1,'包络曲线数据'!$B$1:$U$1,0)),""))</x:f>
      </x:c>
      <x:c r="G563" t="str">
        <x:f>IF(G$1="","",IFERROR(INDEX('包络曲线数据'!$B$2:$U$742,ROW()-1,MATCH(G$1,'包络曲线数据'!$B$1:$U$1,0)),""))</x:f>
      </x:c>
    </x:row>
    <x:row r="564">
      <x:c r="A564" t="n">
        <x:v>56.2</x:v>
      </x:c>
      <x:c r="B564" t="n">
        <x:f>IF(B$1="","",IFERROR(INDEX('包络曲线数据'!$B$2:$U$742,ROW()-1,MATCH(B$1,'包络曲线数据'!$B$1:$U$1,0)),""))</x:f>
        <x:v>54.61156981041512</x:v>
      </x:c>
      <x:c r="C564" t="n">
        <x:f>IF(C$1="","",IFERROR(INDEX('包络曲线数据'!$B$2:$U$742,ROW()-1,MATCH(C$1,'包络曲线数据'!$B$1:$U$1,0)),""))</x:f>
        <x:v>67.39757167755288</x:v>
      </x:c>
      <x:c r="D564" t="str">
        <x:f>IF(D$1="","",IFERROR(INDEX('包络曲线数据'!$B$2:$U$742,ROW()-1,MATCH(D$1,'包络曲线数据'!$B$1:$U$1,0)),""))</x:f>
      </x:c>
      <x:c r="E564" t="str">
        <x:f>IF(E$1="","",IFERROR(INDEX('包络曲线数据'!$B$2:$U$742,ROW()-1,MATCH(E$1,'包络曲线数据'!$B$1:$U$1,0)),""))</x:f>
      </x:c>
      <x:c r="F564" t="str">
        <x:f>IF(F$1="","",IFERROR(INDEX('包络曲线数据'!$B$2:$U$742,ROW()-1,MATCH(F$1,'包络曲线数据'!$B$1:$U$1,0)),""))</x:f>
      </x:c>
      <x:c r="G564" t="str">
        <x:f>IF(G$1="","",IFERROR(INDEX('包络曲线数据'!$B$2:$U$742,ROW()-1,MATCH(G$1,'包络曲线数据'!$B$1:$U$1,0)),""))</x:f>
      </x:c>
    </x:row>
    <x:row r="565">
      <x:c r="A565" t="n">
        <x:v>56.300000000000004</x:v>
      </x:c>
      <x:c r="B565" t="n">
        <x:f>IF(B$1="","",IFERROR(INDEX('包络曲线数据'!$B$2:$U$742,ROW()-1,MATCH(B$1,'包络曲线数据'!$B$1:$U$1,0)),""))</x:f>
        <x:v>54.61156981041512</x:v>
      </x:c>
      <x:c r="C565" t="n">
        <x:f>IF(C$1="","",IFERROR(INDEX('包络曲线数据'!$B$2:$U$742,ROW()-1,MATCH(C$1,'包络曲线数据'!$B$1:$U$1,0)),""))</x:f>
        <x:v>67.86217861587234</x:v>
      </x:c>
      <x:c r="D565" t="str">
        <x:f>IF(D$1="","",IFERROR(INDEX('包络曲线数据'!$B$2:$U$742,ROW()-1,MATCH(D$1,'包络曲线数据'!$B$1:$U$1,0)),""))</x:f>
      </x:c>
      <x:c r="E565" t="str">
        <x:f>IF(E$1="","",IFERROR(INDEX('包络曲线数据'!$B$2:$U$742,ROW()-1,MATCH(E$1,'包络曲线数据'!$B$1:$U$1,0)),""))</x:f>
      </x:c>
      <x:c r="F565" t="str">
        <x:f>IF(F$1="","",IFERROR(INDEX('包络曲线数据'!$B$2:$U$742,ROW()-1,MATCH(F$1,'包络曲线数据'!$B$1:$U$1,0)),""))</x:f>
      </x:c>
      <x:c r="G565" t="str">
        <x:f>IF(G$1="","",IFERROR(INDEX('包络曲线数据'!$B$2:$U$742,ROW()-1,MATCH(G$1,'包络曲线数据'!$B$1:$U$1,0)),""))</x:f>
      </x:c>
    </x:row>
    <x:row r="566">
      <x:c r="A566" t="n">
        <x:v>56.400000000000006</x:v>
      </x:c>
      <x:c r="B566" t="n">
        <x:f>IF(B$1="","",IFERROR(INDEX('包络曲线数据'!$B$2:$U$742,ROW()-1,MATCH(B$1,'包络曲线数据'!$B$1:$U$1,0)),""))</x:f>
        <x:v>51.595284178115094</x:v>
      </x:c>
      <x:c r="C566" t="n">
        <x:f>IF(C$1="","",IFERROR(INDEX('包络曲线数据'!$B$2:$U$742,ROW()-1,MATCH(C$1,'包络曲线数据'!$B$1:$U$1,0)),""))</x:f>
        <x:v>67.86217861587232</x:v>
      </x:c>
      <x:c r="D566" t="str">
        <x:f>IF(D$1="","",IFERROR(INDEX('包络曲线数据'!$B$2:$U$742,ROW()-1,MATCH(D$1,'包络曲线数据'!$B$1:$U$1,0)),""))</x:f>
      </x:c>
      <x:c r="E566" t="str">
        <x:f>IF(E$1="","",IFERROR(INDEX('包络曲线数据'!$B$2:$U$742,ROW()-1,MATCH(E$1,'包络曲线数据'!$B$1:$U$1,0)),""))</x:f>
      </x:c>
      <x:c r="F566" t="str">
        <x:f>IF(F$1="","",IFERROR(INDEX('包络曲线数据'!$B$2:$U$742,ROW()-1,MATCH(F$1,'包络曲线数据'!$B$1:$U$1,0)),""))</x:f>
      </x:c>
      <x:c r="G566" t="str">
        <x:f>IF(G$1="","",IFERROR(INDEX('包络曲线数据'!$B$2:$U$742,ROW()-1,MATCH(G$1,'包络曲线数据'!$B$1:$U$1,0)),""))</x:f>
      </x:c>
    </x:row>
    <x:row r="567">
      <x:c r="A567" t="n">
        <x:v>56.5</x:v>
      </x:c>
      <x:c r="B567" t="n">
        <x:f>IF(B$1="","",IFERROR(INDEX('包络曲线数据'!$B$2:$U$742,ROW()-1,MATCH(B$1,'包络曲线数据'!$B$1:$U$1,0)),""))</x:f>
        <x:v>51.595284178115094</x:v>
      </x:c>
      <x:c r="C567" t="n">
        <x:f>IF(C$1="","",IFERROR(INDEX('包络曲线数据'!$B$2:$U$742,ROW()-1,MATCH(C$1,'包络曲线数据'!$B$1:$U$1,0)),""))</x:f>
        <x:v>67.3642152382127</x:v>
      </x:c>
      <x:c r="D567" t="str">
        <x:f>IF(D$1="","",IFERROR(INDEX('包络曲线数据'!$B$2:$U$742,ROW()-1,MATCH(D$1,'包络曲线数据'!$B$1:$U$1,0)),""))</x:f>
      </x:c>
      <x:c r="E567" t="str">
        <x:f>IF(E$1="","",IFERROR(INDEX('包络曲线数据'!$B$2:$U$742,ROW()-1,MATCH(E$1,'包络曲线数据'!$B$1:$U$1,0)),""))</x:f>
      </x:c>
      <x:c r="F567" t="str">
        <x:f>IF(F$1="","",IFERROR(INDEX('包络曲线数据'!$B$2:$U$742,ROW()-1,MATCH(F$1,'包络曲线数据'!$B$1:$U$1,0)),""))</x:f>
      </x:c>
      <x:c r="G567" t="str">
        <x:f>IF(G$1="","",IFERROR(INDEX('包络曲线数据'!$B$2:$U$742,ROW()-1,MATCH(G$1,'包络曲线数据'!$B$1:$U$1,0)),""))</x:f>
      </x:c>
    </x:row>
    <x:row r="568">
      <x:c r="A568" t="n">
        <x:v>56.6</x:v>
      </x:c>
      <x:c r="B568" t="n">
        <x:f>IF(B$1="","",IFERROR(INDEX('包络曲线数据'!$B$2:$U$742,ROW()-1,MATCH(B$1,'包络曲线数据'!$B$1:$U$1,0)),""))</x:f>
        <x:v>64.79168386812647</x:v>
      </x:c>
      <x:c r="C568" t="n">
        <x:f>IF(C$1="","",IFERROR(INDEX('包络曲线数据'!$B$2:$U$742,ROW()-1,MATCH(C$1,'包络曲线数据'!$B$1:$U$1,0)),""))</x:f>
        <x:v>69.23262738290005</x:v>
      </x:c>
      <x:c r="D568" t="str">
        <x:f>IF(D$1="","",IFERROR(INDEX('包络曲线数据'!$B$2:$U$742,ROW()-1,MATCH(D$1,'包络曲线数据'!$B$1:$U$1,0)),""))</x:f>
      </x:c>
      <x:c r="E568" t="str">
        <x:f>IF(E$1="","",IFERROR(INDEX('包络曲线数据'!$B$2:$U$742,ROW()-1,MATCH(E$1,'包络曲线数据'!$B$1:$U$1,0)),""))</x:f>
      </x:c>
      <x:c r="F568" t="str">
        <x:f>IF(F$1="","",IFERROR(INDEX('包络曲线数据'!$B$2:$U$742,ROW()-1,MATCH(F$1,'包络曲线数据'!$B$1:$U$1,0)),""))</x:f>
      </x:c>
      <x:c r="G568" t="str">
        <x:f>IF(G$1="","",IFERROR(INDEX('包络曲线数据'!$B$2:$U$742,ROW()-1,MATCH(G$1,'包络曲线数据'!$B$1:$U$1,0)),""))</x:f>
      </x:c>
    </x:row>
    <x:row r="569">
      <x:c r="A569" t="n">
        <x:v>56.7</x:v>
      </x:c>
      <x:c r="B569" t="n">
        <x:f>IF(B$1="","",IFERROR(INDEX('包络曲线数据'!$B$2:$U$742,ROW()-1,MATCH(B$1,'包络曲线数据'!$B$1:$U$1,0)),""))</x:f>
        <x:v>64.79168386812647</x:v>
      </x:c>
      <x:c r="C569" t="n">
        <x:f>IF(C$1="","",IFERROR(INDEX('包络曲线数据'!$B$2:$U$742,ROW()-1,MATCH(C$1,'包络曲线数据'!$B$1:$U$1,0)),""))</x:f>
        <x:v>69.29719459745758</x:v>
      </x:c>
      <x:c r="D569" t="str">
        <x:f>IF(D$1="","",IFERROR(INDEX('包络曲线数据'!$B$2:$U$742,ROW()-1,MATCH(D$1,'包络曲线数据'!$B$1:$U$1,0)),""))</x:f>
      </x:c>
      <x:c r="E569" t="str">
        <x:f>IF(E$1="","",IFERROR(INDEX('包络曲线数据'!$B$2:$U$742,ROW()-1,MATCH(E$1,'包络曲线数据'!$B$1:$U$1,0)),""))</x:f>
      </x:c>
      <x:c r="F569" t="str">
        <x:f>IF(F$1="","",IFERROR(INDEX('包络曲线数据'!$B$2:$U$742,ROW()-1,MATCH(F$1,'包络曲线数据'!$B$1:$U$1,0)),""))</x:f>
      </x:c>
      <x:c r="G569" t="str">
        <x:f>IF(G$1="","",IFERROR(INDEX('包络曲线数据'!$B$2:$U$742,ROW()-1,MATCH(G$1,'包络曲线数据'!$B$1:$U$1,0)),""))</x:f>
      </x:c>
    </x:row>
    <x:row r="570">
      <x:c r="A570" t="n">
        <x:v>56.800000000000004</x:v>
      </x:c>
      <x:c r="B570" t="n">
        <x:f>IF(B$1="","",IFERROR(INDEX('包络曲线数据'!$B$2:$U$742,ROW()-1,MATCH(B$1,'包络曲线数据'!$B$1:$U$1,0)),""))</x:f>
        <x:v>63.20348232791782</x:v>
      </x:c>
      <x:c r="C570" t="n">
        <x:f>IF(C$1="","",IFERROR(INDEX('包络曲线数据'!$B$2:$U$742,ROW()-1,MATCH(C$1,'包络曲线数据'!$B$1:$U$1,0)),""))</x:f>
        <x:v>68.16005450562697</x:v>
      </x:c>
      <x:c r="D570" t="str">
        <x:f>IF(D$1="","",IFERROR(INDEX('包络曲线数据'!$B$2:$U$742,ROW()-1,MATCH(D$1,'包络曲线数据'!$B$1:$U$1,0)),""))</x:f>
      </x:c>
      <x:c r="E570" t="str">
        <x:f>IF(E$1="","",IFERROR(INDEX('包络曲线数据'!$B$2:$U$742,ROW()-1,MATCH(E$1,'包络曲线数据'!$B$1:$U$1,0)),""))</x:f>
      </x:c>
      <x:c r="F570" t="str">
        <x:f>IF(F$1="","",IFERROR(INDEX('包络曲线数据'!$B$2:$U$742,ROW()-1,MATCH(F$1,'包络曲线数据'!$B$1:$U$1,0)),""))</x:f>
      </x:c>
      <x:c r="G570" t="str">
        <x:f>IF(G$1="","",IFERROR(INDEX('包络曲线数据'!$B$2:$U$742,ROW()-1,MATCH(G$1,'包络曲线数据'!$B$1:$U$1,0)),""))</x:f>
      </x:c>
    </x:row>
    <x:row r="571">
      <x:c r="A571" t="n">
        <x:v>56.900000000000006</x:v>
      </x:c>
      <x:c r="B571" t="n">
        <x:f>IF(B$1="","",IFERROR(INDEX('包络曲线数据'!$B$2:$U$742,ROW()-1,MATCH(B$1,'包络曲线数据'!$B$1:$U$1,0)),""))</x:f>
        <x:v>51.85787551310352</x:v>
      </x:c>
      <x:c r="C571" t="n">
        <x:f>IF(C$1="","",IFERROR(INDEX('包络曲线数据'!$B$2:$U$742,ROW()-1,MATCH(C$1,'包络曲线数据'!$B$1:$U$1,0)),""))</x:f>
        <x:v>67.30678206463313</x:v>
      </x:c>
      <x:c r="D571" t="str">
        <x:f>IF(D$1="","",IFERROR(INDEX('包络曲线数据'!$B$2:$U$742,ROW()-1,MATCH(D$1,'包络曲线数据'!$B$1:$U$1,0)),""))</x:f>
      </x:c>
      <x:c r="E571" t="str">
        <x:f>IF(E$1="","",IFERROR(INDEX('包络曲线数据'!$B$2:$U$742,ROW()-1,MATCH(E$1,'包络曲线数据'!$B$1:$U$1,0)),""))</x:f>
      </x:c>
      <x:c r="F571" t="str">
        <x:f>IF(F$1="","",IFERROR(INDEX('包络曲线数据'!$B$2:$U$742,ROW()-1,MATCH(F$1,'包络曲线数据'!$B$1:$U$1,0)),""))</x:f>
      </x:c>
      <x:c r="G571" t="str">
        <x:f>IF(G$1="","",IFERROR(INDEX('包络曲线数据'!$B$2:$U$742,ROW()-1,MATCH(G$1,'包络曲线数据'!$B$1:$U$1,0)),""))</x:f>
      </x:c>
    </x:row>
    <x:row r="572">
      <x:c r="A572" t="n">
        <x:v>57</x:v>
      </x:c>
      <x:c r="B572" t="n">
        <x:f>IF(B$1="","",IFERROR(INDEX('包络曲线数据'!$B$2:$U$742,ROW()-1,MATCH(B$1,'包络曲线数据'!$B$1:$U$1,0)),""))</x:f>
        <x:v>69.89739465646105</x:v>
      </x:c>
      <x:c r="C572" t="n">
        <x:f>IF(C$1="","",IFERROR(INDEX('包络曲线数据'!$B$2:$U$742,ROW()-1,MATCH(C$1,'包络曲线数据'!$B$1:$U$1,0)),""))</x:f>
        <x:v>66.5882010494234</x:v>
      </x:c>
      <x:c r="D572" t="str">
        <x:f>IF(D$1="","",IFERROR(INDEX('包络曲线数据'!$B$2:$U$742,ROW()-1,MATCH(D$1,'包络曲线数据'!$B$1:$U$1,0)),""))</x:f>
      </x:c>
      <x:c r="E572" t="str">
        <x:f>IF(E$1="","",IFERROR(INDEX('包络曲线数据'!$B$2:$U$742,ROW()-1,MATCH(E$1,'包络曲线数据'!$B$1:$U$1,0)),""))</x:f>
      </x:c>
      <x:c r="F572" t="str">
        <x:f>IF(F$1="","",IFERROR(INDEX('包络曲线数据'!$B$2:$U$742,ROW()-1,MATCH(F$1,'包络曲线数据'!$B$1:$U$1,0)),""))</x:f>
      </x:c>
      <x:c r="G572" t="str">
        <x:f>IF(G$1="","",IFERROR(INDEX('包络曲线数据'!$B$2:$U$742,ROW()-1,MATCH(G$1,'包络曲线数据'!$B$1:$U$1,0)),""))</x:f>
      </x:c>
    </x:row>
    <x:row r="573">
      <x:c r="A573" t="n">
        <x:v>57.1</x:v>
      </x:c>
      <x:c r="B573" t="n">
        <x:f>IF(B$1="","",IFERROR(INDEX('包络曲线数据'!$B$2:$U$742,ROW()-1,MATCH(B$1,'包络曲线数据'!$B$1:$U$1,0)),""))</x:f>
        <x:v>75.74375561470067</x:v>
      </x:c>
      <x:c r="C573" t="n">
        <x:f>IF(C$1="","",IFERROR(INDEX('包络曲线数据'!$B$2:$U$742,ROW()-1,MATCH(C$1,'包络曲线数据'!$B$1:$U$1,0)),""))</x:f>
        <x:v>81.1627993080221</x:v>
      </x:c>
      <x:c r="D573" t="str">
        <x:f>IF(D$1="","",IFERROR(INDEX('包络曲线数据'!$B$2:$U$742,ROW()-1,MATCH(D$1,'包络曲线数据'!$B$1:$U$1,0)),""))</x:f>
      </x:c>
      <x:c r="E573" t="str">
        <x:f>IF(E$1="","",IFERROR(INDEX('包络曲线数据'!$B$2:$U$742,ROW()-1,MATCH(E$1,'包络曲线数据'!$B$1:$U$1,0)),""))</x:f>
      </x:c>
      <x:c r="F573" t="str">
        <x:f>IF(F$1="","",IFERROR(INDEX('包络曲线数据'!$B$2:$U$742,ROW()-1,MATCH(F$1,'包络曲线数据'!$B$1:$U$1,0)),""))</x:f>
      </x:c>
      <x:c r="G573" t="str">
        <x:f>IF(G$1="","",IFERROR(INDEX('包络曲线数据'!$B$2:$U$742,ROW()-1,MATCH(G$1,'包络曲线数据'!$B$1:$U$1,0)),""))</x:f>
      </x:c>
    </x:row>
    <x:row r="574">
      <x:c r="A574" t="n">
        <x:v>57.2</x:v>
      </x:c>
      <x:c r="B574" t="n">
        <x:f>IF(B$1="","",IFERROR(INDEX('包络曲线数据'!$B$2:$U$742,ROW()-1,MATCH(B$1,'包络曲线数据'!$B$1:$U$1,0)),""))</x:f>
        <x:v>75.74375561470067</x:v>
      </x:c>
      <x:c r="C574" t="n">
        <x:f>IF(C$1="","",IFERROR(INDEX('包络曲线数据'!$B$2:$U$742,ROW()-1,MATCH(C$1,'包络曲线数据'!$B$1:$U$1,0)),""))</x:f>
        <x:v>81.1627993080221</x:v>
      </x:c>
      <x:c r="D574" t="str">
        <x:f>IF(D$1="","",IFERROR(INDEX('包络曲线数据'!$B$2:$U$742,ROW()-1,MATCH(D$1,'包络曲线数据'!$B$1:$U$1,0)),""))</x:f>
      </x:c>
      <x:c r="E574" t="str">
        <x:f>IF(E$1="","",IFERROR(INDEX('包络曲线数据'!$B$2:$U$742,ROW()-1,MATCH(E$1,'包络曲线数据'!$B$1:$U$1,0)),""))</x:f>
      </x:c>
      <x:c r="F574" t="str">
        <x:f>IF(F$1="","",IFERROR(INDEX('包络曲线数据'!$B$2:$U$742,ROW()-1,MATCH(F$1,'包络曲线数据'!$B$1:$U$1,0)),""))</x:f>
      </x:c>
      <x:c r="G574" t="str">
        <x:f>IF(G$1="","",IFERROR(INDEX('包络曲线数据'!$B$2:$U$742,ROW()-1,MATCH(G$1,'包络曲线数据'!$B$1:$U$1,0)),""))</x:f>
      </x:c>
    </x:row>
    <x:row r="575">
      <x:c r="A575" t="n">
        <x:v>57.300000000000004</x:v>
      </x:c>
      <x:c r="B575" t="n">
        <x:f>IF(B$1="","",IFERROR(INDEX('包络曲线数据'!$B$2:$U$742,ROW()-1,MATCH(B$1,'包络曲线数据'!$B$1:$U$1,0)),""))</x:f>
        <x:v>74.01168391179044</x:v>
      </x:c>
      <x:c r="C575" t="n">
        <x:f>IF(C$1="","",IFERROR(INDEX('包络曲线数据'!$B$2:$U$742,ROW()-1,MATCH(C$1,'包络曲线数据'!$B$1:$U$1,0)),""))</x:f>
        <x:v>77.16500766621908</x:v>
      </x:c>
      <x:c r="D575" t="str">
        <x:f>IF(D$1="","",IFERROR(INDEX('包络曲线数据'!$B$2:$U$742,ROW()-1,MATCH(D$1,'包络曲线数据'!$B$1:$U$1,0)),""))</x:f>
      </x:c>
      <x:c r="E575" t="str">
        <x:f>IF(E$1="","",IFERROR(INDEX('包络曲线数据'!$B$2:$U$742,ROW()-1,MATCH(E$1,'包络曲线数据'!$B$1:$U$1,0)),""))</x:f>
      </x:c>
      <x:c r="F575" t="str">
        <x:f>IF(F$1="","",IFERROR(INDEX('包络曲线数据'!$B$2:$U$742,ROW()-1,MATCH(F$1,'包络曲线数据'!$B$1:$U$1,0)),""))</x:f>
      </x:c>
      <x:c r="G575" t="str">
        <x:f>IF(G$1="","",IFERROR(INDEX('包络曲线数据'!$B$2:$U$742,ROW()-1,MATCH(G$1,'包络曲线数据'!$B$1:$U$1,0)),""))</x:f>
      </x:c>
    </x:row>
    <x:row r="576">
      <x:c r="A576" t="n">
        <x:v>57.400000000000006</x:v>
      </x:c>
      <x:c r="B576" t="n">
        <x:f>IF(B$1="","",IFERROR(INDEX('包络曲线数据'!$B$2:$U$742,ROW()-1,MATCH(B$1,'包络曲线数据'!$B$1:$U$1,0)),""))</x:f>
        <x:v>67.64550384360045</x:v>
      </x:c>
      <x:c r="C576" t="n">
        <x:f>IF(C$1="","",IFERROR(INDEX('包络曲线数据'!$B$2:$U$742,ROW()-1,MATCH(C$1,'包络曲线数据'!$B$1:$U$1,0)),""))</x:f>
        <x:v>67.70007181482119</x:v>
      </x:c>
      <x:c r="D576" t="str">
        <x:f>IF(D$1="","",IFERROR(INDEX('包络曲线数据'!$B$2:$U$742,ROW()-1,MATCH(D$1,'包络曲线数据'!$B$1:$U$1,0)),""))</x:f>
      </x:c>
      <x:c r="E576" t="str">
        <x:f>IF(E$1="","",IFERROR(INDEX('包络曲线数据'!$B$2:$U$742,ROW()-1,MATCH(E$1,'包络曲线数据'!$B$1:$U$1,0)),""))</x:f>
      </x:c>
      <x:c r="F576" t="str">
        <x:f>IF(F$1="","",IFERROR(INDEX('包络曲线数据'!$B$2:$U$742,ROW()-1,MATCH(F$1,'包络曲线数据'!$B$1:$U$1,0)),""))</x:f>
      </x:c>
      <x:c r="G576" t="str">
        <x:f>IF(G$1="","",IFERROR(INDEX('包络曲线数据'!$B$2:$U$742,ROW()-1,MATCH(G$1,'包络曲线数据'!$B$1:$U$1,0)),""))</x:f>
      </x:c>
    </x:row>
    <x:row r="577">
      <x:c r="A577" t="n">
        <x:v>57.5</x:v>
      </x:c>
      <x:c r="B577" t="n">
        <x:f>IF(B$1="","",IFERROR(INDEX('包络曲线数据'!$B$2:$U$742,ROW()-1,MATCH(B$1,'包络曲线数据'!$B$1:$U$1,0)),""))</x:f>
        <x:v>67.34649283634323</x:v>
      </x:c>
      <x:c r="C577" t="n">
        <x:f>IF(C$1="","",IFERROR(INDEX('包络曲线数据'!$B$2:$U$742,ROW()-1,MATCH(C$1,'包络曲线数据'!$B$1:$U$1,0)),""))</x:f>
        <x:v>64.7468540561189</x:v>
      </x:c>
      <x:c r="D577" t="str">
        <x:f>IF(D$1="","",IFERROR(INDEX('包络曲线数据'!$B$2:$U$742,ROW()-1,MATCH(D$1,'包络曲线数据'!$B$1:$U$1,0)),""))</x:f>
      </x:c>
      <x:c r="E577" t="str">
        <x:f>IF(E$1="","",IFERROR(INDEX('包络曲线数据'!$B$2:$U$742,ROW()-1,MATCH(E$1,'包络曲线数据'!$B$1:$U$1,0)),""))</x:f>
      </x:c>
      <x:c r="F577" t="str">
        <x:f>IF(F$1="","",IFERROR(INDEX('包络曲线数据'!$B$2:$U$742,ROW()-1,MATCH(F$1,'包络曲线数据'!$B$1:$U$1,0)),""))</x:f>
      </x:c>
      <x:c r="G577" t="str">
        <x:f>IF(G$1="","",IFERROR(INDEX('包络曲线数据'!$B$2:$U$742,ROW()-1,MATCH(G$1,'包络曲线数据'!$B$1:$U$1,0)),""))</x:f>
      </x:c>
    </x:row>
    <x:row r="578">
      <x:c r="A578" t="n">
        <x:v>57.6</x:v>
      </x:c>
      <x:c r="B578" t="n">
        <x:f>IF(B$1="","",IFERROR(INDEX('包络曲线数据'!$B$2:$U$742,ROW()-1,MATCH(B$1,'包络曲线数据'!$B$1:$U$1,0)),""))</x:f>
        <x:v>68.05400581091196</x:v>
      </x:c>
      <x:c r="C578" t="n">
        <x:f>IF(C$1="","",IFERROR(INDEX('包络曲线数据'!$B$2:$U$742,ROW()-1,MATCH(C$1,'包络曲线数据'!$B$1:$U$1,0)),""))</x:f>
        <x:v>64.6608783440031</x:v>
      </x:c>
      <x:c r="D578" t="str">
        <x:f>IF(D$1="","",IFERROR(INDEX('包络曲线数据'!$B$2:$U$742,ROW()-1,MATCH(D$1,'包络曲线数据'!$B$1:$U$1,0)),""))</x:f>
      </x:c>
      <x:c r="E578" t="str">
        <x:f>IF(E$1="","",IFERROR(INDEX('包络曲线数据'!$B$2:$U$742,ROW()-1,MATCH(E$1,'包络曲线数据'!$B$1:$U$1,0)),""))</x:f>
      </x:c>
      <x:c r="F578" t="str">
        <x:f>IF(F$1="","",IFERROR(INDEX('包络曲线数据'!$B$2:$U$742,ROW()-1,MATCH(F$1,'包络曲线数据'!$B$1:$U$1,0)),""))</x:f>
      </x:c>
      <x:c r="G578" t="str">
        <x:f>IF(G$1="","",IFERROR(INDEX('包络曲线数据'!$B$2:$U$742,ROW()-1,MATCH(G$1,'包络曲线数据'!$B$1:$U$1,0)),""))</x:f>
      </x:c>
    </x:row>
    <x:row r="579">
      <x:c r="A579" t="n">
        <x:v>57.7</x:v>
      </x:c>
      <x:c r="B579" t="n">
        <x:f>IF(B$1="","",IFERROR(INDEX('包络曲线数据'!$B$2:$U$742,ROW()-1,MATCH(B$1,'包络曲线数据'!$B$1:$U$1,0)),""))</x:f>
        <x:v>68.85671515997508</x:v>
      </x:c>
      <x:c r="C579" t="str">
        <x:f>IF(C$1="","",IFERROR(INDEX('包络曲线数据'!$B$2:$U$742,ROW()-1,MATCH(C$1,'包络曲线数据'!$B$1:$U$1,0)),""))</x:f>
      </x:c>
      <x:c r="D579" t="str">
        <x:f>IF(D$1="","",IFERROR(INDEX('包络曲线数据'!$B$2:$U$742,ROW()-1,MATCH(D$1,'包络曲线数据'!$B$1:$U$1,0)),""))</x:f>
      </x:c>
      <x:c r="E579" t="str">
        <x:f>IF(E$1="","",IFERROR(INDEX('包络曲线数据'!$B$2:$U$742,ROW()-1,MATCH(E$1,'包络曲线数据'!$B$1:$U$1,0)),""))</x:f>
      </x:c>
      <x:c r="F579" t="str">
        <x:f>IF(F$1="","",IFERROR(INDEX('包络曲线数据'!$B$2:$U$742,ROW()-1,MATCH(F$1,'包络曲线数据'!$B$1:$U$1,0)),""))</x:f>
      </x:c>
      <x:c r="G579" t="str">
        <x:f>IF(G$1="","",IFERROR(INDEX('包络曲线数据'!$B$2:$U$742,ROW()-1,MATCH(G$1,'包络曲线数据'!$B$1:$U$1,0)),""))</x:f>
      </x:c>
    </x:row>
    <x:row r="580">
      <x:c r="A580" t="n">
        <x:v>57.800000000000004</x:v>
      </x:c>
      <x:c r="B580" t="n">
        <x:f>IF(B$1="","",IFERROR(INDEX('包络曲线数据'!$B$2:$U$742,ROW()-1,MATCH(B$1,'包络曲线数据'!$B$1:$U$1,0)),""))</x:f>
        <x:v>70.25902786779392</x:v>
      </x:c>
      <x:c r="C580" t="str">
        <x:f>IF(C$1="","",IFERROR(INDEX('包络曲线数据'!$B$2:$U$742,ROW()-1,MATCH(C$1,'包络曲线数据'!$B$1:$U$1,0)),""))</x:f>
      </x:c>
      <x:c r="D580" t="str">
        <x:f>IF(D$1="","",IFERROR(INDEX('包络曲线数据'!$B$2:$U$742,ROW()-1,MATCH(D$1,'包络曲线数据'!$B$1:$U$1,0)),""))</x:f>
      </x:c>
      <x:c r="E580" t="str">
        <x:f>IF(E$1="","",IFERROR(INDEX('包络曲线数据'!$B$2:$U$742,ROW()-1,MATCH(E$1,'包络曲线数据'!$B$1:$U$1,0)),""))</x:f>
      </x:c>
      <x:c r="F580" t="str">
        <x:f>IF(F$1="","",IFERROR(INDEX('包络曲线数据'!$B$2:$U$742,ROW()-1,MATCH(F$1,'包络曲线数据'!$B$1:$U$1,0)),""))</x:f>
      </x:c>
      <x:c r="G580" t="str">
        <x:f>IF(G$1="","",IFERROR(INDEX('包络曲线数据'!$B$2:$U$742,ROW()-1,MATCH(G$1,'包络曲线数据'!$B$1:$U$1,0)),""))</x:f>
      </x:c>
    </x:row>
    <x:row r="581">
      <x:c r="A581" t="n">
        <x:v>57.900000000000006</x:v>
      </x:c>
      <x:c r="B581" t="n">
        <x:f>IF(B$1="","",IFERROR(INDEX('包络曲线数据'!$B$2:$U$742,ROW()-1,MATCH(B$1,'包络曲线数据'!$B$1:$U$1,0)),""))</x:f>
        <x:v>70.25902786779392</x:v>
      </x:c>
      <x:c r="C581" t="str">
        <x:f>IF(C$1="","",IFERROR(INDEX('包络曲线数据'!$B$2:$U$742,ROW()-1,MATCH(C$1,'包络曲线数据'!$B$1:$U$1,0)),""))</x:f>
      </x:c>
      <x:c r="D581" t="str">
        <x:f>IF(D$1="","",IFERROR(INDEX('包络曲线数据'!$B$2:$U$742,ROW()-1,MATCH(D$1,'包络曲线数据'!$B$1:$U$1,0)),""))</x:f>
      </x:c>
      <x:c r="E581" t="str">
        <x:f>IF(E$1="","",IFERROR(INDEX('包络曲线数据'!$B$2:$U$742,ROW()-1,MATCH(E$1,'包络曲线数据'!$B$1:$U$1,0)),""))</x:f>
      </x:c>
      <x:c r="F581" t="str">
        <x:f>IF(F$1="","",IFERROR(INDEX('包络曲线数据'!$B$2:$U$742,ROW()-1,MATCH(F$1,'包络曲线数据'!$B$1:$U$1,0)),""))</x:f>
      </x:c>
      <x:c r="G581" t="str">
        <x:f>IF(G$1="","",IFERROR(INDEX('包络曲线数据'!$B$2:$U$742,ROW()-1,MATCH(G$1,'包络曲线数据'!$B$1:$U$1,0)),""))</x:f>
      </x:c>
    </x:row>
    <x:row r="582">
      <x:c r="A582" t="n">
        <x:v>58</x:v>
      </x:c>
      <x:c r="B582" t="n">
        <x:f>IF(B$1="","",IFERROR(INDEX('包络曲线数据'!$B$2:$U$742,ROW()-1,MATCH(B$1,'包络曲线数据'!$B$1:$U$1,0)),""))</x:f>
        <x:v>69.46638270677003</x:v>
      </x:c>
      <x:c r="C582" t="str">
        <x:f>IF(C$1="","",IFERROR(INDEX('包络曲线数据'!$B$2:$U$742,ROW()-1,MATCH(C$1,'包络曲线数据'!$B$1:$U$1,0)),""))</x:f>
      </x:c>
      <x:c r="D582" t="str">
        <x:f>IF(D$1="","",IFERROR(INDEX('包络曲线数据'!$B$2:$U$742,ROW()-1,MATCH(D$1,'包络曲线数据'!$B$1:$U$1,0)),""))</x:f>
      </x:c>
      <x:c r="E582" t="str">
        <x:f>IF(E$1="","",IFERROR(INDEX('包络曲线数据'!$B$2:$U$742,ROW()-1,MATCH(E$1,'包络曲线数据'!$B$1:$U$1,0)),""))</x:f>
      </x:c>
      <x:c r="F582" t="str">
        <x:f>IF(F$1="","",IFERROR(INDEX('包络曲线数据'!$B$2:$U$742,ROW()-1,MATCH(F$1,'包络曲线数据'!$B$1:$U$1,0)),""))</x:f>
      </x:c>
      <x:c r="G582" t="str">
        <x:f>IF(G$1="","",IFERROR(INDEX('包络曲线数据'!$B$2:$U$742,ROW()-1,MATCH(G$1,'包络曲线数据'!$B$1:$U$1,0)),""))</x:f>
      </x:c>
    </x:row>
    <x:row r="583">
      <x:c r="A583" t="n">
        <x:v>58.1</x:v>
      </x:c>
      <x:c r="B583" t="n">
        <x:f>IF(B$1="","",IFERROR(INDEX('包络曲线数据'!$B$2:$U$742,ROW()-1,MATCH(B$1,'包络曲线数据'!$B$1:$U$1,0)),""))</x:f>
        <x:v>70.37698216484513</x:v>
      </x:c>
      <x:c r="C583" t="str">
        <x:f>IF(C$1="","",IFERROR(INDEX('包络曲线数据'!$B$2:$U$742,ROW()-1,MATCH(C$1,'包络曲线数据'!$B$1:$U$1,0)),""))</x:f>
      </x:c>
      <x:c r="D583" t="str">
        <x:f>IF(D$1="","",IFERROR(INDEX('包络曲线数据'!$B$2:$U$742,ROW()-1,MATCH(D$1,'包络曲线数据'!$B$1:$U$1,0)),""))</x:f>
      </x:c>
      <x:c r="E583" t="str">
        <x:f>IF(E$1="","",IFERROR(INDEX('包络曲线数据'!$B$2:$U$742,ROW()-1,MATCH(E$1,'包络曲线数据'!$B$1:$U$1,0)),""))</x:f>
      </x:c>
      <x:c r="F583" t="str">
        <x:f>IF(F$1="","",IFERROR(INDEX('包络曲线数据'!$B$2:$U$742,ROW()-1,MATCH(F$1,'包络曲线数据'!$B$1:$U$1,0)),""))</x:f>
      </x:c>
      <x:c r="G583" t="str">
        <x:f>IF(G$1="","",IFERROR(INDEX('包络曲线数据'!$B$2:$U$742,ROW()-1,MATCH(G$1,'包络曲线数据'!$B$1:$U$1,0)),""))</x:f>
      </x:c>
    </x:row>
    <x:row r="584">
      <x:c r="A584" t="n">
        <x:v>58.2</x:v>
      </x:c>
      <x:c r="B584" t="n">
        <x:f>IF(B$1="","",IFERROR(INDEX('包络曲线数据'!$B$2:$U$742,ROW()-1,MATCH(B$1,'包络曲线数据'!$B$1:$U$1,0)),""))</x:f>
        <x:v>70.99372873903252</x:v>
      </x:c>
      <x:c r="C584" t="str">
        <x:f>IF(C$1="","",IFERROR(INDEX('包络曲线数据'!$B$2:$U$742,ROW()-1,MATCH(C$1,'包络曲线数据'!$B$1:$U$1,0)),""))</x:f>
      </x:c>
      <x:c r="D584" t="str">
        <x:f>IF(D$1="","",IFERROR(INDEX('包络曲线数据'!$B$2:$U$742,ROW()-1,MATCH(D$1,'包络曲线数据'!$B$1:$U$1,0)),""))</x:f>
      </x:c>
      <x:c r="E584" t="str">
        <x:f>IF(E$1="","",IFERROR(INDEX('包络曲线数据'!$B$2:$U$742,ROW()-1,MATCH(E$1,'包络曲线数据'!$B$1:$U$1,0)),""))</x:f>
      </x:c>
      <x:c r="F584" t="str">
        <x:f>IF(F$1="","",IFERROR(INDEX('包络曲线数据'!$B$2:$U$742,ROW()-1,MATCH(F$1,'包络曲线数据'!$B$1:$U$1,0)),""))</x:f>
      </x:c>
      <x:c r="G584" t="str">
        <x:f>IF(G$1="","",IFERROR(INDEX('包络曲线数据'!$B$2:$U$742,ROW()-1,MATCH(G$1,'包络曲线数据'!$B$1:$U$1,0)),""))</x:f>
      </x:c>
    </x:row>
    <x:row r="585">
      <x:c r="A585" t="n">
        <x:v>58.300000000000004</x:v>
      </x:c>
      <x:c r="B585" t="n">
        <x:f>IF(B$1="","",IFERROR(INDEX('包络曲线数据'!$B$2:$U$742,ROW()-1,MATCH(B$1,'包络曲线数据'!$B$1:$U$1,0)),""))</x:f>
        <x:v>70.72198879348544</x:v>
      </x:c>
      <x:c r="C585" t="str">
        <x:f>IF(C$1="","",IFERROR(INDEX('包络曲线数据'!$B$2:$U$742,ROW()-1,MATCH(C$1,'包络曲线数据'!$B$1:$U$1,0)),""))</x:f>
      </x:c>
      <x:c r="D585" t="str">
        <x:f>IF(D$1="","",IFERROR(INDEX('包络曲线数据'!$B$2:$U$742,ROW()-1,MATCH(D$1,'包络曲线数据'!$B$1:$U$1,0)),""))</x:f>
      </x:c>
      <x:c r="E585" t="str">
        <x:f>IF(E$1="","",IFERROR(INDEX('包络曲线数据'!$B$2:$U$742,ROW()-1,MATCH(E$1,'包络曲线数据'!$B$1:$U$1,0)),""))</x:f>
      </x:c>
      <x:c r="F585" t="str">
        <x:f>IF(F$1="","",IFERROR(INDEX('包络曲线数据'!$B$2:$U$742,ROW()-1,MATCH(F$1,'包络曲线数据'!$B$1:$U$1,0)),""))</x:f>
      </x:c>
      <x:c r="G585" t="str">
        <x:f>IF(G$1="","",IFERROR(INDEX('包络曲线数据'!$B$2:$U$742,ROW()-1,MATCH(G$1,'包络曲线数据'!$B$1:$U$1,0)),""))</x:f>
      </x:c>
    </x:row>
    <x:row r="586">
      <x:c r="A586" t="n">
        <x:v>58.400000000000006</x:v>
      </x:c>
      <x:c r="B586" t="n">
        <x:f>IF(B$1="","",IFERROR(INDEX('包络曲线数据'!$B$2:$U$742,ROW()-1,MATCH(B$1,'包络曲线数据'!$B$1:$U$1,0)),""))</x:f>
        <x:v>86.63860232907915</x:v>
      </x:c>
      <x:c r="C586" t="str">
        <x:f>IF(C$1="","",IFERROR(INDEX('包络曲线数据'!$B$2:$U$742,ROW()-1,MATCH(C$1,'包络曲线数据'!$B$1:$U$1,0)),""))</x:f>
      </x:c>
      <x:c r="D586" t="str">
        <x:f>IF(D$1="","",IFERROR(INDEX('包络曲线数据'!$B$2:$U$742,ROW()-1,MATCH(D$1,'包络曲线数据'!$B$1:$U$1,0)),""))</x:f>
      </x:c>
      <x:c r="E586" t="str">
        <x:f>IF(E$1="","",IFERROR(INDEX('包络曲线数据'!$B$2:$U$742,ROW()-1,MATCH(E$1,'包络曲线数据'!$B$1:$U$1,0)),""))</x:f>
      </x:c>
      <x:c r="F586" t="str">
        <x:f>IF(F$1="","",IFERROR(INDEX('包络曲线数据'!$B$2:$U$742,ROW()-1,MATCH(F$1,'包络曲线数据'!$B$1:$U$1,0)),""))</x:f>
      </x:c>
      <x:c r="G586" t="str">
        <x:f>IF(G$1="","",IFERROR(INDEX('包络曲线数据'!$B$2:$U$742,ROW()-1,MATCH(G$1,'包络曲线数据'!$B$1:$U$1,0)),""))</x:f>
      </x:c>
    </x:row>
    <x:row r="587">
      <x:c r="A587" t="n">
        <x:v>58.5</x:v>
      </x:c>
      <x:c r="B587" t="n">
        <x:f>IF(B$1="","",IFERROR(INDEX('包络曲线数据'!$B$2:$U$742,ROW()-1,MATCH(B$1,'包络曲线数据'!$B$1:$U$1,0)),""))</x:f>
        <x:v>91.3851562457086</x:v>
      </x:c>
      <x:c r="C587" t="str">
        <x:f>IF(C$1="","",IFERROR(INDEX('包络曲线数据'!$B$2:$U$742,ROW()-1,MATCH(C$1,'包络曲线数据'!$B$1:$U$1,0)),""))</x:f>
      </x:c>
      <x:c r="D587" t="str">
        <x:f>IF(D$1="","",IFERROR(INDEX('包络曲线数据'!$B$2:$U$742,ROW()-1,MATCH(D$1,'包络曲线数据'!$B$1:$U$1,0)),""))</x:f>
      </x:c>
      <x:c r="E587" t="str">
        <x:f>IF(E$1="","",IFERROR(INDEX('包络曲线数据'!$B$2:$U$742,ROW()-1,MATCH(E$1,'包络曲线数据'!$B$1:$U$1,0)),""))</x:f>
      </x:c>
      <x:c r="F587" t="str">
        <x:f>IF(F$1="","",IFERROR(INDEX('包络曲线数据'!$B$2:$U$742,ROW()-1,MATCH(F$1,'包络曲线数据'!$B$1:$U$1,0)),""))</x:f>
      </x:c>
      <x:c r="G587" t="str">
        <x:f>IF(G$1="","",IFERROR(INDEX('包络曲线数据'!$B$2:$U$742,ROW()-1,MATCH(G$1,'包络曲线数据'!$B$1:$U$1,0)),""))</x:f>
      </x:c>
    </x:row>
    <x:row r="588">
      <x:c r="A588" t="n">
        <x:v>58.6</x:v>
      </x:c>
      <x:c r="B588" t="n">
        <x:f>IF(B$1="","",IFERROR(INDEX('包络曲线数据'!$B$2:$U$742,ROW()-1,MATCH(B$1,'包络曲线数据'!$B$1:$U$1,0)),""))</x:f>
        <x:v>91.3851562457086</x:v>
      </x:c>
      <x:c r="C588" t="str">
        <x:f>IF(C$1="","",IFERROR(INDEX('包络曲线数据'!$B$2:$U$742,ROW()-1,MATCH(C$1,'包络曲线数据'!$B$1:$U$1,0)),""))</x:f>
      </x:c>
      <x:c r="D588" t="str">
        <x:f>IF(D$1="","",IFERROR(INDEX('包络曲线数据'!$B$2:$U$742,ROW()-1,MATCH(D$1,'包络曲线数据'!$B$1:$U$1,0)),""))</x:f>
      </x:c>
      <x:c r="E588" t="str">
        <x:f>IF(E$1="","",IFERROR(INDEX('包络曲线数据'!$B$2:$U$742,ROW()-1,MATCH(E$1,'包络曲线数据'!$B$1:$U$1,0)),""))</x:f>
      </x:c>
      <x:c r="F588" t="str">
        <x:f>IF(F$1="","",IFERROR(INDEX('包络曲线数据'!$B$2:$U$742,ROW()-1,MATCH(F$1,'包络曲线数据'!$B$1:$U$1,0)),""))</x:f>
      </x:c>
      <x:c r="G588" t="str">
        <x:f>IF(G$1="","",IFERROR(INDEX('包络曲线数据'!$B$2:$U$742,ROW()-1,MATCH(G$1,'包络曲线数据'!$B$1:$U$1,0)),""))</x:f>
      </x:c>
    </x:row>
    <x:row r="589">
      <x:c r="A589" t="n">
        <x:v>58.7</x:v>
      </x:c>
      <x:c r="B589" t="n">
        <x:f>IF(B$1="","",IFERROR(INDEX('包络曲线数据'!$B$2:$U$742,ROW()-1,MATCH(B$1,'包络曲线数据'!$B$1:$U$1,0)),""))</x:f>
        <x:v>83.64808476510261</x:v>
      </x:c>
      <x:c r="C589" t="str">
        <x:f>IF(C$1="","",IFERROR(INDEX('包络曲线数据'!$B$2:$U$742,ROW()-1,MATCH(C$1,'包络曲线数据'!$B$1:$U$1,0)),""))</x:f>
      </x:c>
      <x:c r="D589" t="str">
        <x:f>IF(D$1="","",IFERROR(INDEX('包络曲线数据'!$B$2:$U$742,ROW()-1,MATCH(D$1,'包络曲线数据'!$B$1:$U$1,0)),""))</x:f>
      </x:c>
      <x:c r="E589" t="str">
        <x:f>IF(E$1="","",IFERROR(INDEX('包络曲线数据'!$B$2:$U$742,ROW()-1,MATCH(E$1,'包络曲线数据'!$B$1:$U$1,0)),""))</x:f>
      </x:c>
      <x:c r="F589" t="str">
        <x:f>IF(F$1="","",IFERROR(INDEX('包络曲线数据'!$B$2:$U$742,ROW()-1,MATCH(F$1,'包络曲线数据'!$B$1:$U$1,0)),""))</x:f>
      </x:c>
      <x:c r="G589" t="str">
        <x:f>IF(G$1="","",IFERROR(INDEX('包络曲线数据'!$B$2:$U$742,ROW()-1,MATCH(G$1,'包络曲线数据'!$B$1:$U$1,0)),""))</x:f>
      </x:c>
    </x:row>
    <x:row r="590">
      <x:c r="A590" t="n">
        <x:v>58.800000000000004</x:v>
      </x:c>
      <x:c r="B590" t="n">
        <x:f>IF(B$1="","",IFERROR(INDEX('包络曲线数据'!$B$2:$U$742,ROW()-1,MATCH(B$1,'包络曲线数据'!$B$1:$U$1,0)),""))</x:f>
        <x:v>76.68831680035112</x:v>
      </x:c>
      <x:c r="C590" t="str">
        <x:f>IF(C$1="","",IFERROR(INDEX('包络曲线数据'!$B$2:$U$742,ROW()-1,MATCH(C$1,'包络曲线数据'!$B$1:$U$1,0)),""))</x:f>
      </x:c>
      <x:c r="D590" t="str">
        <x:f>IF(D$1="","",IFERROR(INDEX('包络曲线数据'!$B$2:$U$742,ROW()-1,MATCH(D$1,'包络曲线数据'!$B$1:$U$1,0)),""))</x:f>
      </x:c>
      <x:c r="E590" t="str">
        <x:f>IF(E$1="","",IFERROR(INDEX('包络曲线数据'!$B$2:$U$742,ROW()-1,MATCH(E$1,'包络曲线数据'!$B$1:$U$1,0)),""))</x:f>
      </x:c>
      <x:c r="F590" t="str">
        <x:f>IF(F$1="","",IFERROR(INDEX('包络曲线数据'!$B$2:$U$742,ROW()-1,MATCH(F$1,'包络曲线数据'!$B$1:$U$1,0)),""))</x:f>
      </x:c>
      <x:c r="G590" t="str">
        <x:f>IF(G$1="","",IFERROR(INDEX('包络曲线数据'!$B$2:$U$742,ROW()-1,MATCH(G$1,'包络曲线数据'!$B$1:$U$1,0)),""))</x:f>
      </x:c>
    </x:row>
    <x:row r="591">
      <x:c r="A591" t="n">
        <x:v>58.900000000000006</x:v>
      </x:c>
      <x:c r="B591" t="n">
        <x:f>IF(B$1="","",IFERROR(INDEX('包络曲线数据'!$B$2:$U$742,ROW()-1,MATCH(B$1,'包络曲线数据'!$B$1:$U$1,0)),""))</x:f>
        <x:v>74.53212405348835</x:v>
      </x:c>
      <x:c r="C591" t="str">
        <x:f>IF(C$1="","",IFERROR(INDEX('包络曲线数据'!$B$2:$U$742,ROW()-1,MATCH(C$1,'包络曲线数据'!$B$1:$U$1,0)),""))</x:f>
      </x:c>
      <x:c r="D591" t="str">
        <x:f>IF(D$1="","",IFERROR(INDEX('包络曲线数据'!$B$2:$U$742,ROW()-1,MATCH(D$1,'包络曲线数据'!$B$1:$U$1,0)),""))</x:f>
      </x:c>
      <x:c r="E591" t="str">
        <x:f>IF(E$1="","",IFERROR(INDEX('包络曲线数据'!$B$2:$U$742,ROW()-1,MATCH(E$1,'包络曲线数据'!$B$1:$U$1,0)),""))</x:f>
      </x:c>
      <x:c r="F591" t="str">
        <x:f>IF(F$1="","",IFERROR(INDEX('包络曲线数据'!$B$2:$U$742,ROW()-1,MATCH(F$1,'包络曲线数据'!$B$1:$U$1,0)),""))</x:f>
      </x:c>
      <x:c r="G591" t="str">
        <x:f>IF(G$1="","",IFERROR(INDEX('包络曲线数据'!$B$2:$U$742,ROW()-1,MATCH(G$1,'包络曲线数据'!$B$1:$U$1,0)),""))</x:f>
      </x:c>
    </x:row>
    <x:row r="592">
      <x:c r="A592" t="n">
        <x:v>59</x:v>
      </x:c>
      <x:c r="B592" t="n">
        <x:f>IF(B$1="","",IFERROR(INDEX('包络曲线数据'!$B$2:$U$742,ROW()-1,MATCH(B$1,'包络曲线数据'!$B$1:$U$1,0)),""))</x:f>
        <x:v>72.95847155907609</x:v>
      </x:c>
      <x:c r="C592" t="str">
        <x:f>IF(C$1="","",IFERROR(INDEX('包络曲线数据'!$B$2:$U$742,ROW()-1,MATCH(C$1,'包络曲线数据'!$B$1:$U$1,0)),""))</x:f>
      </x:c>
      <x:c r="D592" t="str">
        <x:f>IF(D$1="","",IFERROR(INDEX('包络曲线数据'!$B$2:$U$742,ROW()-1,MATCH(D$1,'包络曲线数据'!$B$1:$U$1,0)),""))</x:f>
      </x:c>
      <x:c r="E592" t="str">
        <x:f>IF(E$1="","",IFERROR(INDEX('包络曲线数据'!$B$2:$U$742,ROW()-1,MATCH(E$1,'包络曲线数据'!$B$1:$U$1,0)),""))</x:f>
      </x:c>
      <x:c r="F592" t="str">
        <x:f>IF(F$1="","",IFERROR(INDEX('包络曲线数据'!$B$2:$U$742,ROW()-1,MATCH(F$1,'包络曲线数据'!$B$1:$U$1,0)),""))</x:f>
      </x:c>
      <x:c r="G592" t="str">
        <x:f>IF(G$1="","",IFERROR(INDEX('包络曲线数据'!$B$2:$U$742,ROW()-1,MATCH(G$1,'包络曲线数据'!$B$1:$U$1,0)),""))</x:f>
      </x:c>
    </x:row>
    <x:row r="593">
      <x:c r="A593" t="n">
        <x:v>59.1</x:v>
      </x:c>
      <x:c r="B593" t="n">
        <x:f>IF(B$1="","",IFERROR(INDEX('包络曲线数据'!$B$2:$U$742,ROW()-1,MATCH(B$1,'包络曲线数据'!$B$1:$U$1,0)),""))</x:f>
        <x:v>68.90744904827852</x:v>
      </x:c>
      <x:c r="C593" t="str">
        <x:f>IF(C$1="","",IFERROR(INDEX('包络曲线数据'!$B$2:$U$742,ROW()-1,MATCH(C$1,'包络曲线数据'!$B$1:$U$1,0)),""))</x:f>
      </x:c>
      <x:c r="D593" t="str">
        <x:f>IF(D$1="","",IFERROR(INDEX('包络曲线数据'!$B$2:$U$742,ROW()-1,MATCH(D$1,'包络曲线数据'!$B$1:$U$1,0)),""))</x:f>
      </x:c>
      <x:c r="E593" t="str">
        <x:f>IF(E$1="","",IFERROR(INDEX('包络曲线数据'!$B$2:$U$742,ROW()-1,MATCH(E$1,'包络曲线数据'!$B$1:$U$1,0)),""))</x:f>
      </x:c>
      <x:c r="F593" t="str">
        <x:f>IF(F$1="","",IFERROR(INDEX('包络曲线数据'!$B$2:$U$742,ROW()-1,MATCH(F$1,'包络曲线数据'!$B$1:$U$1,0)),""))</x:f>
      </x:c>
      <x:c r="G593" t="str">
        <x:f>IF(G$1="","",IFERROR(INDEX('包络曲线数据'!$B$2:$U$742,ROW()-1,MATCH(G$1,'包络曲线数据'!$B$1:$U$1,0)),""))</x:f>
      </x:c>
    </x:row>
    <x:row r="594">
      <x:c r="A594" t="n">
        <x:v>59.2</x:v>
      </x:c>
      <x:c r="B594" t="n">
        <x:f>IF(B$1="","",IFERROR(INDEX('包络曲线数据'!$B$2:$U$742,ROW()-1,MATCH(B$1,'包络曲线数据'!$B$1:$U$1,0)),""))</x:f>
        <x:v>68.90744904827852</x:v>
      </x:c>
      <x:c r="C594" t="str">
        <x:f>IF(C$1="","",IFERROR(INDEX('包络曲线数据'!$B$2:$U$742,ROW()-1,MATCH(C$1,'包络曲线数据'!$B$1:$U$1,0)),""))</x:f>
      </x:c>
      <x:c r="D594" t="str">
        <x:f>IF(D$1="","",IFERROR(INDEX('包络曲线数据'!$B$2:$U$742,ROW()-1,MATCH(D$1,'包络曲线数据'!$B$1:$U$1,0)),""))</x:f>
      </x:c>
      <x:c r="E594" t="str">
        <x:f>IF(E$1="","",IFERROR(INDEX('包络曲线数据'!$B$2:$U$742,ROW()-1,MATCH(E$1,'包络曲线数据'!$B$1:$U$1,0)),""))</x:f>
      </x:c>
      <x:c r="F594" t="str">
        <x:f>IF(F$1="","",IFERROR(INDEX('包络曲线数据'!$B$2:$U$742,ROW()-1,MATCH(F$1,'包络曲线数据'!$B$1:$U$1,0)),""))</x:f>
      </x:c>
      <x:c r="G594" t="str">
        <x:f>IF(G$1="","",IFERROR(INDEX('包络曲线数据'!$B$2:$U$742,ROW()-1,MATCH(G$1,'包络曲线数据'!$B$1:$U$1,0)),""))</x:f>
      </x:c>
    </x:row>
    <x:row r="595">
      <x:c r="A595" t="n">
        <x:v>59.300000000000004</x:v>
      </x:c>
      <x:c r="B595" t="n">
        <x:f>IF(B$1="","",IFERROR(INDEX('包络曲线数据'!$B$2:$U$742,ROW()-1,MATCH(B$1,'包络曲线数据'!$B$1:$U$1,0)),""))</x:f>
        <x:v>51.595284178115094</x:v>
      </x:c>
      <x:c r="C595" t="str">
        <x:f>IF(C$1="","",IFERROR(INDEX('包络曲线数据'!$B$2:$U$742,ROW()-1,MATCH(C$1,'包络曲线数据'!$B$1:$U$1,0)),""))</x:f>
      </x:c>
      <x:c r="D595" t="str">
        <x:f>IF(D$1="","",IFERROR(INDEX('包络曲线数据'!$B$2:$U$742,ROW()-1,MATCH(D$1,'包络曲线数据'!$B$1:$U$1,0)),""))</x:f>
      </x:c>
      <x:c r="E595" t="str">
        <x:f>IF(E$1="","",IFERROR(INDEX('包络曲线数据'!$B$2:$U$742,ROW()-1,MATCH(E$1,'包络曲线数据'!$B$1:$U$1,0)),""))</x:f>
      </x:c>
      <x:c r="F595" t="str">
        <x:f>IF(F$1="","",IFERROR(INDEX('包络曲线数据'!$B$2:$U$742,ROW()-1,MATCH(F$1,'包络曲线数据'!$B$1:$U$1,0)),""))</x:f>
      </x:c>
      <x:c r="G595" t="str">
        <x:f>IF(G$1="","",IFERROR(INDEX('包络曲线数据'!$B$2:$U$742,ROW()-1,MATCH(G$1,'包络曲线数据'!$B$1:$U$1,0)),""))</x:f>
      </x:c>
    </x:row>
    <x:row r="596">
      <x:c r="A596" t="n">
        <x:v>59.400000000000006</x:v>
      </x:c>
      <x:c r="B596" t="n">
        <x:f>IF(B$1="","",IFERROR(INDEX('包络曲线数据'!$B$2:$U$742,ROW()-1,MATCH(B$1,'包络曲线数据'!$B$1:$U$1,0)),""))</x:f>
        <x:v>51.595284178115094</x:v>
      </x:c>
      <x:c r="C596" t="str">
        <x:f>IF(C$1="","",IFERROR(INDEX('包络曲线数据'!$B$2:$U$742,ROW()-1,MATCH(C$1,'包络曲线数据'!$B$1:$U$1,0)),""))</x:f>
      </x:c>
      <x:c r="D596" t="str">
        <x:f>IF(D$1="","",IFERROR(INDEX('包络曲线数据'!$B$2:$U$742,ROW()-1,MATCH(D$1,'包络曲线数据'!$B$1:$U$1,0)),""))</x:f>
      </x:c>
      <x:c r="E596" t="str">
        <x:f>IF(E$1="","",IFERROR(INDEX('包络曲线数据'!$B$2:$U$742,ROW()-1,MATCH(E$1,'包络曲线数据'!$B$1:$U$1,0)),""))</x:f>
      </x:c>
      <x:c r="F596" t="str">
        <x:f>IF(F$1="","",IFERROR(INDEX('包络曲线数据'!$B$2:$U$742,ROW()-1,MATCH(F$1,'包络曲线数据'!$B$1:$U$1,0)),""))</x:f>
      </x:c>
      <x:c r="G596" t="str">
        <x:f>IF(G$1="","",IFERROR(INDEX('包络曲线数据'!$B$2:$U$742,ROW()-1,MATCH(G$1,'包络曲线数据'!$B$1:$U$1,0)),""))</x:f>
      </x:c>
    </x:row>
    <x:row r="597">
      <x:c r="A597" t="n">
        <x:v>59.5</x:v>
      </x:c>
      <x:c r="B597" t="n">
        <x:f>IF(B$1="","",IFERROR(INDEX('包络曲线数据'!$B$2:$U$742,ROW()-1,MATCH(B$1,'包络曲线数据'!$B$1:$U$1,0)),""))</x:f>
        <x:v>51.595284178115094</x:v>
      </x:c>
      <x:c r="C597" t="str">
        <x:f>IF(C$1="","",IFERROR(INDEX('包络曲线数据'!$B$2:$U$742,ROW()-1,MATCH(C$1,'包络曲线数据'!$B$1:$U$1,0)),""))</x:f>
      </x:c>
      <x:c r="D597" t="str">
        <x:f>IF(D$1="","",IFERROR(INDEX('包络曲线数据'!$B$2:$U$742,ROW()-1,MATCH(D$1,'包络曲线数据'!$B$1:$U$1,0)),""))</x:f>
      </x:c>
      <x:c r="E597" t="str">
        <x:f>IF(E$1="","",IFERROR(INDEX('包络曲线数据'!$B$2:$U$742,ROW()-1,MATCH(E$1,'包络曲线数据'!$B$1:$U$1,0)),""))</x:f>
      </x:c>
      <x:c r="F597" t="str">
        <x:f>IF(F$1="","",IFERROR(INDEX('包络曲线数据'!$B$2:$U$742,ROW()-1,MATCH(F$1,'包络曲线数据'!$B$1:$U$1,0)),""))</x:f>
      </x:c>
      <x:c r="G597" t="str">
        <x:f>IF(G$1="","",IFERROR(INDEX('包络曲线数据'!$B$2:$U$742,ROW()-1,MATCH(G$1,'包络曲线数据'!$B$1:$U$1,0)),""))</x:f>
      </x:c>
    </x:row>
    <x:row r="598">
      <x:c r="A598" t="n">
        <x:v>59.6</x:v>
      </x:c>
      <x:c r="B598" t="n">
        <x:f>IF(B$1="","",IFERROR(INDEX('包络曲线数据'!$B$2:$U$742,ROW()-1,MATCH(B$1,'包络曲线数据'!$B$1:$U$1,0)),""))</x:f>
        <x:v>71.85021974986114</x:v>
      </x:c>
      <x:c r="C598" t="str">
        <x:f>IF(C$1="","",IFERROR(INDEX('包络曲线数据'!$B$2:$U$742,ROW()-1,MATCH(C$1,'包络曲线数据'!$B$1:$U$1,0)),""))</x:f>
      </x:c>
      <x:c r="D598" t="str">
        <x:f>IF(D$1="","",IFERROR(INDEX('包络曲线数据'!$B$2:$U$742,ROW()-1,MATCH(D$1,'包络曲线数据'!$B$1:$U$1,0)),""))</x:f>
      </x:c>
      <x:c r="E598" t="str">
        <x:f>IF(E$1="","",IFERROR(INDEX('包络曲线数据'!$B$2:$U$742,ROW()-1,MATCH(E$1,'包络曲线数据'!$B$1:$U$1,0)),""))</x:f>
      </x:c>
      <x:c r="F598" t="str">
        <x:f>IF(F$1="","",IFERROR(INDEX('包络曲线数据'!$B$2:$U$742,ROW()-1,MATCH(F$1,'包络曲线数据'!$B$1:$U$1,0)),""))</x:f>
      </x:c>
      <x:c r="G598" t="str">
        <x:f>IF(G$1="","",IFERROR(INDEX('包络曲线数据'!$B$2:$U$742,ROW()-1,MATCH(G$1,'包络曲线数据'!$B$1:$U$1,0)),""))</x:f>
      </x:c>
    </x:row>
    <x:row r="599">
      <x:c r="A599" t="n">
        <x:v>59.7</x:v>
      </x:c>
      <x:c r="B599" t="n">
        <x:f>IF(B$1="","",IFERROR(INDEX('包络曲线数据'!$B$2:$U$742,ROW()-1,MATCH(B$1,'包络曲线数据'!$B$1:$U$1,0)),""))</x:f>
        <x:v>76.0663576341008</x:v>
      </x:c>
      <x:c r="C599" t="str">
        <x:f>IF(C$1="","",IFERROR(INDEX('包络曲线数据'!$B$2:$U$742,ROW()-1,MATCH(C$1,'包络曲线数据'!$B$1:$U$1,0)),""))</x:f>
      </x:c>
      <x:c r="D599" t="str">
        <x:f>IF(D$1="","",IFERROR(INDEX('包络曲线数据'!$B$2:$U$742,ROW()-1,MATCH(D$1,'包络曲线数据'!$B$1:$U$1,0)),""))</x:f>
      </x:c>
      <x:c r="E599" t="str">
        <x:f>IF(E$1="","",IFERROR(INDEX('包络曲线数据'!$B$2:$U$742,ROW()-1,MATCH(E$1,'包络曲线数据'!$B$1:$U$1,0)),""))</x:f>
      </x:c>
      <x:c r="F599" t="str">
        <x:f>IF(F$1="","",IFERROR(INDEX('包络曲线数据'!$B$2:$U$742,ROW()-1,MATCH(F$1,'包络曲线数据'!$B$1:$U$1,0)),""))</x:f>
      </x:c>
      <x:c r="G599" t="str">
        <x:f>IF(G$1="","",IFERROR(INDEX('包络曲线数据'!$B$2:$U$742,ROW()-1,MATCH(G$1,'包络曲线数据'!$B$1:$U$1,0)),""))</x:f>
      </x:c>
    </x:row>
    <x:row r="600">
      <x:c r="A600" t="n">
        <x:v>59.800000000000004</x:v>
      </x:c>
      <x:c r="B600" t="n">
        <x:f>IF(B$1="","",IFERROR(INDEX('包络曲线数据'!$B$2:$U$742,ROW()-1,MATCH(B$1,'包络曲线数据'!$B$1:$U$1,0)),""))</x:f>
        <x:v>76.0663576341008</x:v>
      </x:c>
      <x:c r="C600" t="str">
        <x:f>IF(C$1="","",IFERROR(INDEX('包络曲线数据'!$B$2:$U$742,ROW()-1,MATCH(C$1,'包络曲线数据'!$B$1:$U$1,0)),""))</x:f>
      </x:c>
      <x:c r="D600" t="str">
        <x:f>IF(D$1="","",IFERROR(INDEX('包络曲线数据'!$B$2:$U$742,ROW()-1,MATCH(D$1,'包络曲线数据'!$B$1:$U$1,0)),""))</x:f>
      </x:c>
      <x:c r="E600" t="str">
        <x:f>IF(E$1="","",IFERROR(INDEX('包络曲线数据'!$B$2:$U$742,ROW()-1,MATCH(E$1,'包络曲线数据'!$B$1:$U$1,0)),""))</x:f>
      </x:c>
      <x:c r="F600" t="str">
        <x:f>IF(F$1="","",IFERROR(INDEX('包络曲线数据'!$B$2:$U$742,ROW()-1,MATCH(F$1,'包络曲线数据'!$B$1:$U$1,0)),""))</x:f>
      </x:c>
      <x:c r="G600" t="str">
        <x:f>IF(G$1="","",IFERROR(INDEX('包络曲线数据'!$B$2:$U$742,ROW()-1,MATCH(G$1,'包络曲线数据'!$B$1:$U$1,0)),""))</x:f>
      </x:c>
    </x:row>
    <x:row r="601">
      <x:c r="A601" t="n">
        <x:v>59.900000000000006</x:v>
      </x:c>
      <x:c r="B601" t="n">
        <x:f>IF(B$1="","",IFERROR(INDEX('包络曲线数据'!$B$2:$U$742,ROW()-1,MATCH(B$1,'包络曲线数据'!$B$1:$U$1,0)),""))</x:f>
        <x:v>71.08677075711442</x:v>
      </x:c>
      <x:c r="C601" t="str">
        <x:f>IF(C$1="","",IFERROR(INDEX('包络曲线数据'!$B$2:$U$742,ROW()-1,MATCH(C$1,'包络曲线数据'!$B$1:$U$1,0)),""))</x:f>
      </x:c>
      <x:c r="D601" t="str">
        <x:f>IF(D$1="","",IFERROR(INDEX('包络曲线数据'!$B$2:$U$742,ROW()-1,MATCH(D$1,'包络曲线数据'!$B$1:$U$1,0)),""))</x:f>
      </x:c>
      <x:c r="E601" t="str">
        <x:f>IF(E$1="","",IFERROR(INDEX('包络曲线数据'!$B$2:$U$742,ROW()-1,MATCH(E$1,'包络曲线数据'!$B$1:$U$1,0)),""))</x:f>
      </x:c>
      <x:c r="F601" t="str">
        <x:f>IF(F$1="","",IFERROR(INDEX('包络曲线数据'!$B$2:$U$742,ROW()-1,MATCH(F$1,'包络曲线数据'!$B$1:$U$1,0)),""))</x:f>
      </x:c>
      <x:c r="G601" t="str">
        <x:f>IF(G$1="","",IFERROR(INDEX('包络曲线数据'!$B$2:$U$742,ROW()-1,MATCH(G$1,'包络曲线数据'!$B$1:$U$1,0)),""))</x:f>
      </x:c>
    </x:row>
    <x:row r="602">
      <x:c r="A602" t="n">
        <x:v>60</x:v>
      </x:c>
      <x:c r="B602" t="n">
        <x:f>IF(B$1="","",IFERROR(INDEX('包络曲线数据'!$B$2:$U$742,ROW()-1,MATCH(B$1,'包络曲线数据'!$B$1:$U$1,0)),""))</x:f>
        <x:v>60.32716870941703</x:v>
      </x:c>
      <x:c r="C602" t="str">
        <x:f>IF(C$1="","",IFERROR(INDEX('包络曲线数据'!$B$2:$U$742,ROW()-1,MATCH(C$1,'包络曲线数据'!$B$1:$U$1,0)),""))</x:f>
      </x:c>
      <x:c r="D602" t="str">
        <x:f>IF(D$1="","",IFERROR(INDEX('包络曲线数据'!$B$2:$U$742,ROW()-1,MATCH(D$1,'包络曲线数据'!$B$1:$U$1,0)),""))</x:f>
      </x:c>
      <x:c r="E602" t="str">
        <x:f>IF(E$1="","",IFERROR(INDEX('包络曲线数据'!$B$2:$U$742,ROW()-1,MATCH(E$1,'包络曲线数据'!$B$1:$U$1,0)),""))</x:f>
      </x:c>
      <x:c r="F602" t="str">
        <x:f>IF(F$1="","",IFERROR(INDEX('包络曲线数据'!$B$2:$U$742,ROW()-1,MATCH(F$1,'包络曲线数据'!$B$1:$U$1,0)),""))</x:f>
      </x:c>
      <x:c r="G602" t="str">
        <x:f>IF(G$1="","",IFERROR(INDEX('包络曲线数据'!$B$2:$U$742,ROW()-1,MATCH(G$1,'包络曲线数据'!$B$1:$U$1,0)),""))</x:f>
      </x:c>
    </x:row>
    <x:row r="603">
      <x:c r="A603" t="n">
        <x:v>60.1</x:v>
      </x:c>
      <x:c r="B603" t="n">
        <x:f>IF(B$1="","",IFERROR(INDEX('包络曲线数据'!$B$2:$U$742,ROW()-1,MATCH(B$1,'包络曲线数据'!$B$1:$U$1,0)),""))</x:f>
        <x:v>62.88502941470012</x:v>
      </x:c>
      <x:c r="C603" t="str">
        <x:f>IF(C$1="","",IFERROR(INDEX('包络曲线数据'!$B$2:$U$742,ROW()-1,MATCH(C$1,'包络曲线数据'!$B$1:$U$1,0)),""))</x:f>
      </x:c>
      <x:c r="D603" t="str">
        <x:f>IF(D$1="","",IFERROR(INDEX('包络曲线数据'!$B$2:$U$742,ROW()-1,MATCH(D$1,'包络曲线数据'!$B$1:$U$1,0)),""))</x:f>
      </x:c>
      <x:c r="E603" t="str">
        <x:f>IF(E$1="","",IFERROR(INDEX('包络曲线数据'!$B$2:$U$742,ROW()-1,MATCH(E$1,'包络曲线数据'!$B$1:$U$1,0)),""))</x:f>
      </x:c>
      <x:c r="F603" t="str">
        <x:f>IF(F$1="","",IFERROR(INDEX('包络曲线数据'!$B$2:$U$742,ROW()-1,MATCH(F$1,'包络曲线数据'!$B$1:$U$1,0)),""))</x:f>
      </x:c>
      <x:c r="G603" t="str">
        <x:f>IF(G$1="","",IFERROR(INDEX('包络曲线数据'!$B$2:$U$742,ROW()-1,MATCH(G$1,'包络曲线数据'!$B$1:$U$1,0)),""))</x:f>
      </x:c>
    </x:row>
    <x:row r="604">
      <x:c r="A604" t="n">
        <x:v>60.2</x:v>
      </x:c>
      <x:c r="B604" t="n">
        <x:f>IF(B$1="","",IFERROR(INDEX('包络曲线数据'!$B$2:$U$742,ROW()-1,MATCH(B$1,'包络曲线数据'!$B$1:$U$1,0)),""))</x:f>
        <x:v>69.21426316076354</x:v>
      </x:c>
      <x:c r="C604" t="str">
        <x:f>IF(C$1="","",IFERROR(INDEX('包络曲线数据'!$B$2:$U$742,ROW()-1,MATCH(C$1,'包络曲线数据'!$B$1:$U$1,0)),""))</x:f>
      </x:c>
      <x:c r="D604" t="str">
        <x:f>IF(D$1="","",IFERROR(INDEX('包络曲线数据'!$B$2:$U$742,ROW()-1,MATCH(D$1,'包络曲线数据'!$B$1:$U$1,0)),""))</x:f>
      </x:c>
      <x:c r="E604" t="str">
        <x:f>IF(E$1="","",IFERROR(INDEX('包络曲线数据'!$B$2:$U$742,ROW()-1,MATCH(E$1,'包络曲线数据'!$B$1:$U$1,0)),""))</x:f>
      </x:c>
      <x:c r="F604" t="str">
        <x:f>IF(F$1="","",IFERROR(INDEX('包络曲线数据'!$B$2:$U$742,ROW()-1,MATCH(F$1,'包络曲线数据'!$B$1:$U$1,0)),""))</x:f>
      </x:c>
      <x:c r="G604" t="str">
        <x:f>IF(G$1="","",IFERROR(INDEX('包络曲线数据'!$B$2:$U$742,ROW()-1,MATCH(G$1,'包络曲线数据'!$B$1:$U$1,0)),""))</x:f>
      </x:c>
    </x:row>
    <x:row r="605">
      <x:c r="A605" t="n">
        <x:v>60.300000000000004</x:v>
      </x:c>
      <x:c r="B605" t="n">
        <x:f>IF(B$1="","",IFERROR(INDEX('包络曲线数据'!$B$2:$U$742,ROW()-1,MATCH(B$1,'包络曲线数据'!$B$1:$U$1,0)),""))</x:f>
        <x:v>69.21426316076354</x:v>
      </x:c>
      <x:c r="C605" t="str">
        <x:f>IF(C$1="","",IFERROR(INDEX('包络曲线数据'!$B$2:$U$742,ROW()-1,MATCH(C$1,'包络曲线数据'!$B$1:$U$1,0)),""))</x:f>
      </x:c>
      <x:c r="D605" t="str">
        <x:f>IF(D$1="","",IFERROR(INDEX('包络曲线数据'!$B$2:$U$742,ROW()-1,MATCH(D$1,'包络曲线数据'!$B$1:$U$1,0)),""))</x:f>
      </x:c>
      <x:c r="E605" t="str">
        <x:f>IF(E$1="","",IFERROR(INDEX('包络曲线数据'!$B$2:$U$742,ROW()-1,MATCH(E$1,'包络曲线数据'!$B$1:$U$1,0)),""))</x:f>
      </x:c>
      <x:c r="F605" t="str">
        <x:f>IF(F$1="","",IFERROR(INDEX('包络曲线数据'!$B$2:$U$742,ROW()-1,MATCH(F$1,'包络曲线数据'!$B$1:$U$1,0)),""))</x:f>
      </x:c>
      <x:c r="G605" t="str">
        <x:f>IF(G$1="","",IFERROR(INDEX('包络曲线数据'!$B$2:$U$742,ROW()-1,MATCH(G$1,'包络曲线数据'!$B$1:$U$1,0)),""))</x:f>
      </x:c>
    </x:row>
    <x:row r="606">
      <x:c r="A606" t="n">
        <x:v>60.400000000000006</x:v>
      </x:c>
      <x:c r="B606" t="n">
        <x:f>IF(B$1="","",IFERROR(INDEX('包络曲线数据'!$B$2:$U$742,ROW()-1,MATCH(B$1,'包络曲线数据'!$B$1:$U$1,0)),""))</x:f>
        <x:v>68.22738605452047</x:v>
      </x:c>
      <x:c r="C606" t="str">
        <x:f>IF(C$1="","",IFERROR(INDEX('包络曲线数据'!$B$2:$U$742,ROW()-1,MATCH(C$1,'包络曲线数据'!$B$1:$U$1,0)),""))</x:f>
      </x:c>
      <x:c r="D606" t="str">
        <x:f>IF(D$1="","",IFERROR(INDEX('包络曲线数据'!$B$2:$U$742,ROW()-1,MATCH(D$1,'包络曲线数据'!$B$1:$U$1,0)),""))</x:f>
      </x:c>
      <x:c r="E606" t="str">
        <x:f>IF(E$1="","",IFERROR(INDEX('包络曲线数据'!$B$2:$U$742,ROW()-1,MATCH(E$1,'包络曲线数据'!$B$1:$U$1,0)),""))</x:f>
      </x:c>
      <x:c r="F606" t="str">
        <x:f>IF(F$1="","",IFERROR(INDEX('包络曲线数据'!$B$2:$U$742,ROW()-1,MATCH(F$1,'包络曲线数据'!$B$1:$U$1,0)),""))</x:f>
      </x:c>
      <x:c r="G606" t="str">
        <x:f>IF(G$1="","",IFERROR(INDEX('包络曲线数据'!$B$2:$U$742,ROW()-1,MATCH(G$1,'包络曲线数据'!$B$1:$U$1,0)),""))</x:f>
      </x:c>
    </x:row>
    <x:row r="607">
      <x:c r="A607" t="n">
        <x:v>60.5</x:v>
      </x:c>
      <x:c r="B607" t="n">
        <x:f>IF(B$1="","",IFERROR(INDEX('包络曲线数据'!$B$2:$U$742,ROW()-1,MATCH(B$1,'包络曲线数据'!$B$1:$U$1,0)),""))</x:f>
        <x:v>68.52974012794914</x:v>
      </x:c>
      <x:c r="C607" t="str">
        <x:f>IF(C$1="","",IFERROR(INDEX('包络曲线数据'!$B$2:$U$742,ROW()-1,MATCH(C$1,'包络曲线数据'!$B$1:$U$1,0)),""))</x:f>
      </x:c>
      <x:c r="D607" t="str">
        <x:f>IF(D$1="","",IFERROR(INDEX('包络曲线数据'!$B$2:$U$742,ROW()-1,MATCH(D$1,'包络曲线数据'!$B$1:$U$1,0)),""))</x:f>
      </x:c>
      <x:c r="E607" t="str">
        <x:f>IF(E$1="","",IFERROR(INDEX('包络曲线数据'!$B$2:$U$742,ROW()-1,MATCH(E$1,'包络曲线数据'!$B$1:$U$1,0)),""))</x:f>
      </x:c>
      <x:c r="F607" t="str">
        <x:f>IF(F$1="","",IFERROR(INDEX('包络曲线数据'!$B$2:$U$742,ROW()-1,MATCH(F$1,'包络曲线数据'!$B$1:$U$1,0)),""))</x:f>
      </x:c>
      <x:c r="G607" t="str">
        <x:f>IF(G$1="","",IFERROR(INDEX('包络曲线数据'!$B$2:$U$742,ROW()-1,MATCH(G$1,'包络曲线数据'!$B$1:$U$1,0)),""))</x:f>
      </x:c>
    </x:row>
    <x:row r="608">
      <x:c r="A608" t="n">
        <x:v>60.6</x:v>
      </x:c>
      <x:c r="B608" t="n">
        <x:f>IF(B$1="","",IFERROR(INDEX('包络曲线数据'!$B$2:$U$742,ROW()-1,MATCH(B$1,'包络曲线数据'!$B$1:$U$1,0)),""))</x:f>
        <x:v>68.76713075854602</x:v>
      </x:c>
      <x:c r="C608" t="str">
        <x:f>IF(C$1="","",IFERROR(INDEX('包络曲线数据'!$B$2:$U$742,ROW()-1,MATCH(C$1,'包络曲线数据'!$B$1:$U$1,0)),""))</x:f>
      </x:c>
      <x:c r="D608" t="str">
        <x:f>IF(D$1="","",IFERROR(INDEX('包络曲线数据'!$B$2:$U$742,ROW()-1,MATCH(D$1,'包络曲线数据'!$B$1:$U$1,0)),""))</x:f>
      </x:c>
      <x:c r="E608" t="str">
        <x:f>IF(E$1="","",IFERROR(INDEX('包络曲线数据'!$B$2:$U$742,ROW()-1,MATCH(E$1,'包络曲线数据'!$B$1:$U$1,0)),""))</x:f>
      </x:c>
      <x:c r="F608" t="str">
        <x:f>IF(F$1="","",IFERROR(INDEX('包络曲线数据'!$B$2:$U$742,ROW()-1,MATCH(F$1,'包络曲线数据'!$B$1:$U$1,0)),""))</x:f>
      </x:c>
      <x:c r="G608" t="str">
        <x:f>IF(G$1="","",IFERROR(INDEX('包络曲线数据'!$B$2:$U$742,ROW()-1,MATCH(G$1,'包络曲线数据'!$B$1:$U$1,0)),""))</x:f>
      </x:c>
    </x:row>
    <x:row r="609">
      <x:c r="A609" t="n">
        <x:v>60.7</x:v>
      </x:c>
      <x:c r="B609" t="n">
        <x:f>IF(B$1="","",IFERROR(INDEX('包络曲线数据'!$B$2:$U$742,ROW()-1,MATCH(B$1,'包络曲线数据'!$B$1:$U$1,0)),""))</x:f>
        <x:v>68.76713075854602</x:v>
      </x:c>
      <x:c r="C609" t="str">
        <x:f>IF(C$1="","",IFERROR(INDEX('包络曲线数据'!$B$2:$U$742,ROW()-1,MATCH(C$1,'包络曲线数据'!$B$1:$U$1,0)),""))</x:f>
      </x:c>
      <x:c r="D609" t="str">
        <x:f>IF(D$1="","",IFERROR(INDEX('包络曲线数据'!$B$2:$U$742,ROW()-1,MATCH(D$1,'包络曲线数据'!$B$1:$U$1,0)),""))</x:f>
      </x:c>
      <x:c r="E609" t="str">
        <x:f>IF(E$1="","",IFERROR(INDEX('包络曲线数据'!$B$2:$U$742,ROW()-1,MATCH(E$1,'包络曲线数据'!$B$1:$U$1,0)),""))</x:f>
      </x:c>
      <x:c r="F609" t="str">
        <x:f>IF(F$1="","",IFERROR(INDEX('包络曲线数据'!$B$2:$U$742,ROW()-1,MATCH(F$1,'包络曲线数据'!$B$1:$U$1,0)),""))</x:f>
      </x:c>
      <x:c r="G609" t="str">
        <x:f>IF(G$1="","",IFERROR(INDEX('包络曲线数据'!$B$2:$U$742,ROW()-1,MATCH(G$1,'包络曲线数据'!$B$1:$U$1,0)),""))</x:f>
      </x:c>
    </x:row>
    <x:row r="610">
      <x:c r="A610" t="n">
        <x:v>60.800000000000004</x:v>
      </x:c>
      <x:c r="B610" t="n">
        <x:f>IF(B$1="","",IFERROR(INDEX('包络曲线数据'!$B$2:$U$742,ROW()-1,MATCH(B$1,'包络曲线数据'!$B$1:$U$1,0)),""))</x:f>
        <x:v>71.46048826961201</x:v>
      </x:c>
      <x:c r="C610" t="str">
        <x:f>IF(C$1="","",IFERROR(INDEX('包络曲线数据'!$B$2:$U$742,ROW()-1,MATCH(C$1,'包络曲线数据'!$B$1:$U$1,0)),""))</x:f>
      </x:c>
      <x:c r="D610" t="str">
        <x:f>IF(D$1="","",IFERROR(INDEX('包络曲线数据'!$B$2:$U$742,ROW()-1,MATCH(D$1,'包络曲线数据'!$B$1:$U$1,0)),""))</x:f>
      </x:c>
      <x:c r="E610" t="str">
        <x:f>IF(E$1="","",IFERROR(INDEX('包络曲线数据'!$B$2:$U$742,ROW()-1,MATCH(E$1,'包络曲线数据'!$B$1:$U$1,0)),""))</x:f>
      </x:c>
      <x:c r="F610" t="str">
        <x:f>IF(F$1="","",IFERROR(INDEX('包络曲线数据'!$B$2:$U$742,ROW()-1,MATCH(F$1,'包络曲线数据'!$B$1:$U$1,0)),""))</x:f>
      </x:c>
      <x:c r="G610" t="str">
        <x:f>IF(G$1="","",IFERROR(INDEX('包络曲线数据'!$B$2:$U$742,ROW()-1,MATCH(G$1,'包络曲线数据'!$B$1:$U$1,0)),""))</x:f>
      </x:c>
    </x:row>
    <x:row r="611">
      <x:c r="A611" t="n">
        <x:v>60.900000000000006</x:v>
      </x:c>
      <x:c r="B611" t="n">
        <x:f>IF(B$1="","",IFERROR(INDEX('包络曲线数据'!$B$2:$U$742,ROW()-1,MATCH(B$1,'包络曲线数据'!$B$1:$U$1,0)),""))</x:f>
        <x:v>71.6672411976576</x:v>
      </x:c>
      <x:c r="C611" t="str">
        <x:f>IF(C$1="","",IFERROR(INDEX('包络曲线数据'!$B$2:$U$742,ROW()-1,MATCH(C$1,'包络曲线数据'!$B$1:$U$1,0)),""))</x:f>
      </x:c>
      <x:c r="D611" t="str">
        <x:f>IF(D$1="","",IFERROR(INDEX('包络曲线数据'!$B$2:$U$742,ROW()-1,MATCH(D$1,'包络曲线数据'!$B$1:$U$1,0)),""))</x:f>
      </x:c>
      <x:c r="E611" t="str">
        <x:f>IF(E$1="","",IFERROR(INDEX('包络曲线数据'!$B$2:$U$742,ROW()-1,MATCH(E$1,'包络曲线数据'!$B$1:$U$1,0)),""))</x:f>
      </x:c>
      <x:c r="F611" t="str">
        <x:f>IF(F$1="","",IFERROR(INDEX('包络曲线数据'!$B$2:$U$742,ROW()-1,MATCH(F$1,'包络曲线数据'!$B$1:$U$1,0)),""))</x:f>
      </x:c>
      <x:c r="G611" t="str">
        <x:f>IF(G$1="","",IFERROR(INDEX('包络曲线数据'!$B$2:$U$742,ROW()-1,MATCH(G$1,'包络曲线数据'!$B$1:$U$1,0)),""))</x:f>
      </x:c>
    </x:row>
    <x:row r="612">
      <x:c r="A612" t="n">
        <x:v>61</x:v>
      </x:c>
      <x:c r="B612" t="n">
        <x:f>IF(B$1="","",IFERROR(INDEX('包络曲线数据'!$B$2:$U$742,ROW()-1,MATCH(B$1,'包络曲线数据'!$B$1:$U$1,0)),""))</x:f>
        <x:v>71.16342208520207</x:v>
      </x:c>
      <x:c r="C612" t="str">
        <x:f>IF(C$1="","",IFERROR(INDEX('包络曲线数据'!$B$2:$U$742,ROW()-1,MATCH(C$1,'包络曲线数据'!$B$1:$U$1,0)),""))</x:f>
      </x:c>
      <x:c r="D612" t="str">
        <x:f>IF(D$1="","",IFERROR(INDEX('包络曲线数据'!$B$2:$U$742,ROW()-1,MATCH(D$1,'包络曲线数据'!$B$1:$U$1,0)),""))</x:f>
      </x:c>
      <x:c r="E612" t="str">
        <x:f>IF(E$1="","",IFERROR(INDEX('包络曲线数据'!$B$2:$U$742,ROW()-1,MATCH(E$1,'包络曲线数据'!$B$1:$U$1,0)),""))</x:f>
      </x:c>
      <x:c r="F612" t="str">
        <x:f>IF(F$1="","",IFERROR(INDEX('包络曲线数据'!$B$2:$U$742,ROW()-1,MATCH(F$1,'包络曲线数据'!$B$1:$U$1,0)),""))</x:f>
      </x:c>
      <x:c r="G612" t="str">
        <x:f>IF(G$1="","",IFERROR(INDEX('包络曲线数据'!$B$2:$U$742,ROW()-1,MATCH(G$1,'包络曲线数据'!$B$1:$U$1,0)),""))</x:f>
      </x:c>
    </x:row>
    <x:row r="613">
      <x:c r="A613" t="n">
        <x:v>61.1</x:v>
      </x:c>
      <x:c r="B613" t="n">
        <x:f>IF(B$1="","",IFERROR(INDEX('包络曲线数据'!$B$2:$U$742,ROW()-1,MATCH(B$1,'包络曲线数据'!$B$1:$U$1,0)),""))</x:f>
        <x:v>68.55138019998688</x:v>
      </x:c>
      <x:c r="C613" t="str">
        <x:f>IF(C$1="","",IFERROR(INDEX('包络曲线数据'!$B$2:$U$742,ROW()-1,MATCH(C$1,'包络曲线数据'!$B$1:$U$1,0)),""))</x:f>
      </x:c>
      <x:c r="D613" t="str">
        <x:f>IF(D$1="","",IFERROR(INDEX('包络曲线数据'!$B$2:$U$742,ROW()-1,MATCH(D$1,'包络曲线数据'!$B$1:$U$1,0)),""))</x:f>
      </x:c>
      <x:c r="E613" t="str">
        <x:f>IF(E$1="","",IFERROR(INDEX('包络曲线数据'!$B$2:$U$742,ROW()-1,MATCH(E$1,'包络曲线数据'!$B$1:$U$1,0)),""))</x:f>
      </x:c>
      <x:c r="F613" t="str">
        <x:f>IF(F$1="","",IFERROR(INDEX('包络曲线数据'!$B$2:$U$742,ROW()-1,MATCH(F$1,'包络曲线数据'!$B$1:$U$1,0)),""))</x:f>
      </x:c>
      <x:c r="G613" t="str">
        <x:f>IF(G$1="","",IFERROR(INDEX('包络曲线数据'!$B$2:$U$742,ROW()-1,MATCH(G$1,'包络曲线数据'!$B$1:$U$1,0)),""))</x:f>
      </x:c>
    </x:row>
    <x:row r="614">
      <x:c r="A614" t="n">
        <x:v>61.2</x:v>
      </x:c>
      <x:c r="B614" t="n">
        <x:f>IF(B$1="","",IFERROR(INDEX('包络曲线数据'!$B$2:$U$742,ROW()-1,MATCH(B$1,'包络曲线数据'!$B$1:$U$1,0)),""))</x:f>
        <x:v>84.12826648329174</x:v>
      </x:c>
      <x:c r="C614" t="str">
        <x:f>IF(C$1="","",IFERROR(INDEX('包络曲线数据'!$B$2:$U$742,ROW()-1,MATCH(C$1,'包络曲线数据'!$B$1:$U$1,0)),""))</x:f>
      </x:c>
      <x:c r="D614" t="str">
        <x:f>IF(D$1="","",IFERROR(INDEX('包络曲线数据'!$B$2:$U$742,ROW()-1,MATCH(D$1,'包络曲线数据'!$B$1:$U$1,0)),""))</x:f>
      </x:c>
      <x:c r="E614" t="str">
        <x:f>IF(E$1="","",IFERROR(INDEX('包络曲线数据'!$B$2:$U$742,ROW()-1,MATCH(E$1,'包络曲线数据'!$B$1:$U$1,0)),""))</x:f>
      </x:c>
      <x:c r="F614" t="str">
        <x:f>IF(F$1="","",IFERROR(INDEX('包络曲线数据'!$B$2:$U$742,ROW()-1,MATCH(F$1,'包络曲线数据'!$B$1:$U$1,0)),""))</x:f>
      </x:c>
      <x:c r="G614" t="str">
        <x:f>IF(G$1="","",IFERROR(INDEX('包络曲线数据'!$B$2:$U$742,ROW()-1,MATCH(G$1,'包络曲线数据'!$B$1:$U$1,0)),""))</x:f>
      </x:c>
    </x:row>
    <x:row r="615">
      <x:c r="A615" t="n">
        <x:v>61.300000000000004</x:v>
      </x:c>
      <x:c r="B615" t="n">
        <x:f>IF(B$1="","",IFERROR(INDEX('包络曲线数据'!$B$2:$U$742,ROW()-1,MATCH(B$1,'包络曲线数据'!$B$1:$U$1,0)),""))</x:f>
        <x:v>84.12826648329174</x:v>
      </x:c>
      <x:c r="C615" t="str">
        <x:f>IF(C$1="","",IFERROR(INDEX('包络曲线数据'!$B$2:$U$742,ROW()-1,MATCH(C$1,'包络曲线数据'!$B$1:$U$1,0)),""))</x:f>
      </x:c>
      <x:c r="D615" t="str">
        <x:f>IF(D$1="","",IFERROR(INDEX('包络曲线数据'!$B$2:$U$742,ROW()-1,MATCH(D$1,'包络曲线数据'!$B$1:$U$1,0)),""))</x:f>
      </x:c>
      <x:c r="E615" t="str">
        <x:f>IF(E$1="","",IFERROR(INDEX('包络曲线数据'!$B$2:$U$742,ROW()-1,MATCH(E$1,'包络曲线数据'!$B$1:$U$1,0)),""))</x:f>
      </x:c>
      <x:c r="F615" t="str">
        <x:f>IF(F$1="","",IFERROR(INDEX('包络曲线数据'!$B$2:$U$742,ROW()-1,MATCH(F$1,'包络曲线数据'!$B$1:$U$1,0)),""))</x:f>
      </x:c>
      <x:c r="G615" t="str">
        <x:f>IF(G$1="","",IFERROR(INDEX('包络曲线数据'!$B$2:$U$742,ROW()-1,MATCH(G$1,'包络曲线数据'!$B$1:$U$1,0)),""))</x:f>
      </x:c>
    </x:row>
    <x:row r="616">
      <x:c r="A616" t="n">
        <x:v>61.400000000000006</x:v>
      </x:c>
      <x:c r="B616" t="n">
        <x:f>IF(B$1="","",IFERROR(INDEX('包络曲线数据'!$B$2:$U$742,ROW()-1,MATCH(B$1,'包络曲线数据'!$B$1:$U$1,0)),""))</x:f>
        <x:v>79.17789014001588</x:v>
      </x:c>
      <x:c r="C616" t="str">
        <x:f>IF(C$1="","",IFERROR(INDEX('包络曲线数据'!$B$2:$U$742,ROW()-1,MATCH(C$1,'包络曲线数据'!$B$1:$U$1,0)),""))</x:f>
      </x:c>
      <x:c r="D616" t="str">
        <x:f>IF(D$1="","",IFERROR(INDEX('包络曲线数据'!$B$2:$U$742,ROW()-1,MATCH(D$1,'包络曲线数据'!$B$1:$U$1,0)),""))</x:f>
      </x:c>
      <x:c r="E616" t="str">
        <x:f>IF(E$1="","",IFERROR(INDEX('包络曲线数据'!$B$2:$U$742,ROW()-1,MATCH(E$1,'包络曲线数据'!$B$1:$U$1,0)),""))</x:f>
      </x:c>
      <x:c r="F616" t="str">
        <x:f>IF(F$1="","",IFERROR(INDEX('包络曲线数据'!$B$2:$U$742,ROW()-1,MATCH(F$1,'包络曲线数据'!$B$1:$U$1,0)),""))</x:f>
      </x:c>
      <x:c r="G616" t="str">
        <x:f>IF(G$1="","",IFERROR(INDEX('包络曲线数据'!$B$2:$U$742,ROW()-1,MATCH(G$1,'包络曲线数据'!$B$1:$U$1,0)),""))</x:f>
      </x:c>
    </x:row>
    <x:row r="617">
      <x:c r="A617" t="n">
        <x:v>61.5</x:v>
      </x:c>
      <x:c r="B617" t="n">
        <x:f>IF(B$1="","",IFERROR(INDEX('包络曲线数据'!$B$2:$U$742,ROW()-1,MATCH(B$1,'包络曲线数据'!$B$1:$U$1,0)),""))</x:f>
        <x:v>71.3152945539686</x:v>
      </x:c>
      <x:c r="C617" t="str">
        <x:f>IF(C$1="","",IFERROR(INDEX('包络曲线数据'!$B$2:$U$742,ROW()-1,MATCH(C$1,'包络曲线数据'!$B$1:$U$1,0)),""))</x:f>
      </x:c>
      <x:c r="D617" t="str">
        <x:f>IF(D$1="","",IFERROR(INDEX('包络曲线数据'!$B$2:$U$742,ROW()-1,MATCH(D$1,'包络曲线数据'!$B$1:$U$1,0)),""))</x:f>
      </x:c>
      <x:c r="E617" t="str">
        <x:f>IF(E$1="","",IFERROR(INDEX('包络曲线数据'!$B$2:$U$742,ROW()-1,MATCH(E$1,'包络曲线数据'!$B$1:$U$1,0)),""))</x:f>
      </x:c>
      <x:c r="F617" t="str">
        <x:f>IF(F$1="","",IFERROR(INDEX('包络曲线数据'!$B$2:$U$742,ROW()-1,MATCH(F$1,'包络曲线数据'!$B$1:$U$1,0)),""))</x:f>
      </x:c>
      <x:c r="G617" t="str">
        <x:f>IF(G$1="","",IFERROR(INDEX('包络曲线数据'!$B$2:$U$742,ROW()-1,MATCH(G$1,'包络曲线数据'!$B$1:$U$1,0)),""))</x:f>
      </x:c>
    </x:row>
    <x:row r="618">
      <x:c r="A618" t="n">
        <x:v>61.6</x:v>
      </x:c>
      <x:c r="B618" t="n">
        <x:f>IF(B$1="","",IFERROR(INDEX('包络曲线数据'!$B$2:$U$742,ROW()-1,MATCH(B$1,'包络曲线数据'!$B$1:$U$1,0)),""))</x:f>
        <x:v>64.1976526076345</x:v>
      </x:c>
      <x:c r="C618" t="str">
        <x:f>IF(C$1="","",IFERROR(INDEX('包络曲线数据'!$B$2:$U$742,ROW()-1,MATCH(C$1,'包络曲线数据'!$B$1:$U$1,0)),""))</x:f>
      </x:c>
      <x:c r="D618" t="str">
        <x:f>IF(D$1="","",IFERROR(INDEX('包络曲线数据'!$B$2:$U$742,ROW()-1,MATCH(D$1,'包络曲线数据'!$B$1:$U$1,0)),""))</x:f>
      </x:c>
      <x:c r="E618" t="str">
        <x:f>IF(E$1="","",IFERROR(INDEX('包络曲线数据'!$B$2:$U$742,ROW()-1,MATCH(E$1,'包络曲线数据'!$B$1:$U$1,0)),""))</x:f>
      </x:c>
      <x:c r="F618" t="str">
        <x:f>IF(F$1="","",IFERROR(INDEX('包络曲线数据'!$B$2:$U$742,ROW()-1,MATCH(F$1,'包络曲线数据'!$B$1:$U$1,0)),""))</x:f>
      </x:c>
      <x:c r="G618" t="str">
        <x:f>IF(G$1="","",IFERROR(INDEX('包络曲线数据'!$B$2:$U$742,ROW()-1,MATCH(G$1,'包络曲线数据'!$B$1:$U$1,0)),""))</x:f>
      </x:c>
    </x:row>
    <x:row r="619">
      <x:c r="A619" t="n">
        <x:v>61.7</x:v>
      </x:c>
      <x:c r="B619" t="n">
        <x:f>IF(B$1="","",IFERROR(INDEX('包络曲线数据'!$B$2:$U$742,ROW()-1,MATCH(B$1,'包络曲线数据'!$B$1:$U$1,0)),""))</x:f>
        <x:v>62.79121632517269</x:v>
      </x:c>
      <x:c r="C619" t="str">
        <x:f>IF(C$1="","",IFERROR(INDEX('包络曲线数据'!$B$2:$U$742,ROW()-1,MATCH(C$1,'包络曲线数据'!$B$1:$U$1,0)),""))</x:f>
      </x:c>
      <x:c r="D619" t="str">
        <x:f>IF(D$1="","",IFERROR(INDEX('包络曲线数据'!$B$2:$U$742,ROW()-1,MATCH(D$1,'包络曲线数据'!$B$1:$U$1,0)),""))</x:f>
      </x:c>
      <x:c r="E619" t="str">
        <x:f>IF(E$1="","",IFERROR(INDEX('包络曲线数据'!$B$2:$U$742,ROW()-1,MATCH(E$1,'包络曲线数据'!$B$1:$U$1,0)),""))</x:f>
      </x:c>
      <x:c r="F619" t="str">
        <x:f>IF(F$1="","",IFERROR(INDEX('包络曲线数据'!$B$2:$U$742,ROW()-1,MATCH(F$1,'包络曲线数据'!$B$1:$U$1,0)),""))</x:f>
      </x:c>
      <x:c r="G619" t="str">
        <x:f>IF(G$1="","",IFERROR(INDEX('包络曲线数据'!$B$2:$U$742,ROW()-1,MATCH(G$1,'包络曲线数据'!$B$1:$U$1,0)),""))</x:f>
      </x:c>
    </x:row>
    <x:row r="620">
      <x:c r="A620" t="n">
        <x:v>61.800000000000004</x:v>
      </x:c>
      <x:c r="B620" t="n">
        <x:f>IF(B$1="","",IFERROR(INDEX('包络曲线数据'!$B$2:$U$742,ROW()-1,MATCH(B$1,'包络曲线数据'!$B$1:$U$1,0)),""))</x:f>
        <x:v>61.38478004271088</x:v>
      </x:c>
      <x:c r="C620" t="str">
        <x:f>IF(C$1="","",IFERROR(INDEX('包络曲线数据'!$B$2:$U$742,ROW()-1,MATCH(C$1,'包络曲线数据'!$B$1:$U$1,0)),""))</x:f>
      </x:c>
      <x:c r="D620" t="str">
        <x:f>IF(D$1="","",IFERROR(INDEX('包络曲线数据'!$B$2:$U$742,ROW()-1,MATCH(D$1,'包络曲线数据'!$B$1:$U$1,0)),""))</x:f>
      </x:c>
      <x:c r="E620" t="str">
        <x:f>IF(E$1="","",IFERROR(INDEX('包络曲线数据'!$B$2:$U$742,ROW()-1,MATCH(E$1,'包络曲线数据'!$B$1:$U$1,0)),""))</x:f>
      </x:c>
      <x:c r="F620" t="str">
        <x:f>IF(F$1="","",IFERROR(INDEX('包络曲线数据'!$B$2:$U$742,ROW()-1,MATCH(F$1,'包络曲线数据'!$B$1:$U$1,0)),""))</x:f>
      </x:c>
      <x:c r="G620" t="str">
        <x:f>IF(G$1="","",IFERROR(INDEX('包络曲线数据'!$B$2:$U$742,ROW()-1,MATCH(G$1,'包络曲线数据'!$B$1:$U$1,0)),""))</x:f>
      </x:c>
    </x:row>
    <x:row r="621">
      <x:c r="A621" t="n">
        <x:v>61.900000000000006</x:v>
      </x:c>
      <x:c r="B621" t="n">
        <x:f>IF(B$1="","",IFERROR(INDEX('包络曲线数据'!$B$2:$U$742,ROW()-1,MATCH(B$1,'包络曲线数据'!$B$1:$U$1,0)),""))</x:f>
        <x:v>61.48105025314989</x:v>
      </x:c>
      <x:c r="C621" t="str">
        <x:f>IF(C$1="","",IFERROR(INDEX('包络曲线数据'!$B$2:$U$742,ROW()-1,MATCH(C$1,'包络曲线数据'!$B$1:$U$1,0)),""))</x:f>
      </x:c>
      <x:c r="D621" t="str">
        <x:f>IF(D$1="","",IFERROR(INDEX('包络曲线数据'!$B$2:$U$742,ROW()-1,MATCH(D$1,'包络曲线数据'!$B$1:$U$1,0)),""))</x:f>
      </x:c>
      <x:c r="E621" t="str">
        <x:f>IF(E$1="","",IFERROR(INDEX('包络曲线数据'!$B$2:$U$742,ROW()-1,MATCH(E$1,'包络曲线数据'!$B$1:$U$1,0)),""))</x:f>
      </x:c>
      <x:c r="F621" t="str">
        <x:f>IF(F$1="","",IFERROR(INDEX('包络曲线数据'!$B$2:$U$742,ROW()-1,MATCH(F$1,'包络曲线数据'!$B$1:$U$1,0)),""))</x:f>
      </x:c>
      <x:c r="G621" t="str">
        <x:f>IF(G$1="","",IFERROR(INDEX('包络曲线数据'!$B$2:$U$742,ROW()-1,MATCH(G$1,'包络曲线数据'!$B$1:$U$1,0)),""))</x:f>
      </x:c>
    </x:row>
    <x:row r="622">
      <x:c r="A622" t="n">
        <x:v>62</x:v>
      </x:c>
      <x:c r="B622" t="n">
        <x:f>IF(B$1="","",IFERROR(INDEX('包络曲线数据'!$B$2:$U$742,ROW()-1,MATCH(B$1,'包络曲线数据'!$B$1:$U$1,0)),""))</x:f>
        <x:v>61.48105025314989</x:v>
      </x:c>
      <x:c r="C622" t="str">
        <x:f>IF(C$1="","",IFERROR(INDEX('包络曲线数据'!$B$2:$U$742,ROW()-1,MATCH(C$1,'包络曲线数据'!$B$1:$U$1,0)),""))</x:f>
      </x:c>
      <x:c r="D622" t="str">
        <x:f>IF(D$1="","",IFERROR(INDEX('包络曲线数据'!$B$2:$U$742,ROW()-1,MATCH(D$1,'包络曲线数据'!$B$1:$U$1,0)),""))</x:f>
      </x:c>
      <x:c r="E622" t="str">
        <x:f>IF(E$1="","",IFERROR(INDEX('包络曲线数据'!$B$2:$U$742,ROW()-1,MATCH(E$1,'包络曲线数据'!$B$1:$U$1,0)),""))</x:f>
      </x:c>
      <x:c r="F622" t="str">
        <x:f>IF(F$1="","",IFERROR(INDEX('包络曲线数据'!$B$2:$U$742,ROW()-1,MATCH(F$1,'包络曲线数据'!$B$1:$U$1,0)),""))</x:f>
      </x:c>
      <x:c r="G622" t="str">
        <x:f>IF(G$1="","",IFERROR(INDEX('包络曲线数据'!$B$2:$U$742,ROW()-1,MATCH(G$1,'包络曲线数据'!$B$1:$U$1,0)),""))</x:f>
      </x:c>
    </x:row>
    <x:row r="623">
      <x:c r="A623" t="n">
        <x:v>62.1</x:v>
      </x:c>
      <x:c r="B623" t="n">
        <x:f>IF(B$1="","",IFERROR(INDEX('包络曲线数据'!$B$2:$U$742,ROW()-1,MATCH(B$1,'包络曲线数据'!$B$1:$U$1,0)),""))</x:f>
        <x:v>61.12909965537227</x:v>
      </x:c>
      <x:c r="C623" t="str">
        <x:f>IF(C$1="","",IFERROR(INDEX('包络曲线数据'!$B$2:$U$742,ROW()-1,MATCH(C$1,'包络曲线数据'!$B$1:$U$1,0)),""))</x:f>
      </x:c>
      <x:c r="D623" t="str">
        <x:f>IF(D$1="","",IFERROR(INDEX('包络曲线数据'!$B$2:$U$742,ROW()-1,MATCH(D$1,'包络曲线数据'!$B$1:$U$1,0)),""))</x:f>
      </x:c>
      <x:c r="E623" t="str">
        <x:f>IF(E$1="","",IFERROR(INDEX('包络曲线数据'!$B$2:$U$742,ROW()-1,MATCH(E$1,'包络曲线数据'!$B$1:$U$1,0)),""))</x:f>
      </x:c>
      <x:c r="F623" t="str">
        <x:f>IF(F$1="","",IFERROR(INDEX('包络曲线数据'!$B$2:$U$742,ROW()-1,MATCH(F$1,'包络曲线数据'!$B$1:$U$1,0)),""))</x:f>
      </x:c>
      <x:c r="G623" t="str">
        <x:f>IF(G$1="","",IFERROR(INDEX('包络曲线数据'!$B$2:$U$742,ROW()-1,MATCH(G$1,'包络曲线数据'!$B$1:$U$1,0)),""))</x:f>
      </x:c>
    </x:row>
    <x:row r="624">
      <x:c r="A624" t="n">
        <x:v>62.2</x:v>
      </x:c>
      <x:c r="B624" t="n">
        <x:f>IF(B$1="","",IFERROR(INDEX('包络曲线数据'!$B$2:$U$742,ROW()-1,MATCH(B$1,'包络曲线数据'!$B$1:$U$1,0)),""))</x:f>
        <x:v>59.106081674027365</x:v>
      </x:c>
      <x:c r="C624" t="str">
        <x:f>IF(C$1="","",IFERROR(INDEX('包络曲线数据'!$B$2:$U$742,ROW()-1,MATCH(C$1,'包络曲线数据'!$B$1:$U$1,0)),""))</x:f>
      </x:c>
      <x:c r="D624" t="str">
        <x:f>IF(D$1="","",IFERROR(INDEX('包络曲线数据'!$B$2:$U$742,ROW()-1,MATCH(D$1,'包络曲线数据'!$B$1:$U$1,0)),""))</x:f>
      </x:c>
      <x:c r="E624" t="str">
        <x:f>IF(E$1="","",IFERROR(INDEX('包络曲线数据'!$B$2:$U$742,ROW()-1,MATCH(E$1,'包络曲线数据'!$B$1:$U$1,0)),""))</x:f>
      </x:c>
      <x:c r="F624" t="str">
        <x:f>IF(F$1="","",IFERROR(INDEX('包络曲线数据'!$B$2:$U$742,ROW()-1,MATCH(F$1,'包络曲线数据'!$B$1:$U$1,0)),""))</x:f>
      </x:c>
      <x:c r="G624" t="str">
        <x:f>IF(G$1="","",IFERROR(INDEX('包络曲线数据'!$B$2:$U$742,ROW()-1,MATCH(G$1,'包络曲线数据'!$B$1:$U$1,0)),""))</x:f>
      </x:c>
    </x:row>
    <x:row r="625">
      <x:c r="A625" t="n">
        <x:v>62.300000000000004</x:v>
      </x:c>
      <x:c r="B625" t="n">
        <x:f>IF(B$1="","",IFERROR(INDEX('包络曲线数据'!$B$2:$U$742,ROW()-1,MATCH(B$1,'包络曲线数据'!$B$1:$U$1,0)),""))</x:f>
        <x:v>71.62407750054751</x:v>
      </x:c>
      <x:c r="C625" t="str">
        <x:f>IF(C$1="","",IFERROR(INDEX('包络曲线数据'!$B$2:$U$742,ROW()-1,MATCH(C$1,'包络曲线数据'!$B$1:$U$1,0)),""))</x:f>
      </x:c>
      <x:c r="D625" t="str">
        <x:f>IF(D$1="","",IFERROR(INDEX('包络曲线数据'!$B$2:$U$742,ROW()-1,MATCH(D$1,'包络曲线数据'!$B$1:$U$1,0)),""))</x:f>
      </x:c>
      <x:c r="E625" t="str">
        <x:f>IF(E$1="","",IFERROR(INDEX('包络曲线数据'!$B$2:$U$742,ROW()-1,MATCH(E$1,'包络曲线数据'!$B$1:$U$1,0)),""))</x:f>
      </x:c>
      <x:c r="F625" t="str">
        <x:f>IF(F$1="","",IFERROR(INDEX('包络曲线数据'!$B$2:$U$742,ROW()-1,MATCH(F$1,'包络曲线数据'!$B$1:$U$1,0)),""))</x:f>
      </x:c>
      <x:c r="G625" t="str">
        <x:f>IF(G$1="","",IFERROR(INDEX('包络曲线数据'!$B$2:$U$742,ROW()-1,MATCH(G$1,'包络曲线数据'!$B$1:$U$1,0)),""))</x:f>
      </x:c>
    </x:row>
    <x:row r="626">
      <x:c r="A626" t="n">
        <x:v>62.400000000000006</x:v>
      </x:c>
      <x:c r="B626" t="n">
        <x:f>IF(B$1="","",IFERROR(INDEX('包络曲线数据'!$B$2:$U$742,ROW()-1,MATCH(B$1,'包络曲线数据'!$B$1:$U$1,0)),""))</x:f>
        <x:v>74.12767666585101</x:v>
      </x:c>
      <x:c r="C626" t="str">
        <x:f>IF(C$1="","",IFERROR(INDEX('包络曲线数据'!$B$2:$U$742,ROW()-1,MATCH(C$1,'包络曲线数据'!$B$1:$U$1,0)),""))</x:f>
      </x:c>
      <x:c r="D626" t="str">
        <x:f>IF(D$1="","",IFERROR(INDEX('包络曲线数据'!$B$2:$U$742,ROW()-1,MATCH(D$1,'包络曲线数据'!$B$1:$U$1,0)),""))</x:f>
      </x:c>
      <x:c r="E626" t="str">
        <x:f>IF(E$1="","",IFERROR(INDEX('包络曲线数据'!$B$2:$U$742,ROW()-1,MATCH(E$1,'包络曲线数据'!$B$1:$U$1,0)),""))</x:f>
      </x:c>
      <x:c r="F626" t="str">
        <x:f>IF(F$1="","",IFERROR(INDEX('包络曲线数据'!$B$2:$U$742,ROW()-1,MATCH(F$1,'包络曲线数据'!$B$1:$U$1,0)),""))</x:f>
      </x:c>
      <x:c r="G626" t="str">
        <x:f>IF(G$1="","",IFERROR(INDEX('包络曲线数据'!$B$2:$U$742,ROW()-1,MATCH(G$1,'包络曲线数据'!$B$1:$U$1,0)),""))</x:f>
      </x:c>
    </x:row>
    <x:row r="627">
      <x:c r="A627" t="n">
        <x:v>62.5</x:v>
      </x:c>
      <x:c r="B627" t="n">
        <x:f>IF(B$1="","",IFERROR(INDEX('包络曲线数据'!$B$2:$U$742,ROW()-1,MATCH(B$1,'包络曲线数据'!$B$1:$U$1,0)),""))</x:f>
        <x:v>72.42580034746614</x:v>
      </x:c>
      <x:c r="C627" t="str">
        <x:f>IF(C$1="","",IFERROR(INDEX('包络曲线数据'!$B$2:$U$742,ROW()-1,MATCH(C$1,'包络曲线数据'!$B$1:$U$1,0)),""))</x:f>
      </x:c>
      <x:c r="D627" t="str">
        <x:f>IF(D$1="","",IFERROR(INDEX('包络曲线数据'!$B$2:$U$742,ROW()-1,MATCH(D$1,'包络曲线数据'!$B$1:$U$1,0)),""))</x:f>
      </x:c>
      <x:c r="E627" t="str">
        <x:f>IF(E$1="","",IFERROR(INDEX('包络曲线数据'!$B$2:$U$742,ROW()-1,MATCH(E$1,'包络曲线数据'!$B$1:$U$1,0)),""))</x:f>
      </x:c>
      <x:c r="F627" t="str">
        <x:f>IF(F$1="","",IFERROR(INDEX('包络曲线数据'!$B$2:$U$742,ROW()-1,MATCH(F$1,'包络曲线数据'!$B$1:$U$1,0)),""))</x:f>
      </x:c>
      <x:c r="G627" t="str">
        <x:f>IF(G$1="","",IFERROR(INDEX('包络曲线数据'!$B$2:$U$742,ROW()-1,MATCH(G$1,'包络曲线数据'!$B$1:$U$1,0)),""))</x:f>
      </x:c>
    </x:row>
    <x:row r="628">
      <x:c r="A628" t="n">
        <x:v>62.6</x:v>
      </x:c>
      <x:c r="B628" t="n">
        <x:f>IF(B$1="","",IFERROR(INDEX('包络曲线数据'!$B$2:$U$742,ROW()-1,MATCH(B$1,'包络曲线数据'!$B$1:$U$1,0)),""))</x:f>
        <x:v>61.33006567340479</x:v>
      </x:c>
      <x:c r="C628" t="str">
        <x:f>IF(C$1="","",IFERROR(INDEX('包络曲线数据'!$B$2:$U$742,ROW()-1,MATCH(C$1,'包络曲线数据'!$B$1:$U$1,0)),""))</x:f>
      </x:c>
      <x:c r="D628" t="str">
        <x:f>IF(D$1="","",IFERROR(INDEX('包络曲线数据'!$B$2:$U$742,ROW()-1,MATCH(D$1,'包络曲线数据'!$B$1:$U$1,0)),""))</x:f>
      </x:c>
      <x:c r="E628" t="str">
        <x:f>IF(E$1="","",IFERROR(INDEX('包络曲线数据'!$B$2:$U$742,ROW()-1,MATCH(E$1,'包络曲线数据'!$B$1:$U$1,0)),""))</x:f>
      </x:c>
      <x:c r="F628" t="str">
        <x:f>IF(F$1="","",IFERROR(INDEX('包络曲线数据'!$B$2:$U$742,ROW()-1,MATCH(F$1,'包络曲线数据'!$B$1:$U$1,0)),""))</x:f>
      </x:c>
      <x:c r="G628" t="str">
        <x:f>IF(G$1="","",IFERROR(INDEX('包络曲线数据'!$B$2:$U$742,ROW()-1,MATCH(G$1,'包络曲线数据'!$B$1:$U$1,0)),""))</x:f>
      </x:c>
    </x:row>
    <x:row r="629">
      <x:c r="A629" t="n">
        <x:v>62.7</x:v>
      </x:c>
      <x:c r="B629" t="n">
        <x:f>IF(B$1="","",IFERROR(INDEX('包络曲线数据'!$B$2:$U$742,ROW()-1,MATCH(B$1,'包络曲线数据'!$B$1:$U$1,0)),""))</x:f>
        <x:v>60.03764247476587</x:v>
      </x:c>
      <x:c r="C629" t="str">
        <x:f>IF(C$1="","",IFERROR(INDEX('包络曲线数据'!$B$2:$U$742,ROW()-1,MATCH(C$1,'包络曲线数据'!$B$1:$U$1,0)),""))</x:f>
      </x:c>
      <x:c r="D629" t="str">
        <x:f>IF(D$1="","",IFERROR(INDEX('包络曲线数据'!$B$2:$U$742,ROW()-1,MATCH(D$1,'包络曲线数据'!$B$1:$U$1,0)),""))</x:f>
      </x:c>
      <x:c r="E629" t="str">
        <x:f>IF(E$1="","",IFERROR(INDEX('包络曲线数据'!$B$2:$U$742,ROW()-1,MATCH(E$1,'包络曲线数据'!$B$1:$U$1,0)),""))</x:f>
      </x:c>
      <x:c r="F629" t="str">
        <x:f>IF(F$1="","",IFERROR(INDEX('包络曲线数据'!$B$2:$U$742,ROW()-1,MATCH(F$1,'包络曲线数据'!$B$1:$U$1,0)),""))</x:f>
      </x:c>
      <x:c r="G629" t="str">
        <x:f>IF(G$1="","",IFERROR(INDEX('包络曲线数据'!$B$2:$U$742,ROW()-1,MATCH(G$1,'包络曲线数据'!$B$1:$U$1,0)),""))</x:f>
      </x:c>
    </x:row>
    <x:row r="630">
      <x:c r="A630" t="n">
        <x:v>62.800000000000004</x:v>
      </x:c>
      <x:c r="B630" t="n">
        <x:f>IF(B$1="","",IFERROR(INDEX('包络曲线数据'!$B$2:$U$742,ROW()-1,MATCH(B$1,'包络曲线数据'!$B$1:$U$1,0)),""))</x:f>
        <x:v>64.78866656239592</x:v>
      </x:c>
      <x:c r="C630" t="str">
        <x:f>IF(C$1="","",IFERROR(INDEX('包络曲线数据'!$B$2:$U$742,ROW()-1,MATCH(C$1,'包络曲线数据'!$B$1:$U$1,0)),""))</x:f>
      </x:c>
      <x:c r="D630" t="str">
        <x:f>IF(D$1="","",IFERROR(INDEX('包络曲线数据'!$B$2:$U$742,ROW()-1,MATCH(D$1,'包络曲线数据'!$B$1:$U$1,0)),""))</x:f>
      </x:c>
      <x:c r="E630" t="str">
        <x:f>IF(E$1="","",IFERROR(INDEX('包络曲线数据'!$B$2:$U$742,ROW()-1,MATCH(E$1,'包络曲线数据'!$B$1:$U$1,0)),""))</x:f>
      </x:c>
      <x:c r="F630" t="str">
        <x:f>IF(F$1="","",IFERROR(INDEX('包络曲线数据'!$B$2:$U$742,ROW()-1,MATCH(F$1,'包络曲线数据'!$B$1:$U$1,0)),""))</x:f>
      </x:c>
      <x:c r="G630" t="str">
        <x:f>IF(G$1="","",IFERROR(INDEX('包络曲线数据'!$B$2:$U$742,ROW()-1,MATCH(G$1,'包络曲线数据'!$B$1:$U$1,0)),""))</x:f>
      </x:c>
    </x:row>
    <x:row r="631">
      <x:c r="A631" t="n">
        <x:v>62.900000000000006</x:v>
      </x:c>
      <x:c r="B631" t="n">
        <x:f>IF(B$1="","",IFERROR(INDEX('包络曲线数据'!$B$2:$U$742,ROW()-1,MATCH(B$1,'包络曲线数据'!$B$1:$U$1,0)),""))</x:f>
        <x:v>65.769134499468</x:v>
      </x:c>
      <x:c r="C631" t="str">
        <x:f>IF(C$1="","",IFERROR(INDEX('包络曲线数据'!$B$2:$U$742,ROW()-1,MATCH(C$1,'包络曲线数据'!$B$1:$U$1,0)),""))</x:f>
      </x:c>
      <x:c r="D631" t="str">
        <x:f>IF(D$1="","",IFERROR(INDEX('包络曲线数据'!$B$2:$U$742,ROW()-1,MATCH(D$1,'包络曲线数据'!$B$1:$U$1,0)),""))</x:f>
      </x:c>
      <x:c r="E631" t="str">
        <x:f>IF(E$1="","",IFERROR(INDEX('包络曲线数据'!$B$2:$U$742,ROW()-1,MATCH(E$1,'包络曲线数据'!$B$1:$U$1,0)),""))</x:f>
      </x:c>
      <x:c r="F631" t="str">
        <x:f>IF(F$1="","",IFERROR(INDEX('包络曲线数据'!$B$2:$U$742,ROW()-1,MATCH(F$1,'包络曲线数据'!$B$1:$U$1,0)),""))</x:f>
      </x:c>
      <x:c r="G631" t="str">
        <x:f>IF(G$1="","",IFERROR(INDEX('包络曲线数据'!$B$2:$U$742,ROW()-1,MATCH(G$1,'包络曲线数据'!$B$1:$U$1,0)),""))</x:f>
      </x:c>
    </x:row>
    <x:row r="632">
      <x:c r="A632" t="n">
        <x:v>63</x:v>
      </x:c>
      <x:c r="B632" t="n">
        <x:f>IF(B$1="","",IFERROR(INDEX('包络曲线数据'!$B$2:$U$742,ROW()-1,MATCH(B$1,'包络曲线数据'!$B$1:$U$1,0)),""))</x:f>
        <x:v>66.17679367716568</x:v>
      </x:c>
      <x:c r="C632" t="str">
        <x:f>IF(C$1="","",IFERROR(INDEX('包络曲线数据'!$B$2:$U$742,ROW()-1,MATCH(C$1,'包络曲线数据'!$B$1:$U$1,0)),""))</x:f>
      </x:c>
      <x:c r="D632" t="str">
        <x:f>IF(D$1="","",IFERROR(INDEX('包络曲线数据'!$B$2:$U$742,ROW()-1,MATCH(D$1,'包络曲线数据'!$B$1:$U$1,0)),""))</x:f>
      </x:c>
      <x:c r="E632" t="str">
        <x:f>IF(E$1="","",IFERROR(INDEX('包络曲线数据'!$B$2:$U$742,ROW()-1,MATCH(E$1,'包络曲线数据'!$B$1:$U$1,0)),""))</x:f>
      </x:c>
      <x:c r="F632" t="str">
        <x:f>IF(F$1="","",IFERROR(INDEX('包络曲线数据'!$B$2:$U$742,ROW()-1,MATCH(F$1,'包络曲线数据'!$B$1:$U$1,0)),""))</x:f>
      </x:c>
      <x:c r="G632" t="str">
        <x:f>IF(G$1="","",IFERROR(INDEX('包络曲线数据'!$B$2:$U$742,ROW()-1,MATCH(G$1,'包络曲线数据'!$B$1:$U$1,0)),""))</x:f>
      </x:c>
    </x:row>
    <x:row r="633">
      <x:c r="A633" t="n">
        <x:v>63.1</x:v>
      </x:c>
      <x:c r="B633" t="n">
        <x:f>IF(B$1="","",IFERROR(INDEX('包络曲线数据'!$B$2:$U$742,ROW()-1,MATCH(B$1,'包络曲线数据'!$B$1:$U$1,0)),""))</x:f>
        <x:v>67.16733663921893</x:v>
      </x:c>
      <x:c r="C633" t="str">
        <x:f>IF(C$1="","",IFERROR(INDEX('包络曲线数据'!$B$2:$U$742,ROW()-1,MATCH(C$1,'包络曲线数据'!$B$1:$U$1,0)),""))</x:f>
      </x:c>
      <x:c r="D633" t="str">
        <x:f>IF(D$1="","",IFERROR(INDEX('包络曲线数据'!$B$2:$U$742,ROW()-1,MATCH(D$1,'包络曲线数据'!$B$1:$U$1,0)),""))</x:f>
      </x:c>
      <x:c r="E633" t="str">
        <x:f>IF(E$1="","",IFERROR(INDEX('包络曲线数据'!$B$2:$U$742,ROW()-1,MATCH(E$1,'包络曲线数据'!$B$1:$U$1,0)),""))</x:f>
      </x:c>
      <x:c r="F633" t="str">
        <x:f>IF(F$1="","",IFERROR(INDEX('包络曲线数据'!$B$2:$U$742,ROW()-1,MATCH(F$1,'包络曲线数据'!$B$1:$U$1,0)),""))</x:f>
      </x:c>
      <x:c r="G633" t="str">
        <x:f>IF(G$1="","",IFERROR(INDEX('包络曲线数据'!$B$2:$U$742,ROW()-1,MATCH(G$1,'包络曲线数据'!$B$1:$U$1,0)),""))</x:f>
      </x:c>
    </x:row>
    <x:row r="634">
      <x:c r="A634" t="n">
        <x:v>63.2</x:v>
      </x:c>
      <x:c r="B634" t="n">
        <x:f>IF(B$1="","",IFERROR(INDEX('包络曲线数据'!$B$2:$U$742,ROW()-1,MATCH(B$1,'包络曲线数据'!$B$1:$U$1,0)),""))</x:f>
        <x:v>67.82690617273704</x:v>
      </x:c>
      <x:c r="C634" t="str">
        <x:f>IF(C$1="","",IFERROR(INDEX('包络曲线数据'!$B$2:$U$742,ROW()-1,MATCH(C$1,'包络曲线数据'!$B$1:$U$1,0)),""))</x:f>
      </x:c>
      <x:c r="D634" t="str">
        <x:f>IF(D$1="","",IFERROR(INDEX('包络曲线数据'!$B$2:$U$742,ROW()-1,MATCH(D$1,'包络曲线数据'!$B$1:$U$1,0)),""))</x:f>
      </x:c>
      <x:c r="E634" t="str">
        <x:f>IF(E$1="","",IFERROR(INDEX('包络曲线数据'!$B$2:$U$742,ROW()-1,MATCH(E$1,'包络曲线数据'!$B$1:$U$1,0)),""))</x:f>
      </x:c>
      <x:c r="F634" t="str">
        <x:f>IF(F$1="","",IFERROR(INDEX('包络曲线数据'!$B$2:$U$742,ROW()-1,MATCH(F$1,'包络曲线数据'!$B$1:$U$1,0)),""))</x:f>
      </x:c>
      <x:c r="G634" t="str">
        <x:f>IF(G$1="","",IFERROR(INDEX('包络曲线数据'!$B$2:$U$742,ROW()-1,MATCH(G$1,'包络曲线数据'!$B$1:$U$1,0)),""))</x:f>
      </x:c>
    </x:row>
    <x:row r="635">
      <x:c r="A635" t="n">
        <x:v>63.300000000000004</x:v>
      </x:c>
      <x:c r="B635" t="n">
        <x:f>IF(B$1="","",IFERROR(INDEX('包络曲线数据'!$B$2:$U$742,ROW()-1,MATCH(B$1,'包络曲线数据'!$B$1:$U$1,0)),""))</x:f>
        <x:v>67.82690617273647</x:v>
      </x:c>
      <x:c r="C635" t="str">
        <x:f>IF(C$1="","",IFERROR(INDEX('包络曲线数据'!$B$2:$U$742,ROW()-1,MATCH(C$1,'包络曲线数据'!$B$1:$U$1,0)),""))</x:f>
      </x:c>
      <x:c r="D635" t="str">
        <x:f>IF(D$1="","",IFERROR(INDEX('包络曲线数据'!$B$2:$U$742,ROW()-1,MATCH(D$1,'包络曲线数据'!$B$1:$U$1,0)),""))</x:f>
      </x:c>
      <x:c r="E635" t="str">
        <x:f>IF(E$1="","",IFERROR(INDEX('包络曲线数据'!$B$2:$U$742,ROW()-1,MATCH(E$1,'包络曲线数据'!$B$1:$U$1,0)),""))</x:f>
      </x:c>
      <x:c r="F635" t="str">
        <x:f>IF(F$1="","",IFERROR(INDEX('包络曲线数据'!$B$2:$U$742,ROW()-1,MATCH(F$1,'包络曲线数据'!$B$1:$U$1,0)),""))</x:f>
      </x:c>
      <x:c r="G635" t="str">
        <x:f>IF(G$1="","",IFERROR(INDEX('包络曲线数据'!$B$2:$U$742,ROW()-1,MATCH(G$1,'包络曲线数据'!$B$1:$U$1,0)),""))</x:f>
      </x:c>
    </x:row>
    <x:row r="636">
      <x:c r="A636" t="n">
        <x:v>63.400000000000006</x:v>
      </x:c>
      <x:c r="B636" t="n">
        <x:f>IF(B$1="","",IFERROR(INDEX('包络曲线数据'!$B$2:$U$742,ROW()-1,MATCH(B$1,'包络曲线数据'!$B$1:$U$1,0)),""))</x:f>
        <x:v>65.92084816392017</x:v>
      </x:c>
      <x:c r="C636" t="str">
        <x:f>IF(C$1="","",IFERROR(INDEX('包络曲线数据'!$B$2:$U$742,ROW()-1,MATCH(C$1,'包络曲线数据'!$B$1:$U$1,0)),""))</x:f>
      </x:c>
      <x:c r="D636" t="str">
        <x:f>IF(D$1="","",IFERROR(INDEX('包络曲线数据'!$B$2:$U$742,ROW()-1,MATCH(D$1,'包络曲线数据'!$B$1:$U$1,0)),""))</x:f>
      </x:c>
      <x:c r="E636" t="str">
        <x:f>IF(E$1="","",IFERROR(INDEX('包络曲线数据'!$B$2:$U$742,ROW()-1,MATCH(E$1,'包络曲线数据'!$B$1:$U$1,0)),""))</x:f>
      </x:c>
      <x:c r="F636" t="str">
        <x:f>IF(F$1="","",IFERROR(INDEX('包络曲线数据'!$B$2:$U$742,ROW()-1,MATCH(F$1,'包络曲线数据'!$B$1:$U$1,0)),""))</x:f>
      </x:c>
      <x:c r="G636" t="str">
        <x:f>IF(G$1="","",IFERROR(INDEX('包络曲线数据'!$B$2:$U$742,ROW()-1,MATCH(G$1,'包络曲线数据'!$B$1:$U$1,0)),""))</x:f>
      </x:c>
    </x:row>
    <x:row r="637">
      <x:c r="A637" t="n">
        <x:v>63.5</x:v>
      </x:c>
      <x:c r="B637" t="n">
        <x:f>IF(B$1="","",IFERROR(INDEX('包络曲线数据'!$B$2:$U$742,ROW()-1,MATCH(B$1,'包络曲线数据'!$B$1:$U$1,0)),""))</x:f>
        <x:v>66.77421467704987</x:v>
      </x:c>
      <x:c r="C637" t="str">
        <x:f>IF(C$1="","",IFERROR(INDEX('包络曲线数据'!$B$2:$U$742,ROW()-1,MATCH(C$1,'包络曲线数据'!$B$1:$U$1,0)),""))</x:f>
      </x:c>
      <x:c r="D637" t="str">
        <x:f>IF(D$1="","",IFERROR(INDEX('包络曲线数据'!$B$2:$U$742,ROW()-1,MATCH(D$1,'包络曲线数据'!$B$1:$U$1,0)),""))</x:f>
      </x:c>
      <x:c r="E637" t="str">
        <x:f>IF(E$1="","",IFERROR(INDEX('包络曲线数据'!$B$2:$U$742,ROW()-1,MATCH(E$1,'包络曲线数据'!$B$1:$U$1,0)),""))</x:f>
      </x:c>
      <x:c r="F637" t="str">
        <x:f>IF(F$1="","",IFERROR(INDEX('包络曲线数据'!$B$2:$U$742,ROW()-1,MATCH(F$1,'包络曲线数据'!$B$1:$U$1,0)),""))</x:f>
      </x:c>
      <x:c r="G637" t="str">
        <x:f>IF(G$1="","",IFERROR(INDEX('包络曲线数据'!$B$2:$U$742,ROW()-1,MATCH(G$1,'包络曲线数据'!$B$1:$U$1,0)),""))</x:f>
      </x:c>
    </x:row>
    <x:row r="638">
      <x:c r="A638" t="n">
        <x:v>63.6</x:v>
      </x:c>
      <x:c r="B638" t="n">
        <x:f>IF(B$1="","",IFERROR(INDEX('包络曲线数据'!$B$2:$U$742,ROW()-1,MATCH(B$1,'包络曲线数据'!$B$1:$U$1,0)),""))</x:f>
        <x:v>67.68281543300998</x:v>
      </x:c>
      <x:c r="C638" t="str">
        <x:f>IF(C$1="","",IFERROR(INDEX('包络曲线数据'!$B$2:$U$742,ROW()-1,MATCH(C$1,'包络曲线数据'!$B$1:$U$1,0)),""))</x:f>
      </x:c>
      <x:c r="D638" t="str">
        <x:f>IF(D$1="","",IFERROR(INDEX('包络曲线数据'!$B$2:$U$742,ROW()-1,MATCH(D$1,'包络曲线数据'!$B$1:$U$1,0)),""))</x:f>
      </x:c>
      <x:c r="E638" t="str">
        <x:f>IF(E$1="","",IFERROR(INDEX('包络曲线数据'!$B$2:$U$742,ROW()-1,MATCH(E$1,'包络曲线数据'!$B$1:$U$1,0)),""))</x:f>
      </x:c>
      <x:c r="F638" t="str">
        <x:f>IF(F$1="","",IFERROR(INDEX('包络曲线数据'!$B$2:$U$742,ROW()-1,MATCH(F$1,'包络曲线数据'!$B$1:$U$1,0)),""))</x:f>
      </x:c>
      <x:c r="G638" t="str">
        <x:f>IF(G$1="","",IFERROR(INDEX('包络曲线数据'!$B$2:$U$742,ROW()-1,MATCH(G$1,'包络曲线数据'!$B$1:$U$1,0)),""))</x:f>
      </x:c>
    </x:row>
    <x:row r="639">
      <x:c r="A639" t="n">
        <x:v>63.7</x:v>
      </x:c>
      <x:c r="B639" t="n">
        <x:f>IF(B$1="","",IFERROR(INDEX('包络曲线数据'!$B$2:$U$742,ROW()-1,MATCH(B$1,'包络曲线数据'!$B$1:$U$1,0)),""))</x:f>
        <x:v>67.7707426487479</x:v>
      </x:c>
      <x:c r="C639" t="str">
        <x:f>IF(C$1="","",IFERROR(INDEX('包络曲线数据'!$B$2:$U$742,ROW()-1,MATCH(C$1,'包络曲线数据'!$B$1:$U$1,0)),""))</x:f>
      </x:c>
      <x:c r="D639" t="str">
        <x:f>IF(D$1="","",IFERROR(INDEX('包络曲线数据'!$B$2:$U$742,ROW()-1,MATCH(D$1,'包络曲线数据'!$B$1:$U$1,0)),""))</x:f>
      </x:c>
      <x:c r="E639" t="str">
        <x:f>IF(E$1="","",IFERROR(INDEX('包络曲线数据'!$B$2:$U$742,ROW()-1,MATCH(E$1,'包络曲线数据'!$B$1:$U$1,0)),""))</x:f>
      </x:c>
      <x:c r="F639" t="str">
        <x:f>IF(F$1="","",IFERROR(INDEX('包络曲线数据'!$B$2:$U$742,ROW()-1,MATCH(F$1,'包络曲线数据'!$B$1:$U$1,0)),""))</x:f>
      </x:c>
      <x:c r="G639" t="str">
        <x:f>IF(G$1="","",IFERROR(INDEX('包络曲线数据'!$B$2:$U$742,ROW()-1,MATCH(G$1,'包络曲线数据'!$B$1:$U$1,0)),""))</x:f>
      </x:c>
    </x:row>
    <x:row r="640">
      <x:c r="A640" t="n">
        <x:v>63.800000000000004</x:v>
      </x:c>
      <x:c r="B640" t="n">
        <x:f>IF(B$1="","",IFERROR(INDEX('包络曲线数据'!$B$2:$U$742,ROW()-1,MATCH(B$1,'包络曲线数据'!$B$1:$U$1,0)),""))</x:f>
        <x:v>68.02124410787135</x:v>
      </x:c>
      <x:c r="C640" t="str">
        <x:f>IF(C$1="","",IFERROR(INDEX('包络曲线数据'!$B$2:$U$742,ROW()-1,MATCH(C$1,'包络曲线数据'!$B$1:$U$1,0)),""))</x:f>
      </x:c>
      <x:c r="D640" t="str">
        <x:f>IF(D$1="","",IFERROR(INDEX('包络曲线数据'!$B$2:$U$742,ROW()-1,MATCH(D$1,'包络曲线数据'!$B$1:$U$1,0)),""))</x:f>
      </x:c>
      <x:c r="E640" t="str">
        <x:f>IF(E$1="","",IFERROR(INDEX('包络曲线数据'!$B$2:$U$742,ROW()-1,MATCH(E$1,'包络曲线数据'!$B$1:$U$1,0)),""))</x:f>
      </x:c>
      <x:c r="F640" t="str">
        <x:f>IF(F$1="","",IFERROR(INDEX('包络曲线数据'!$B$2:$U$742,ROW()-1,MATCH(F$1,'包络曲线数据'!$B$1:$U$1,0)),""))</x:f>
      </x:c>
      <x:c r="G640" t="str">
        <x:f>IF(G$1="","",IFERROR(INDEX('包络曲线数据'!$B$2:$U$742,ROW()-1,MATCH(G$1,'包络曲线数据'!$B$1:$U$1,0)),""))</x:f>
      </x:c>
    </x:row>
    <x:row r="641">
      <x:c r="A641" t="n">
        <x:v>63.900000000000006</x:v>
      </x:c>
      <x:c r="B641" t="n">
        <x:f>IF(B$1="","",IFERROR(INDEX('包络曲线数据'!$B$2:$U$742,ROW()-1,MATCH(B$1,'包络曲线数据'!$B$1:$U$1,0)),""))</x:f>
        <x:v>78.39386437140924</x:v>
      </x:c>
      <x:c r="C641" t="str">
        <x:f>IF(C$1="","",IFERROR(INDEX('包络曲线数据'!$B$2:$U$742,ROW()-1,MATCH(C$1,'包络曲线数据'!$B$1:$U$1,0)),""))</x:f>
      </x:c>
      <x:c r="D641" t="str">
        <x:f>IF(D$1="","",IFERROR(INDEX('包络曲线数据'!$B$2:$U$742,ROW()-1,MATCH(D$1,'包络曲线数据'!$B$1:$U$1,0)),""))</x:f>
      </x:c>
      <x:c r="E641" t="str">
        <x:f>IF(E$1="","",IFERROR(INDEX('包络曲线数据'!$B$2:$U$742,ROW()-1,MATCH(E$1,'包络曲线数据'!$B$1:$U$1,0)),""))</x:f>
      </x:c>
      <x:c r="F641" t="str">
        <x:f>IF(F$1="","",IFERROR(INDEX('包络曲线数据'!$B$2:$U$742,ROW()-1,MATCH(F$1,'包络曲线数据'!$B$1:$U$1,0)),""))</x:f>
      </x:c>
      <x:c r="G641" t="str">
        <x:f>IF(G$1="","",IFERROR(INDEX('包络曲线数据'!$B$2:$U$742,ROW()-1,MATCH(G$1,'包络曲线数据'!$B$1:$U$1,0)),""))</x:f>
      </x:c>
    </x:row>
    <x:row r="642">
      <x:c r="A642" t="n">
        <x:v>64</x:v>
      </x:c>
      <x:c r="B642" t="n">
        <x:f>IF(B$1="","",IFERROR(INDEX('包络曲线数据'!$B$2:$U$742,ROW()-1,MATCH(B$1,'包络曲线数据'!$B$1:$U$1,0)),""))</x:f>
        <x:v>79.38455772479216</x:v>
      </x:c>
      <x:c r="C642" t="str">
        <x:f>IF(C$1="","",IFERROR(INDEX('包络曲线数据'!$B$2:$U$742,ROW()-1,MATCH(C$1,'包络曲线数据'!$B$1:$U$1,0)),""))</x:f>
      </x:c>
      <x:c r="D642" t="str">
        <x:f>IF(D$1="","",IFERROR(INDEX('包络曲线数据'!$B$2:$U$742,ROW()-1,MATCH(D$1,'包络曲线数据'!$B$1:$U$1,0)),""))</x:f>
      </x:c>
      <x:c r="E642" t="str">
        <x:f>IF(E$1="","",IFERROR(INDEX('包络曲线数据'!$B$2:$U$742,ROW()-1,MATCH(E$1,'包络曲线数据'!$B$1:$U$1,0)),""))</x:f>
      </x:c>
      <x:c r="F642" t="str">
        <x:f>IF(F$1="","",IFERROR(INDEX('包络曲线数据'!$B$2:$U$742,ROW()-1,MATCH(F$1,'包络曲线数据'!$B$1:$U$1,0)),""))</x:f>
      </x:c>
      <x:c r="G642" t="str">
        <x:f>IF(G$1="","",IFERROR(INDEX('包络曲线数据'!$B$2:$U$742,ROW()-1,MATCH(G$1,'包络曲线数据'!$B$1:$U$1,0)),""))</x:f>
      </x:c>
    </x:row>
    <x:row r="643">
      <x:c r="A643" t="n">
        <x:v>64.10000000000001</x:v>
      </x:c>
      <x:c r="B643" t="n">
        <x:f>IF(B$1="","",IFERROR(INDEX('包络曲线数据'!$B$2:$U$742,ROW()-1,MATCH(B$1,'包络曲线数据'!$B$1:$U$1,0)),""))</x:f>
        <x:v>79.38455772479087</x:v>
      </x:c>
      <x:c r="C643" t="str">
        <x:f>IF(C$1="","",IFERROR(INDEX('包络曲线数据'!$B$2:$U$742,ROW()-1,MATCH(C$1,'包络曲线数据'!$B$1:$U$1,0)),""))</x:f>
      </x:c>
      <x:c r="D643" t="str">
        <x:f>IF(D$1="","",IFERROR(INDEX('包络曲线数据'!$B$2:$U$742,ROW()-1,MATCH(D$1,'包络曲线数据'!$B$1:$U$1,0)),""))</x:f>
      </x:c>
      <x:c r="E643" t="str">
        <x:f>IF(E$1="","",IFERROR(INDEX('包络曲线数据'!$B$2:$U$742,ROW()-1,MATCH(E$1,'包络曲线数据'!$B$1:$U$1,0)),""))</x:f>
      </x:c>
      <x:c r="F643" t="str">
        <x:f>IF(F$1="","",IFERROR(INDEX('包络曲线数据'!$B$2:$U$742,ROW()-1,MATCH(F$1,'包络曲线数据'!$B$1:$U$1,0)),""))</x:f>
      </x:c>
      <x:c r="G643" t="str">
        <x:f>IF(G$1="","",IFERROR(INDEX('包络曲线数据'!$B$2:$U$742,ROW()-1,MATCH(G$1,'包络曲线数据'!$B$1:$U$1,0)),""))</x:f>
      </x:c>
    </x:row>
    <x:row r="644">
      <x:c r="A644" t="n">
        <x:v>64.2</x:v>
      </x:c>
      <x:c r="B644" t="n">
        <x:f>IF(B$1="","",IFERROR(INDEX('包络曲线数据'!$B$2:$U$742,ROW()-1,MATCH(B$1,'包络曲线数据'!$B$1:$U$1,0)),""))</x:f>
        <x:v>69.20459901335492</x:v>
      </x:c>
      <x:c r="C644" t="str">
        <x:f>IF(C$1="","",IFERROR(INDEX('包络曲线数据'!$B$2:$U$742,ROW()-1,MATCH(C$1,'包络曲线数据'!$B$1:$U$1,0)),""))</x:f>
      </x:c>
      <x:c r="D644" t="str">
        <x:f>IF(D$1="","",IFERROR(INDEX('包络曲线数据'!$B$2:$U$742,ROW()-1,MATCH(D$1,'包络曲线数据'!$B$1:$U$1,0)),""))</x:f>
      </x:c>
      <x:c r="E644" t="str">
        <x:f>IF(E$1="","",IFERROR(INDEX('包络曲线数据'!$B$2:$U$742,ROW()-1,MATCH(E$1,'包络曲线数据'!$B$1:$U$1,0)),""))</x:f>
      </x:c>
      <x:c r="F644" t="str">
        <x:f>IF(F$1="","",IFERROR(INDEX('包络曲线数据'!$B$2:$U$742,ROW()-1,MATCH(F$1,'包络曲线数据'!$B$1:$U$1,0)),""))</x:f>
      </x:c>
      <x:c r="G644" t="str">
        <x:f>IF(G$1="","",IFERROR(INDEX('包络曲线数据'!$B$2:$U$742,ROW()-1,MATCH(G$1,'包络曲线数据'!$B$1:$U$1,0)),""))</x:f>
      </x:c>
    </x:row>
    <x:row r="645">
      <x:c r="A645" t="n">
        <x:v>64.3</x:v>
      </x:c>
      <x:c r="B645" t="n">
        <x:f>IF(B$1="","",IFERROR(INDEX('包络曲线数据'!$B$2:$U$742,ROW()-1,MATCH(B$1,'包络曲线数据'!$B$1:$U$1,0)),""))</x:f>
        <x:v>58.89243471754105</x:v>
      </x:c>
      <x:c r="C645" t="str">
        <x:f>IF(C$1="","",IFERROR(INDEX('包络曲线数据'!$B$2:$U$742,ROW()-1,MATCH(C$1,'包络曲线数据'!$B$1:$U$1,0)),""))</x:f>
      </x:c>
      <x:c r="D645" t="str">
        <x:f>IF(D$1="","",IFERROR(INDEX('包络曲线数据'!$B$2:$U$742,ROW()-1,MATCH(D$1,'包络曲线数据'!$B$1:$U$1,0)),""))</x:f>
      </x:c>
      <x:c r="E645" t="str">
        <x:f>IF(E$1="","",IFERROR(INDEX('包络曲线数据'!$B$2:$U$742,ROW()-1,MATCH(E$1,'包络曲线数据'!$B$1:$U$1,0)),""))</x:f>
      </x:c>
      <x:c r="F645" t="str">
        <x:f>IF(F$1="","",IFERROR(INDEX('包络曲线数据'!$B$2:$U$742,ROW()-1,MATCH(F$1,'包络曲线数据'!$B$1:$U$1,0)),""))</x:f>
      </x:c>
      <x:c r="G645" t="str">
        <x:f>IF(G$1="","",IFERROR(INDEX('包络曲线数据'!$B$2:$U$742,ROW()-1,MATCH(G$1,'包络曲线数据'!$B$1:$U$1,0)),""))</x:f>
      </x:c>
    </x:row>
    <x:row r="646">
      <x:c r="A646" t="n">
        <x:v>64.4</x:v>
      </x:c>
      <x:c r="B646" t="n">
        <x:f>IF(B$1="","",IFERROR(INDEX('包络曲线数据'!$B$2:$U$742,ROW()-1,MATCH(B$1,'包络曲线数据'!$B$1:$U$1,0)),""))</x:f>
        <x:v>51.595284178115094</x:v>
      </x:c>
      <x:c r="C646" t="str">
        <x:f>IF(C$1="","",IFERROR(INDEX('包络曲线数据'!$B$2:$U$742,ROW()-1,MATCH(C$1,'包络曲线数据'!$B$1:$U$1,0)),""))</x:f>
      </x:c>
      <x:c r="D646" t="str">
        <x:f>IF(D$1="","",IFERROR(INDEX('包络曲线数据'!$B$2:$U$742,ROW()-1,MATCH(D$1,'包络曲线数据'!$B$1:$U$1,0)),""))</x:f>
      </x:c>
      <x:c r="E646" t="str">
        <x:f>IF(E$1="","",IFERROR(INDEX('包络曲线数据'!$B$2:$U$742,ROW()-1,MATCH(E$1,'包络曲线数据'!$B$1:$U$1,0)),""))</x:f>
      </x:c>
      <x:c r="F646" t="str">
        <x:f>IF(F$1="","",IFERROR(INDEX('包络曲线数据'!$B$2:$U$742,ROW()-1,MATCH(F$1,'包络曲线数据'!$B$1:$U$1,0)),""))</x:f>
      </x:c>
      <x:c r="G646" t="str">
        <x:f>IF(G$1="","",IFERROR(INDEX('包络曲线数据'!$B$2:$U$742,ROW()-1,MATCH(G$1,'包络曲线数据'!$B$1:$U$1,0)),""))</x:f>
      </x:c>
    </x:row>
    <x:row r="647">
      <x:c r="A647" t="n">
        <x:v>64.5</x:v>
      </x:c>
      <x:c r="B647" t="n">
        <x:f>IF(B$1="","",IFERROR(INDEX('包络曲线数据'!$B$2:$U$742,ROW()-1,MATCH(B$1,'包络曲线数据'!$B$1:$U$1,0)),""))</x:f>
        <x:v>51.595284178115094</x:v>
      </x:c>
      <x:c r="C647" t="str">
        <x:f>IF(C$1="","",IFERROR(INDEX('包络曲线数据'!$B$2:$U$742,ROW()-1,MATCH(C$1,'包络曲线数据'!$B$1:$U$1,0)),""))</x:f>
      </x:c>
      <x:c r="D647" t="str">
        <x:f>IF(D$1="","",IFERROR(INDEX('包络曲线数据'!$B$2:$U$742,ROW()-1,MATCH(D$1,'包络曲线数据'!$B$1:$U$1,0)),""))</x:f>
      </x:c>
      <x:c r="E647" t="str">
        <x:f>IF(E$1="","",IFERROR(INDEX('包络曲线数据'!$B$2:$U$742,ROW()-1,MATCH(E$1,'包络曲线数据'!$B$1:$U$1,0)),""))</x:f>
      </x:c>
      <x:c r="F647" t="str">
        <x:f>IF(F$1="","",IFERROR(INDEX('包络曲线数据'!$B$2:$U$742,ROW()-1,MATCH(F$1,'包络曲线数据'!$B$1:$U$1,0)),""))</x:f>
      </x:c>
      <x:c r="G647" t="str">
        <x:f>IF(G$1="","",IFERROR(INDEX('包络曲线数据'!$B$2:$U$742,ROW()-1,MATCH(G$1,'包络曲线数据'!$B$1:$U$1,0)),""))</x:f>
      </x:c>
    </x:row>
    <x:row r="648">
      <x:c r="A648" t="n">
        <x:v>64.60000000000001</x:v>
      </x:c>
      <x:c r="B648" t="n">
        <x:f>IF(B$1="","",IFERROR(INDEX('包络曲线数据'!$B$2:$U$742,ROW()-1,MATCH(B$1,'包络曲线数据'!$B$1:$U$1,0)),""))</x:f>
        <x:v>57.43154548321923</x:v>
      </x:c>
      <x:c r="C648" t="str">
        <x:f>IF(C$1="","",IFERROR(INDEX('包络曲线数据'!$B$2:$U$742,ROW()-1,MATCH(C$1,'包络曲线数据'!$B$1:$U$1,0)),""))</x:f>
      </x:c>
      <x:c r="D648" t="str">
        <x:f>IF(D$1="","",IFERROR(INDEX('包络曲线数据'!$B$2:$U$742,ROW()-1,MATCH(D$1,'包络曲线数据'!$B$1:$U$1,0)),""))</x:f>
      </x:c>
      <x:c r="E648" t="str">
        <x:f>IF(E$1="","",IFERROR(INDEX('包络曲线数据'!$B$2:$U$742,ROW()-1,MATCH(E$1,'包络曲线数据'!$B$1:$U$1,0)),""))</x:f>
      </x:c>
      <x:c r="F648" t="str">
        <x:f>IF(F$1="","",IFERROR(INDEX('包络曲线数据'!$B$2:$U$742,ROW()-1,MATCH(F$1,'包络曲线数据'!$B$1:$U$1,0)),""))</x:f>
      </x:c>
      <x:c r="G648" t="str">
        <x:f>IF(G$1="","",IFERROR(INDEX('包络曲线数据'!$B$2:$U$742,ROW()-1,MATCH(G$1,'包络曲线数据'!$B$1:$U$1,0)),""))</x:f>
      </x:c>
    </x:row>
    <x:row r="649">
      <x:c r="A649" t="n">
        <x:v>64.7</x:v>
      </x:c>
      <x:c r="B649" t="n">
        <x:f>IF(B$1="","",IFERROR(INDEX('包络曲线数据'!$B$2:$U$742,ROW()-1,MATCH(B$1,'包络曲线数据'!$B$1:$U$1,0)),""))</x:f>
        <x:v>57.850626184041346</x:v>
      </x:c>
      <x:c r="C649" t="str">
        <x:f>IF(C$1="","",IFERROR(INDEX('包络曲线数据'!$B$2:$U$742,ROW()-1,MATCH(C$1,'包络曲线数据'!$B$1:$U$1,0)),""))</x:f>
      </x:c>
      <x:c r="D649" t="str">
        <x:f>IF(D$1="","",IFERROR(INDEX('包络曲线数据'!$B$2:$U$742,ROW()-1,MATCH(D$1,'包络曲线数据'!$B$1:$U$1,0)),""))</x:f>
      </x:c>
      <x:c r="E649" t="str">
        <x:f>IF(E$1="","",IFERROR(INDEX('包络曲线数据'!$B$2:$U$742,ROW()-1,MATCH(E$1,'包络曲线数据'!$B$1:$U$1,0)),""))</x:f>
      </x:c>
      <x:c r="F649" t="str">
        <x:f>IF(F$1="","",IFERROR(INDEX('包络曲线数据'!$B$2:$U$742,ROW()-1,MATCH(F$1,'包络曲线数据'!$B$1:$U$1,0)),""))</x:f>
      </x:c>
      <x:c r="G649" t="str">
        <x:f>IF(G$1="","",IFERROR(INDEX('包络曲线数据'!$B$2:$U$742,ROW()-1,MATCH(G$1,'包络曲线数据'!$B$1:$U$1,0)),""))</x:f>
      </x:c>
    </x:row>
    <x:row r="650">
      <x:c r="A650" t="n">
        <x:v>64.8</x:v>
      </x:c>
      <x:c r="B650" t="n">
        <x:f>IF(B$1="","",IFERROR(INDEX('包络曲线数据'!$B$2:$U$742,ROW()-1,MATCH(B$1,'包络曲线数据'!$B$1:$U$1,0)),""))</x:f>
        <x:v>59.2426978166178</x:v>
      </x:c>
      <x:c r="C650" t="str">
        <x:f>IF(C$1="","",IFERROR(INDEX('包络曲线数据'!$B$2:$U$742,ROW()-1,MATCH(C$1,'包络曲线数据'!$B$1:$U$1,0)),""))</x:f>
      </x:c>
      <x:c r="D650" t="str">
        <x:f>IF(D$1="","",IFERROR(INDEX('包络曲线数据'!$B$2:$U$742,ROW()-1,MATCH(D$1,'包络曲线数据'!$B$1:$U$1,0)),""))</x:f>
      </x:c>
      <x:c r="E650" t="str">
        <x:f>IF(E$1="","",IFERROR(INDEX('包络曲线数据'!$B$2:$U$742,ROW()-1,MATCH(E$1,'包络曲线数据'!$B$1:$U$1,0)),""))</x:f>
      </x:c>
      <x:c r="F650" t="str">
        <x:f>IF(F$1="","",IFERROR(INDEX('包络曲线数据'!$B$2:$U$742,ROW()-1,MATCH(F$1,'包络曲线数据'!$B$1:$U$1,0)),""))</x:f>
      </x:c>
      <x:c r="G650" t="str">
        <x:f>IF(G$1="","",IFERROR(INDEX('包络曲线数据'!$B$2:$U$742,ROW()-1,MATCH(G$1,'包络曲线数据'!$B$1:$U$1,0)),""))</x:f>
      </x:c>
    </x:row>
    <x:row r="651">
      <x:c r="A651" t="n">
        <x:v>64.9</x:v>
      </x:c>
      <x:c r="B651" t="n">
        <x:f>IF(B$1="","",IFERROR(INDEX('包络曲线数据'!$B$2:$U$742,ROW()-1,MATCH(B$1,'包络曲线数据'!$B$1:$U$1,0)),""))</x:f>
        <x:v>60.67359538712472</x:v>
      </x:c>
      <x:c r="C651" t="str">
        <x:f>IF(C$1="","",IFERROR(INDEX('包络曲线数据'!$B$2:$U$742,ROW()-1,MATCH(C$1,'包络曲线数据'!$B$1:$U$1,0)),""))</x:f>
      </x:c>
      <x:c r="D651" t="str">
        <x:f>IF(D$1="","",IFERROR(INDEX('包络曲线数据'!$B$2:$U$742,ROW()-1,MATCH(D$1,'包络曲线数据'!$B$1:$U$1,0)),""))</x:f>
      </x:c>
      <x:c r="E651" t="str">
        <x:f>IF(E$1="","",IFERROR(INDEX('包络曲线数据'!$B$2:$U$742,ROW()-1,MATCH(E$1,'包络曲线数据'!$B$1:$U$1,0)),""))</x:f>
      </x:c>
      <x:c r="F651" t="str">
        <x:f>IF(F$1="","",IFERROR(INDEX('包络曲线数据'!$B$2:$U$742,ROW()-1,MATCH(F$1,'包络曲线数据'!$B$1:$U$1,0)),""))</x:f>
      </x:c>
      <x:c r="G651" t="str">
        <x:f>IF(G$1="","",IFERROR(INDEX('包络曲线数据'!$B$2:$U$742,ROW()-1,MATCH(G$1,'包络曲线数据'!$B$1:$U$1,0)),""))</x:f>
      </x:c>
    </x:row>
    <x:row r="652">
      <x:c r="A652" t="n">
        <x:v>65</x:v>
      </x:c>
      <x:c r="B652" t="n">
        <x:f>IF(B$1="","",IFERROR(INDEX('包络曲线数据'!$B$2:$U$742,ROW()-1,MATCH(B$1,'包络曲线数据'!$B$1:$U$1,0)),""))</x:f>
        <x:v>60.67359538712472</x:v>
      </x:c>
      <x:c r="C652" t="str">
        <x:f>IF(C$1="","",IFERROR(INDEX('包络曲线数据'!$B$2:$U$742,ROW()-1,MATCH(C$1,'包络曲线数据'!$B$1:$U$1,0)),""))</x:f>
      </x:c>
      <x:c r="D652" t="str">
        <x:f>IF(D$1="","",IFERROR(INDEX('包络曲线数据'!$B$2:$U$742,ROW()-1,MATCH(D$1,'包络曲线数据'!$B$1:$U$1,0)),""))</x:f>
      </x:c>
      <x:c r="E652" t="str">
        <x:f>IF(E$1="","",IFERROR(INDEX('包络曲线数据'!$B$2:$U$742,ROW()-1,MATCH(E$1,'包络曲线数据'!$B$1:$U$1,0)),""))</x:f>
      </x:c>
      <x:c r="F652" t="str">
        <x:f>IF(F$1="","",IFERROR(INDEX('包络曲线数据'!$B$2:$U$742,ROW()-1,MATCH(F$1,'包络曲线数据'!$B$1:$U$1,0)),""))</x:f>
      </x:c>
      <x:c r="G652" t="str">
        <x:f>IF(G$1="","",IFERROR(INDEX('包络曲线数据'!$B$2:$U$742,ROW()-1,MATCH(G$1,'包络曲线数据'!$B$1:$U$1,0)),""))</x:f>
      </x:c>
    </x:row>
    <x:row r="653">
      <x:c r="A653" t="n">
        <x:v>65.10000000000001</x:v>
      </x:c>
      <x:c r="B653" t="n">
        <x:f>IF(B$1="","",IFERROR(INDEX('包络曲线数据'!$B$2:$U$742,ROW()-1,MATCH(B$1,'包络曲线数据'!$B$1:$U$1,0)),""))</x:f>
        <x:v>72.168322783368</x:v>
      </x:c>
      <x:c r="C653" t="str">
        <x:f>IF(C$1="","",IFERROR(INDEX('包络曲线数据'!$B$2:$U$742,ROW()-1,MATCH(C$1,'包络曲线数据'!$B$1:$U$1,0)),""))</x:f>
      </x:c>
      <x:c r="D653" t="str">
        <x:f>IF(D$1="","",IFERROR(INDEX('包络曲线数据'!$B$2:$U$742,ROW()-1,MATCH(D$1,'包络曲线数据'!$B$1:$U$1,0)),""))</x:f>
      </x:c>
      <x:c r="E653" t="str">
        <x:f>IF(E$1="","",IFERROR(INDEX('包络曲线数据'!$B$2:$U$742,ROW()-1,MATCH(E$1,'包络曲线数据'!$B$1:$U$1,0)),""))</x:f>
      </x:c>
      <x:c r="F653" t="str">
        <x:f>IF(F$1="","",IFERROR(INDEX('包络曲线数据'!$B$2:$U$742,ROW()-1,MATCH(F$1,'包络曲线数据'!$B$1:$U$1,0)),""))</x:f>
      </x:c>
      <x:c r="G653" t="str">
        <x:f>IF(G$1="","",IFERROR(INDEX('包络曲线数据'!$B$2:$U$742,ROW()-1,MATCH(G$1,'包络曲线数据'!$B$1:$U$1,0)),""))</x:f>
      </x:c>
    </x:row>
    <x:row r="654">
      <x:c r="A654" t="n">
        <x:v>65.2</x:v>
      </x:c>
      <x:c r="B654" t="n">
        <x:f>IF(B$1="","",IFERROR(INDEX('包络曲线数据'!$B$2:$U$742,ROW()-1,MATCH(B$1,'包络曲线数据'!$B$1:$U$1,0)),""))</x:f>
        <x:v>74.57066793715065</x:v>
      </x:c>
      <x:c r="C654" t="str">
        <x:f>IF(C$1="","",IFERROR(INDEX('包络曲线数据'!$B$2:$U$742,ROW()-1,MATCH(C$1,'包络曲线数据'!$B$1:$U$1,0)),""))</x:f>
      </x:c>
      <x:c r="D654" t="str">
        <x:f>IF(D$1="","",IFERROR(INDEX('包络曲线数据'!$B$2:$U$742,ROW()-1,MATCH(D$1,'包络曲线数据'!$B$1:$U$1,0)),""))</x:f>
      </x:c>
      <x:c r="E654" t="str">
        <x:f>IF(E$1="","",IFERROR(INDEX('包络曲线数据'!$B$2:$U$742,ROW()-1,MATCH(E$1,'包络曲线数据'!$B$1:$U$1,0)),""))</x:f>
      </x:c>
      <x:c r="F654" t="str">
        <x:f>IF(F$1="","",IFERROR(INDEX('包络曲线数据'!$B$2:$U$742,ROW()-1,MATCH(F$1,'包络曲线数据'!$B$1:$U$1,0)),""))</x:f>
      </x:c>
      <x:c r="G654" t="str">
        <x:f>IF(G$1="","",IFERROR(INDEX('包络曲线数据'!$B$2:$U$742,ROW()-1,MATCH(G$1,'包络曲线数据'!$B$1:$U$1,0)),""))</x:f>
      </x:c>
    </x:row>
    <x:row r="655">
      <x:c r="A655" t="n">
        <x:v>65.3</x:v>
      </x:c>
      <x:c r="B655" t="n">
        <x:f>IF(B$1="","",IFERROR(INDEX('包络曲线数据'!$B$2:$U$742,ROW()-1,MATCH(B$1,'包络曲线数据'!$B$1:$U$1,0)),""))</x:f>
        <x:v>74.57066793715065</x:v>
      </x:c>
      <x:c r="C655" t="str">
        <x:f>IF(C$1="","",IFERROR(INDEX('包络曲线数据'!$B$2:$U$742,ROW()-1,MATCH(C$1,'包络曲线数据'!$B$1:$U$1,0)),""))</x:f>
      </x:c>
      <x:c r="D655" t="str">
        <x:f>IF(D$1="","",IFERROR(INDEX('包络曲线数据'!$B$2:$U$742,ROW()-1,MATCH(D$1,'包络曲线数据'!$B$1:$U$1,0)),""))</x:f>
      </x:c>
      <x:c r="E655" t="str">
        <x:f>IF(E$1="","",IFERROR(INDEX('包络曲线数据'!$B$2:$U$742,ROW()-1,MATCH(E$1,'包络曲线数据'!$B$1:$U$1,0)),""))</x:f>
      </x:c>
      <x:c r="F655" t="str">
        <x:f>IF(F$1="","",IFERROR(INDEX('包络曲线数据'!$B$2:$U$742,ROW()-1,MATCH(F$1,'包络曲线数据'!$B$1:$U$1,0)),""))</x:f>
      </x:c>
      <x:c r="G655" t="str">
        <x:f>IF(G$1="","",IFERROR(INDEX('包络曲线数据'!$B$2:$U$742,ROW()-1,MATCH(G$1,'包络曲线数据'!$B$1:$U$1,0)),""))</x:f>
      </x:c>
    </x:row>
    <x:row r="656">
      <x:c r="A656" t="n">
        <x:v>65.4</x:v>
      </x:c>
      <x:c r="B656" t="n">
        <x:f>IF(B$1="","",IFERROR(INDEX('包络曲线数据'!$B$2:$U$742,ROW()-1,MATCH(B$1,'包络曲线数据'!$B$1:$U$1,0)),""))</x:f>
        <x:v>70.65851488874867</x:v>
      </x:c>
      <x:c r="C656" t="str">
        <x:f>IF(C$1="","",IFERROR(INDEX('包络曲线数据'!$B$2:$U$742,ROW()-1,MATCH(C$1,'包络曲线数据'!$B$1:$U$1,0)),""))</x:f>
      </x:c>
      <x:c r="D656" t="str">
        <x:f>IF(D$1="","",IFERROR(INDEX('包络曲线数据'!$B$2:$U$742,ROW()-1,MATCH(D$1,'包络曲线数据'!$B$1:$U$1,0)),""))</x:f>
      </x:c>
      <x:c r="E656" t="str">
        <x:f>IF(E$1="","",IFERROR(INDEX('包络曲线数据'!$B$2:$U$742,ROW()-1,MATCH(E$1,'包络曲线数据'!$B$1:$U$1,0)),""))</x:f>
      </x:c>
      <x:c r="F656" t="str">
        <x:f>IF(F$1="","",IFERROR(INDEX('包络曲线数据'!$B$2:$U$742,ROW()-1,MATCH(F$1,'包络曲线数据'!$B$1:$U$1,0)),""))</x:f>
      </x:c>
      <x:c r="G656" t="str">
        <x:f>IF(G$1="","",IFERROR(INDEX('包络曲线数据'!$B$2:$U$742,ROW()-1,MATCH(G$1,'包络曲线数据'!$B$1:$U$1,0)),""))</x:f>
      </x:c>
    </x:row>
    <x:row r="657">
      <x:c r="A657" t="n">
        <x:v>65.5</x:v>
      </x:c>
      <x:c r="B657" t="n">
        <x:f>IF(B$1="","",IFERROR(INDEX('包络曲线数据'!$B$2:$U$742,ROW()-1,MATCH(B$1,'包络曲线数据'!$B$1:$U$1,0)),""))</x:f>
        <x:v>62.17667074440598</x:v>
      </x:c>
      <x:c r="C657" t="str">
        <x:f>IF(C$1="","",IFERROR(INDEX('包络曲线数据'!$B$2:$U$742,ROW()-1,MATCH(C$1,'包络曲线数据'!$B$1:$U$1,0)),""))</x:f>
      </x:c>
      <x:c r="D657" t="str">
        <x:f>IF(D$1="","",IFERROR(INDEX('包络曲线数据'!$B$2:$U$742,ROW()-1,MATCH(D$1,'包络曲线数据'!$B$1:$U$1,0)),""))</x:f>
      </x:c>
      <x:c r="E657" t="str">
        <x:f>IF(E$1="","",IFERROR(INDEX('包络曲线数据'!$B$2:$U$742,ROW()-1,MATCH(E$1,'包络曲线数据'!$B$1:$U$1,0)),""))</x:f>
      </x:c>
      <x:c r="F657" t="str">
        <x:f>IF(F$1="","",IFERROR(INDEX('包络曲线数据'!$B$2:$U$742,ROW()-1,MATCH(F$1,'包络曲线数据'!$B$1:$U$1,0)),""))</x:f>
      </x:c>
      <x:c r="G657" t="str">
        <x:f>IF(G$1="","",IFERROR(INDEX('包络曲线数据'!$B$2:$U$742,ROW()-1,MATCH(G$1,'包络曲线数据'!$B$1:$U$1,0)),""))</x:f>
      </x:c>
    </x:row>
    <x:row r="658">
      <x:c r="A658" t="n">
        <x:v>65.60000000000001</x:v>
      </x:c>
      <x:c r="B658" t="n">
        <x:f>IF(B$1="","",IFERROR(INDEX('包络曲线数据'!$B$2:$U$742,ROW()-1,MATCH(B$1,'包络曲线数据'!$B$1:$U$1,0)),""))</x:f>
        <x:v>64.9463140918632</x:v>
      </x:c>
      <x:c r="C658" t="str">
        <x:f>IF(C$1="","",IFERROR(INDEX('包络曲线数据'!$B$2:$U$742,ROW()-1,MATCH(C$1,'包络曲线数据'!$B$1:$U$1,0)),""))</x:f>
      </x:c>
      <x:c r="D658" t="str">
        <x:f>IF(D$1="","",IFERROR(INDEX('包络曲线数据'!$B$2:$U$742,ROW()-1,MATCH(D$1,'包络曲线数据'!$B$1:$U$1,0)),""))</x:f>
      </x:c>
      <x:c r="E658" t="str">
        <x:f>IF(E$1="","",IFERROR(INDEX('包络曲线数据'!$B$2:$U$742,ROW()-1,MATCH(E$1,'包络曲线数据'!$B$1:$U$1,0)),""))</x:f>
      </x:c>
      <x:c r="F658" t="str">
        <x:f>IF(F$1="","",IFERROR(INDEX('包络曲线数据'!$B$2:$U$742,ROW()-1,MATCH(F$1,'包络曲线数据'!$B$1:$U$1,0)),""))</x:f>
      </x:c>
      <x:c r="G658" t="str">
        <x:f>IF(G$1="","",IFERROR(INDEX('包络曲线数据'!$B$2:$U$742,ROW()-1,MATCH(G$1,'包络曲线数据'!$B$1:$U$1,0)),""))</x:f>
      </x:c>
    </x:row>
    <x:row r="659">
      <x:c r="A659" t="n">
        <x:v>65.7</x:v>
      </x:c>
      <x:c r="B659" t="n">
        <x:f>IF(B$1="","",IFERROR(INDEX('包络曲线数据'!$B$2:$U$742,ROW()-1,MATCH(B$1,'包络曲线数据'!$B$1:$U$1,0)),""))</x:f>
        <x:v>65.84716103010537</x:v>
      </x:c>
      <x:c r="C659" t="str">
        <x:f>IF(C$1="","",IFERROR(INDEX('包络曲线数据'!$B$2:$U$742,ROW()-1,MATCH(C$1,'包络曲线数据'!$B$1:$U$1,0)),""))</x:f>
      </x:c>
      <x:c r="D659" t="str">
        <x:f>IF(D$1="","",IFERROR(INDEX('包络曲线数据'!$B$2:$U$742,ROW()-1,MATCH(D$1,'包络曲线数据'!$B$1:$U$1,0)),""))</x:f>
      </x:c>
      <x:c r="E659" t="str">
        <x:f>IF(E$1="","",IFERROR(INDEX('包络曲线数据'!$B$2:$U$742,ROW()-1,MATCH(E$1,'包络曲线数据'!$B$1:$U$1,0)),""))</x:f>
      </x:c>
      <x:c r="F659" t="str">
        <x:f>IF(F$1="","",IFERROR(INDEX('包络曲线数据'!$B$2:$U$742,ROW()-1,MATCH(F$1,'包络曲线数据'!$B$1:$U$1,0)),""))</x:f>
      </x:c>
      <x:c r="G659" t="str">
        <x:f>IF(G$1="","",IFERROR(INDEX('包络曲线数据'!$B$2:$U$742,ROW()-1,MATCH(G$1,'包络曲线数据'!$B$1:$U$1,0)),""))</x:f>
      </x:c>
    </x:row>
    <x:row r="660">
      <x:c r="A660" t="n">
        <x:v>65.8</x:v>
      </x:c>
      <x:c r="B660" t="n">
        <x:f>IF(B$1="","",IFERROR(INDEX('包络曲线数据'!$B$2:$U$742,ROW()-1,MATCH(B$1,'包络曲线数据'!$B$1:$U$1,0)),""))</x:f>
        <x:v>68.10092759219583</x:v>
      </x:c>
      <x:c r="C660" t="str">
        <x:f>IF(C$1="","",IFERROR(INDEX('包络曲线数据'!$B$2:$U$742,ROW()-1,MATCH(C$1,'包络曲线数据'!$B$1:$U$1,0)),""))</x:f>
      </x:c>
      <x:c r="D660" t="str">
        <x:f>IF(D$1="","",IFERROR(INDEX('包络曲线数据'!$B$2:$U$742,ROW()-1,MATCH(D$1,'包络曲线数据'!$B$1:$U$1,0)),""))</x:f>
      </x:c>
      <x:c r="E660" t="str">
        <x:f>IF(E$1="","",IFERROR(INDEX('包络曲线数据'!$B$2:$U$742,ROW()-1,MATCH(E$1,'包络曲线数据'!$B$1:$U$1,0)),""))</x:f>
      </x:c>
      <x:c r="F660" t="str">
        <x:f>IF(F$1="","",IFERROR(INDEX('包络曲线数据'!$B$2:$U$742,ROW()-1,MATCH(F$1,'包络曲线数据'!$B$1:$U$1,0)),""))</x:f>
      </x:c>
      <x:c r="G660" t="str">
        <x:f>IF(G$1="","",IFERROR(INDEX('包络曲线数据'!$B$2:$U$742,ROW()-1,MATCH(G$1,'包络曲线数据'!$B$1:$U$1,0)),""))</x:f>
      </x:c>
    </x:row>
    <x:row r="661">
      <x:c r="A661" t="n">
        <x:v>65.9</x:v>
      </x:c>
      <x:c r="B661" t="n">
        <x:f>IF(B$1="","",IFERROR(INDEX('包络曲线数据'!$B$2:$U$742,ROW()-1,MATCH(B$1,'包络曲线数据'!$B$1:$U$1,0)),""))</x:f>
        <x:v>68.6574679153718</x:v>
      </x:c>
      <x:c r="C661" t="str">
        <x:f>IF(C$1="","",IFERROR(INDEX('包络曲线数据'!$B$2:$U$742,ROW()-1,MATCH(C$1,'包络曲线数据'!$B$1:$U$1,0)),""))</x:f>
      </x:c>
      <x:c r="D661" t="str">
        <x:f>IF(D$1="","",IFERROR(INDEX('包络曲线数据'!$B$2:$U$742,ROW()-1,MATCH(D$1,'包络曲线数据'!$B$1:$U$1,0)),""))</x:f>
      </x:c>
      <x:c r="E661" t="str">
        <x:f>IF(E$1="","",IFERROR(INDEX('包络曲线数据'!$B$2:$U$742,ROW()-1,MATCH(E$1,'包络曲线数据'!$B$1:$U$1,0)),""))</x:f>
      </x:c>
      <x:c r="F661" t="str">
        <x:f>IF(F$1="","",IFERROR(INDEX('包络曲线数据'!$B$2:$U$742,ROW()-1,MATCH(F$1,'包络曲线数据'!$B$1:$U$1,0)),""))</x:f>
      </x:c>
      <x:c r="G661" t="str">
        <x:f>IF(G$1="","",IFERROR(INDEX('包络曲线数据'!$B$2:$U$742,ROW()-1,MATCH(G$1,'包络曲线数据'!$B$1:$U$1,0)),""))</x:f>
      </x:c>
    </x:row>
    <x:row r="662">
      <x:c r="A662" t="n">
        <x:v>66</x:v>
      </x:c>
      <x:c r="B662" t="n">
        <x:f>IF(B$1="","",IFERROR(INDEX('包络曲线数据'!$B$2:$U$742,ROW()-1,MATCH(B$1,'包络曲线数据'!$B$1:$U$1,0)),""))</x:f>
        <x:v>69.12345791416348</x:v>
      </x:c>
      <x:c r="C662" t="str">
        <x:f>IF(C$1="","",IFERROR(INDEX('包络曲线数据'!$B$2:$U$742,ROW()-1,MATCH(C$1,'包络曲线数据'!$B$1:$U$1,0)),""))</x:f>
      </x:c>
      <x:c r="D662" t="str">
        <x:f>IF(D$1="","",IFERROR(INDEX('包络曲线数据'!$B$2:$U$742,ROW()-1,MATCH(D$1,'包络曲线数据'!$B$1:$U$1,0)),""))</x:f>
      </x:c>
      <x:c r="E662" t="str">
        <x:f>IF(E$1="","",IFERROR(INDEX('包络曲线数据'!$B$2:$U$742,ROW()-1,MATCH(E$1,'包络曲线数据'!$B$1:$U$1,0)),""))</x:f>
      </x:c>
      <x:c r="F662" t="str">
        <x:f>IF(F$1="","",IFERROR(INDEX('包络曲线数据'!$B$2:$U$742,ROW()-1,MATCH(F$1,'包络曲线数据'!$B$1:$U$1,0)),""))</x:f>
      </x:c>
      <x:c r="G662" t="str">
        <x:f>IF(G$1="","",IFERROR(INDEX('包络曲线数据'!$B$2:$U$742,ROW()-1,MATCH(G$1,'包络曲线数据'!$B$1:$U$1,0)),""))</x:f>
      </x:c>
    </x:row>
    <x:row r="663">
      <x:c r="A663" t="n">
        <x:v>66.10000000000001</x:v>
      </x:c>
      <x:c r="B663" t="n">
        <x:f>IF(B$1="","",IFERROR(INDEX('包络曲线数据'!$B$2:$U$742,ROW()-1,MATCH(B$1,'包络曲线数据'!$B$1:$U$1,0)),""))</x:f>
        <x:v>69.12345791416348</x:v>
      </x:c>
      <x:c r="C663" t="str">
        <x:f>IF(C$1="","",IFERROR(INDEX('包络曲线数据'!$B$2:$U$742,ROW()-1,MATCH(C$1,'包络曲线数据'!$B$1:$U$1,0)),""))</x:f>
      </x:c>
      <x:c r="D663" t="str">
        <x:f>IF(D$1="","",IFERROR(INDEX('包络曲线数据'!$B$2:$U$742,ROW()-1,MATCH(D$1,'包络曲线数据'!$B$1:$U$1,0)),""))</x:f>
      </x:c>
      <x:c r="E663" t="str">
        <x:f>IF(E$1="","",IFERROR(INDEX('包络曲线数据'!$B$2:$U$742,ROW()-1,MATCH(E$1,'包络曲线数据'!$B$1:$U$1,0)),""))</x:f>
      </x:c>
      <x:c r="F663" t="str">
        <x:f>IF(F$1="","",IFERROR(INDEX('包络曲线数据'!$B$2:$U$742,ROW()-1,MATCH(F$1,'包络曲线数据'!$B$1:$U$1,0)),""))</x:f>
      </x:c>
      <x:c r="G663" t="str">
        <x:f>IF(G$1="","",IFERROR(INDEX('包络曲线数据'!$B$2:$U$742,ROW()-1,MATCH(G$1,'包络曲线数据'!$B$1:$U$1,0)),""))</x:f>
      </x:c>
    </x:row>
    <x:row r="664">
      <x:c r="A664" t="n">
        <x:v>66.2</x:v>
      </x:c>
      <x:c r="B664" t="n">
        <x:f>IF(B$1="","",IFERROR(INDEX('包络曲线数据'!$B$2:$U$742,ROW()-1,MATCH(B$1,'包络曲线数据'!$B$1:$U$1,0)),""))</x:f>
        <x:v>68.8110047916594</x:v>
      </x:c>
      <x:c r="C664" t="str">
        <x:f>IF(C$1="","",IFERROR(INDEX('包络曲线数据'!$B$2:$U$742,ROW()-1,MATCH(C$1,'包络曲线数据'!$B$1:$U$1,0)),""))</x:f>
      </x:c>
      <x:c r="D664" t="str">
        <x:f>IF(D$1="","",IFERROR(INDEX('包络曲线数据'!$B$2:$U$742,ROW()-1,MATCH(D$1,'包络曲线数据'!$B$1:$U$1,0)),""))</x:f>
      </x:c>
      <x:c r="E664" t="str">
        <x:f>IF(E$1="","",IFERROR(INDEX('包络曲线数据'!$B$2:$U$742,ROW()-1,MATCH(E$1,'包络曲线数据'!$B$1:$U$1,0)),""))</x:f>
      </x:c>
      <x:c r="F664" t="str">
        <x:f>IF(F$1="","",IFERROR(INDEX('包络曲线数据'!$B$2:$U$742,ROW()-1,MATCH(F$1,'包络曲线数据'!$B$1:$U$1,0)),""))</x:f>
      </x:c>
      <x:c r="G664" t="str">
        <x:f>IF(G$1="","",IFERROR(INDEX('包络曲线数据'!$B$2:$U$742,ROW()-1,MATCH(G$1,'包络曲线数据'!$B$1:$U$1,0)),""))</x:f>
      </x:c>
    </x:row>
    <x:row r="665">
      <x:c r="A665" t="n">
        <x:v>66.3</x:v>
      </x:c>
      <x:c r="B665" t="n">
        <x:f>IF(B$1="","",IFERROR(INDEX('包络曲线数据'!$B$2:$U$742,ROW()-1,MATCH(B$1,'包络曲线数据'!$B$1:$U$1,0)),""))</x:f>
        <x:v>69.19932285117798</x:v>
      </x:c>
      <x:c r="C665" t="str">
        <x:f>IF(C$1="","",IFERROR(INDEX('包络曲线数据'!$B$2:$U$742,ROW()-1,MATCH(C$1,'包络曲线数据'!$B$1:$U$1,0)),""))</x:f>
      </x:c>
      <x:c r="D665" t="str">
        <x:f>IF(D$1="","",IFERROR(INDEX('包络曲线数据'!$B$2:$U$742,ROW()-1,MATCH(D$1,'包络曲线数据'!$B$1:$U$1,0)),""))</x:f>
      </x:c>
      <x:c r="E665" t="str">
        <x:f>IF(E$1="","",IFERROR(INDEX('包络曲线数据'!$B$2:$U$742,ROW()-1,MATCH(E$1,'包络曲线数据'!$B$1:$U$1,0)),""))</x:f>
      </x:c>
      <x:c r="F665" t="str">
        <x:f>IF(F$1="","",IFERROR(INDEX('包络曲线数据'!$B$2:$U$742,ROW()-1,MATCH(F$1,'包络曲线数据'!$B$1:$U$1,0)),""))</x:f>
      </x:c>
      <x:c r="G665" t="str">
        <x:f>IF(G$1="","",IFERROR(INDEX('包络曲线数据'!$B$2:$U$742,ROW()-1,MATCH(G$1,'包络曲线数据'!$B$1:$U$1,0)),""))</x:f>
      </x:c>
    </x:row>
    <x:row r="666">
      <x:c r="A666" t="n">
        <x:v>66.4</x:v>
      </x:c>
      <x:c r="B666" t="n">
        <x:f>IF(B$1="","",IFERROR(INDEX('包络曲线数据'!$B$2:$U$742,ROW()-1,MATCH(B$1,'包络曲线数据'!$B$1:$U$1,0)),""))</x:f>
        <x:v>69.19932285117798</x:v>
      </x:c>
      <x:c r="C666" t="str">
        <x:f>IF(C$1="","",IFERROR(INDEX('包络曲线数据'!$B$2:$U$742,ROW()-1,MATCH(C$1,'包络曲线数据'!$B$1:$U$1,0)),""))</x:f>
      </x:c>
      <x:c r="D666" t="str">
        <x:f>IF(D$1="","",IFERROR(INDEX('包络曲线数据'!$B$2:$U$742,ROW()-1,MATCH(D$1,'包络曲线数据'!$B$1:$U$1,0)),""))</x:f>
      </x:c>
      <x:c r="E666" t="str">
        <x:f>IF(E$1="","",IFERROR(INDEX('包络曲线数据'!$B$2:$U$742,ROW()-1,MATCH(E$1,'包络曲线数据'!$B$1:$U$1,0)),""))</x:f>
      </x:c>
      <x:c r="F666" t="str">
        <x:f>IF(F$1="","",IFERROR(INDEX('包络曲线数据'!$B$2:$U$742,ROW()-1,MATCH(F$1,'包络曲线数据'!$B$1:$U$1,0)),""))</x:f>
      </x:c>
      <x:c r="G666" t="str">
        <x:f>IF(G$1="","",IFERROR(INDEX('包络曲线数据'!$B$2:$U$742,ROW()-1,MATCH(G$1,'包络曲线数据'!$B$1:$U$1,0)),""))</x:f>
      </x:c>
    </x:row>
    <x:row r="667">
      <x:c r="A667" t="n">
        <x:v>66.5</x:v>
      </x:c>
      <x:c r="B667" t="n">
        <x:f>IF(B$1="","",IFERROR(INDEX('包络曲线数据'!$B$2:$U$742,ROW()-1,MATCH(B$1,'包络曲线数据'!$B$1:$U$1,0)),""))</x:f>
        <x:v>68.7192731452557</x:v>
      </x:c>
      <x:c r="C667" t="str">
        <x:f>IF(C$1="","",IFERROR(INDEX('包络曲线数据'!$B$2:$U$742,ROW()-1,MATCH(C$1,'包络曲线数据'!$B$1:$U$1,0)),""))</x:f>
      </x:c>
      <x:c r="D667" t="str">
        <x:f>IF(D$1="","",IFERROR(INDEX('包络曲线数据'!$B$2:$U$742,ROW()-1,MATCH(D$1,'包络曲线数据'!$B$1:$U$1,0)),""))</x:f>
      </x:c>
      <x:c r="E667" t="str">
        <x:f>IF(E$1="","",IFERROR(INDEX('包络曲线数据'!$B$2:$U$742,ROW()-1,MATCH(E$1,'包络曲线数据'!$B$1:$U$1,0)),""))</x:f>
      </x:c>
      <x:c r="F667" t="str">
        <x:f>IF(F$1="","",IFERROR(INDEX('包络曲线数据'!$B$2:$U$742,ROW()-1,MATCH(F$1,'包络曲线数据'!$B$1:$U$1,0)),""))</x:f>
      </x:c>
      <x:c r="G667" t="str">
        <x:f>IF(G$1="","",IFERROR(INDEX('包络曲线数据'!$B$2:$U$742,ROW()-1,MATCH(G$1,'包络曲线数据'!$B$1:$U$1,0)),""))</x:f>
      </x:c>
    </x:row>
    <x:row r="668">
      <x:c r="A668" t="n">
        <x:v>66.60000000000001</x:v>
      </x:c>
      <x:c r="B668" t="n">
        <x:f>IF(B$1="","",IFERROR(INDEX('包络曲线数据'!$B$2:$U$742,ROW()-1,MATCH(B$1,'包络曲线数据'!$B$1:$U$1,0)),""))</x:f>
        <x:v>67.95521924832912</x:v>
      </x:c>
      <x:c r="C668" t="str">
        <x:f>IF(C$1="","",IFERROR(INDEX('包络曲线数据'!$B$2:$U$742,ROW()-1,MATCH(C$1,'包络曲线数据'!$B$1:$U$1,0)),""))</x:f>
      </x:c>
      <x:c r="D668" t="str">
        <x:f>IF(D$1="","",IFERROR(INDEX('包络曲线数据'!$B$2:$U$742,ROW()-1,MATCH(D$1,'包络曲线数据'!$B$1:$U$1,0)),""))</x:f>
      </x:c>
      <x:c r="E668" t="str">
        <x:f>IF(E$1="","",IFERROR(INDEX('包络曲线数据'!$B$2:$U$742,ROW()-1,MATCH(E$1,'包络曲线数据'!$B$1:$U$1,0)),""))</x:f>
      </x:c>
      <x:c r="F668" t="str">
        <x:f>IF(F$1="","",IFERROR(INDEX('包络曲线数据'!$B$2:$U$742,ROW()-1,MATCH(F$1,'包络曲线数据'!$B$1:$U$1,0)),""))</x:f>
      </x:c>
      <x:c r="G668" t="str">
        <x:f>IF(G$1="","",IFERROR(INDEX('包络曲线数据'!$B$2:$U$742,ROW()-1,MATCH(G$1,'包络曲线数据'!$B$1:$U$1,0)),""))</x:f>
      </x:c>
    </x:row>
    <x:row r="669">
      <x:c r="A669" t="n">
        <x:v>66.7</x:v>
      </x:c>
      <x:c r="B669" t="n">
        <x:f>IF(B$1="","",IFERROR(INDEX('包络曲线数据'!$B$2:$U$742,ROW()-1,MATCH(B$1,'包络曲线数据'!$B$1:$U$1,0)),""))</x:f>
        <x:v>72.47238956796834</x:v>
      </x:c>
      <x:c r="C669" t="str">
        <x:f>IF(C$1="","",IFERROR(INDEX('包络曲线数据'!$B$2:$U$742,ROW()-1,MATCH(C$1,'包络曲线数据'!$B$1:$U$1,0)),""))</x:f>
      </x:c>
      <x:c r="D669" t="str">
        <x:f>IF(D$1="","",IFERROR(INDEX('包络曲线数据'!$B$2:$U$742,ROW()-1,MATCH(D$1,'包络曲线数据'!$B$1:$U$1,0)),""))</x:f>
      </x:c>
      <x:c r="E669" t="str">
        <x:f>IF(E$1="","",IFERROR(INDEX('包络曲线数据'!$B$2:$U$742,ROW()-1,MATCH(E$1,'包络曲线数据'!$B$1:$U$1,0)),""))</x:f>
      </x:c>
      <x:c r="F669" t="str">
        <x:f>IF(F$1="","",IFERROR(INDEX('包络曲线数据'!$B$2:$U$742,ROW()-1,MATCH(F$1,'包络曲线数据'!$B$1:$U$1,0)),""))</x:f>
      </x:c>
      <x:c r="G669" t="str">
        <x:f>IF(G$1="","",IFERROR(INDEX('包络曲线数据'!$B$2:$U$742,ROW()-1,MATCH(G$1,'包络曲线数据'!$B$1:$U$1,0)),""))</x:f>
      </x:c>
    </x:row>
    <x:row r="670">
      <x:c r="A670" t="n">
        <x:v>66.8</x:v>
      </x:c>
      <x:c r="B670" t="n">
        <x:f>IF(B$1="","",IFERROR(INDEX('包络曲线数据'!$B$2:$U$742,ROW()-1,MATCH(B$1,'包络曲线数据'!$B$1:$U$1,0)),""))</x:f>
        <x:v>79.84727584052374</x:v>
      </x:c>
      <x:c r="C670" t="str">
        <x:f>IF(C$1="","",IFERROR(INDEX('包络曲线数据'!$B$2:$U$742,ROW()-1,MATCH(C$1,'包络曲线数据'!$B$1:$U$1,0)),""))</x:f>
      </x:c>
      <x:c r="D670" t="str">
        <x:f>IF(D$1="","",IFERROR(INDEX('包络曲线数据'!$B$2:$U$742,ROW()-1,MATCH(D$1,'包络曲线数据'!$B$1:$U$1,0)),""))</x:f>
      </x:c>
      <x:c r="E670" t="str">
        <x:f>IF(E$1="","",IFERROR(INDEX('包络曲线数据'!$B$2:$U$742,ROW()-1,MATCH(E$1,'包络曲线数据'!$B$1:$U$1,0)),""))</x:f>
      </x:c>
      <x:c r="F670" t="str">
        <x:f>IF(F$1="","",IFERROR(INDEX('包络曲线数据'!$B$2:$U$742,ROW()-1,MATCH(F$1,'包络曲线数据'!$B$1:$U$1,0)),""))</x:f>
      </x:c>
      <x:c r="G670" t="str">
        <x:f>IF(G$1="","",IFERROR(INDEX('包络曲线数据'!$B$2:$U$742,ROW()-1,MATCH(G$1,'包络曲线数据'!$B$1:$U$1,0)),""))</x:f>
      </x:c>
    </x:row>
    <x:row r="671">
      <x:c r="A671" t="n">
        <x:v>66.9</x:v>
      </x:c>
      <x:c r="B671" t="n">
        <x:f>IF(B$1="","",IFERROR(INDEX('包络曲线数据'!$B$2:$U$742,ROW()-1,MATCH(B$1,'包络曲线数据'!$B$1:$U$1,0)),""))</x:f>
        <x:v>79.84727584052374</x:v>
      </x:c>
      <x:c r="C671" t="str">
        <x:f>IF(C$1="","",IFERROR(INDEX('包络曲线数据'!$B$2:$U$742,ROW()-1,MATCH(C$1,'包络曲线数据'!$B$1:$U$1,0)),""))</x:f>
      </x:c>
      <x:c r="D671" t="str">
        <x:f>IF(D$1="","",IFERROR(INDEX('包络曲线数据'!$B$2:$U$742,ROW()-1,MATCH(D$1,'包络曲线数据'!$B$1:$U$1,0)),""))</x:f>
      </x:c>
      <x:c r="E671" t="str">
        <x:f>IF(E$1="","",IFERROR(INDEX('包络曲线数据'!$B$2:$U$742,ROW()-1,MATCH(E$1,'包络曲线数据'!$B$1:$U$1,0)),""))</x:f>
      </x:c>
      <x:c r="F671" t="str">
        <x:f>IF(F$1="","",IFERROR(INDEX('包络曲线数据'!$B$2:$U$742,ROW()-1,MATCH(F$1,'包络曲线数据'!$B$1:$U$1,0)),""))</x:f>
      </x:c>
      <x:c r="G671" t="str">
        <x:f>IF(G$1="","",IFERROR(INDEX('包络曲线数据'!$B$2:$U$742,ROW()-1,MATCH(G$1,'包络曲线数据'!$B$1:$U$1,0)),""))</x:f>
      </x:c>
    </x:row>
    <x:row r="672">
      <x:c r="A672" t="n">
        <x:v>67</x:v>
      </x:c>
      <x:c r="B672" t="n">
        <x:f>IF(B$1="","",IFERROR(INDEX('包络曲线数据'!$B$2:$U$742,ROW()-1,MATCH(B$1,'包络曲线数据'!$B$1:$U$1,0)),""))</x:f>
        <x:v>71.38515872626908</x:v>
      </x:c>
      <x:c r="C672" t="str">
        <x:f>IF(C$1="","",IFERROR(INDEX('包络曲线数据'!$B$2:$U$742,ROW()-1,MATCH(C$1,'包络曲线数据'!$B$1:$U$1,0)),""))</x:f>
      </x:c>
      <x:c r="D672" t="str">
        <x:f>IF(D$1="","",IFERROR(INDEX('包络曲线数据'!$B$2:$U$742,ROW()-1,MATCH(D$1,'包络曲线数据'!$B$1:$U$1,0)),""))</x:f>
      </x:c>
      <x:c r="E672" t="str">
        <x:f>IF(E$1="","",IFERROR(INDEX('包络曲线数据'!$B$2:$U$742,ROW()-1,MATCH(E$1,'包络曲线数据'!$B$1:$U$1,0)),""))</x:f>
      </x:c>
      <x:c r="F672" t="str">
        <x:f>IF(F$1="","",IFERROR(INDEX('包络曲线数据'!$B$2:$U$742,ROW()-1,MATCH(F$1,'包络曲线数据'!$B$1:$U$1,0)),""))</x:f>
      </x:c>
      <x:c r="G672" t="str">
        <x:f>IF(G$1="","",IFERROR(INDEX('包络曲线数据'!$B$2:$U$742,ROW()-1,MATCH(G$1,'包络曲线数据'!$B$1:$U$1,0)),""))</x:f>
      </x:c>
    </x:row>
    <x:row r="673">
      <x:c r="A673" t="n">
        <x:v>67.10000000000001</x:v>
      </x:c>
      <x:c r="B673" t="n">
        <x:f>IF(B$1="","",IFERROR(INDEX('包络曲线数据'!$B$2:$U$742,ROW()-1,MATCH(B$1,'包络曲线数据'!$B$1:$U$1,0)),""))</x:f>
        <x:v>59.15224301338155</x:v>
      </x:c>
      <x:c r="C673" t="str">
        <x:f>IF(C$1="","",IFERROR(INDEX('包络曲线数据'!$B$2:$U$742,ROW()-1,MATCH(C$1,'包络曲线数据'!$B$1:$U$1,0)),""))</x:f>
      </x:c>
      <x:c r="D673" t="str">
        <x:f>IF(D$1="","",IFERROR(INDEX('包络曲线数据'!$B$2:$U$742,ROW()-1,MATCH(D$1,'包络曲线数据'!$B$1:$U$1,0)),""))</x:f>
      </x:c>
      <x:c r="E673" t="str">
        <x:f>IF(E$1="","",IFERROR(INDEX('包络曲线数据'!$B$2:$U$742,ROW()-1,MATCH(E$1,'包络曲线数据'!$B$1:$U$1,0)),""))</x:f>
      </x:c>
      <x:c r="F673" t="str">
        <x:f>IF(F$1="","",IFERROR(INDEX('包络曲线数据'!$B$2:$U$742,ROW()-1,MATCH(F$1,'包络曲线数据'!$B$1:$U$1,0)),""))</x:f>
      </x:c>
      <x:c r="G673" t="str">
        <x:f>IF(G$1="","",IFERROR(INDEX('包络曲线数据'!$B$2:$U$742,ROW()-1,MATCH(G$1,'包络曲线数据'!$B$1:$U$1,0)),""))</x:f>
      </x:c>
    </x:row>
    <x:row r="674">
      <x:c r="A674" t="n">
        <x:v>67.2</x:v>
      </x:c>
      <x:c r="B674" t="n">
        <x:f>IF(B$1="","",IFERROR(INDEX('包络曲线数据'!$B$2:$U$742,ROW()-1,MATCH(B$1,'包络曲线数据'!$B$1:$U$1,0)),""))</x:f>
        <x:v>53.96230050361332</x:v>
      </x:c>
      <x:c r="C674" t="str">
        <x:f>IF(C$1="","",IFERROR(INDEX('包络曲线数据'!$B$2:$U$742,ROW()-1,MATCH(C$1,'包络曲线数据'!$B$1:$U$1,0)),""))</x:f>
      </x:c>
      <x:c r="D674" t="str">
        <x:f>IF(D$1="","",IFERROR(INDEX('包络曲线数据'!$B$2:$U$742,ROW()-1,MATCH(D$1,'包络曲线数据'!$B$1:$U$1,0)),""))</x:f>
      </x:c>
      <x:c r="E674" t="str">
        <x:f>IF(E$1="","",IFERROR(INDEX('包络曲线数据'!$B$2:$U$742,ROW()-1,MATCH(E$1,'包络曲线数据'!$B$1:$U$1,0)),""))</x:f>
      </x:c>
      <x:c r="F674" t="str">
        <x:f>IF(F$1="","",IFERROR(INDEX('包络曲线数据'!$B$2:$U$742,ROW()-1,MATCH(F$1,'包络曲线数据'!$B$1:$U$1,0)),""))</x:f>
      </x:c>
      <x:c r="G674" t="str">
        <x:f>IF(G$1="","",IFERROR(INDEX('包络曲线数据'!$B$2:$U$742,ROW()-1,MATCH(G$1,'包络曲线数据'!$B$1:$U$1,0)),""))</x:f>
      </x:c>
    </x:row>
    <x:row r="675">
      <x:c r="A675" t="n">
        <x:v>67.3</x:v>
      </x:c>
      <x:c r="B675" t="n">
        <x:f>IF(B$1="","",IFERROR(INDEX('包络曲线数据'!$B$2:$U$742,ROW()-1,MATCH(B$1,'包络曲线数据'!$B$1:$U$1,0)),""))</x:f>
        <x:v>51.595284178115094</x:v>
      </x:c>
      <x:c r="C675" t="str">
        <x:f>IF(C$1="","",IFERROR(INDEX('包络曲线数据'!$B$2:$U$742,ROW()-1,MATCH(C$1,'包络曲线数据'!$B$1:$U$1,0)),""))</x:f>
      </x:c>
      <x:c r="D675" t="str">
        <x:f>IF(D$1="","",IFERROR(INDEX('包络曲线数据'!$B$2:$U$742,ROW()-1,MATCH(D$1,'包络曲线数据'!$B$1:$U$1,0)),""))</x:f>
      </x:c>
      <x:c r="E675" t="str">
        <x:f>IF(E$1="","",IFERROR(INDEX('包络曲线数据'!$B$2:$U$742,ROW()-1,MATCH(E$1,'包络曲线数据'!$B$1:$U$1,0)),""))</x:f>
      </x:c>
      <x:c r="F675" t="str">
        <x:f>IF(F$1="","",IFERROR(INDEX('包络曲线数据'!$B$2:$U$742,ROW()-1,MATCH(F$1,'包络曲线数据'!$B$1:$U$1,0)),""))</x:f>
      </x:c>
      <x:c r="G675" t="str">
        <x:f>IF(G$1="","",IFERROR(INDEX('包络曲线数据'!$B$2:$U$742,ROW()-1,MATCH(G$1,'包络曲线数据'!$B$1:$U$1,0)),""))</x:f>
      </x:c>
    </x:row>
    <x:row r="676">
      <x:c r="A676" t="n">
        <x:v>67.4</x:v>
      </x:c>
      <x:c r="B676" t="n">
        <x:f>IF(B$1="","",IFERROR(INDEX('包络曲线数据'!$B$2:$U$742,ROW()-1,MATCH(B$1,'包络曲线数据'!$B$1:$U$1,0)),""))</x:f>
        <x:v>51.595284178115094</x:v>
      </x:c>
      <x:c r="C676" t="str">
        <x:f>IF(C$1="","",IFERROR(INDEX('包络曲线数据'!$B$2:$U$742,ROW()-1,MATCH(C$1,'包络曲线数据'!$B$1:$U$1,0)),""))</x:f>
      </x:c>
      <x:c r="D676" t="str">
        <x:f>IF(D$1="","",IFERROR(INDEX('包络曲线数据'!$B$2:$U$742,ROW()-1,MATCH(D$1,'包络曲线数据'!$B$1:$U$1,0)),""))</x:f>
      </x:c>
      <x:c r="E676" t="str">
        <x:f>IF(E$1="","",IFERROR(INDEX('包络曲线数据'!$B$2:$U$742,ROW()-1,MATCH(E$1,'包络曲线数据'!$B$1:$U$1,0)),""))</x:f>
      </x:c>
      <x:c r="F676" t="str">
        <x:f>IF(F$1="","",IFERROR(INDEX('包络曲线数据'!$B$2:$U$742,ROW()-1,MATCH(F$1,'包络曲线数据'!$B$1:$U$1,0)),""))</x:f>
      </x:c>
      <x:c r="G676" t="str">
        <x:f>IF(G$1="","",IFERROR(INDEX('包络曲线数据'!$B$2:$U$742,ROW()-1,MATCH(G$1,'包络曲线数据'!$B$1:$U$1,0)),""))</x:f>
      </x:c>
    </x:row>
    <x:row r="677">
      <x:c r="A677" t="n">
        <x:v>67.5</x:v>
      </x:c>
      <x:c r="B677" t="n">
        <x:f>IF(B$1="","",IFERROR(INDEX('包络曲线数据'!$B$2:$U$742,ROW()-1,MATCH(B$1,'包络曲线数据'!$B$1:$U$1,0)),""))</x:f>
        <x:v>61.80005269642182</x:v>
      </x:c>
      <x:c r="C677" t="str">
        <x:f>IF(C$1="","",IFERROR(INDEX('包络曲线数据'!$B$2:$U$742,ROW()-1,MATCH(C$1,'包络曲线数据'!$B$1:$U$1,0)),""))</x:f>
      </x:c>
      <x:c r="D677" t="str">
        <x:f>IF(D$1="","",IFERROR(INDEX('包络曲线数据'!$B$2:$U$742,ROW()-1,MATCH(D$1,'包络曲线数据'!$B$1:$U$1,0)),""))</x:f>
      </x:c>
      <x:c r="E677" t="str">
        <x:f>IF(E$1="","",IFERROR(INDEX('包络曲线数据'!$B$2:$U$742,ROW()-1,MATCH(E$1,'包络曲线数据'!$B$1:$U$1,0)),""))</x:f>
      </x:c>
      <x:c r="F677" t="str">
        <x:f>IF(F$1="","",IFERROR(INDEX('包络曲线数据'!$B$2:$U$742,ROW()-1,MATCH(F$1,'包络曲线数据'!$B$1:$U$1,0)),""))</x:f>
      </x:c>
      <x:c r="G677" t="str">
        <x:f>IF(G$1="","",IFERROR(INDEX('包络曲线数据'!$B$2:$U$742,ROW()-1,MATCH(G$1,'包络曲线数据'!$B$1:$U$1,0)),""))</x:f>
      </x:c>
    </x:row>
    <x:row r="678">
      <x:c r="A678" t="n">
        <x:v>67.60000000000001</x:v>
      </x:c>
      <x:c r="B678" t="n">
        <x:f>IF(B$1="","",IFERROR(INDEX('包络曲线数据'!$B$2:$U$742,ROW()-1,MATCH(B$1,'包络曲线数据'!$B$1:$U$1,0)),""))</x:f>
        <x:v>65.19563709866371</x:v>
      </x:c>
      <x:c r="C678" t="str">
        <x:f>IF(C$1="","",IFERROR(INDEX('包络曲线数据'!$B$2:$U$742,ROW()-1,MATCH(C$1,'包络曲线数据'!$B$1:$U$1,0)),""))</x:f>
      </x:c>
      <x:c r="D678" t="str">
        <x:f>IF(D$1="","",IFERROR(INDEX('包络曲线数据'!$B$2:$U$742,ROW()-1,MATCH(D$1,'包络曲线数据'!$B$1:$U$1,0)),""))</x:f>
      </x:c>
      <x:c r="E678" t="str">
        <x:f>IF(E$1="","",IFERROR(INDEX('包络曲线数据'!$B$2:$U$742,ROW()-1,MATCH(E$1,'包络曲线数据'!$B$1:$U$1,0)),""))</x:f>
      </x:c>
      <x:c r="F678" t="str">
        <x:f>IF(F$1="","",IFERROR(INDEX('包络曲线数据'!$B$2:$U$742,ROW()-1,MATCH(F$1,'包络曲线数据'!$B$1:$U$1,0)),""))</x:f>
      </x:c>
      <x:c r="G678" t="str">
        <x:f>IF(G$1="","",IFERROR(INDEX('包络曲线数据'!$B$2:$U$742,ROW()-1,MATCH(G$1,'包络曲线数据'!$B$1:$U$1,0)),""))</x:f>
      </x:c>
    </x:row>
    <x:row r="679">
      <x:c r="A679" t="n">
        <x:v>67.7</x:v>
      </x:c>
      <x:c r="B679" t="n">
        <x:f>IF(B$1="","",IFERROR(INDEX('包络曲线数据'!$B$2:$U$742,ROW()-1,MATCH(B$1,'包络曲线数据'!$B$1:$U$1,0)),""))</x:f>
        <x:v>65.19563709866371</x:v>
      </x:c>
      <x:c r="C679" t="str">
        <x:f>IF(C$1="","",IFERROR(INDEX('包络曲线数据'!$B$2:$U$742,ROW()-1,MATCH(C$1,'包络曲线数据'!$B$1:$U$1,0)),""))</x:f>
      </x:c>
      <x:c r="D679" t="str">
        <x:f>IF(D$1="","",IFERROR(INDEX('包络曲线数据'!$B$2:$U$742,ROW()-1,MATCH(D$1,'包络曲线数据'!$B$1:$U$1,0)),""))</x:f>
      </x:c>
      <x:c r="E679" t="str">
        <x:f>IF(E$1="","",IFERROR(INDEX('包络曲线数据'!$B$2:$U$742,ROW()-1,MATCH(E$1,'包络曲线数据'!$B$1:$U$1,0)),""))</x:f>
      </x:c>
      <x:c r="F679" t="str">
        <x:f>IF(F$1="","",IFERROR(INDEX('包络曲线数据'!$B$2:$U$742,ROW()-1,MATCH(F$1,'包络曲线数据'!$B$1:$U$1,0)),""))</x:f>
      </x:c>
      <x:c r="G679" t="str">
        <x:f>IF(G$1="","",IFERROR(INDEX('包络曲线数据'!$B$2:$U$742,ROW()-1,MATCH(G$1,'包络曲线数据'!$B$1:$U$1,0)),""))</x:f>
      </x:c>
    </x:row>
    <x:row r="680">
      <x:c r="A680" t="n">
        <x:v>67.8</x:v>
      </x:c>
      <x:c r="B680" t="n">
        <x:f>IF(B$1="","",IFERROR(INDEX('包络曲线数据'!$B$2:$U$742,ROW()-1,MATCH(B$1,'包络曲线数据'!$B$1:$U$1,0)),""))</x:f>
        <x:v>54.7019909473878</x:v>
      </x:c>
      <x:c r="C680" t="str">
        <x:f>IF(C$1="","",IFERROR(INDEX('包络曲线数据'!$B$2:$U$742,ROW()-1,MATCH(C$1,'包络曲线数据'!$B$1:$U$1,0)),""))</x:f>
      </x:c>
      <x:c r="D680" t="str">
        <x:f>IF(D$1="","",IFERROR(INDEX('包络曲线数据'!$B$2:$U$742,ROW()-1,MATCH(D$1,'包络曲线数据'!$B$1:$U$1,0)),""))</x:f>
      </x:c>
      <x:c r="E680" t="str">
        <x:f>IF(E$1="","",IFERROR(INDEX('包络曲线数据'!$B$2:$U$742,ROW()-1,MATCH(E$1,'包络曲线数据'!$B$1:$U$1,0)),""))</x:f>
      </x:c>
      <x:c r="F680" t="str">
        <x:f>IF(F$1="","",IFERROR(INDEX('包络曲线数据'!$B$2:$U$742,ROW()-1,MATCH(F$1,'包络曲线数据'!$B$1:$U$1,0)),""))</x:f>
      </x:c>
      <x:c r="G680" t="str">
        <x:f>IF(G$1="","",IFERROR(INDEX('包络曲线数据'!$B$2:$U$742,ROW()-1,MATCH(G$1,'包络曲线数据'!$B$1:$U$1,0)),""))</x:f>
      </x:c>
    </x:row>
    <x:row r="681">
      <x:c r="A681" t="n">
        <x:v>67.9</x:v>
      </x:c>
      <x:c r="B681" t="n">
        <x:f>IF(B$1="","",IFERROR(INDEX('包络曲线数据'!$B$2:$U$742,ROW()-1,MATCH(B$1,'包络曲线数据'!$B$1:$U$1,0)),""))</x:f>
        <x:v>70.95997542010724</x:v>
      </x:c>
      <x:c r="C681" t="str">
        <x:f>IF(C$1="","",IFERROR(INDEX('包络曲线数据'!$B$2:$U$742,ROW()-1,MATCH(C$1,'包络曲线数据'!$B$1:$U$1,0)),""))</x:f>
      </x:c>
      <x:c r="D681" t="str">
        <x:f>IF(D$1="","",IFERROR(INDEX('包络曲线数据'!$B$2:$U$742,ROW()-1,MATCH(D$1,'包络曲线数据'!$B$1:$U$1,0)),""))</x:f>
      </x:c>
      <x:c r="E681" t="str">
        <x:f>IF(E$1="","",IFERROR(INDEX('包络曲线数据'!$B$2:$U$742,ROW()-1,MATCH(E$1,'包络曲线数据'!$B$1:$U$1,0)),""))</x:f>
      </x:c>
      <x:c r="F681" t="str">
        <x:f>IF(F$1="","",IFERROR(INDEX('包络曲线数据'!$B$2:$U$742,ROW()-1,MATCH(F$1,'包络曲线数据'!$B$1:$U$1,0)),""))</x:f>
      </x:c>
      <x:c r="G681" t="str">
        <x:f>IF(G$1="","",IFERROR(INDEX('包络曲线数据'!$B$2:$U$742,ROW()-1,MATCH(G$1,'包络曲线数据'!$B$1:$U$1,0)),""))</x:f>
      </x:c>
    </x:row>
    <x:row r="682">
      <x:c r="A682" t="n">
        <x:v>68</x:v>
      </x:c>
      <x:c r="B682" t="n">
        <x:f>IF(B$1="","",IFERROR(INDEX('包络曲线数据'!$B$2:$U$742,ROW()-1,MATCH(B$1,'包络曲线数据'!$B$1:$U$1,0)),""))</x:f>
        <x:v>75.36612908902177</x:v>
      </x:c>
      <x:c r="C682" t="str">
        <x:f>IF(C$1="","",IFERROR(INDEX('包络曲线数据'!$B$2:$U$742,ROW()-1,MATCH(C$1,'包络曲线数据'!$B$1:$U$1,0)),""))</x:f>
      </x:c>
      <x:c r="D682" t="str">
        <x:f>IF(D$1="","",IFERROR(INDEX('包络曲线数据'!$B$2:$U$742,ROW()-1,MATCH(D$1,'包络曲线数据'!$B$1:$U$1,0)),""))</x:f>
      </x:c>
      <x:c r="E682" t="str">
        <x:f>IF(E$1="","",IFERROR(INDEX('包络曲线数据'!$B$2:$U$742,ROW()-1,MATCH(E$1,'包络曲线数据'!$B$1:$U$1,0)),""))</x:f>
      </x:c>
      <x:c r="F682" t="str">
        <x:f>IF(F$1="","",IFERROR(INDEX('包络曲线数据'!$B$2:$U$742,ROW()-1,MATCH(F$1,'包络曲线数据'!$B$1:$U$1,0)),""))</x:f>
      </x:c>
      <x:c r="G682" t="str">
        <x:f>IF(G$1="","",IFERROR(INDEX('包络曲线数据'!$B$2:$U$742,ROW()-1,MATCH(G$1,'包络曲线数据'!$B$1:$U$1,0)),""))</x:f>
      </x:c>
    </x:row>
    <x:row r="683">
      <x:c r="A683" t="n">
        <x:v>68.10000000000001</x:v>
      </x:c>
      <x:c r="B683" t="n">
        <x:f>IF(B$1="","",IFERROR(INDEX('包络曲线数据'!$B$2:$U$742,ROW()-1,MATCH(B$1,'包络曲线数据'!$B$1:$U$1,0)),""))</x:f>
        <x:v>75.36612908902177</x:v>
      </x:c>
      <x:c r="C683" t="str">
        <x:f>IF(C$1="","",IFERROR(INDEX('包络曲线数据'!$B$2:$U$742,ROW()-1,MATCH(C$1,'包络曲线数据'!$B$1:$U$1,0)),""))</x:f>
      </x:c>
      <x:c r="D683" t="str">
        <x:f>IF(D$1="","",IFERROR(INDEX('包络曲线数据'!$B$2:$U$742,ROW()-1,MATCH(D$1,'包络曲线数据'!$B$1:$U$1,0)),""))</x:f>
      </x:c>
      <x:c r="E683" t="str">
        <x:f>IF(E$1="","",IFERROR(INDEX('包络曲线数据'!$B$2:$U$742,ROW()-1,MATCH(E$1,'包络曲线数据'!$B$1:$U$1,0)),""))</x:f>
      </x:c>
      <x:c r="F683" t="str">
        <x:f>IF(F$1="","",IFERROR(INDEX('包络曲线数据'!$B$2:$U$742,ROW()-1,MATCH(F$1,'包络曲线数据'!$B$1:$U$1,0)),""))</x:f>
      </x:c>
      <x:c r="G683" t="str">
        <x:f>IF(G$1="","",IFERROR(INDEX('包络曲线数据'!$B$2:$U$742,ROW()-1,MATCH(G$1,'包络曲线数据'!$B$1:$U$1,0)),""))</x:f>
      </x:c>
    </x:row>
    <x:row r="684">
      <x:c r="A684" t="n">
        <x:v>68.2</x:v>
      </x:c>
      <x:c r="B684" t="n">
        <x:f>IF(B$1="","",IFERROR(INDEX('包络曲线数据'!$B$2:$U$742,ROW()-1,MATCH(B$1,'包络曲线数据'!$B$1:$U$1,0)),""))</x:f>
        <x:v>70.71130293873622</x:v>
      </x:c>
      <x:c r="C684" t="str">
        <x:f>IF(C$1="","",IFERROR(INDEX('包络曲线数据'!$B$2:$U$742,ROW()-1,MATCH(C$1,'包络曲线数据'!$B$1:$U$1,0)),""))</x:f>
      </x:c>
      <x:c r="D684" t="str">
        <x:f>IF(D$1="","",IFERROR(INDEX('包络曲线数据'!$B$2:$U$742,ROW()-1,MATCH(D$1,'包络曲线数据'!$B$1:$U$1,0)),""))</x:f>
      </x:c>
      <x:c r="E684" t="str">
        <x:f>IF(E$1="","",IFERROR(INDEX('包络曲线数据'!$B$2:$U$742,ROW()-1,MATCH(E$1,'包络曲线数据'!$B$1:$U$1,0)),""))</x:f>
      </x:c>
      <x:c r="F684" t="str">
        <x:f>IF(F$1="","",IFERROR(INDEX('包络曲线数据'!$B$2:$U$742,ROW()-1,MATCH(F$1,'包络曲线数据'!$B$1:$U$1,0)),""))</x:f>
      </x:c>
      <x:c r="G684" t="str">
        <x:f>IF(G$1="","",IFERROR(INDEX('包络曲线数据'!$B$2:$U$742,ROW()-1,MATCH(G$1,'包络曲线数据'!$B$1:$U$1,0)),""))</x:f>
      </x:c>
    </x:row>
    <x:row r="685">
      <x:c r="A685" t="n">
        <x:v>68.3</x:v>
      </x:c>
      <x:c r="B685" t="n">
        <x:f>IF(B$1="","",IFERROR(INDEX('包络曲线数据'!$B$2:$U$742,ROW()-1,MATCH(B$1,'包络曲线数据'!$B$1:$U$1,0)),""))</x:f>
        <x:v>65.56458080970923</x:v>
      </x:c>
      <x:c r="C685" t="str">
        <x:f>IF(C$1="","",IFERROR(INDEX('包络曲线数据'!$B$2:$U$742,ROW()-1,MATCH(C$1,'包络曲线数据'!$B$1:$U$1,0)),""))</x:f>
      </x:c>
      <x:c r="D685" t="str">
        <x:f>IF(D$1="","",IFERROR(INDEX('包络曲线数据'!$B$2:$U$742,ROW()-1,MATCH(D$1,'包络曲线数据'!$B$1:$U$1,0)),""))</x:f>
      </x:c>
      <x:c r="E685" t="str">
        <x:f>IF(E$1="","",IFERROR(INDEX('包络曲线数据'!$B$2:$U$742,ROW()-1,MATCH(E$1,'包络曲线数据'!$B$1:$U$1,0)),""))</x:f>
      </x:c>
      <x:c r="F685" t="str">
        <x:f>IF(F$1="","",IFERROR(INDEX('包络曲线数据'!$B$2:$U$742,ROW()-1,MATCH(F$1,'包络曲线数据'!$B$1:$U$1,0)),""))</x:f>
      </x:c>
      <x:c r="G685" t="str">
        <x:f>IF(G$1="","",IFERROR(INDEX('包络曲线数据'!$B$2:$U$742,ROW()-1,MATCH(G$1,'包络曲线数据'!$B$1:$U$1,0)),""))</x:f>
      </x:c>
    </x:row>
    <x:row r="686">
      <x:c r="A686" t="n">
        <x:v>68.4</x:v>
      </x:c>
      <x:c r="B686" t="n">
        <x:f>IF(B$1="","",IFERROR(INDEX('包络曲线数据'!$B$2:$U$742,ROW()-1,MATCH(B$1,'包络曲线数据'!$B$1:$U$1,0)),""))</x:f>
        <x:v>65.89536748372812</x:v>
      </x:c>
      <x:c r="C686" t="str">
        <x:f>IF(C$1="","",IFERROR(INDEX('包络曲线数据'!$B$2:$U$742,ROW()-1,MATCH(C$1,'包络曲线数据'!$B$1:$U$1,0)),""))</x:f>
      </x:c>
      <x:c r="D686" t="str">
        <x:f>IF(D$1="","",IFERROR(INDEX('包络曲线数据'!$B$2:$U$742,ROW()-1,MATCH(D$1,'包络曲线数据'!$B$1:$U$1,0)),""))</x:f>
      </x:c>
      <x:c r="E686" t="str">
        <x:f>IF(E$1="","",IFERROR(INDEX('包络曲线数据'!$B$2:$U$742,ROW()-1,MATCH(E$1,'包络曲线数据'!$B$1:$U$1,0)),""))</x:f>
      </x:c>
      <x:c r="F686" t="str">
        <x:f>IF(F$1="","",IFERROR(INDEX('包络曲线数据'!$B$2:$U$742,ROW()-1,MATCH(F$1,'包络曲线数据'!$B$1:$U$1,0)),""))</x:f>
      </x:c>
      <x:c r="G686" t="str">
        <x:f>IF(G$1="","",IFERROR(INDEX('包络曲线数据'!$B$2:$U$742,ROW()-1,MATCH(G$1,'包络曲线数据'!$B$1:$U$1,0)),""))</x:f>
      </x:c>
    </x:row>
    <x:row r="687">
      <x:c r="A687" t="n">
        <x:v>68.5</x:v>
      </x:c>
      <x:c r="B687" t="n">
        <x:f>IF(B$1="","",IFERROR(INDEX('包络曲线数据'!$B$2:$U$742,ROW()-1,MATCH(B$1,'包络曲线数据'!$B$1:$U$1,0)),""))</x:f>
        <x:v>67.57072262564046</x:v>
      </x:c>
      <x:c r="C687" t="str">
        <x:f>IF(C$1="","",IFERROR(INDEX('包络曲线数据'!$B$2:$U$742,ROW()-1,MATCH(C$1,'包络曲线数据'!$B$1:$U$1,0)),""))</x:f>
      </x:c>
      <x:c r="D687" t="str">
        <x:f>IF(D$1="","",IFERROR(INDEX('包络曲线数据'!$B$2:$U$742,ROW()-1,MATCH(D$1,'包络曲线数据'!$B$1:$U$1,0)),""))</x:f>
      </x:c>
      <x:c r="E687" t="str">
        <x:f>IF(E$1="","",IFERROR(INDEX('包络曲线数据'!$B$2:$U$742,ROW()-1,MATCH(E$1,'包络曲线数据'!$B$1:$U$1,0)),""))</x:f>
      </x:c>
      <x:c r="F687" t="str">
        <x:f>IF(F$1="","",IFERROR(INDEX('包络曲线数据'!$B$2:$U$742,ROW()-1,MATCH(F$1,'包络曲线数据'!$B$1:$U$1,0)),""))</x:f>
      </x:c>
      <x:c r="G687" t="str">
        <x:f>IF(G$1="","",IFERROR(INDEX('包络曲线数据'!$B$2:$U$742,ROW()-1,MATCH(G$1,'包络曲线数据'!$B$1:$U$1,0)),""))</x:f>
      </x:c>
    </x:row>
    <x:row r="688">
      <x:c r="A688" t="n">
        <x:v>68.60000000000001</x:v>
      </x:c>
      <x:c r="B688" t="n">
        <x:f>IF(B$1="","",IFERROR(INDEX('包络曲线数据'!$B$2:$U$742,ROW()-1,MATCH(B$1,'包络曲线数据'!$B$1:$U$1,0)),""))</x:f>
        <x:v>69.07695336353322</x:v>
      </x:c>
      <x:c r="C688" t="str">
        <x:f>IF(C$1="","",IFERROR(INDEX('包络曲线数据'!$B$2:$U$742,ROW()-1,MATCH(C$1,'包络曲线数据'!$B$1:$U$1,0)),""))</x:f>
      </x:c>
      <x:c r="D688" t="str">
        <x:f>IF(D$1="","",IFERROR(INDEX('包络曲线数据'!$B$2:$U$742,ROW()-1,MATCH(D$1,'包络曲线数据'!$B$1:$U$1,0)),""))</x:f>
      </x:c>
      <x:c r="E688" t="str">
        <x:f>IF(E$1="","",IFERROR(INDEX('包络曲线数据'!$B$2:$U$742,ROW()-1,MATCH(E$1,'包络曲线数据'!$B$1:$U$1,0)),""))</x:f>
      </x:c>
      <x:c r="F688" t="str">
        <x:f>IF(F$1="","",IFERROR(INDEX('包络曲线数据'!$B$2:$U$742,ROW()-1,MATCH(F$1,'包络曲线数据'!$B$1:$U$1,0)),""))</x:f>
      </x:c>
      <x:c r="G688" t="str">
        <x:f>IF(G$1="","",IFERROR(INDEX('包络曲线数据'!$B$2:$U$742,ROW()-1,MATCH(G$1,'包络曲线数据'!$B$1:$U$1,0)),""))</x:f>
      </x:c>
    </x:row>
    <x:row r="689">
      <x:c r="A689" t="n">
        <x:v>68.7</x:v>
      </x:c>
      <x:c r="B689" t="n">
        <x:f>IF(B$1="","",IFERROR(INDEX('包络曲线数据'!$B$2:$U$742,ROW()-1,MATCH(B$1,'包络曲线数据'!$B$1:$U$1,0)),""))</x:f>
        <x:v>69.26775889320841</x:v>
      </x:c>
      <x:c r="C689" t="str">
        <x:f>IF(C$1="","",IFERROR(INDEX('包络曲线数据'!$B$2:$U$742,ROW()-1,MATCH(C$1,'包络曲线数据'!$B$1:$U$1,0)),""))</x:f>
      </x:c>
      <x:c r="D689" t="str">
        <x:f>IF(D$1="","",IFERROR(INDEX('包络曲线数据'!$B$2:$U$742,ROW()-1,MATCH(D$1,'包络曲线数据'!$B$1:$U$1,0)),""))</x:f>
      </x:c>
      <x:c r="E689" t="str">
        <x:f>IF(E$1="","",IFERROR(INDEX('包络曲线数据'!$B$2:$U$742,ROW()-1,MATCH(E$1,'包络曲线数据'!$B$1:$U$1,0)),""))</x:f>
      </x:c>
      <x:c r="F689" t="str">
        <x:f>IF(F$1="","",IFERROR(INDEX('包络曲线数据'!$B$2:$U$742,ROW()-1,MATCH(F$1,'包络曲线数据'!$B$1:$U$1,0)),""))</x:f>
      </x:c>
      <x:c r="G689" t="str">
        <x:f>IF(G$1="","",IFERROR(INDEX('包络曲线数据'!$B$2:$U$742,ROW()-1,MATCH(G$1,'包络曲线数据'!$B$1:$U$1,0)),""))</x:f>
      </x:c>
    </x:row>
    <x:row r="690">
      <x:c r="A690" t="n">
        <x:v>68.8</x:v>
      </x:c>
      <x:c r="B690" t="n">
        <x:f>IF(B$1="","",IFERROR(INDEX('包络曲线数据'!$B$2:$U$742,ROW()-1,MATCH(B$1,'包络曲线数据'!$B$1:$U$1,0)),""))</x:f>
        <x:v>68.47563077630213</x:v>
      </x:c>
      <x:c r="C690" t="str">
        <x:f>IF(C$1="","",IFERROR(INDEX('包络曲线数据'!$B$2:$U$742,ROW()-1,MATCH(C$1,'包络曲线数据'!$B$1:$U$1,0)),""))</x:f>
      </x:c>
      <x:c r="D690" t="str">
        <x:f>IF(D$1="","",IFERROR(INDEX('包络曲线数据'!$B$2:$U$742,ROW()-1,MATCH(D$1,'包络曲线数据'!$B$1:$U$1,0)),""))</x:f>
      </x:c>
      <x:c r="E690" t="str">
        <x:f>IF(E$1="","",IFERROR(INDEX('包络曲线数据'!$B$2:$U$742,ROW()-1,MATCH(E$1,'包络曲线数据'!$B$1:$U$1,0)),""))</x:f>
      </x:c>
      <x:c r="F690" t="str">
        <x:f>IF(F$1="","",IFERROR(INDEX('包络曲线数据'!$B$2:$U$742,ROW()-1,MATCH(F$1,'包络曲线数据'!$B$1:$U$1,0)),""))</x:f>
      </x:c>
      <x:c r="G690" t="str">
        <x:f>IF(G$1="","",IFERROR(INDEX('包络曲线数据'!$B$2:$U$742,ROW()-1,MATCH(G$1,'包络曲线数据'!$B$1:$U$1,0)),""))</x:f>
      </x:c>
    </x:row>
    <x:row r="691">
      <x:c r="A691" t="n">
        <x:v>68.9</x:v>
      </x:c>
      <x:c r="B691" t="n">
        <x:f>IF(B$1="","",IFERROR(INDEX('包络曲线数据'!$B$2:$U$742,ROW()-1,MATCH(B$1,'包络曲线数据'!$B$1:$U$1,0)),""))</x:f>
        <x:v>69.89655934846132</x:v>
      </x:c>
      <x:c r="C691" t="str">
        <x:f>IF(C$1="","",IFERROR(INDEX('包络曲线数据'!$B$2:$U$742,ROW()-1,MATCH(C$1,'包络曲线数据'!$B$1:$U$1,0)),""))</x:f>
      </x:c>
      <x:c r="D691" t="str">
        <x:f>IF(D$1="","",IFERROR(INDEX('包络曲线数据'!$B$2:$U$742,ROW()-1,MATCH(D$1,'包络曲线数据'!$B$1:$U$1,0)),""))</x:f>
      </x:c>
      <x:c r="E691" t="str">
        <x:f>IF(E$1="","",IFERROR(INDEX('包络曲线数据'!$B$2:$U$742,ROW()-1,MATCH(E$1,'包络曲线数据'!$B$1:$U$1,0)),""))</x:f>
      </x:c>
      <x:c r="F691" t="str">
        <x:f>IF(F$1="","",IFERROR(INDEX('包络曲线数据'!$B$2:$U$742,ROW()-1,MATCH(F$1,'包络曲线数据'!$B$1:$U$1,0)),""))</x:f>
      </x:c>
      <x:c r="G691" t="str">
        <x:f>IF(G$1="","",IFERROR(INDEX('包络曲线数据'!$B$2:$U$742,ROW()-1,MATCH(G$1,'包络曲线数据'!$B$1:$U$1,0)),""))</x:f>
      </x:c>
    </x:row>
    <x:row r="692">
      <x:c r="A692" t="n">
        <x:v>69</x:v>
      </x:c>
      <x:c r="B692" t="n">
        <x:f>IF(B$1="","",IFERROR(INDEX('包络曲线数据'!$B$2:$U$742,ROW()-1,MATCH(B$1,'包络曲线数据'!$B$1:$U$1,0)),""))</x:f>
        <x:v>70.0827450469409</x:v>
      </x:c>
      <x:c r="C692" t="str">
        <x:f>IF(C$1="","",IFERROR(INDEX('包络曲线数据'!$B$2:$U$742,ROW()-1,MATCH(C$1,'包络曲线数据'!$B$1:$U$1,0)),""))</x:f>
      </x:c>
      <x:c r="D692" t="str">
        <x:f>IF(D$1="","",IFERROR(INDEX('包络曲线数据'!$B$2:$U$742,ROW()-1,MATCH(D$1,'包络曲线数据'!$B$1:$U$1,0)),""))</x:f>
      </x:c>
      <x:c r="E692" t="str">
        <x:f>IF(E$1="","",IFERROR(INDEX('包络曲线数据'!$B$2:$U$742,ROW()-1,MATCH(E$1,'包络曲线数据'!$B$1:$U$1,0)),""))</x:f>
      </x:c>
      <x:c r="F692" t="str">
        <x:f>IF(F$1="","",IFERROR(INDEX('包络曲线数据'!$B$2:$U$742,ROW()-1,MATCH(F$1,'包络曲线数据'!$B$1:$U$1,0)),""))</x:f>
      </x:c>
      <x:c r="G692" t="str">
        <x:f>IF(G$1="","",IFERROR(INDEX('包络曲线数据'!$B$2:$U$742,ROW()-1,MATCH(G$1,'包络曲线数据'!$B$1:$U$1,0)),""))</x:f>
      </x:c>
    </x:row>
    <x:row r="693">
      <x:c r="A693" t="n">
        <x:v>69.10000000000001</x:v>
      </x:c>
      <x:c r="B693" t="n">
        <x:f>IF(B$1="","",IFERROR(INDEX('包络曲线数据'!$B$2:$U$742,ROW()-1,MATCH(B$1,'包络曲线数据'!$B$1:$U$1,0)),""))</x:f>
        <x:v>70.08274504694057</x:v>
      </x:c>
      <x:c r="C693" t="str">
        <x:f>IF(C$1="","",IFERROR(INDEX('包络曲线数据'!$B$2:$U$742,ROW()-1,MATCH(C$1,'包络曲线数据'!$B$1:$U$1,0)),""))</x:f>
      </x:c>
      <x:c r="D693" t="str">
        <x:f>IF(D$1="","",IFERROR(INDEX('包络曲线数据'!$B$2:$U$742,ROW()-1,MATCH(D$1,'包络曲线数据'!$B$1:$U$1,0)),""))</x:f>
      </x:c>
      <x:c r="E693" t="str">
        <x:f>IF(E$1="","",IFERROR(INDEX('包络曲线数据'!$B$2:$U$742,ROW()-1,MATCH(E$1,'包络曲线数据'!$B$1:$U$1,0)),""))</x:f>
      </x:c>
      <x:c r="F693" t="str">
        <x:f>IF(F$1="","",IFERROR(INDEX('包络曲线数据'!$B$2:$U$742,ROW()-1,MATCH(F$1,'包络曲线数据'!$B$1:$U$1,0)),""))</x:f>
      </x:c>
      <x:c r="G693" t="str">
        <x:f>IF(G$1="","",IFERROR(INDEX('包络曲线数据'!$B$2:$U$742,ROW()-1,MATCH(G$1,'包络曲线数据'!$B$1:$U$1,0)),""))</x:f>
      </x:c>
    </x:row>
    <x:row r="694">
      <x:c r="A694" t="n">
        <x:v>69.2</x:v>
      </x:c>
      <x:c r="B694" t="n">
        <x:f>IF(B$1="","",IFERROR(INDEX('包络曲线数据'!$B$2:$U$742,ROW()-1,MATCH(B$1,'包络曲线数据'!$B$1:$U$1,0)),""))</x:f>
        <x:v>69.45247551235877</x:v>
      </x:c>
      <x:c r="C694" t="str">
        <x:f>IF(C$1="","",IFERROR(INDEX('包络曲线数据'!$B$2:$U$742,ROW()-1,MATCH(C$1,'包络曲线数据'!$B$1:$U$1,0)),""))</x:f>
      </x:c>
      <x:c r="D694" t="str">
        <x:f>IF(D$1="","",IFERROR(INDEX('包络曲线数据'!$B$2:$U$742,ROW()-1,MATCH(D$1,'包络曲线数据'!$B$1:$U$1,0)),""))</x:f>
      </x:c>
      <x:c r="E694" t="str">
        <x:f>IF(E$1="","",IFERROR(INDEX('包络曲线数据'!$B$2:$U$742,ROW()-1,MATCH(E$1,'包络曲线数据'!$B$1:$U$1,0)),""))</x:f>
      </x:c>
      <x:c r="F694" t="str">
        <x:f>IF(F$1="","",IFERROR(INDEX('包络曲线数据'!$B$2:$U$742,ROW()-1,MATCH(F$1,'包络曲线数据'!$B$1:$U$1,0)),""))</x:f>
      </x:c>
      <x:c r="G694" t="str">
        <x:f>IF(G$1="","",IFERROR(INDEX('包络曲线数据'!$B$2:$U$742,ROW()-1,MATCH(G$1,'包络曲线数据'!$B$1:$U$1,0)),""))</x:f>
      </x:c>
    </x:row>
    <x:row r="695">
      <x:c r="A695" t="n">
        <x:v>69.3</x:v>
      </x:c>
      <x:c r="B695" t="n">
        <x:f>IF(B$1="","",IFERROR(INDEX('包络曲线数据'!$B$2:$U$742,ROW()-1,MATCH(B$1,'包络曲线数据'!$B$1:$U$1,0)),""))</x:f>
        <x:v>69.23304373618984</x:v>
      </x:c>
      <x:c r="C695" t="str">
        <x:f>IF(C$1="","",IFERROR(INDEX('包络曲线数据'!$B$2:$U$742,ROW()-1,MATCH(C$1,'包络曲线数据'!$B$1:$U$1,0)),""))</x:f>
      </x:c>
      <x:c r="D695" t="str">
        <x:f>IF(D$1="","",IFERROR(INDEX('包络曲线数据'!$B$2:$U$742,ROW()-1,MATCH(D$1,'包络曲线数据'!$B$1:$U$1,0)),""))</x:f>
      </x:c>
      <x:c r="E695" t="str">
        <x:f>IF(E$1="","",IFERROR(INDEX('包络曲线数据'!$B$2:$U$742,ROW()-1,MATCH(E$1,'包络曲线数据'!$B$1:$U$1,0)),""))</x:f>
      </x:c>
      <x:c r="F695" t="str">
        <x:f>IF(F$1="","",IFERROR(INDEX('包络曲线数据'!$B$2:$U$742,ROW()-1,MATCH(F$1,'包络曲线数据'!$B$1:$U$1,0)),""))</x:f>
      </x:c>
      <x:c r="G695" t="str">
        <x:f>IF(G$1="","",IFERROR(INDEX('包络曲线数据'!$B$2:$U$742,ROW()-1,MATCH(G$1,'包络曲线数据'!$B$1:$U$1,0)),""))</x:f>
      </x:c>
    </x:row>
    <x:row r="696">
      <x:c r="A696" t="n">
        <x:v>69.4</x:v>
      </x:c>
      <x:c r="B696" t="n">
        <x:f>IF(B$1="","",IFERROR(INDEX('包络曲线数据'!$B$2:$U$742,ROW()-1,MATCH(B$1,'包络曲线数据'!$B$1:$U$1,0)),""))</x:f>
        <x:v>70.27690264172026</x:v>
      </x:c>
      <x:c r="C696" t="str">
        <x:f>IF(C$1="","",IFERROR(INDEX('包络曲线数据'!$B$2:$U$742,ROW()-1,MATCH(C$1,'包络曲线数据'!$B$1:$U$1,0)),""))</x:f>
      </x:c>
      <x:c r="D696" t="str">
        <x:f>IF(D$1="","",IFERROR(INDEX('包络曲线数据'!$B$2:$U$742,ROW()-1,MATCH(D$1,'包络曲线数据'!$B$1:$U$1,0)),""))</x:f>
      </x:c>
      <x:c r="E696" t="str">
        <x:f>IF(E$1="","",IFERROR(INDEX('包络曲线数据'!$B$2:$U$742,ROW()-1,MATCH(E$1,'包络曲线数据'!$B$1:$U$1,0)),""))</x:f>
      </x:c>
      <x:c r="F696" t="str">
        <x:f>IF(F$1="","",IFERROR(INDEX('包络曲线数据'!$B$2:$U$742,ROW()-1,MATCH(F$1,'包络曲线数据'!$B$1:$U$1,0)),""))</x:f>
      </x:c>
      <x:c r="G696" t="str">
        <x:f>IF(G$1="","",IFERROR(INDEX('包络曲线数据'!$B$2:$U$742,ROW()-1,MATCH(G$1,'包络曲线数据'!$B$1:$U$1,0)),""))</x:f>
      </x:c>
    </x:row>
    <x:row r="697">
      <x:c r="A697" t="n">
        <x:v>69.5</x:v>
      </x:c>
      <x:c r="B697" t="n">
        <x:f>IF(B$1="","",IFERROR(INDEX('包络曲线数据'!$B$2:$U$742,ROW()-1,MATCH(B$1,'包络曲线数据'!$B$1:$U$1,0)),""))</x:f>
        <x:v>70.27690264172026</x:v>
      </x:c>
      <x:c r="C697" t="str">
        <x:f>IF(C$1="","",IFERROR(INDEX('包络曲线数据'!$B$2:$U$742,ROW()-1,MATCH(C$1,'包络曲线数据'!$B$1:$U$1,0)),""))</x:f>
      </x:c>
      <x:c r="D697" t="str">
        <x:f>IF(D$1="","",IFERROR(INDEX('包络曲线数据'!$B$2:$U$742,ROW()-1,MATCH(D$1,'包络曲线数据'!$B$1:$U$1,0)),""))</x:f>
      </x:c>
      <x:c r="E697" t="str">
        <x:f>IF(E$1="","",IFERROR(INDEX('包络曲线数据'!$B$2:$U$742,ROW()-1,MATCH(E$1,'包络曲线数据'!$B$1:$U$1,0)),""))</x:f>
      </x:c>
      <x:c r="F697" t="str">
        <x:f>IF(F$1="","",IFERROR(INDEX('包络曲线数据'!$B$2:$U$742,ROW()-1,MATCH(F$1,'包络曲线数据'!$B$1:$U$1,0)),""))</x:f>
      </x:c>
      <x:c r="G697" t="str">
        <x:f>IF(G$1="","",IFERROR(INDEX('包络曲线数据'!$B$2:$U$742,ROW()-1,MATCH(G$1,'包络曲线数据'!$B$1:$U$1,0)),""))</x:f>
      </x:c>
    </x:row>
    <x:row r="698">
      <x:c r="A698" t="n">
        <x:v>69.60000000000001</x:v>
      </x:c>
      <x:c r="B698" t="n">
        <x:f>IF(B$1="","",IFERROR(INDEX('包络曲线数据'!$B$2:$U$742,ROW()-1,MATCH(B$1,'包络曲线数据'!$B$1:$U$1,0)),""))</x:f>
        <x:v>69.14414646805433</x:v>
      </x:c>
      <x:c r="C698" t="str">
        <x:f>IF(C$1="","",IFERROR(INDEX('包络曲线数据'!$B$2:$U$742,ROW()-1,MATCH(C$1,'包络曲线数据'!$B$1:$U$1,0)),""))</x:f>
      </x:c>
      <x:c r="D698" t="str">
        <x:f>IF(D$1="","",IFERROR(INDEX('包络曲线数据'!$B$2:$U$742,ROW()-1,MATCH(D$1,'包络曲线数据'!$B$1:$U$1,0)),""))</x:f>
      </x:c>
      <x:c r="E698" t="str">
        <x:f>IF(E$1="","",IFERROR(INDEX('包络曲线数据'!$B$2:$U$742,ROW()-1,MATCH(E$1,'包络曲线数据'!$B$1:$U$1,0)),""))</x:f>
      </x:c>
      <x:c r="F698" t="str">
        <x:f>IF(F$1="","",IFERROR(INDEX('包络曲线数据'!$B$2:$U$742,ROW()-1,MATCH(F$1,'包络曲线数据'!$B$1:$U$1,0)),""))</x:f>
      </x:c>
      <x:c r="G698" t="str">
        <x:f>IF(G$1="","",IFERROR(INDEX('包络曲线数据'!$B$2:$U$742,ROW()-1,MATCH(G$1,'包络曲线数据'!$B$1:$U$1,0)),""))</x:f>
      </x:c>
    </x:row>
    <x:row r="699">
      <x:c r="A699" t="n">
        <x:v>69.7</x:v>
      </x:c>
      <x:c r="B699" t="n">
        <x:f>IF(B$1="","",IFERROR(INDEX('包络曲线数据'!$B$2:$U$742,ROW()-1,MATCH(B$1,'包络曲线数据'!$B$1:$U$1,0)),""))</x:f>
        <x:v>76.11832006278647</x:v>
      </x:c>
      <x:c r="C699" t="str">
        <x:f>IF(C$1="","",IFERROR(INDEX('包络曲线数据'!$B$2:$U$742,ROW()-1,MATCH(C$1,'包络曲线数据'!$B$1:$U$1,0)),""))</x:f>
      </x:c>
      <x:c r="D699" t="str">
        <x:f>IF(D$1="","",IFERROR(INDEX('包络曲线数据'!$B$2:$U$742,ROW()-1,MATCH(D$1,'包络曲线数据'!$B$1:$U$1,0)),""))</x:f>
      </x:c>
      <x:c r="E699" t="str">
        <x:f>IF(E$1="","",IFERROR(INDEX('包络曲线数据'!$B$2:$U$742,ROW()-1,MATCH(E$1,'包络曲线数据'!$B$1:$U$1,0)),""))</x:f>
      </x:c>
      <x:c r="F699" t="str">
        <x:f>IF(F$1="","",IFERROR(INDEX('包络曲线数据'!$B$2:$U$742,ROW()-1,MATCH(F$1,'包络曲线数据'!$B$1:$U$1,0)),""))</x:f>
      </x:c>
      <x:c r="G699" t="str">
        <x:f>IF(G$1="","",IFERROR(INDEX('包络曲线数据'!$B$2:$U$742,ROW()-1,MATCH(G$1,'包络曲线数据'!$B$1:$U$1,0)),""))</x:f>
      </x:c>
    </x:row>
    <x:row r="700">
      <x:c r="A700" t="n">
        <x:v>69.8</x:v>
      </x:c>
      <x:c r="B700" t="n">
        <x:f>IF(B$1="","",IFERROR(INDEX('包络曲线数据'!$B$2:$U$742,ROW()-1,MATCH(B$1,'包络曲线数据'!$B$1:$U$1,0)),""))</x:f>
        <x:v>76.11832006278647</x:v>
      </x:c>
      <x:c r="C700" t="str">
        <x:f>IF(C$1="","",IFERROR(INDEX('包络曲线数据'!$B$2:$U$742,ROW()-1,MATCH(C$1,'包络曲线数据'!$B$1:$U$1,0)),""))</x:f>
      </x:c>
      <x:c r="D700" t="str">
        <x:f>IF(D$1="","",IFERROR(INDEX('包络曲线数据'!$B$2:$U$742,ROW()-1,MATCH(D$1,'包络曲线数据'!$B$1:$U$1,0)),""))</x:f>
      </x:c>
      <x:c r="E700" t="str">
        <x:f>IF(E$1="","",IFERROR(INDEX('包络曲线数据'!$B$2:$U$742,ROW()-1,MATCH(E$1,'包络曲线数据'!$B$1:$U$1,0)),""))</x:f>
      </x:c>
      <x:c r="F700" t="str">
        <x:f>IF(F$1="","",IFERROR(INDEX('包络曲线数据'!$B$2:$U$742,ROW()-1,MATCH(F$1,'包络曲线数据'!$B$1:$U$1,0)),""))</x:f>
      </x:c>
      <x:c r="G700" t="str">
        <x:f>IF(G$1="","",IFERROR(INDEX('包络曲线数据'!$B$2:$U$742,ROW()-1,MATCH(G$1,'包络曲线数据'!$B$1:$U$1,0)),""))</x:f>
      </x:c>
    </x:row>
    <x:row r="701">
      <x:c r="A701" t="n">
        <x:v>69.9</x:v>
      </x:c>
      <x:c r="B701" t="n">
        <x:f>IF(B$1="","",IFERROR(INDEX('包络曲线数据'!$B$2:$U$742,ROW()-1,MATCH(B$1,'包络曲线数据'!$B$1:$U$1,0)),""))</x:f>
        <x:v>73.16857685786229</x:v>
      </x:c>
      <x:c r="C701" t="str">
        <x:f>IF(C$1="","",IFERROR(INDEX('包络曲线数据'!$B$2:$U$742,ROW()-1,MATCH(C$1,'包络曲线数据'!$B$1:$U$1,0)),""))</x:f>
      </x:c>
      <x:c r="D701" t="str">
        <x:f>IF(D$1="","",IFERROR(INDEX('包络曲线数据'!$B$2:$U$742,ROW()-1,MATCH(D$1,'包络曲线数据'!$B$1:$U$1,0)),""))</x:f>
      </x:c>
      <x:c r="E701" t="str">
        <x:f>IF(E$1="","",IFERROR(INDEX('包络曲线数据'!$B$2:$U$742,ROW()-1,MATCH(E$1,'包络曲线数据'!$B$1:$U$1,0)),""))</x:f>
      </x:c>
      <x:c r="F701" t="str">
        <x:f>IF(F$1="","",IFERROR(INDEX('包络曲线数据'!$B$2:$U$742,ROW()-1,MATCH(F$1,'包络曲线数据'!$B$1:$U$1,0)),""))</x:f>
      </x:c>
      <x:c r="G701" t="str">
        <x:f>IF(G$1="","",IFERROR(INDEX('包络曲线数据'!$B$2:$U$742,ROW()-1,MATCH(G$1,'包络曲线数据'!$B$1:$U$1,0)),""))</x:f>
      </x:c>
    </x:row>
    <x:row r="702">
      <x:c r="A702" t="n">
        <x:v>70</x:v>
      </x:c>
      <x:c r="B702" t="n">
        <x:f>IF(B$1="","",IFERROR(INDEX('包络曲线数据'!$B$2:$U$742,ROW()-1,MATCH(B$1,'包络曲线数据'!$B$1:$U$1,0)),""))</x:f>
        <x:v>60.28172073300888</x:v>
      </x:c>
      <x:c r="C702" t="str">
        <x:f>IF(C$1="","",IFERROR(INDEX('包络曲线数据'!$B$2:$U$742,ROW()-1,MATCH(C$1,'包络曲线数据'!$B$1:$U$1,0)),""))</x:f>
      </x:c>
      <x:c r="D702" t="str">
        <x:f>IF(D$1="","",IFERROR(INDEX('包络曲线数据'!$B$2:$U$742,ROW()-1,MATCH(D$1,'包络曲线数据'!$B$1:$U$1,0)),""))</x:f>
      </x:c>
      <x:c r="E702" t="str">
        <x:f>IF(E$1="","",IFERROR(INDEX('包络曲线数据'!$B$2:$U$742,ROW()-1,MATCH(E$1,'包络曲线数据'!$B$1:$U$1,0)),""))</x:f>
      </x:c>
      <x:c r="F702" t="str">
        <x:f>IF(F$1="","",IFERROR(INDEX('包络曲线数据'!$B$2:$U$742,ROW()-1,MATCH(F$1,'包络曲线数据'!$B$1:$U$1,0)),""))</x:f>
      </x:c>
      <x:c r="G702" t="str">
        <x:f>IF(G$1="","",IFERROR(INDEX('包络曲线数据'!$B$2:$U$742,ROW()-1,MATCH(G$1,'包络曲线数据'!$B$1:$U$1,0)),""))</x:f>
      </x:c>
    </x:row>
    <x:row r="703">
      <x:c r="A703" t="n">
        <x:v>70.10000000000001</x:v>
      </x:c>
      <x:c r="B703" t="n">
        <x:f>IF(B$1="","",IFERROR(INDEX('包络曲线数据'!$B$2:$U$742,ROW()-1,MATCH(B$1,'包络曲线数据'!$B$1:$U$1,0)),""))</x:f>
        <x:v>59.524282212660765</x:v>
      </x:c>
      <x:c r="C703" t="str">
        <x:f>IF(C$1="","",IFERROR(INDEX('包络曲线数据'!$B$2:$U$742,ROW()-1,MATCH(C$1,'包络曲线数据'!$B$1:$U$1,0)),""))</x:f>
      </x:c>
      <x:c r="D703" t="str">
        <x:f>IF(D$1="","",IFERROR(INDEX('包络曲线数据'!$B$2:$U$742,ROW()-1,MATCH(D$1,'包络曲线数据'!$B$1:$U$1,0)),""))</x:f>
      </x:c>
      <x:c r="E703" t="str">
        <x:f>IF(E$1="","",IFERROR(INDEX('包络曲线数据'!$B$2:$U$742,ROW()-1,MATCH(E$1,'包络曲线数据'!$B$1:$U$1,0)),""))</x:f>
      </x:c>
      <x:c r="F703" t="str">
        <x:f>IF(F$1="","",IFERROR(INDEX('包络曲线数据'!$B$2:$U$742,ROW()-1,MATCH(F$1,'包络曲线数据'!$B$1:$U$1,0)),""))</x:f>
      </x:c>
      <x:c r="G703" t="str">
        <x:f>IF(G$1="","",IFERROR(INDEX('包络曲线数据'!$B$2:$U$742,ROW()-1,MATCH(G$1,'包络曲线数据'!$B$1:$U$1,0)),""))</x:f>
      </x:c>
    </x:row>
    <x:row r="704">
      <x:c r="A704" t="n">
        <x:v>70.2</x:v>
      </x:c>
      <x:c r="B704" t="n">
        <x:f>IF(B$1="","",IFERROR(INDEX('包络曲线数据'!$B$2:$U$742,ROW()-1,MATCH(B$1,'包络曲线数据'!$B$1:$U$1,0)),""))</x:f>
        <x:v>62.63985398025912</x:v>
      </x:c>
      <x:c r="C704" t="str">
        <x:f>IF(C$1="","",IFERROR(INDEX('包络曲线数据'!$B$2:$U$742,ROW()-1,MATCH(C$1,'包络曲线数据'!$B$1:$U$1,0)),""))</x:f>
      </x:c>
      <x:c r="D704" t="str">
        <x:f>IF(D$1="","",IFERROR(INDEX('包络曲线数据'!$B$2:$U$742,ROW()-1,MATCH(D$1,'包络曲线数据'!$B$1:$U$1,0)),""))</x:f>
      </x:c>
      <x:c r="E704" t="str">
        <x:f>IF(E$1="","",IFERROR(INDEX('包络曲线数据'!$B$2:$U$742,ROW()-1,MATCH(E$1,'包络曲线数据'!$B$1:$U$1,0)),""))</x:f>
      </x:c>
      <x:c r="F704" t="str">
        <x:f>IF(F$1="","",IFERROR(INDEX('包络曲线数据'!$B$2:$U$742,ROW()-1,MATCH(F$1,'包络曲线数据'!$B$1:$U$1,0)),""))</x:f>
      </x:c>
      <x:c r="G704" t="str">
        <x:f>IF(G$1="","",IFERROR(INDEX('包络曲线数据'!$B$2:$U$742,ROW()-1,MATCH(G$1,'包络曲线数据'!$B$1:$U$1,0)),""))</x:f>
      </x:c>
    </x:row>
    <x:row r="705">
      <x:c r="A705" t="n">
        <x:v>70.3</x:v>
      </x:c>
      <x:c r="B705" t="n">
        <x:f>IF(B$1="","",IFERROR(INDEX('包络曲线数据'!$B$2:$U$742,ROW()-1,MATCH(B$1,'包络曲线数据'!$B$1:$U$1,0)),""))</x:f>
        <x:v>62.98616887962283</x:v>
      </x:c>
      <x:c r="C705" t="str">
        <x:f>IF(C$1="","",IFERROR(INDEX('包络曲线数据'!$B$2:$U$742,ROW()-1,MATCH(C$1,'包络曲线数据'!$B$1:$U$1,0)),""))</x:f>
      </x:c>
      <x:c r="D705" t="str">
        <x:f>IF(D$1="","",IFERROR(INDEX('包络曲线数据'!$B$2:$U$742,ROW()-1,MATCH(D$1,'包络曲线数据'!$B$1:$U$1,0)),""))</x:f>
      </x:c>
      <x:c r="E705" t="str">
        <x:f>IF(E$1="","",IFERROR(INDEX('包络曲线数据'!$B$2:$U$742,ROW()-1,MATCH(E$1,'包络曲线数据'!$B$1:$U$1,0)),""))</x:f>
      </x:c>
      <x:c r="F705" t="str">
        <x:f>IF(F$1="","",IFERROR(INDEX('包络曲线数据'!$B$2:$U$742,ROW()-1,MATCH(F$1,'包络曲线数据'!$B$1:$U$1,0)),""))</x:f>
      </x:c>
      <x:c r="G705" t="str">
        <x:f>IF(G$1="","",IFERROR(INDEX('包络曲线数据'!$B$2:$U$742,ROW()-1,MATCH(G$1,'包络曲线数据'!$B$1:$U$1,0)),""))</x:f>
      </x:c>
    </x:row>
    <x:row r="706">
      <x:c r="A706" t="n">
        <x:v>70.4</x:v>
      </x:c>
      <x:c r="B706" t="n">
        <x:f>IF(B$1="","",IFERROR(INDEX('包络曲线数据'!$B$2:$U$742,ROW()-1,MATCH(B$1,'包络曲线数据'!$B$1:$U$1,0)),""))</x:f>
        <x:v>63.16785867573012</x:v>
      </x:c>
      <x:c r="C706" t="str">
        <x:f>IF(C$1="","",IFERROR(INDEX('包络曲线数据'!$B$2:$U$742,ROW()-1,MATCH(C$1,'包络曲线数据'!$B$1:$U$1,0)),""))</x:f>
      </x:c>
      <x:c r="D706" t="str">
        <x:f>IF(D$1="","",IFERROR(INDEX('包络曲线数据'!$B$2:$U$742,ROW()-1,MATCH(D$1,'包络曲线数据'!$B$1:$U$1,0)),""))</x:f>
      </x:c>
      <x:c r="E706" t="str">
        <x:f>IF(E$1="","",IFERROR(INDEX('包络曲线数据'!$B$2:$U$742,ROW()-1,MATCH(E$1,'包络曲线数据'!$B$1:$U$1,0)),""))</x:f>
      </x:c>
      <x:c r="F706" t="str">
        <x:f>IF(F$1="","",IFERROR(INDEX('包络曲线数据'!$B$2:$U$742,ROW()-1,MATCH(F$1,'包络曲线数据'!$B$1:$U$1,0)),""))</x:f>
      </x:c>
      <x:c r="G706" t="str">
        <x:f>IF(G$1="","",IFERROR(INDEX('包络曲线数据'!$B$2:$U$742,ROW()-1,MATCH(G$1,'包络曲线数据'!$B$1:$U$1,0)),""))</x:f>
      </x:c>
    </x:row>
    <x:row r="707">
      <x:c r="A707" t="n">
        <x:v>70.5</x:v>
      </x:c>
      <x:c r="B707" t="n">
        <x:f>IF(B$1="","",IFERROR(INDEX('包络曲线数据'!$B$2:$U$742,ROW()-1,MATCH(B$1,'包络曲线数据'!$B$1:$U$1,0)),""))</x:f>
        <x:v>63.86213019333499</x:v>
      </x:c>
      <x:c r="C707" t="str">
        <x:f>IF(C$1="","",IFERROR(INDEX('包络曲线数据'!$B$2:$U$742,ROW()-1,MATCH(C$1,'包络曲线数据'!$B$1:$U$1,0)),""))</x:f>
      </x:c>
      <x:c r="D707" t="str">
        <x:f>IF(D$1="","",IFERROR(INDEX('包络曲线数据'!$B$2:$U$742,ROW()-1,MATCH(D$1,'包络曲线数据'!$B$1:$U$1,0)),""))</x:f>
      </x:c>
      <x:c r="E707" t="str">
        <x:f>IF(E$1="","",IFERROR(INDEX('包络曲线数据'!$B$2:$U$742,ROW()-1,MATCH(E$1,'包络曲线数据'!$B$1:$U$1,0)),""))</x:f>
      </x:c>
      <x:c r="F707" t="str">
        <x:f>IF(F$1="","",IFERROR(INDEX('包络曲线数据'!$B$2:$U$742,ROW()-1,MATCH(F$1,'包络曲线数据'!$B$1:$U$1,0)),""))</x:f>
      </x:c>
      <x:c r="G707" t="str">
        <x:f>IF(G$1="","",IFERROR(INDEX('包络曲线数据'!$B$2:$U$742,ROW()-1,MATCH(G$1,'包络曲线数据'!$B$1:$U$1,0)),""))</x:f>
      </x:c>
    </x:row>
    <x:row r="708">
      <x:c r="A708" t="n">
        <x:v>70.60000000000001</x:v>
      </x:c>
      <x:c r="B708" t="n">
        <x:f>IF(B$1="","",IFERROR(INDEX('包络曲线数据'!$B$2:$U$742,ROW()-1,MATCH(B$1,'包络曲线数据'!$B$1:$U$1,0)),""))</x:f>
        <x:v>64.34863735706806</x:v>
      </x:c>
      <x:c r="C708" t="str">
        <x:f>IF(C$1="","",IFERROR(INDEX('包络曲线数据'!$B$2:$U$742,ROW()-1,MATCH(C$1,'包络曲线数据'!$B$1:$U$1,0)),""))</x:f>
      </x:c>
      <x:c r="D708" t="str">
        <x:f>IF(D$1="","",IFERROR(INDEX('包络曲线数据'!$B$2:$U$742,ROW()-1,MATCH(D$1,'包络曲线数据'!$B$1:$U$1,0)),""))</x:f>
      </x:c>
      <x:c r="E708" t="str">
        <x:f>IF(E$1="","",IFERROR(INDEX('包络曲线数据'!$B$2:$U$742,ROW()-1,MATCH(E$1,'包络曲线数据'!$B$1:$U$1,0)),""))</x:f>
      </x:c>
      <x:c r="F708" t="str">
        <x:f>IF(F$1="","",IFERROR(INDEX('包络曲线数据'!$B$2:$U$742,ROW()-1,MATCH(F$1,'包络曲线数据'!$B$1:$U$1,0)),""))</x:f>
      </x:c>
      <x:c r="G708" t="str">
        <x:f>IF(G$1="","",IFERROR(INDEX('包络曲线数据'!$B$2:$U$742,ROW()-1,MATCH(G$1,'包络曲线数据'!$B$1:$U$1,0)),""))</x:f>
      </x:c>
    </x:row>
    <x:row r="709">
      <x:c r="A709" t="n">
        <x:v>70.7</x:v>
      </x:c>
      <x:c r="B709" t="n">
        <x:f>IF(B$1="","",IFERROR(INDEX('包络曲线数据'!$B$2:$U$742,ROW()-1,MATCH(B$1,'包络曲线数据'!$B$1:$U$1,0)),""))</x:f>
        <x:v>63.82544655491026</x:v>
      </x:c>
      <x:c r="C709" t="str">
        <x:f>IF(C$1="","",IFERROR(INDEX('包络曲线数据'!$B$2:$U$742,ROW()-1,MATCH(C$1,'包络曲线数据'!$B$1:$U$1,0)),""))</x:f>
      </x:c>
      <x:c r="D709" t="str">
        <x:f>IF(D$1="","",IFERROR(INDEX('包络曲线数据'!$B$2:$U$742,ROW()-1,MATCH(D$1,'包络曲线数据'!$B$1:$U$1,0)),""))</x:f>
      </x:c>
      <x:c r="E709" t="str">
        <x:f>IF(E$1="","",IFERROR(INDEX('包络曲线数据'!$B$2:$U$742,ROW()-1,MATCH(E$1,'包络曲线数据'!$B$1:$U$1,0)),""))</x:f>
      </x:c>
      <x:c r="F709" t="str">
        <x:f>IF(F$1="","",IFERROR(INDEX('包络曲线数据'!$B$2:$U$742,ROW()-1,MATCH(F$1,'包络曲线数据'!$B$1:$U$1,0)),""))</x:f>
      </x:c>
      <x:c r="G709" t="str">
        <x:f>IF(G$1="","",IFERROR(INDEX('包络曲线数据'!$B$2:$U$742,ROW()-1,MATCH(G$1,'包络曲线数据'!$B$1:$U$1,0)),""))</x:f>
      </x:c>
    </x:row>
    <x:row r="710">
      <x:c r="A710" t="n">
        <x:v>70.8</x:v>
      </x:c>
      <x:c r="B710" t="n">
        <x:f>IF(B$1="","",IFERROR(INDEX('包络曲线数据'!$B$2:$U$742,ROW()-1,MATCH(B$1,'包络曲线数据'!$B$1:$U$1,0)),""))</x:f>
        <x:v>64.21916435390887</x:v>
      </x:c>
      <x:c r="C710" t="str">
        <x:f>IF(C$1="","",IFERROR(INDEX('包络曲线数据'!$B$2:$U$742,ROW()-1,MATCH(C$1,'包络曲线数据'!$B$1:$U$1,0)),""))</x:f>
      </x:c>
      <x:c r="D710" t="str">
        <x:f>IF(D$1="","",IFERROR(INDEX('包络曲线数据'!$B$2:$U$742,ROW()-1,MATCH(D$1,'包络曲线数据'!$B$1:$U$1,0)),""))</x:f>
      </x:c>
      <x:c r="E710" t="str">
        <x:f>IF(E$1="","",IFERROR(INDEX('包络曲线数据'!$B$2:$U$742,ROW()-1,MATCH(E$1,'包络曲线数据'!$B$1:$U$1,0)),""))</x:f>
      </x:c>
      <x:c r="F710" t="str">
        <x:f>IF(F$1="","",IFERROR(INDEX('包络曲线数据'!$B$2:$U$742,ROW()-1,MATCH(F$1,'包络曲线数据'!$B$1:$U$1,0)),""))</x:f>
      </x:c>
      <x:c r="G710" t="str">
        <x:f>IF(G$1="","",IFERROR(INDEX('包络曲线数据'!$B$2:$U$742,ROW()-1,MATCH(G$1,'包络曲线数据'!$B$1:$U$1,0)),""))</x:f>
      </x:c>
    </x:row>
    <x:row r="711">
      <x:c r="A711" t="n">
        <x:v>70.9</x:v>
      </x:c>
      <x:c r="B711" t="n">
        <x:f>IF(B$1="","",IFERROR(INDEX('包络曲线数据'!$B$2:$U$742,ROW()-1,MATCH(B$1,'包络曲线数据'!$B$1:$U$1,0)),""))</x:f>
        <x:v>70.59508101018824</x:v>
      </x:c>
      <x:c r="C711" t="str">
        <x:f>IF(C$1="","",IFERROR(INDEX('包络曲线数据'!$B$2:$U$742,ROW()-1,MATCH(C$1,'包络曲线数据'!$B$1:$U$1,0)),""))</x:f>
      </x:c>
      <x:c r="D711" t="str">
        <x:f>IF(D$1="","",IFERROR(INDEX('包络曲线数据'!$B$2:$U$742,ROW()-1,MATCH(D$1,'包络曲线数据'!$B$1:$U$1,0)),""))</x:f>
      </x:c>
      <x:c r="E711" t="str">
        <x:f>IF(E$1="","",IFERROR(INDEX('包络曲线数据'!$B$2:$U$742,ROW()-1,MATCH(E$1,'包络曲线数据'!$B$1:$U$1,0)),""))</x:f>
      </x:c>
      <x:c r="F711" t="str">
        <x:f>IF(F$1="","",IFERROR(INDEX('包络曲线数据'!$B$2:$U$742,ROW()-1,MATCH(F$1,'包络曲线数据'!$B$1:$U$1,0)),""))</x:f>
      </x:c>
      <x:c r="G711" t="str">
        <x:f>IF(G$1="","",IFERROR(INDEX('包络曲线数据'!$B$2:$U$742,ROW()-1,MATCH(G$1,'包络曲线数据'!$B$1:$U$1,0)),""))</x:f>
      </x:c>
    </x:row>
    <x:row r="712">
      <x:c r="A712" t="n">
        <x:v>71</x:v>
      </x:c>
      <x:c r="B712" t="n">
        <x:f>IF(B$1="","",IFERROR(INDEX('包络曲线数据'!$B$2:$U$742,ROW()-1,MATCH(B$1,'包络曲线数据'!$B$1:$U$1,0)),""))</x:f>
        <x:v>74.83760277594394</x:v>
      </x:c>
      <x:c r="C712" t="str">
        <x:f>IF(C$1="","",IFERROR(INDEX('包络曲线数据'!$B$2:$U$742,ROW()-1,MATCH(C$1,'包络曲线数据'!$B$1:$U$1,0)),""))</x:f>
      </x:c>
      <x:c r="D712" t="str">
        <x:f>IF(D$1="","",IFERROR(INDEX('包络曲线数据'!$B$2:$U$742,ROW()-1,MATCH(D$1,'包络曲线数据'!$B$1:$U$1,0)),""))</x:f>
      </x:c>
      <x:c r="E712" t="str">
        <x:f>IF(E$1="","",IFERROR(INDEX('包络曲线数据'!$B$2:$U$742,ROW()-1,MATCH(E$1,'包络曲线数据'!$B$1:$U$1,0)),""))</x:f>
      </x:c>
      <x:c r="F712" t="str">
        <x:f>IF(F$1="","",IFERROR(INDEX('包络曲线数据'!$B$2:$U$742,ROW()-1,MATCH(F$1,'包络曲线数据'!$B$1:$U$1,0)),""))</x:f>
      </x:c>
      <x:c r="G712" t="str">
        <x:f>IF(G$1="","",IFERROR(INDEX('包络曲线数据'!$B$2:$U$742,ROW()-1,MATCH(G$1,'包络曲线数据'!$B$1:$U$1,0)),""))</x:f>
      </x:c>
    </x:row>
    <x:row r="713">
      <x:c r="A713" t="n">
        <x:v>71.10000000000001</x:v>
      </x:c>
      <x:c r="B713" t="str">
        <x:f>IF(B$1="","",IFERROR(INDEX('包络曲线数据'!$B$2:$U$742,ROW()-1,MATCH(B$1,'包络曲线数据'!$B$1:$U$1,0)),""))</x:f>
      </x:c>
      <x:c r="C713" t="str">
        <x:f>IF(C$1="","",IFERROR(INDEX('包络曲线数据'!$B$2:$U$742,ROW()-1,MATCH(C$1,'包络曲线数据'!$B$1:$U$1,0)),""))</x:f>
      </x:c>
      <x:c r="D713" t="str">
        <x:f>IF(D$1="","",IFERROR(INDEX('包络曲线数据'!$B$2:$U$742,ROW()-1,MATCH(D$1,'包络曲线数据'!$B$1:$U$1,0)),""))</x:f>
      </x:c>
      <x:c r="E713" t="str">
        <x:f>IF(E$1="","",IFERROR(INDEX('包络曲线数据'!$B$2:$U$742,ROW()-1,MATCH(E$1,'包络曲线数据'!$B$1:$U$1,0)),""))</x:f>
      </x:c>
      <x:c r="F713" t="str">
        <x:f>IF(F$1="","",IFERROR(INDEX('包络曲线数据'!$B$2:$U$742,ROW()-1,MATCH(F$1,'包络曲线数据'!$B$1:$U$1,0)),""))</x:f>
      </x:c>
      <x:c r="G713" t="str">
        <x:f>IF(G$1="","",IFERROR(INDEX('包络曲线数据'!$B$2:$U$742,ROW()-1,MATCH(G$1,'包络曲线数据'!$B$1:$U$1,0)),""))</x:f>
      </x:c>
    </x:row>
    <x:row r="714">
      <x:c r="A714" t="n">
        <x:v>71.2</x:v>
      </x:c>
      <x:c r="B714" t="str">
        <x:f>IF(B$1="","",IFERROR(INDEX('包络曲线数据'!$B$2:$U$742,ROW()-1,MATCH(B$1,'包络曲线数据'!$B$1:$U$1,0)),""))</x:f>
      </x:c>
      <x:c r="C714" t="str">
        <x:f>IF(C$1="","",IFERROR(INDEX('包络曲线数据'!$B$2:$U$742,ROW()-1,MATCH(C$1,'包络曲线数据'!$B$1:$U$1,0)),""))</x:f>
      </x:c>
      <x:c r="D714" t="str">
        <x:f>IF(D$1="","",IFERROR(INDEX('包络曲线数据'!$B$2:$U$742,ROW()-1,MATCH(D$1,'包络曲线数据'!$B$1:$U$1,0)),""))</x:f>
      </x:c>
      <x:c r="E714" t="str">
        <x:f>IF(E$1="","",IFERROR(INDEX('包络曲线数据'!$B$2:$U$742,ROW()-1,MATCH(E$1,'包络曲线数据'!$B$1:$U$1,0)),""))</x:f>
      </x:c>
      <x:c r="F714" t="str">
        <x:f>IF(F$1="","",IFERROR(INDEX('包络曲线数据'!$B$2:$U$742,ROW()-1,MATCH(F$1,'包络曲线数据'!$B$1:$U$1,0)),""))</x:f>
      </x:c>
      <x:c r="G714" t="str">
        <x:f>IF(G$1="","",IFERROR(INDEX('包络曲线数据'!$B$2:$U$742,ROW()-1,MATCH(G$1,'包络曲线数据'!$B$1:$U$1,0)),""))</x:f>
      </x:c>
    </x:row>
    <x:row r="715">
      <x:c r="A715" t="n">
        <x:v>71.3</x:v>
      </x:c>
      <x:c r="B715" t="str">
        <x:f>IF(B$1="","",IFERROR(INDEX('包络曲线数据'!$B$2:$U$742,ROW()-1,MATCH(B$1,'包络曲线数据'!$B$1:$U$1,0)),""))</x:f>
      </x:c>
      <x:c r="C715" t="str">
        <x:f>IF(C$1="","",IFERROR(INDEX('包络曲线数据'!$B$2:$U$742,ROW()-1,MATCH(C$1,'包络曲线数据'!$B$1:$U$1,0)),""))</x:f>
      </x:c>
      <x:c r="D715" t="str">
        <x:f>IF(D$1="","",IFERROR(INDEX('包络曲线数据'!$B$2:$U$742,ROW()-1,MATCH(D$1,'包络曲线数据'!$B$1:$U$1,0)),""))</x:f>
      </x:c>
      <x:c r="E715" t="str">
        <x:f>IF(E$1="","",IFERROR(INDEX('包络曲线数据'!$B$2:$U$742,ROW()-1,MATCH(E$1,'包络曲线数据'!$B$1:$U$1,0)),""))</x:f>
      </x:c>
      <x:c r="F715" t="str">
        <x:f>IF(F$1="","",IFERROR(INDEX('包络曲线数据'!$B$2:$U$742,ROW()-1,MATCH(F$1,'包络曲线数据'!$B$1:$U$1,0)),""))</x:f>
      </x:c>
      <x:c r="G715" t="str">
        <x:f>IF(G$1="","",IFERROR(INDEX('包络曲线数据'!$B$2:$U$742,ROW()-1,MATCH(G$1,'包络曲线数据'!$B$1:$U$1,0)),""))</x:f>
      </x:c>
    </x:row>
    <x:row r="716">
      <x:c r="A716" t="n">
        <x:v>71.4</x:v>
      </x:c>
      <x:c r="B716" t="str">
        <x:f>IF(B$1="","",IFERROR(INDEX('包络曲线数据'!$B$2:$U$742,ROW()-1,MATCH(B$1,'包络曲线数据'!$B$1:$U$1,0)),""))</x:f>
      </x:c>
      <x:c r="C716" t="str">
        <x:f>IF(C$1="","",IFERROR(INDEX('包络曲线数据'!$B$2:$U$742,ROW()-1,MATCH(C$1,'包络曲线数据'!$B$1:$U$1,0)),""))</x:f>
      </x:c>
      <x:c r="D716" t="str">
        <x:f>IF(D$1="","",IFERROR(INDEX('包络曲线数据'!$B$2:$U$742,ROW()-1,MATCH(D$1,'包络曲线数据'!$B$1:$U$1,0)),""))</x:f>
      </x:c>
      <x:c r="E716" t="str">
        <x:f>IF(E$1="","",IFERROR(INDEX('包络曲线数据'!$B$2:$U$742,ROW()-1,MATCH(E$1,'包络曲线数据'!$B$1:$U$1,0)),""))</x:f>
      </x:c>
      <x:c r="F716" t="str">
        <x:f>IF(F$1="","",IFERROR(INDEX('包络曲线数据'!$B$2:$U$742,ROW()-1,MATCH(F$1,'包络曲线数据'!$B$1:$U$1,0)),""))</x:f>
      </x:c>
      <x:c r="G716" t="str">
        <x:f>IF(G$1="","",IFERROR(INDEX('包络曲线数据'!$B$2:$U$742,ROW()-1,MATCH(G$1,'包络曲线数据'!$B$1:$U$1,0)),""))</x:f>
      </x:c>
    </x:row>
    <x:row r="717">
      <x:c r="A717" t="n">
        <x:v>71.5</x:v>
      </x:c>
      <x:c r="B717" t="str">
        <x:f>IF(B$1="","",IFERROR(INDEX('包络曲线数据'!$B$2:$U$742,ROW()-1,MATCH(B$1,'包络曲线数据'!$B$1:$U$1,0)),""))</x:f>
      </x:c>
      <x:c r="C717" t="str">
        <x:f>IF(C$1="","",IFERROR(INDEX('包络曲线数据'!$B$2:$U$742,ROW()-1,MATCH(C$1,'包络曲线数据'!$B$1:$U$1,0)),""))</x:f>
      </x:c>
      <x:c r="D717" t="str">
        <x:f>IF(D$1="","",IFERROR(INDEX('包络曲线数据'!$B$2:$U$742,ROW()-1,MATCH(D$1,'包络曲线数据'!$B$1:$U$1,0)),""))</x:f>
      </x:c>
      <x:c r="E717" t="str">
        <x:f>IF(E$1="","",IFERROR(INDEX('包络曲线数据'!$B$2:$U$742,ROW()-1,MATCH(E$1,'包络曲线数据'!$B$1:$U$1,0)),""))</x:f>
      </x:c>
      <x:c r="F717" t="str">
        <x:f>IF(F$1="","",IFERROR(INDEX('包络曲线数据'!$B$2:$U$742,ROW()-1,MATCH(F$1,'包络曲线数据'!$B$1:$U$1,0)),""))</x:f>
      </x:c>
      <x:c r="G717" t="str">
        <x:f>IF(G$1="","",IFERROR(INDEX('包络曲线数据'!$B$2:$U$742,ROW()-1,MATCH(G$1,'包络曲线数据'!$B$1:$U$1,0)),""))</x:f>
      </x:c>
    </x:row>
    <x:row r="718">
      <x:c r="A718" t="n">
        <x:v>71.60000000000001</x:v>
      </x:c>
      <x:c r="B718" t="str">
        <x:f>IF(B$1="","",IFERROR(INDEX('包络曲线数据'!$B$2:$U$742,ROW()-1,MATCH(B$1,'包络曲线数据'!$B$1:$U$1,0)),""))</x:f>
      </x:c>
      <x:c r="C718" t="str">
        <x:f>IF(C$1="","",IFERROR(INDEX('包络曲线数据'!$B$2:$U$742,ROW()-1,MATCH(C$1,'包络曲线数据'!$B$1:$U$1,0)),""))</x:f>
      </x:c>
      <x:c r="D718" t="str">
        <x:f>IF(D$1="","",IFERROR(INDEX('包络曲线数据'!$B$2:$U$742,ROW()-1,MATCH(D$1,'包络曲线数据'!$B$1:$U$1,0)),""))</x:f>
      </x:c>
      <x:c r="E718" t="str">
        <x:f>IF(E$1="","",IFERROR(INDEX('包络曲线数据'!$B$2:$U$742,ROW()-1,MATCH(E$1,'包络曲线数据'!$B$1:$U$1,0)),""))</x:f>
      </x:c>
      <x:c r="F718" t="str">
        <x:f>IF(F$1="","",IFERROR(INDEX('包络曲线数据'!$B$2:$U$742,ROW()-1,MATCH(F$1,'包络曲线数据'!$B$1:$U$1,0)),""))</x:f>
      </x:c>
      <x:c r="G718" t="str">
        <x:f>IF(G$1="","",IFERROR(INDEX('包络曲线数据'!$B$2:$U$742,ROW()-1,MATCH(G$1,'包络曲线数据'!$B$1:$U$1,0)),""))</x:f>
      </x:c>
    </x:row>
    <x:row r="719">
      <x:c r="A719" t="n">
        <x:v>71.7</x:v>
      </x:c>
      <x:c r="B719" t="str">
        <x:f>IF(B$1="","",IFERROR(INDEX('包络曲线数据'!$B$2:$U$742,ROW()-1,MATCH(B$1,'包络曲线数据'!$B$1:$U$1,0)),""))</x:f>
      </x:c>
      <x:c r="C719" t="str">
        <x:f>IF(C$1="","",IFERROR(INDEX('包络曲线数据'!$B$2:$U$742,ROW()-1,MATCH(C$1,'包络曲线数据'!$B$1:$U$1,0)),""))</x:f>
      </x:c>
      <x:c r="D719" t="str">
        <x:f>IF(D$1="","",IFERROR(INDEX('包络曲线数据'!$B$2:$U$742,ROW()-1,MATCH(D$1,'包络曲线数据'!$B$1:$U$1,0)),""))</x:f>
      </x:c>
      <x:c r="E719" t="str">
        <x:f>IF(E$1="","",IFERROR(INDEX('包络曲线数据'!$B$2:$U$742,ROW()-1,MATCH(E$1,'包络曲线数据'!$B$1:$U$1,0)),""))</x:f>
      </x:c>
      <x:c r="F719" t="str">
        <x:f>IF(F$1="","",IFERROR(INDEX('包络曲线数据'!$B$2:$U$742,ROW()-1,MATCH(F$1,'包络曲线数据'!$B$1:$U$1,0)),""))</x:f>
      </x:c>
      <x:c r="G719" t="str">
        <x:f>IF(G$1="","",IFERROR(INDEX('包络曲线数据'!$B$2:$U$742,ROW()-1,MATCH(G$1,'包络曲线数据'!$B$1:$U$1,0)),""))</x:f>
      </x:c>
    </x:row>
    <x:row r="720">
      <x:c r="A720" t="n">
        <x:v>71.8</x:v>
      </x:c>
      <x:c r="B720" t="str">
        <x:f>IF(B$1="","",IFERROR(INDEX('包络曲线数据'!$B$2:$U$742,ROW()-1,MATCH(B$1,'包络曲线数据'!$B$1:$U$1,0)),""))</x:f>
      </x:c>
      <x:c r="C720" t="str">
        <x:f>IF(C$1="","",IFERROR(INDEX('包络曲线数据'!$B$2:$U$742,ROW()-1,MATCH(C$1,'包络曲线数据'!$B$1:$U$1,0)),""))</x:f>
      </x:c>
      <x:c r="D720" t="str">
        <x:f>IF(D$1="","",IFERROR(INDEX('包络曲线数据'!$B$2:$U$742,ROW()-1,MATCH(D$1,'包络曲线数据'!$B$1:$U$1,0)),""))</x:f>
      </x:c>
      <x:c r="E720" t="str">
        <x:f>IF(E$1="","",IFERROR(INDEX('包络曲线数据'!$B$2:$U$742,ROW()-1,MATCH(E$1,'包络曲线数据'!$B$1:$U$1,0)),""))</x:f>
      </x:c>
      <x:c r="F720" t="str">
        <x:f>IF(F$1="","",IFERROR(INDEX('包络曲线数据'!$B$2:$U$742,ROW()-1,MATCH(F$1,'包络曲线数据'!$B$1:$U$1,0)),""))</x:f>
      </x:c>
      <x:c r="G720" t="str">
        <x:f>IF(G$1="","",IFERROR(INDEX('包络曲线数据'!$B$2:$U$742,ROW()-1,MATCH(G$1,'包络曲线数据'!$B$1:$U$1,0)),""))</x:f>
      </x:c>
    </x:row>
    <x:row r="721">
      <x:c r="A721" t="n">
        <x:v>71.9</x:v>
      </x:c>
      <x:c r="B721" t="str">
        <x:f>IF(B$1="","",IFERROR(INDEX('包络曲线数据'!$B$2:$U$742,ROW()-1,MATCH(B$1,'包络曲线数据'!$B$1:$U$1,0)),""))</x:f>
      </x:c>
      <x:c r="C721" t="str">
        <x:f>IF(C$1="","",IFERROR(INDEX('包络曲线数据'!$B$2:$U$742,ROW()-1,MATCH(C$1,'包络曲线数据'!$B$1:$U$1,0)),""))</x:f>
      </x:c>
      <x:c r="D721" t="str">
        <x:f>IF(D$1="","",IFERROR(INDEX('包络曲线数据'!$B$2:$U$742,ROW()-1,MATCH(D$1,'包络曲线数据'!$B$1:$U$1,0)),""))</x:f>
      </x:c>
      <x:c r="E721" t="str">
        <x:f>IF(E$1="","",IFERROR(INDEX('包络曲线数据'!$B$2:$U$742,ROW()-1,MATCH(E$1,'包络曲线数据'!$B$1:$U$1,0)),""))</x:f>
      </x:c>
      <x:c r="F721" t="str">
        <x:f>IF(F$1="","",IFERROR(INDEX('包络曲线数据'!$B$2:$U$742,ROW()-1,MATCH(F$1,'包络曲线数据'!$B$1:$U$1,0)),""))</x:f>
      </x:c>
      <x:c r="G721" t="str">
        <x:f>IF(G$1="","",IFERROR(INDEX('包络曲线数据'!$B$2:$U$742,ROW()-1,MATCH(G$1,'包络曲线数据'!$B$1:$U$1,0)),""))</x:f>
      </x:c>
    </x:row>
    <x:row r="722">
      <x:c r="A722" t="n">
        <x:v>72</x:v>
      </x:c>
      <x:c r="B722" t="str">
        <x:f>IF(B$1="","",IFERROR(INDEX('包络曲线数据'!$B$2:$U$742,ROW()-1,MATCH(B$1,'包络曲线数据'!$B$1:$U$1,0)),""))</x:f>
      </x:c>
      <x:c r="C722" t="str">
        <x:f>IF(C$1="","",IFERROR(INDEX('包络曲线数据'!$B$2:$U$742,ROW()-1,MATCH(C$1,'包络曲线数据'!$B$1:$U$1,0)),""))</x:f>
      </x:c>
      <x:c r="D722" t="str">
        <x:f>IF(D$1="","",IFERROR(INDEX('包络曲线数据'!$B$2:$U$742,ROW()-1,MATCH(D$1,'包络曲线数据'!$B$1:$U$1,0)),""))</x:f>
      </x:c>
      <x:c r="E722" t="str">
        <x:f>IF(E$1="","",IFERROR(INDEX('包络曲线数据'!$B$2:$U$742,ROW()-1,MATCH(E$1,'包络曲线数据'!$B$1:$U$1,0)),""))</x:f>
      </x:c>
      <x:c r="F722" t="str">
        <x:f>IF(F$1="","",IFERROR(INDEX('包络曲线数据'!$B$2:$U$742,ROW()-1,MATCH(F$1,'包络曲线数据'!$B$1:$U$1,0)),""))</x:f>
      </x:c>
      <x:c r="G722" t="str">
        <x:f>IF(G$1="","",IFERROR(INDEX('包络曲线数据'!$B$2:$U$742,ROW()-1,MATCH(G$1,'包络曲线数据'!$B$1:$U$1,0)),""))</x:f>
      </x:c>
    </x:row>
    <x:row r="723">
      <x:c r="A723" t="n">
        <x:v>72.10000000000001</x:v>
      </x:c>
      <x:c r="B723" t="str">
        <x:f>IF(B$1="","",IFERROR(INDEX('包络曲线数据'!$B$2:$U$742,ROW()-1,MATCH(B$1,'包络曲线数据'!$B$1:$U$1,0)),""))</x:f>
      </x:c>
      <x:c r="C723" t="str">
        <x:f>IF(C$1="","",IFERROR(INDEX('包络曲线数据'!$B$2:$U$742,ROW()-1,MATCH(C$1,'包络曲线数据'!$B$1:$U$1,0)),""))</x:f>
      </x:c>
      <x:c r="D723" t="str">
        <x:f>IF(D$1="","",IFERROR(INDEX('包络曲线数据'!$B$2:$U$742,ROW()-1,MATCH(D$1,'包络曲线数据'!$B$1:$U$1,0)),""))</x:f>
      </x:c>
      <x:c r="E723" t="str">
        <x:f>IF(E$1="","",IFERROR(INDEX('包络曲线数据'!$B$2:$U$742,ROW()-1,MATCH(E$1,'包络曲线数据'!$B$1:$U$1,0)),""))</x:f>
      </x:c>
      <x:c r="F723" t="str">
        <x:f>IF(F$1="","",IFERROR(INDEX('包络曲线数据'!$B$2:$U$742,ROW()-1,MATCH(F$1,'包络曲线数据'!$B$1:$U$1,0)),""))</x:f>
      </x:c>
      <x:c r="G723" t="str">
        <x:f>IF(G$1="","",IFERROR(INDEX('包络曲线数据'!$B$2:$U$742,ROW()-1,MATCH(G$1,'包络曲线数据'!$B$1:$U$1,0)),""))</x:f>
      </x:c>
    </x:row>
    <x:row r="724">
      <x:c r="A724" t="n">
        <x:v>72.2</x:v>
      </x:c>
      <x:c r="B724" t="str">
        <x:f>IF(B$1="","",IFERROR(INDEX('包络曲线数据'!$B$2:$U$742,ROW()-1,MATCH(B$1,'包络曲线数据'!$B$1:$U$1,0)),""))</x:f>
      </x:c>
      <x:c r="C724" t="str">
        <x:f>IF(C$1="","",IFERROR(INDEX('包络曲线数据'!$B$2:$U$742,ROW()-1,MATCH(C$1,'包络曲线数据'!$B$1:$U$1,0)),""))</x:f>
      </x:c>
      <x:c r="D724" t="str">
        <x:f>IF(D$1="","",IFERROR(INDEX('包络曲线数据'!$B$2:$U$742,ROW()-1,MATCH(D$1,'包络曲线数据'!$B$1:$U$1,0)),""))</x:f>
      </x:c>
      <x:c r="E724" t="str">
        <x:f>IF(E$1="","",IFERROR(INDEX('包络曲线数据'!$B$2:$U$742,ROW()-1,MATCH(E$1,'包络曲线数据'!$B$1:$U$1,0)),""))</x:f>
      </x:c>
      <x:c r="F724" t="str">
        <x:f>IF(F$1="","",IFERROR(INDEX('包络曲线数据'!$B$2:$U$742,ROW()-1,MATCH(F$1,'包络曲线数据'!$B$1:$U$1,0)),""))</x:f>
      </x:c>
      <x:c r="G724" t="str">
        <x:f>IF(G$1="","",IFERROR(INDEX('包络曲线数据'!$B$2:$U$742,ROW()-1,MATCH(G$1,'包络曲线数据'!$B$1:$U$1,0)),""))</x:f>
      </x:c>
    </x:row>
    <x:row r="725">
      <x:c r="A725" t="n">
        <x:v>72.3</x:v>
      </x:c>
      <x:c r="B725" t="str">
        <x:f>IF(B$1="","",IFERROR(INDEX('包络曲线数据'!$B$2:$U$742,ROW()-1,MATCH(B$1,'包络曲线数据'!$B$1:$U$1,0)),""))</x:f>
      </x:c>
      <x:c r="C725" t="str">
        <x:f>IF(C$1="","",IFERROR(INDEX('包络曲线数据'!$B$2:$U$742,ROW()-1,MATCH(C$1,'包络曲线数据'!$B$1:$U$1,0)),""))</x:f>
      </x:c>
      <x:c r="D725" t="str">
        <x:f>IF(D$1="","",IFERROR(INDEX('包络曲线数据'!$B$2:$U$742,ROW()-1,MATCH(D$1,'包络曲线数据'!$B$1:$U$1,0)),""))</x:f>
      </x:c>
      <x:c r="E725" t="str">
        <x:f>IF(E$1="","",IFERROR(INDEX('包络曲线数据'!$B$2:$U$742,ROW()-1,MATCH(E$1,'包络曲线数据'!$B$1:$U$1,0)),""))</x:f>
      </x:c>
      <x:c r="F725" t="str">
        <x:f>IF(F$1="","",IFERROR(INDEX('包络曲线数据'!$B$2:$U$742,ROW()-1,MATCH(F$1,'包络曲线数据'!$B$1:$U$1,0)),""))</x:f>
      </x:c>
      <x:c r="G725" t="str">
        <x:f>IF(G$1="","",IFERROR(INDEX('包络曲线数据'!$B$2:$U$742,ROW()-1,MATCH(G$1,'包络曲线数据'!$B$1:$U$1,0)),""))</x:f>
      </x:c>
    </x:row>
    <x:row r="726">
      <x:c r="A726" t="n">
        <x:v>72.4</x:v>
      </x:c>
      <x:c r="B726" t="str">
        <x:f>IF(B$1="","",IFERROR(INDEX('包络曲线数据'!$B$2:$U$742,ROW()-1,MATCH(B$1,'包络曲线数据'!$B$1:$U$1,0)),""))</x:f>
      </x:c>
      <x:c r="C726" t="str">
        <x:f>IF(C$1="","",IFERROR(INDEX('包络曲线数据'!$B$2:$U$742,ROW()-1,MATCH(C$1,'包络曲线数据'!$B$1:$U$1,0)),""))</x:f>
      </x:c>
      <x:c r="D726" t="str">
        <x:f>IF(D$1="","",IFERROR(INDEX('包络曲线数据'!$B$2:$U$742,ROW()-1,MATCH(D$1,'包络曲线数据'!$B$1:$U$1,0)),""))</x:f>
      </x:c>
      <x:c r="E726" t="str">
        <x:f>IF(E$1="","",IFERROR(INDEX('包络曲线数据'!$B$2:$U$742,ROW()-1,MATCH(E$1,'包络曲线数据'!$B$1:$U$1,0)),""))</x:f>
      </x:c>
      <x:c r="F726" t="str">
        <x:f>IF(F$1="","",IFERROR(INDEX('包络曲线数据'!$B$2:$U$742,ROW()-1,MATCH(F$1,'包络曲线数据'!$B$1:$U$1,0)),""))</x:f>
      </x:c>
      <x:c r="G726" t="str">
        <x:f>IF(G$1="","",IFERROR(INDEX('包络曲线数据'!$B$2:$U$742,ROW()-1,MATCH(G$1,'包络曲线数据'!$B$1:$U$1,0)),""))</x:f>
      </x:c>
    </x:row>
    <x:row r="727">
      <x:c r="A727" t="n">
        <x:v>72.5</x:v>
      </x:c>
      <x:c r="B727" t="str">
        <x:f>IF(B$1="","",IFERROR(INDEX('包络曲线数据'!$B$2:$U$742,ROW()-1,MATCH(B$1,'包络曲线数据'!$B$1:$U$1,0)),""))</x:f>
      </x:c>
      <x:c r="C727" t="str">
        <x:f>IF(C$1="","",IFERROR(INDEX('包络曲线数据'!$B$2:$U$742,ROW()-1,MATCH(C$1,'包络曲线数据'!$B$1:$U$1,0)),""))</x:f>
      </x:c>
      <x:c r="D727" t="str">
        <x:f>IF(D$1="","",IFERROR(INDEX('包络曲线数据'!$B$2:$U$742,ROW()-1,MATCH(D$1,'包络曲线数据'!$B$1:$U$1,0)),""))</x:f>
      </x:c>
      <x:c r="E727" t="str">
        <x:f>IF(E$1="","",IFERROR(INDEX('包络曲线数据'!$B$2:$U$742,ROW()-1,MATCH(E$1,'包络曲线数据'!$B$1:$U$1,0)),""))</x:f>
      </x:c>
      <x:c r="F727" t="str">
        <x:f>IF(F$1="","",IFERROR(INDEX('包络曲线数据'!$B$2:$U$742,ROW()-1,MATCH(F$1,'包络曲线数据'!$B$1:$U$1,0)),""))</x:f>
      </x:c>
      <x:c r="G727" t="str">
        <x:f>IF(G$1="","",IFERROR(INDEX('包络曲线数据'!$B$2:$U$742,ROW()-1,MATCH(G$1,'包络曲线数据'!$B$1:$U$1,0)),""))</x:f>
      </x:c>
    </x:row>
    <x:row r="728">
      <x:c r="A728" t="n">
        <x:v>72.60000000000001</x:v>
      </x:c>
      <x:c r="B728" t="str">
        <x:f>IF(B$1="","",IFERROR(INDEX('包络曲线数据'!$B$2:$U$742,ROW()-1,MATCH(B$1,'包络曲线数据'!$B$1:$U$1,0)),""))</x:f>
      </x:c>
      <x:c r="C728" t="str">
        <x:f>IF(C$1="","",IFERROR(INDEX('包络曲线数据'!$B$2:$U$742,ROW()-1,MATCH(C$1,'包络曲线数据'!$B$1:$U$1,0)),""))</x:f>
      </x:c>
      <x:c r="D728" t="str">
        <x:f>IF(D$1="","",IFERROR(INDEX('包络曲线数据'!$B$2:$U$742,ROW()-1,MATCH(D$1,'包络曲线数据'!$B$1:$U$1,0)),""))</x:f>
      </x:c>
      <x:c r="E728" t="str">
        <x:f>IF(E$1="","",IFERROR(INDEX('包络曲线数据'!$B$2:$U$742,ROW()-1,MATCH(E$1,'包络曲线数据'!$B$1:$U$1,0)),""))</x:f>
      </x:c>
      <x:c r="F728" t="str">
        <x:f>IF(F$1="","",IFERROR(INDEX('包络曲线数据'!$B$2:$U$742,ROW()-1,MATCH(F$1,'包络曲线数据'!$B$1:$U$1,0)),""))</x:f>
      </x:c>
      <x:c r="G728" t="str">
        <x:f>IF(G$1="","",IFERROR(INDEX('包络曲线数据'!$B$2:$U$742,ROW()-1,MATCH(G$1,'包络曲线数据'!$B$1:$U$1,0)),""))</x:f>
      </x:c>
    </x:row>
    <x:row r="729">
      <x:c r="A729" t="n">
        <x:v>72.7</x:v>
      </x:c>
      <x:c r="B729" t="str">
        <x:f>IF(B$1="","",IFERROR(INDEX('包络曲线数据'!$B$2:$U$742,ROW()-1,MATCH(B$1,'包络曲线数据'!$B$1:$U$1,0)),""))</x:f>
      </x:c>
      <x:c r="C729" t="str">
        <x:f>IF(C$1="","",IFERROR(INDEX('包络曲线数据'!$B$2:$U$742,ROW()-1,MATCH(C$1,'包络曲线数据'!$B$1:$U$1,0)),""))</x:f>
      </x:c>
      <x:c r="D729" t="str">
        <x:f>IF(D$1="","",IFERROR(INDEX('包络曲线数据'!$B$2:$U$742,ROW()-1,MATCH(D$1,'包络曲线数据'!$B$1:$U$1,0)),""))</x:f>
      </x:c>
      <x:c r="E729" t="str">
        <x:f>IF(E$1="","",IFERROR(INDEX('包络曲线数据'!$B$2:$U$742,ROW()-1,MATCH(E$1,'包络曲线数据'!$B$1:$U$1,0)),""))</x:f>
      </x:c>
      <x:c r="F729" t="str">
        <x:f>IF(F$1="","",IFERROR(INDEX('包络曲线数据'!$B$2:$U$742,ROW()-1,MATCH(F$1,'包络曲线数据'!$B$1:$U$1,0)),""))</x:f>
      </x:c>
      <x:c r="G729" t="str">
        <x:f>IF(G$1="","",IFERROR(INDEX('包络曲线数据'!$B$2:$U$742,ROW()-1,MATCH(G$1,'包络曲线数据'!$B$1:$U$1,0)),""))</x:f>
      </x:c>
    </x:row>
    <x:row r="730">
      <x:c r="A730" t="n">
        <x:v>72.8</x:v>
      </x:c>
      <x:c r="B730" t="str">
        <x:f>IF(B$1="","",IFERROR(INDEX('包络曲线数据'!$B$2:$U$742,ROW()-1,MATCH(B$1,'包络曲线数据'!$B$1:$U$1,0)),""))</x:f>
      </x:c>
      <x:c r="C730" t="str">
        <x:f>IF(C$1="","",IFERROR(INDEX('包络曲线数据'!$B$2:$U$742,ROW()-1,MATCH(C$1,'包络曲线数据'!$B$1:$U$1,0)),""))</x:f>
      </x:c>
      <x:c r="D730" t="str">
        <x:f>IF(D$1="","",IFERROR(INDEX('包络曲线数据'!$B$2:$U$742,ROW()-1,MATCH(D$1,'包络曲线数据'!$B$1:$U$1,0)),""))</x:f>
      </x:c>
      <x:c r="E730" t="str">
        <x:f>IF(E$1="","",IFERROR(INDEX('包络曲线数据'!$B$2:$U$742,ROW()-1,MATCH(E$1,'包络曲线数据'!$B$1:$U$1,0)),""))</x:f>
      </x:c>
      <x:c r="F730" t="str">
        <x:f>IF(F$1="","",IFERROR(INDEX('包络曲线数据'!$B$2:$U$742,ROW()-1,MATCH(F$1,'包络曲线数据'!$B$1:$U$1,0)),""))</x:f>
      </x:c>
      <x:c r="G730" t="str">
        <x:f>IF(G$1="","",IFERROR(INDEX('包络曲线数据'!$B$2:$U$742,ROW()-1,MATCH(G$1,'包络曲线数据'!$B$1:$U$1,0)),""))</x:f>
      </x:c>
    </x:row>
    <x:row r="731">
      <x:c r="A731" t="n">
        <x:v>72.9</x:v>
      </x:c>
      <x:c r="B731" t="str">
        <x:f>IF(B$1="","",IFERROR(INDEX('包络曲线数据'!$B$2:$U$742,ROW()-1,MATCH(B$1,'包络曲线数据'!$B$1:$U$1,0)),""))</x:f>
      </x:c>
      <x:c r="C731" t="str">
        <x:f>IF(C$1="","",IFERROR(INDEX('包络曲线数据'!$B$2:$U$742,ROW()-1,MATCH(C$1,'包络曲线数据'!$B$1:$U$1,0)),""))</x:f>
      </x:c>
      <x:c r="D731" t="str">
        <x:f>IF(D$1="","",IFERROR(INDEX('包络曲线数据'!$B$2:$U$742,ROW()-1,MATCH(D$1,'包络曲线数据'!$B$1:$U$1,0)),""))</x:f>
      </x:c>
      <x:c r="E731" t="str">
        <x:f>IF(E$1="","",IFERROR(INDEX('包络曲线数据'!$B$2:$U$742,ROW()-1,MATCH(E$1,'包络曲线数据'!$B$1:$U$1,0)),""))</x:f>
      </x:c>
      <x:c r="F731" t="str">
        <x:f>IF(F$1="","",IFERROR(INDEX('包络曲线数据'!$B$2:$U$742,ROW()-1,MATCH(F$1,'包络曲线数据'!$B$1:$U$1,0)),""))</x:f>
      </x:c>
      <x:c r="G731" t="str">
        <x:f>IF(G$1="","",IFERROR(INDEX('包络曲线数据'!$B$2:$U$742,ROW()-1,MATCH(G$1,'包络曲线数据'!$B$1:$U$1,0)),""))</x:f>
      </x:c>
    </x:row>
    <x:row r="732">
      <x:c r="A732" t="n">
        <x:v>73</x:v>
      </x:c>
      <x:c r="B732" t="str">
        <x:f>IF(B$1="","",IFERROR(INDEX('包络曲线数据'!$B$2:$U$742,ROW()-1,MATCH(B$1,'包络曲线数据'!$B$1:$U$1,0)),""))</x:f>
      </x:c>
      <x:c r="C732" t="str">
        <x:f>IF(C$1="","",IFERROR(INDEX('包络曲线数据'!$B$2:$U$742,ROW()-1,MATCH(C$1,'包络曲线数据'!$B$1:$U$1,0)),""))</x:f>
      </x:c>
      <x:c r="D732" t="str">
        <x:f>IF(D$1="","",IFERROR(INDEX('包络曲线数据'!$B$2:$U$742,ROW()-1,MATCH(D$1,'包络曲线数据'!$B$1:$U$1,0)),""))</x:f>
      </x:c>
      <x:c r="E732" t="str">
        <x:f>IF(E$1="","",IFERROR(INDEX('包络曲线数据'!$B$2:$U$742,ROW()-1,MATCH(E$1,'包络曲线数据'!$B$1:$U$1,0)),""))</x:f>
      </x:c>
      <x:c r="F732" t="str">
        <x:f>IF(F$1="","",IFERROR(INDEX('包络曲线数据'!$B$2:$U$742,ROW()-1,MATCH(F$1,'包络曲线数据'!$B$1:$U$1,0)),""))</x:f>
      </x:c>
      <x:c r="G732" t="str">
        <x:f>IF(G$1="","",IFERROR(INDEX('包络曲线数据'!$B$2:$U$742,ROW()-1,MATCH(G$1,'包络曲线数据'!$B$1:$U$1,0)),""))</x:f>
      </x:c>
    </x:row>
    <x:row r="733">
      <x:c r="A733" t="n">
        <x:v>73.10000000000001</x:v>
      </x:c>
      <x:c r="B733" t="str">
        <x:f>IF(B$1="","",IFERROR(INDEX('包络曲线数据'!$B$2:$U$742,ROW()-1,MATCH(B$1,'包络曲线数据'!$B$1:$U$1,0)),""))</x:f>
      </x:c>
      <x:c r="C733" t="str">
        <x:f>IF(C$1="","",IFERROR(INDEX('包络曲线数据'!$B$2:$U$742,ROW()-1,MATCH(C$1,'包络曲线数据'!$B$1:$U$1,0)),""))</x:f>
      </x:c>
      <x:c r="D733" t="str">
        <x:f>IF(D$1="","",IFERROR(INDEX('包络曲线数据'!$B$2:$U$742,ROW()-1,MATCH(D$1,'包络曲线数据'!$B$1:$U$1,0)),""))</x:f>
      </x:c>
      <x:c r="E733" t="str">
        <x:f>IF(E$1="","",IFERROR(INDEX('包络曲线数据'!$B$2:$U$742,ROW()-1,MATCH(E$1,'包络曲线数据'!$B$1:$U$1,0)),""))</x:f>
      </x:c>
      <x:c r="F733" t="str">
        <x:f>IF(F$1="","",IFERROR(INDEX('包络曲线数据'!$B$2:$U$742,ROW()-1,MATCH(F$1,'包络曲线数据'!$B$1:$U$1,0)),""))</x:f>
      </x:c>
      <x:c r="G733" t="str">
        <x:f>IF(G$1="","",IFERROR(INDEX('包络曲线数据'!$B$2:$U$742,ROW()-1,MATCH(G$1,'包络曲线数据'!$B$1:$U$1,0)),""))</x:f>
      </x:c>
    </x:row>
    <x:row r="734">
      <x:c r="A734" t="n">
        <x:v>73.2</x:v>
      </x:c>
      <x:c r="B734" t="str">
        <x:f>IF(B$1="","",IFERROR(INDEX('包络曲线数据'!$B$2:$U$742,ROW()-1,MATCH(B$1,'包络曲线数据'!$B$1:$U$1,0)),""))</x:f>
      </x:c>
      <x:c r="C734" t="str">
        <x:f>IF(C$1="","",IFERROR(INDEX('包络曲线数据'!$B$2:$U$742,ROW()-1,MATCH(C$1,'包络曲线数据'!$B$1:$U$1,0)),""))</x:f>
      </x:c>
      <x:c r="D734" t="str">
        <x:f>IF(D$1="","",IFERROR(INDEX('包络曲线数据'!$B$2:$U$742,ROW()-1,MATCH(D$1,'包络曲线数据'!$B$1:$U$1,0)),""))</x:f>
      </x:c>
      <x:c r="E734" t="str">
        <x:f>IF(E$1="","",IFERROR(INDEX('包络曲线数据'!$B$2:$U$742,ROW()-1,MATCH(E$1,'包络曲线数据'!$B$1:$U$1,0)),""))</x:f>
      </x:c>
      <x:c r="F734" t="str">
        <x:f>IF(F$1="","",IFERROR(INDEX('包络曲线数据'!$B$2:$U$742,ROW()-1,MATCH(F$1,'包络曲线数据'!$B$1:$U$1,0)),""))</x:f>
      </x:c>
      <x:c r="G734" t="str">
        <x:f>IF(G$1="","",IFERROR(INDEX('包络曲线数据'!$B$2:$U$742,ROW()-1,MATCH(G$1,'包络曲线数据'!$B$1:$U$1,0)),""))</x:f>
      </x:c>
    </x:row>
    <x:row r="735">
      <x:c r="A735" t="n">
        <x:v>73.3</x:v>
      </x:c>
      <x:c r="B735" t="str">
        <x:f>IF(B$1="","",IFERROR(INDEX('包络曲线数据'!$B$2:$U$742,ROW()-1,MATCH(B$1,'包络曲线数据'!$B$1:$U$1,0)),""))</x:f>
      </x:c>
      <x:c r="C735" t="str">
        <x:f>IF(C$1="","",IFERROR(INDEX('包络曲线数据'!$B$2:$U$742,ROW()-1,MATCH(C$1,'包络曲线数据'!$B$1:$U$1,0)),""))</x:f>
      </x:c>
      <x:c r="D735" t="str">
        <x:f>IF(D$1="","",IFERROR(INDEX('包络曲线数据'!$B$2:$U$742,ROW()-1,MATCH(D$1,'包络曲线数据'!$B$1:$U$1,0)),""))</x:f>
      </x:c>
      <x:c r="E735" t="str">
        <x:f>IF(E$1="","",IFERROR(INDEX('包络曲线数据'!$B$2:$U$742,ROW()-1,MATCH(E$1,'包络曲线数据'!$B$1:$U$1,0)),""))</x:f>
      </x:c>
      <x:c r="F735" t="str">
        <x:f>IF(F$1="","",IFERROR(INDEX('包络曲线数据'!$B$2:$U$742,ROW()-1,MATCH(F$1,'包络曲线数据'!$B$1:$U$1,0)),""))</x:f>
      </x:c>
      <x:c r="G735" t="str">
        <x:f>IF(G$1="","",IFERROR(INDEX('包络曲线数据'!$B$2:$U$742,ROW()-1,MATCH(G$1,'包络曲线数据'!$B$1:$U$1,0)),""))</x:f>
      </x:c>
    </x:row>
    <x:row r="736">
      <x:c r="A736" t="n">
        <x:v>73.4</x:v>
      </x:c>
      <x:c r="B736" t="str">
        <x:f>IF(B$1="","",IFERROR(INDEX('包络曲线数据'!$B$2:$U$742,ROW()-1,MATCH(B$1,'包络曲线数据'!$B$1:$U$1,0)),""))</x:f>
      </x:c>
      <x:c r="C736" t="str">
        <x:f>IF(C$1="","",IFERROR(INDEX('包络曲线数据'!$B$2:$U$742,ROW()-1,MATCH(C$1,'包络曲线数据'!$B$1:$U$1,0)),""))</x:f>
      </x:c>
      <x:c r="D736" t="str">
        <x:f>IF(D$1="","",IFERROR(INDEX('包络曲线数据'!$B$2:$U$742,ROW()-1,MATCH(D$1,'包络曲线数据'!$B$1:$U$1,0)),""))</x:f>
      </x:c>
      <x:c r="E736" t="str">
        <x:f>IF(E$1="","",IFERROR(INDEX('包络曲线数据'!$B$2:$U$742,ROW()-1,MATCH(E$1,'包络曲线数据'!$B$1:$U$1,0)),""))</x:f>
      </x:c>
      <x:c r="F736" t="str">
        <x:f>IF(F$1="","",IFERROR(INDEX('包络曲线数据'!$B$2:$U$742,ROW()-1,MATCH(F$1,'包络曲线数据'!$B$1:$U$1,0)),""))</x:f>
      </x:c>
      <x:c r="G736" t="str">
        <x:f>IF(G$1="","",IFERROR(INDEX('包络曲线数据'!$B$2:$U$742,ROW()-1,MATCH(G$1,'包络曲线数据'!$B$1:$U$1,0)),""))</x:f>
      </x:c>
    </x:row>
    <x:row r="737">
      <x:c r="A737" t="n">
        <x:v>73.5</x:v>
      </x:c>
      <x:c r="B737" t="str">
        <x:f>IF(B$1="","",IFERROR(INDEX('包络曲线数据'!$B$2:$U$742,ROW()-1,MATCH(B$1,'包络曲线数据'!$B$1:$U$1,0)),""))</x:f>
      </x:c>
      <x:c r="C737" t="str">
        <x:f>IF(C$1="","",IFERROR(INDEX('包络曲线数据'!$B$2:$U$742,ROW()-1,MATCH(C$1,'包络曲线数据'!$B$1:$U$1,0)),""))</x:f>
      </x:c>
      <x:c r="D737" t="str">
        <x:f>IF(D$1="","",IFERROR(INDEX('包络曲线数据'!$B$2:$U$742,ROW()-1,MATCH(D$1,'包络曲线数据'!$B$1:$U$1,0)),""))</x:f>
      </x:c>
      <x:c r="E737" t="str">
        <x:f>IF(E$1="","",IFERROR(INDEX('包络曲线数据'!$B$2:$U$742,ROW()-1,MATCH(E$1,'包络曲线数据'!$B$1:$U$1,0)),""))</x:f>
      </x:c>
      <x:c r="F737" t="str">
        <x:f>IF(F$1="","",IFERROR(INDEX('包络曲线数据'!$B$2:$U$742,ROW()-1,MATCH(F$1,'包络曲线数据'!$B$1:$U$1,0)),""))</x:f>
      </x:c>
      <x:c r="G737" t="str">
        <x:f>IF(G$1="","",IFERROR(INDEX('包络曲线数据'!$B$2:$U$742,ROW()-1,MATCH(G$1,'包络曲线数据'!$B$1:$U$1,0)),""))</x:f>
      </x:c>
    </x:row>
    <x:row r="738">
      <x:c r="A738" t="n">
        <x:v>73.60000000000001</x:v>
      </x:c>
      <x:c r="B738" t="str">
        <x:f>IF(B$1="","",IFERROR(INDEX('包络曲线数据'!$B$2:$U$742,ROW()-1,MATCH(B$1,'包络曲线数据'!$B$1:$U$1,0)),""))</x:f>
      </x:c>
      <x:c r="C738" t="str">
        <x:f>IF(C$1="","",IFERROR(INDEX('包络曲线数据'!$B$2:$U$742,ROW()-1,MATCH(C$1,'包络曲线数据'!$B$1:$U$1,0)),""))</x:f>
      </x:c>
      <x:c r="D738" t="str">
        <x:f>IF(D$1="","",IFERROR(INDEX('包络曲线数据'!$B$2:$U$742,ROW()-1,MATCH(D$1,'包络曲线数据'!$B$1:$U$1,0)),""))</x:f>
      </x:c>
      <x:c r="E738" t="str">
        <x:f>IF(E$1="","",IFERROR(INDEX('包络曲线数据'!$B$2:$U$742,ROW()-1,MATCH(E$1,'包络曲线数据'!$B$1:$U$1,0)),""))</x:f>
      </x:c>
      <x:c r="F738" t="str">
        <x:f>IF(F$1="","",IFERROR(INDEX('包络曲线数据'!$B$2:$U$742,ROW()-1,MATCH(F$1,'包络曲线数据'!$B$1:$U$1,0)),""))</x:f>
      </x:c>
      <x:c r="G738" t="str">
        <x:f>IF(G$1="","",IFERROR(INDEX('包络曲线数据'!$B$2:$U$742,ROW()-1,MATCH(G$1,'包络曲线数据'!$B$1:$U$1,0)),""))</x:f>
      </x:c>
    </x:row>
    <x:row r="739">
      <x:c r="A739" t="n">
        <x:v>73.7</x:v>
      </x:c>
      <x:c r="B739" t="str">
        <x:f>IF(B$1="","",IFERROR(INDEX('包络曲线数据'!$B$2:$U$742,ROW()-1,MATCH(B$1,'包络曲线数据'!$B$1:$U$1,0)),""))</x:f>
      </x:c>
      <x:c r="C739" t="str">
        <x:f>IF(C$1="","",IFERROR(INDEX('包络曲线数据'!$B$2:$U$742,ROW()-1,MATCH(C$1,'包络曲线数据'!$B$1:$U$1,0)),""))</x:f>
      </x:c>
      <x:c r="D739" t="str">
        <x:f>IF(D$1="","",IFERROR(INDEX('包络曲线数据'!$B$2:$U$742,ROW()-1,MATCH(D$1,'包络曲线数据'!$B$1:$U$1,0)),""))</x:f>
      </x:c>
      <x:c r="E739" t="str">
        <x:f>IF(E$1="","",IFERROR(INDEX('包络曲线数据'!$B$2:$U$742,ROW()-1,MATCH(E$1,'包络曲线数据'!$B$1:$U$1,0)),""))</x:f>
      </x:c>
      <x:c r="F739" t="str">
        <x:f>IF(F$1="","",IFERROR(INDEX('包络曲线数据'!$B$2:$U$742,ROW()-1,MATCH(F$1,'包络曲线数据'!$B$1:$U$1,0)),""))</x:f>
      </x:c>
      <x:c r="G739" t="str">
        <x:f>IF(G$1="","",IFERROR(INDEX('包络曲线数据'!$B$2:$U$742,ROW()-1,MATCH(G$1,'包络曲线数据'!$B$1:$U$1,0)),""))</x:f>
      </x:c>
    </x:row>
    <x:row r="740">
      <x:c r="A740" t="n">
        <x:v>73.8</x:v>
      </x:c>
      <x:c r="B740" t="str">
        <x:f>IF(B$1="","",IFERROR(INDEX('包络曲线数据'!$B$2:$U$742,ROW()-1,MATCH(B$1,'包络曲线数据'!$B$1:$U$1,0)),""))</x:f>
      </x:c>
      <x:c r="C740" t="str">
        <x:f>IF(C$1="","",IFERROR(INDEX('包络曲线数据'!$B$2:$U$742,ROW()-1,MATCH(C$1,'包络曲线数据'!$B$1:$U$1,0)),""))</x:f>
      </x:c>
      <x:c r="D740" t="str">
        <x:f>IF(D$1="","",IFERROR(INDEX('包络曲线数据'!$B$2:$U$742,ROW()-1,MATCH(D$1,'包络曲线数据'!$B$1:$U$1,0)),""))</x:f>
      </x:c>
      <x:c r="E740" t="str">
        <x:f>IF(E$1="","",IFERROR(INDEX('包络曲线数据'!$B$2:$U$742,ROW()-1,MATCH(E$1,'包络曲线数据'!$B$1:$U$1,0)),""))</x:f>
      </x:c>
      <x:c r="F740" t="str">
        <x:f>IF(F$1="","",IFERROR(INDEX('包络曲线数据'!$B$2:$U$742,ROW()-1,MATCH(F$1,'包络曲线数据'!$B$1:$U$1,0)),""))</x:f>
      </x:c>
      <x:c r="G740" t="str">
        <x:f>IF(G$1="","",IFERROR(INDEX('包络曲线数据'!$B$2:$U$742,ROW()-1,MATCH(G$1,'包络曲线数据'!$B$1:$U$1,0)),""))</x:f>
      </x:c>
    </x:row>
    <x:row r="741">
      <x:c r="A741" t="n">
        <x:v>73.9</x:v>
      </x:c>
      <x:c r="B741" t="str">
        <x:f>IF(B$1="","",IFERROR(INDEX('包络曲线数据'!$B$2:$U$742,ROW()-1,MATCH(B$1,'包络曲线数据'!$B$1:$U$1,0)),""))</x:f>
      </x:c>
      <x:c r="C741" t="str">
        <x:f>IF(C$1="","",IFERROR(INDEX('包络曲线数据'!$B$2:$U$742,ROW()-1,MATCH(C$1,'包络曲线数据'!$B$1:$U$1,0)),""))</x:f>
      </x:c>
      <x:c r="D741" t="str">
        <x:f>IF(D$1="","",IFERROR(INDEX('包络曲线数据'!$B$2:$U$742,ROW()-1,MATCH(D$1,'包络曲线数据'!$B$1:$U$1,0)),""))</x:f>
      </x:c>
      <x:c r="E741" t="str">
        <x:f>IF(E$1="","",IFERROR(INDEX('包络曲线数据'!$B$2:$U$742,ROW()-1,MATCH(E$1,'包络曲线数据'!$B$1:$U$1,0)),""))</x:f>
      </x:c>
      <x:c r="F741" t="str">
        <x:f>IF(F$1="","",IFERROR(INDEX('包络曲线数据'!$B$2:$U$742,ROW()-1,MATCH(F$1,'包络曲线数据'!$B$1:$U$1,0)),""))</x:f>
      </x:c>
      <x:c r="G741" t="str">
        <x:f>IF(G$1="","",IFERROR(INDEX('包络曲线数据'!$B$2:$U$742,ROW()-1,MATCH(G$1,'包络曲线数据'!$B$1:$U$1,0)),""))</x:f>
      </x:c>
    </x:row>
    <x:row r="742">
      <x:c r="A742" t="n">
        <x:v>74</x:v>
      </x:c>
      <x:c r="B742" t="str">
        <x:f>IF(B$1="","",IFERROR(INDEX('包络曲线数据'!$B$2:$U$742,ROW()-1,MATCH(B$1,'包络曲线数据'!$B$1:$U$1,0)),""))</x:f>
      </x:c>
      <x:c r="C742" t="str">
        <x:f>IF(C$1="","",IFERROR(INDEX('包络曲线数据'!$B$2:$U$742,ROW()-1,MATCH(C$1,'包络曲线数据'!$B$1:$U$1,0)),""))</x:f>
      </x:c>
      <x:c r="D742" t="str">
        <x:f>IF(D$1="","",IFERROR(INDEX('包络曲线数据'!$B$2:$U$742,ROW()-1,MATCH(D$1,'包络曲线数据'!$B$1:$U$1,0)),""))</x:f>
      </x:c>
      <x:c r="E742" t="str">
        <x:f>IF(E$1="","",IFERROR(INDEX('包络曲线数据'!$B$2:$U$742,ROW()-1,MATCH(E$1,'包络曲线数据'!$B$1:$U$1,0)),""))</x:f>
      </x:c>
      <x:c r="F742" t="str">
        <x:f>IF(F$1="","",IFERROR(INDEX('包络曲线数据'!$B$2:$U$742,ROW()-1,MATCH(F$1,'包络曲线数据'!$B$1:$U$1,0)),""))</x:f>
      </x:c>
      <x:c r="G742" t="str">
        <x:f>IF(G$1="","",IFERROR(INDEX('包络曲线数据'!$B$2:$U$742,ROW()-1,MATCH(G$1,'包络曲线数据'!$B$1:$U$1,0)),""))</x:f>
      </x:c>
    </x:row>
  </x:sheetData>
  <x:pageMargins left="0.7" right="0.7" top="0.75" bottom="0.75" header="0.3" footer="0.3"/>
</x:worksheet>
</file>