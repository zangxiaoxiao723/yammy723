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abc236556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18cc59e13ae46eb"/>
    <x:sheet xmlns:r="http://schemas.openxmlformats.org/officeDocument/2006/relationships" name="既定基准结果" sheetId="2" r:id="Rc3cf5c3b161c45c2"/>
    <x:sheet xmlns:r="http://schemas.openxmlformats.org/officeDocument/2006/relationships" name="对比面板" sheetId="3" r:id="R4e260ff6af5249eb"/>
    <x:sheet xmlns:r="http://schemas.openxmlformats.org/officeDocument/2006/relationships" name="测试索引" sheetId="4" r:id="R67a62a4f778843fa"/>
    <x:sheet xmlns:r="http://schemas.openxmlformats.org/officeDocument/2006/relationships" name="包络曲线数据" sheetId="5" r:id="R05622e3081814e8f"/>
    <x:sheet xmlns:r="http://schemas.openxmlformats.org/officeDocument/2006/relationships" name="代表咚声数据" sheetId="6" r:id="Rd7648d0241e94289"/>
    <x:sheet xmlns:r="http://schemas.openxmlformats.org/officeDocument/2006/relationships" name="图表计算" sheetId="7" r:id="R0dc703f3456e46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2"/>
      <x:color rgb="FF007C91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  <x:font>
      <x:b/>
      <x:sz val="11"/>
      <x:color rgb="FFC2410C"/>
      <x:name val="Carlito"/>
    </x:font>
    <x:font>
      <x:b/>
      <x:sz val="11"/>
      <x:color rgb="FF64748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6F3F5"/>
      </x:patternFill>
    </x:fill>
    <x:fill>
      <x:patternFill patternType="solid">
        <x:fgColor rgb="FFFEF3C7"/>
      </x:patternFill>
    </x:fill>
    <x:fill>
      <x:patternFill patternType="solid">
        <x:fgColor rgb="FFFFF7ED"/>
      </x:patternFill>
    </x:fill>
    <x:fill>
      <x:patternFill patternType="solid">
        <x:fgColor rgb="FFF1F5F9"/>
      </x:patternFill>
    </x:fill>
  </x:fills>
  <x:borders count="11">
    <x:border/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/>
    <x:xf numFmtId="0" fontId="3" fillId="3" borderId="4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256ad5a1448cc" /><Relationship Type="http://schemas.openxmlformats.org/officeDocument/2006/relationships/theme" Target="/xl/theme/theme1.xml" Id="Rbf08ab4980534235" /><Relationship Type="http://schemas.openxmlformats.org/officeDocument/2006/relationships/sharedStrings" Target="/xl/sharedStrings.xml" Id="R907bb464a3d64e32" /><Relationship Type="http://schemas.openxmlformats.org/officeDocument/2006/relationships/worksheet" Target="/xl/worksheets/sheet1.xml" Id="Ra18cc59e13ae46eb" /><Relationship Type="http://schemas.openxmlformats.org/officeDocument/2006/relationships/worksheet" Target="/xl/worksheets/sheet2.xml" Id="Rc3cf5c3b161c45c2" /><Relationship Type="http://schemas.openxmlformats.org/officeDocument/2006/relationships/worksheet" Target="/xl/worksheets/sheet3.xml" Id="R4e260ff6af5249eb" /><Relationship Type="http://schemas.openxmlformats.org/officeDocument/2006/relationships/worksheet" Target="/xl/worksheets/sheet4.xml" Id="R67a62a4f778843fa" /><Relationship Type="http://schemas.openxmlformats.org/officeDocument/2006/relationships/worksheet" Target="/xl/worksheets/sheet5.xml" Id="R05622e3081814e8f" /><Relationship Type="http://schemas.openxmlformats.org/officeDocument/2006/relationships/worksheet" Target="/xl/worksheets/sheet6.xml" Id="Rd7648d0241e94289" /><Relationship Type="http://schemas.openxmlformats.org/officeDocument/2006/relationships/worksheet" Target="/xl/worksheets/sheet7.xml" Id="R0dc703f3456e46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db352847914dcc" /><Relationship Type="http://schemas.openxmlformats.org/officeDocument/2006/relationships/chart" Target="/xl/drawings/charts/chart2.xml" Id="Rbd3c75fa398248f8" /><Relationship Type="http://schemas.openxmlformats.org/officeDocument/2006/relationships/chart" Target="/xl/drawings/charts/chart3.xml" Id="R6b14ba2b81e24c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整体咚声包络对比 - V2固定基准口径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'图表计算'!$B$1:$B$742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'图表计算'!$C$1:$C$742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'图表计算'!$D$1:$D$742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'图表计算'!$E$1:$E$742</c:f>
              <c:numCache>
                <c:formatCode>0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'图表计算'!$F$1:$F$742</c:f>
              <c:numCache>
                <c:formatCode>0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'图表计算'!$G$1:$G$742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视频时间 (s)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10"/>
          <c:min val="5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泵咚声估算dB(A)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常见咚声 - 单次曲线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'图表计算'!$J$1:$J$39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'图表计算'!$K$1:$K$39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'图表计算'!$L$1:$L$39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'图表计算'!$M$1:$M$39</c:f>
              <c:numCache>
                <c:formatCode>0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'图表计算'!$N$1:$N$39</c:f>
              <c:numCache>
                <c:formatCode>0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'图表计算'!$O$1:$O$39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相对峰值时间 (ms)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10"/>
          <c:min val="5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估算dB(A)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较响咚声 - 单次曲线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'图表计算'!$R$1:$R$39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'图表计算'!$S$1:$S$39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'图表计算'!$T$1:$T$39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'图表计算'!$U$1:$U$39</c:f>
              <c:numCache>
                <c:formatCode>0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'图表计算'!$V$1:$V$39</c:f>
              <c:numCache>
                <c:formatCode>0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'图表计算'!$W$1:$W$39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相对峰值时间 (ms)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10"/>
          <c:min val="5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估算dB(A)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db352847914dcc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7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3c75fa398248f8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14</xdr:col>
      <xdr:colOff>0</xdr:colOff>
      <xdr:row>55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14ba2b81e24cb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2439701a63c47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4" customHeight="1">
      <x:c r="A1" s="4" t="str">
        <x:v>HPDI 泵声音固定基准对比工具</x:v>
      </x:c>
    </x:row>
    <x:row r="3">
      <x:c r="A3" s="6" t="str">
        <x:v>用途：东德和富瑞初始基准数值、算法及校准偏移全部保持V2不变；后续测试只按同一固定算法追加。</x:v>
      </x:c>
    </x:row>
    <x:row r="5" ht="34" customHeight="1">
      <x:c r="A5" s="15" t="str">
        <x:v>操作</x:v>
      </x:c>
      <x:c r="B5" s="15" t="str">
        <x:v>说明</x:v>
      </x:c>
    </x:row>
    <x:row r="6" ht="34" customHeight="1">
      <x:c r="A6" s="16" t="str">
        <x:v>1. 复核旧基准</x:v>
      </x:c>
      <x:c r="B6" s="16" t="str">
        <x:v>先看“既定基准结果”。东德与富瑞初始的结果完全沿用V2，不受后续算法调整影响。</x:v>
      </x:c>
    </x:row>
    <x:row r="7" ht="34" customHeight="1">
      <x:c r="A7" s="16" t="str">
        <x:v>2. 选择测试</x:v>
      </x:c>
      <x:c r="B7" s="16" t="str">
        <x:v>在“对比面板”顶部选择最多6组。选择东德900和富瑞初始900时，结果必须与V2一致。</x:v>
      </x:c>
    </x:row>
    <x:row r="8" ht="34" customHeight="1">
      <x:c r="A8" s="16" t="str">
        <x:v>3. 看常见咚声</x:v>
      </x:c>
      <x:c r="B8" s="16" t="str">
        <x:v>表示大多数正常周期的典型冲击，不要求客户理解统计术语。</x:v>
      </x:c>
    </x:row>
    <x:row r="9" ht="34" customHeight="1">
      <x:c r="A9" s="16" t="str">
        <x:v>4. 看较响咚声</x:v>
      </x:c>
      <x:c r="B9" s="16" t="str">
        <x:v>表示一段测试中偏响的那部分周期，是调泵时优先压低的对象。</x:v>
      </x:c>
    </x:row>
    <x:row r="10" ht="34" customHeight="1">
      <x:c r="A10" s="16" t="str">
        <x:v>5. 追加新测试</x:v>
      </x:c>
      <x:c r="B10" s="16" t="str">
        <x:v>由分析脚本把新测试追加到“测试索引”和两个曲线数据页，原有东德基准保持不变。</x:v>
      </x:c>
    </x:row>
    <x:row r="12">
      <x:c r="A12" s="20" t="str">
        <x:v>重要：本工具不再对既定基准做逐段背景平移。无分贝仪的跨日期视频虽然按相同固定算法计算，但可能受手机自动增益影响，后续结果属于工程估算；出现明显改善或恶化时必须用同步分贝仪复测确认。</x:v>
      </x:c>
    </x:row>
  </x:sheetData>
  <x:mergeCells>
    <x:mergeCell ref="A1:H1"/>
    <x:mergeCell ref="A3:H3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4" customHeight="1">
      <x:c r="A1" s="4" t="str">
        <x:v>既定基准结果（V2原口径，不随后续算法变化）</x:v>
      </x:c>
    </x:row>
    <x:row r="3">
      <x:c r="A3" s="23" t="str">
        <x:v>固定偏移来自富瑞初始1000 rpm视频中的分贝仪画面。以下结果与上一版工具完全一致；其中900 rpm富瑞初始常见咚声高于东德7.6 dB，较响咚声高于东德5.1 dB。</x:v>
      </x:c>
    </x:row>
    <x:row r="5">
      <x:c r="A5" s="15" t="str">
        <x:v>测试编号</x:v>
      </x:c>
      <x:c r="B5" s="15" t="str">
        <x:v>日期</x:v>
      </x:c>
      <x:c r="C5" s="15" t="str">
        <x:v>产品</x:v>
      </x:c>
      <x:c r="D5" s="15" t="str">
        <x:v>转速 rpm</x:v>
      </x:c>
      <x:c r="E5" s="15" t="str">
        <x:v>常见咚声 估算dB(A)</x:v>
      </x:c>
      <x:c r="F5" s="15" t="str">
        <x:v>较响咚声 估算dB(A)</x:v>
      </x:c>
      <x:c r="G5" s="15" t="str">
        <x:v>常见声相对东德</x:v>
      </x:c>
      <x:c r="H5" s="15" t="str">
        <x:v>较响声相对东德</x:v>
      </x:c>
      <x:c r="I5" s="15" t="str">
        <x:v>常见差值 dB</x:v>
      </x:c>
      <x:c r="J5" s="15" t="str">
        <x:v>较响差值 dB</x:v>
      </x:c>
      <x:c r="K5" s="11" t="str">
        <x:v>结论</x:v>
      </x:c>
    </x:row>
    <x:row r="6">
      <x:c r="A6" s="26" t="str">
        <x:v>FR_INIT_260709_600</x:v>
      </x:c>
      <x:c r="B6" s="26" t="str">
        <x:v>2026-07-09</x:v>
      </x:c>
      <x:c r="C6" s="26" t="str">
        <x:v>富瑞初始</x:v>
      </x:c>
      <x:c r="D6" s="28" t="n">
        <x:v>600</x:v>
      </x:c>
      <x:c r="E6" s="29" t="n">
        <x:v>73.52145130234948</x:v>
      </x:c>
      <x:c r="F6" s="29" t="n">
        <x:v>85.62014550970683</x:v>
      </x:c>
      <x:c r="G6" s="26" t="str">
        <x:v>无同转速基准</x:v>
      </x:c>
      <x:c r="H6" s="26" t="str">
        <x:v>无同转速基准</x:v>
      </x:c>
      <x:c r="I6" s="29"/>
      <x:c r="J6" s="29"/>
      <x:c r="K6" s="27" t="str">
        <x:v>无同转速基准</x:v>
      </x:c>
    </x:row>
    <x:row r="7">
      <x:c r="A7" s="26" t="str">
        <x:v>DD_BASE_260707_700</x:v>
      </x:c>
      <x:c r="B7" s="26" t="str">
        <x:v>2026-07-07</x:v>
      </x:c>
      <x:c r="C7" s="26" t="str">
        <x:v>东德基准</x:v>
      </x:c>
      <x:c r="D7" s="28" t="n">
        <x:v>700</x:v>
      </x:c>
      <x:c r="E7" s="29" t="n">
        <x:v>69.87918364991627</x:v>
      </x:c>
      <x:c r="F7" s="29" t="n">
        <x:v>78.3836127175188</x:v>
      </x:c>
      <x:c r="G7" s="26" t="str">
        <x:v>基准</x:v>
      </x:c>
      <x:c r="H7" s="26" t="str">
        <x:v>基准</x:v>
      </x:c>
      <x:c r="I7" s="29" t="n">
        <x:v>0</x:v>
      </x:c>
      <x:c r="J7" s="29" t="n">
        <x:v>0</x:v>
      </x:c>
      <x:c r="K7" s="27" t="str">
        <x:v>东德基准</x:v>
      </x:c>
    </x:row>
    <x:row r="8">
      <x:c r="A8" s="26" t="str">
        <x:v>FR_INIT_260709_700</x:v>
      </x:c>
      <x:c r="B8" s="26" t="str">
        <x:v>2026-07-09</x:v>
      </x:c>
      <x:c r="C8" s="26" t="str">
        <x:v>富瑞初始</x:v>
      </x:c>
      <x:c r="D8" s="28" t="n">
        <x:v>700</x:v>
      </x:c>
      <x:c r="E8" s="29" t="n">
        <x:v>68.66649335990613</x:v>
      </x:c>
      <x:c r="F8" s="29" t="n">
        <x:v>80.21613661249395</x:v>
      </x:c>
      <x:c r="G8" s="26" t="str">
        <x:v>低于东德 1.2 dB</x:v>
      </x:c>
      <x:c r="H8" s="26" t="str">
        <x:v>高于东德 1.8 dB</x:v>
      </x:c>
      <x:c r="I8" s="29" t="n">
        <x:v>1.2126902900101442</x:v>
      </x:c>
      <x:c r="J8" s="29" t="n">
        <x:v>1.8325238949751537</x:v>
      </x:c>
      <x:c r="K8" s="27" t="str">
        <x:v>略差/接近</x:v>
      </x:c>
    </x:row>
    <x:row r="9">
      <x:c r="A9" s="26" t="str">
        <x:v>DD_BASE_260707_800</x:v>
      </x:c>
      <x:c r="B9" s="26" t="str">
        <x:v>2026-07-07</x:v>
      </x:c>
      <x:c r="C9" s="26" t="str">
        <x:v>东德基准</x:v>
      </x:c>
      <x:c r="D9" s="28" t="n">
        <x:v>800</x:v>
      </x:c>
      <x:c r="E9" s="29" t="n">
        <x:v>70.93613197032454</x:v>
      </x:c>
      <x:c r="F9" s="29" t="n">
        <x:v>81.55093752351863</x:v>
      </x:c>
      <x:c r="G9" s="26" t="str">
        <x:v>基准</x:v>
      </x:c>
      <x:c r="H9" s="26" t="str">
        <x:v>基准</x:v>
      </x:c>
      <x:c r="I9" s="29" t="n">
        <x:v>0</x:v>
      </x:c>
      <x:c r="J9" s="29" t="n">
        <x:v>0</x:v>
      </x:c>
      <x:c r="K9" s="27" t="str">
        <x:v>东德基准</x:v>
      </x:c>
    </x:row>
    <x:row r="10">
      <x:c r="A10" s="26" t="str">
        <x:v>FR_INIT_260709_800</x:v>
      </x:c>
      <x:c r="B10" s="26" t="str">
        <x:v>2026-07-09</x:v>
      </x:c>
      <x:c r="C10" s="26" t="str">
        <x:v>富瑞初始</x:v>
      </x:c>
      <x:c r="D10" s="28" t="n">
        <x:v>800</x:v>
      </x:c>
      <x:c r="E10" s="29" t="n">
        <x:v>63.02820377834645</x:v>
      </x:c>
      <x:c r="F10" s="29" t="n">
        <x:v>79.2615240916549</x:v>
      </x:c>
      <x:c r="G10" s="26" t="str">
        <x:v>低于东德 7.9 dB</x:v>
      </x:c>
      <x:c r="H10" s="26" t="str">
        <x:v>低于东德 2.3 dB</x:v>
      </x:c>
      <x:c r="I10" s="29" t="n">
        <x:v>7.907928191978087</x:v>
      </x:c>
      <x:c r="J10" s="29" t="n">
        <x:v>2.2894134318637214</x:v>
      </x:c>
      <x:c r="K10" s="27" t="str">
        <x:v>明显优于东德</x:v>
      </x:c>
    </x:row>
    <x:row r="11">
      <x:c r="A11" s="26" t="str">
        <x:v>DD_BASE_260707_900</x:v>
      </x:c>
      <x:c r="B11" s="26" t="str">
        <x:v>2026-07-07</x:v>
      </x:c>
      <x:c r="C11" s="26" t="str">
        <x:v>东德基准</x:v>
      </x:c>
      <x:c r="D11" s="28" t="n">
        <x:v>900</x:v>
      </x:c>
      <x:c r="E11" s="29" t="n">
        <x:v>65.88776647757734</x:v>
      </x:c>
      <x:c r="F11" s="29" t="n">
        <x:v>76.05170915205913</x:v>
      </x:c>
      <x:c r="G11" s="26" t="str">
        <x:v>基准</x:v>
      </x:c>
      <x:c r="H11" s="26" t="str">
        <x:v>基准</x:v>
      </x:c>
      <x:c r="I11" s="29" t="n">
        <x:v>0</x:v>
      </x:c>
      <x:c r="J11" s="29" t="n">
        <x:v>0</x:v>
      </x:c>
      <x:c r="K11" s="27" t="str">
        <x:v>东德基准</x:v>
      </x:c>
    </x:row>
    <x:row r="12">
      <x:c r="A12" s="26" t="str">
        <x:v>FR_INIT_260709_900</x:v>
      </x:c>
      <x:c r="B12" s="26" t="str">
        <x:v>2026-07-09</x:v>
      </x:c>
      <x:c r="C12" s="26" t="str">
        <x:v>富瑞初始</x:v>
      </x:c>
      <x:c r="D12" s="28" t="n">
        <x:v>900</x:v>
      </x:c>
      <x:c r="E12" s="29" t="n">
        <x:v>73.45493750018855</x:v>
      </x:c>
      <x:c r="F12" s="29" t="n">
        <x:v>81.17092045939745</x:v>
      </x:c>
      <x:c r="G12" s="26" t="str">
        <x:v>高于东德 7.6 dB</x:v>
      </x:c>
      <x:c r="H12" s="26" t="str">
        <x:v>高于东德 5.1 dB</x:v>
      </x:c>
      <x:c r="I12" s="29" t="n">
        <x:v>7.5671710226112054</x:v>
      </x:c>
      <x:c r="J12" s="29" t="n">
        <x:v>5.119211307338318</x:v>
      </x:c>
      <x:c r="K12" s="27" t="str">
        <x:v>明显差于东德</x:v>
      </x:c>
    </x:row>
    <x:row r="13">
      <x:c r="A13" s="26" t="str">
        <x:v>FR_INIT_260709_1000</x:v>
      </x:c>
      <x:c r="B13" s="26" t="str">
        <x:v>2026-07-09</x:v>
      </x:c>
      <x:c r="C13" s="26" t="str">
        <x:v>富瑞初始</x:v>
      </x:c>
      <x:c r="D13" s="28" t="n">
        <x:v>1000</x:v>
      </x:c>
      <x:c r="E13" s="29" t="n">
        <x:v>72.24411604985423</x:v>
      </x:c>
      <x:c r="F13" s="29" t="n">
        <x:v>83.15960294871199</x:v>
      </x:c>
      <x:c r="G13" s="26" t="str">
        <x:v>无同转速基准</x:v>
      </x:c>
      <x:c r="H13" s="26" t="str">
        <x:v>无同转速基准</x:v>
      </x:c>
      <x:c r="I13" s="29"/>
      <x:c r="J13" s="29"/>
      <x:c r="K13" s="27" t="str">
        <x:v>无同转速基准</x:v>
      </x:c>
    </x:row>
    <x:row r="14">
      <x:c r="A14" s="26" t="str">
        <x:v>DD_BASE_260707_1125</x:v>
      </x:c>
      <x:c r="B14" s="26" t="str">
        <x:v>2026-07-07</x:v>
      </x:c>
      <x:c r="C14" s="26" t="str">
        <x:v>东德基准</x:v>
      </x:c>
      <x:c r="D14" s="28" t="n">
        <x:v>1125</x:v>
      </x:c>
      <x:c r="E14" s="29" t="n">
        <x:v>57.92815630171668</x:v>
      </x:c>
      <x:c r="F14" s="29" t="n">
        <x:v>80.48060007602363</x:v>
      </x:c>
      <x:c r="G14" s="26" t="str">
        <x:v>基准</x:v>
      </x:c>
      <x:c r="H14" s="26" t="str">
        <x:v>基准</x:v>
      </x:c>
      <x:c r="I14" s="29" t="n">
        <x:v>0</x:v>
      </x:c>
      <x:c r="J14" s="29" t="n">
        <x:v>0</x:v>
      </x:c>
      <x:c r="K14" s="27" t="str">
        <x:v>东德基准</x:v>
      </x:c>
    </x:row>
    <x:row r="15">
      <x:c r="A15" s="26" t="str">
        <x:v>FR_INIT_260709_1125</x:v>
      </x:c>
      <x:c r="B15" s="26" t="str">
        <x:v>2026-07-09</x:v>
      </x:c>
      <x:c r="C15" s="26" t="str">
        <x:v>富瑞初始</x:v>
      </x:c>
      <x:c r="D15" s="28" t="n">
        <x:v>1125</x:v>
      </x:c>
      <x:c r="E15" s="29" t="n">
        <x:v>62.01221128287424</x:v>
      </x:c>
      <x:c r="F15" s="29" t="n">
        <x:v>83.91396375760235</x:v>
      </x:c>
      <x:c r="G15" s="26" t="str">
        <x:v>高于东德 4.1 dB</x:v>
      </x:c>
      <x:c r="H15" s="26" t="str">
        <x:v>高于东德 3.4 dB</x:v>
      </x:c>
      <x:c r="I15" s="29" t="n">
        <x:v>4.084054981157557</x:v>
      </x:c>
      <x:c r="J15" s="29" t="n">
        <x:v>3.4333636815787116</x:v>
      </x:c>
      <x:c r="K15" s="27" t="str">
        <x:v>明显差于东德</x:v>
      </x:c>
    </x:row>
  </x:sheetData>
  <x:mergeCells>
    <x:mergeCell ref="A1:K1"/>
    <x:mergeCell ref="A3:K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固定基准口径：HPDI泵声音对比</x:v>
      </x:c>
    </x:row>
    <x:row r="3">
      <x:c r="A3" s="8" t="str">
        <x:v>选择测试</x:v>
      </x:c>
      <x:c r="B3" s="40" t="str">
        <x:v>DD_BASE_260707_900</x:v>
      </x:c>
      <x:c r="C3" s="40" t="str">
        <x:v>FR_INIT_260709_900</x:v>
      </x:c>
      <x:c r="D3" s="40" t="str"/>
      <x:c r="E3" s="40" t="str"/>
      <x:c r="F3" s="40" t="str"/>
      <x:c r="G3" s="40" t="str"/>
    </x:row>
    <x:row r="5">
      <x:c r="A5" s="11" t="str">
        <x:v>测试编号</x:v>
      </x:c>
      <x:c r="B5" s="25" t="str">
        <x:v>转速 rpm</x:v>
      </x:c>
      <x:c r="C5" s="25" t="str">
        <x:v>常见咚声</x:v>
      </x:c>
      <x:c r="D5" s="25" t="str">
        <x:v>较响咚声</x:v>
      </x:c>
      <x:c r="E5" s="25" t="str">
        <x:v>常见/东德</x:v>
      </x:c>
      <x:c r="F5" s="25" t="str">
        <x:v>较响/东德</x:v>
      </x:c>
      <x:c r="G5" s="25" t="str">
        <x:v>常见/初始</x:v>
      </x:c>
      <x:c r="H5" s="25" t="str">
        <x:v>较响/初始</x:v>
      </x:c>
      <x:c r="I5" s="25" t="str">
        <x:v>超门槛占比</x:v>
      </x:c>
      <x:c r="J5" s="12" t="str">
        <x:v>声级判断</x:v>
      </x:c>
    </x:row>
    <x:row r="6">
      <x:c r="A6" s="48" t="str">
        <x:f>IF(B$3="","",B$3)</x:f>
        <x:v>DD_BASE_260707_900</x:v>
      </x:c>
      <x:c r="B6" s="55" t="n">
        <x:f>IFERROR(INDEX('测试索引'!$F$2:$F$21,MATCH($A6,'测试索引'!$A$2:$A$21,0)),"")</x:f>
        <x:v>900</x:v>
      </x:c>
      <x:c r="C6" s="57" t="n">
        <x:f>IFERROR(INDEX('测试索引'!$J$2:$J$21,MATCH($A6,'测试索引'!$A$2:$A$21,0)),"")</x:f>
        <x:v>65.88776647757734</x:v>
      </x:c>
      <x:c r="D6" s="57" t="n">
        <x:f>IFERROR(INDEX('测试索引'!$K$2:$K$21,MATCH($A6,'测试索引'!$A$2:$A$21,0)),"")</x:f>
        <x:v>76.05170915205913</x:v>
      </x:c>
      <x:c r="E6" s="57" t="str">
        <x:f>IFERROR(INDEX('测试索引'!$L$2:$L$21,MATCH($A6,'测试索引'!$A$2:$A$21,0)),"")</x:f>
        <x:v>基准</x:v>
      </x:c>
      <x:c r="F6" s="57" t="str">
        <x:f>IFERROR(INDEX('测试索引'!$M$2:$M$21,MATCH($A6,'测试索引'!$A$2:$A$21,0)),"")</x:f>
        <x:v>基准</x:v>
      </x:c>
      <x:c r="G6" s="57" t="str">
        <x:f>IFERROR(INDEX('测试索引'!$P$2:$P$21,MATCH($A6,'测试索引'!$A$2:$A$21,0)),"")</x:f>
        <x:v>不适用</x:v>
      </x:c>
      <x:c r="H6" s="57" t="str">
        <x:f>IFERROR(INDEX('测试索引'!$Q$2:$Q$21,MATCH($A6,'测试索引'!$A$2:$A$21,0)),"")</x:f>
        <x:v>不适用</x:v>
      </x:c>
      <x:c r="I6" s="57" t="n">
        <x:f>IFERROR(INDEX('测试索引'!$T$2:$T$21,MATCH($A6,'测试索引'!$A$2:$A$21,0)),"")</x:f>
        <x:v>10</x:v>
      </x:c>
      <x:c r="J6" s="50" t="str">
        <x:f>IFERROR(INDEX('测试索引'!$U$2:$U$21,MATCH($A6,'测试索引'!$A$2:$A$21,0)),"")</x:f>
        <x:v>东德基准</x:v>
      </x:c>
    </x:row>
    <x:row r="7">
      <x:c r="A7" s="51" t="str">
        <x:f>IF(C$3="","",C$3)</x:f>
        <x:v>FR_INIT_260709_900</x:v>
      </x:c>
      <x:c r="B7" s="33" t="n">
        <x:f>IFERROR(INDEX('测试索引'!$F$2:$F$21,MATCH($A7,'测试索引'!$A$2:$A$21,0)),"")</x:f>
        <x:v>900</x:v>
      </x:c>
      <x:c r="C7" s="34" t="n">
        <x:f>IFERROR(INDEX('测试索引'!$J$2:$J$21,MATCH($A7,'测试索引'!$A$2:$A$21,0)),"")</x:f>
        <x:v>73.45493750018855</x:v>
      </x:c>
      <x:c r="D7" s="34" t="n">
        <x:f>IFERROR(INDEX('测试索引'!$K$2:$K$21,MATCH($A7,'测试索引'!$A$2:$A$21,0)),"")</x:f>
        <x:v>81.17092045939745</x:v>
      </x:c>
      <x:c r="E7" s="34" t="str">
        <x:f>IFERROR(INDEX('测试索引'!$L$2:$L$21,MATCH($A7,'测试索引'!$A$2:$A$21,0)),"")</x:f>
        <x:v>高于东德 7.6 dB</x:v>
      </x:c>
      <x:c r="F7" s="34" t="str">
        <x:f>IFERROR(INDEX('测试索引'!$M$2:$M$21,MATCH($A7,'测试索引'!$A$2:$A$21,0)),"")</x:f>
        <x:v>高于东德 5.1 dB</x:v>
      </x:c>
      <x:c r="G7" s="34" t="str">
        <x:f>IFERROR(INDEX('测试索引'!$P$2:$P$21,MATCH($A7,'测试索引'!$A$2:$A$21,0)),"")</x:f>
        <x:v>初始状态</x:v>
      </x:c>
      <x:c r="H7" s="34" t="str">
        <x:f>IFERROR(INDEX('测试索引'!$Q$2:$Q$21,MATCH($A7,'测试索引'!$A$2:$A$21,0)),"")</x:f>
        <x:v>初始状态</x:v>
      </x:c>
      <x:c r="I7" s="34" t="n">
        <x:f>IFERROR(INDEX('测试索引'!$T$2:$T$21,MATCH($A7,'测试索引'!$A$2:$A$21,0)),"")</x:f>
        <x:v>39.58333333333333</x:v>
      </x:c>
      <x:c r="J7" s="35" t="str">
        <x:f>IFERROR(INDEX('测试索引'!$U$2:$U$21,MATCH($A7,'测试索引'!$A$2:$A$21,0)),"")</x:f>
        <x:v>明显差于东德</x:v>
      </x:c>
    </x:row>
    <x:row r="8">
      <x:c r="A8" s="51" t="str">
        <x:f>IF(D$3="","",D$3)</x:f>
      </x:c>
      <x:c r="B8" s="33" t="str">
        <x:f>IFERROR(INDEX('测试索引'!$F$2:$F$21,MATCH($A8,'测试索引'!$A$2:$A$21,0)),"")</x:f>
      </x:c>
      <x:c r="C8" s="34" t="str">
        <x:f>IFERROR(INDEX('测试索引'!$J$2:$J$21,MATCH($A8,'测试索引'!$A$2:$A$21,0)),"")</x:f>
      </x:c>
      <x:c r="D8" s="34" t="str">
        <x:f>IFERROR(INDEX('测试索引'!$K$2:$K$21,MATCH($A8,'测试索引'!$A$2:$A$21,0)),"")</x:f>
      </x:c>
      <x:c r="E8" s="34" t="str">
        <x:f>IFERROR(INDEX('测试索引'!$L$2:$L$21,MATCH($A8,'测试索引'!$A$2:$A$21,0)),"")</x:f>
      </x:c>
      <x:c r="F8" s="34" t="str">
        <x:f>IFERROR(INDEX('测试索引'!$M$2:$M$21,MATCH($A8,'测试索引'!$A$2:$A$21,0)),"")</x:f>
      </x:c>
      <x:c r="G8" s="34" t="str">
        <x:f>IFERROR(INDEX('测试索引'!$P$2:$P$21,MATCH($A8,'测试索引'!$A$2:$A$21,0)),"")</x:f>
      </x:c>
      <x:c r="H8" s="34" t="str">
        <x:f>IFERROR(INDEX('测试索引'!$Q$2:$Q$21,MATCH($A8,'测试索引'!$A$2:$A$21,0)),"")</x:f>
      </x:c>
      <x:c r="I8" s="34" t="str">
        <x:f>IFERROR(INDEX('测试索引'!$T$2:$T$21,MATCH($A8,'测试索引'!$A$2:$A$21,0)),"")</x:f>
      </x:c>
      <x:c r="J8" s="35" t="str">
        <x:f>IFERROR(INDEX('测试索引'!$U$2:$U$21,MATCH($A8,'测试索引'!$A$2:$A$21,0)),"")</x:f>
      </x:c>
    </x:row>
    <x:row r="9">
      <x:c r="A9" s="51" t="str">
        <x:f>IF(E$3="","",E$3)</x:f>
      </x:c>
      <x:c r="B9" s="33" t="str">
        <x:f>IFERROR(INDEX('测试索引'!$F$2:$F$21,MATCH($A9,'测试索引'!$A$2:$A$21,0)),"")</x:f>
      </x:c>
      <x:c r="C9" s="34" t="str">
        <x:f>IFERROR(INDEX('测试索引'!$J$2:$J$21,MATCH($A9,'测试索引'!$A$2:$A$21,0)),"")</x:f>
      </x:c>
      <x:c r="D9" s="34" t="str">
        <x:f>IFERROR(INDEX('测试索引'!$K$2:$K$21,MATCH($A9,'测试索引'!$A$2:$A$21,0)),"")</x:f>
      </x:c>
      <x:c r="E9" s="34" t="str">
        <x:f>IFERROR(INDEX('测试索引'!$L$2:$L$21,MATCH($A9,'测试索引'!$A$2:$A$21,0)),"")</x:f>
      </x:c>
      <x:c r="F9" s="34" t="str">
        <x:f>IFERROR(INDEX('测试索引'!$M$2:$M$21,MATCH($A9,'测试索引'!$A$2:$A$21,0)),"")</x:f>
      </x:c>
      <x:c r="G9" s="34" t="str">
        <x:f>IFERROR(INDEX('测试索引'!$P$2:$P$21,MATCH($A9,'测试索引'!$A$2:$A$21,0)),"")</x:f>
      </x:c>
      <x:c r="H9" s="34" t="str">
        <x:f>IFERROR(INDEX('测试索引'!$Q$2:$Q$21,MATCH($A9,'测试索引'!$A$2:$A$21,0)),"")</x:f>
      </x:c>
      <x:c r="I9" s="34" t="str">
        <x:f>IFERROR(INDEX('测试索引'!$T$2:$T$21,MATCH($A9,'测试索引'!$A$2:$A$21,0)),"")</x:f>
      </x:c>
      <x:c r="J9" s="35" t="str">
        <x:f>IFERROR(INDEX('测试索引'!$U$2:$U$21,MATCH($A9,'测试索引'!$A$2:$A$21,0)),"")</x:f>
      </x:c>
    </x:row>
    <x:row r="10">
      <x:c r="A10" s="51" t="str">
        <x:f>IF(F$3="","",F$3)</x:f>
      </x:c>
      <x:c r="B10" s="33" t="str">
        <x:f>IFERROR(INDEX('测试索引'!$F$2:$F$21,MATCH($A10,'测试索引'!$A$2:$A$21,0)),"")</x:f>
      </x:c>
      <x:c r="C10" s="34" t="str">
        <x:f>IFERROR(INDEX('测试索引'!$J$2:$J$21,MATCH($A10,'测试索引'!$A$2:$A$21,0)),"")</x:f>
      </x:c>
      <x:c r="D10" s="34" t="str">
        <x:f>IFERROR(INDEX('测试索引'!$K$2:$K$21,MATCH($A10,'测试索引'!$A$2:$A$21,0)),"")</x:f>
      </x:c>
      <x:c r="E10" s="34" t="str">
        <x:f>IFERROR(INDEX('测试索引'!$L$2:$L$21,MATCH($A10,'测试索引'!$A$2:$A$21,0)),"")</x:f>
      </x:c>
      <x:c r="F10" s="34" t="str">
        <x:f>IFERROR(INDEX('测试索引'!$M$2:$M$21,MATCH($A10,'测试索引'!$A$2:$A$21,0)),"")</x:f>
      </x:c>
      <x:c r="G10" s="34" t="str">
        <x:f>IFERROR(INDEX('测试索引'!$P$2:$P$21,MATCH($A10,'测试索引'!$A$2:$A$21,0)),"")</x:f>
      </x:c>
      <x:c r="H10" s="34" t="str">
        <x:f>IFERROR(INDEX('测试索引'!$Q$2:$Q$21,MATCH($A10,'测试索引'!$A$2:$A$21,0)),"")</x:f>
      </x:c>
      <x:c r="I10" s="34" t="str">
        <x:f>IFERROR(INDEX('测试索引'!$T$2:$T$21,MATCH($A10,'测试索引'!$A$2:$A$21,0)),"")</x:f>
      </x:c>
      <x:c r="J10" s="35" t="str">
        <x:f>IFERROR(INDEX('测试索引'!$U$2:$U$21,MATCH($A10,'测试索引'!$A$2:$A$21,0)),"")</x:f>
      </x:c>
    </x:row>
    <x:row r="11">
      <x:c r="A11" s="52" t="str">
        <x:f>IF(G$3="","",G$3)</x:f>
      </x:c>
      <x:c r="B11" s="56" t="str">
        <x:f>IFERROR(INDEX('测试索引'!$F$2:$F$21,MATCH($A11,'测试索引'!$A$2:$A$21,0)),"")</x:f>
      </x:c>
      <x:c r="C11" s="58" t="str">
        <x:f>IFERROR(INDEX('测试索引'!$J$2:$J$21,MATCH($A11,'测试索引'!$A$2:$A$21,0)),"")</x:f>
      </x:c>
      <x:c r="D11" s="58" t="str">
        <x:f>IFERROR(INDEX('测试索引'!$K$2:$K$21,MATCH($A11,'测试索引'!$A$2:$A$21,0)),"")</x:f>
      </x:c>
      <x:c r="E11" s="58" t="str">
        <x:f>IFERROR(INDEX('测试索引'!$L$2:$L$21,MATCH($A11,'测试索引'!$A$2:$A$21,0)),"")</x:f>
      </x:c>
      <x:c r="F11" s="58" t="str">
        <x:f>IFERROR(INDEX('测试索引'!$M$2:$M$21,MATCH($A11,'测试索引'!$A$2:$A$21,0)),"")</x:f>
      </x:c>
      <x:c r="G11" s="58" t="str">
        <x:f>IFERROR(INDEX('测试索引'!$P$2:$P$21,MATCH($A11,'测试索引'!$A$2:$A$21,0)),"")</x:f>
      </x:c>
      <x:c r="H11" s="58" t="str">
        <x:f>IFERROR(INDEX('测试索引'!$Q$2:$Q$21,MATCH($A11,'测试索引'!$A$2:$A$21,0)),"")</x:f>
      </x:c>
      <x:c r="I11" s="58" t="str">
        <x:f>IFERROR(INDEX('测试索引'!$T$2:$T$21,MATCH($A11,'测试索引'!$A$2:$A$21,0)),"")</x:f>
      </x:c>
      <x:c r="J11" s="54" t="str">
        <x:f>IFERROR(INDEX('测试索引'!$U$2:$U$21,MATCH($A11,'测试索引'!$A$2:$A$21,0)),"")</x:f>
      </x:c>
    </x:row>
    <x:row r="12">
      <x:c r="A12" s="60" t="str">
        <x:f>IF(COUNT(B6:B11)&lt;=1,"请选择至少两组测试",IF(COUNTIF(B6:B11,B6)=COUNT(B6:B11),"转速一致：可直接比较产品声音","警告：所选测试转速不一致，只能观察趋势，不能直接判断产品优劣"))</x:f>
        <x:v>转速一致：可直接比较产品声音</x:v>
      </x:c>
    </x:row>
    <x:row r="57">
      <x:c r="A57" s="20" t="str">
        <x:v>基准锁定：东德和富瑞初始沿用V2原值，禁止重新归一化。后续无分贝仪视频按同一算法追加，但受手机自动增益影响，跨日期差值必须经同步分贝仪复测后才能作为对外结论。</x:v>
      </x:c>
    </x:row>
  </x:sheetData>
  <x:mergeCells>
    <x:mergeCell ref="A1:N1"/>
    <x:mergeCell ref="A12:N12"/>
    <x:mergeCell ref="A57:N59"/>
  </x:mergeCells>
  <x:dataValidations count="1">
    <x:dataValidation type="list" sqref="B3:G3">
      <x:formula1>'测试索引'!$A$2:$A$21</x:formula1>
    </x:dataValidation>
  </x:dataValidations>
  <x:pageMargins left="0.7" right="0.7" top="0.75" bottom="0.75" header="0.3" footer="0.3"/>
  <x:drawing xmlns:r="http://schemas.openxmlformats.org/officeDocument/2006/relationships" r:id="Ra2439701a63c475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8" hidden="0" customWidth="1"/>
    <x:col min="22" max="22" width="18" hidden="0" customWidth="1"/>
    <x:col min="23" max="23" width="18" hidden="0" customWidth="1"/>
    <x:col min="24" max="24" width="55" hidden="0" customWidth="1"/>
  </x:cols>
  <x:sheetData>
    <x:row r="1">
      <x:c r="A1" s="15" t="str">
        <x:v>测试编号</x:v>
      </x:c>
      <x:c r="B1" s="15" t="str">
        <x:v>测试日期</x:v>
      </x:c>
      <x:c r="C1" s="15" t="str">
        <x:v>产品</x:v>
      </x:c>
      <x:c r="D1" s="15" t="str">
        <x:v>状态/配置</x:v>
      </x:c>
      <x:c r="E1" s="15" t="str">
        <x:v>简称</x:v>
      </x:c>
      <x:c r="F1" s="15" t="str">
        <x:v>转速 rpm</x:v>
      </x:c>
      <x:c r="G1" s="15" t="str">
        <x:v>分组</x:v>
      </x:c>
      <x:c r="H1" s="15" t="str">
        <x:v>时长 s</x:v>
      </x:c>
      <x:c r="I1" s="15" t="str">
        <x:v>咚声数</x:v>
      </x:c>
      <x:c r="J1" s="15" t="str">
        <x:v>常见咚声 估算dB(A)</x:v>
      </x:c>
      <x:c r="K1" s="15" t="str">
        <x:v>较响咚声 估算dB(A)</x:v>
      </x:c>
      <x:c r="L1" s="15" t="str">
        <x:v>常见声相对东德</x:v>
      </x:c>
      <x:c r="M1" s="15" t="str">
        <x:v>较响声相对东德</x:v>
      </x:c>
      <x:c r="N1" s="15" t="str">
        <x:v>常见差值大小 dB</x:v>
      </x:c>
      <x:c r="O1" s="15" t="str">
        <x:v>较响差值大小 dB</x:v>
      </x:c>
      <x:c r="P1" s="15" t="str">
        <x:v>常见声相对富瑞初始</x:v>
      </x:c>
      <x:c r="Q1" s="15" t="str">
        <x:v>较响声相对富瑞初始</x:v>
      </x:c>
      <x:c r="R1" s="15" t="str">
        <x:v>常见差值/初始 dB</x:v>
      </x:c>
      <x:c r="S1" s="15" t="str">
        <x:v>较响差值/初始 dB</x:v>
      </x:c>
      <x:c r="T1" s="15" t="str">
        <x:v>超过东德较响门槛 %</x:v>
      </x:c>
      <x:c r="U1" s="15" t="str">
        <x:v>声级判断</x:v>
      </x:c>
      <x:c r="V1" s="15" t="str">
        <x:v>有分贝仪</x:v>
      </x:c>
      <x:c r="W1" s="15" t="str">
        <x:v>主观备注</x:v>
      </x:c>
      <x:c r="X1" s="11" t="str">
        <x:v>备注</x:v>
      </x:c>
    </x:row>
    <x:row r="2">
      <x:c r="A2" s="32" t="str">
        <x:v>FR_INIT_260709_600</x:v>
      </x:c>
      <x:c r="B2" s="32" t="str">
        <x:v>2026-07-09</x:v>
      </x:c>
      <x:c r="C2" s="32" t="str">
        <x:v>富瑞初始</x:v>
      </x:c>
      <x:c r="D2" s="32" t="str">
        <x:v>富瑞初始状态</x:v>
      </x:c>
      <x:c r="E2" s="32" t="str">
        <x:v>富瑞初始</x:v>
      </x:c>
      <x:c r="F2" s="33" t="n">
        <x:v>600</x:v>
      </x:c>
      <x:c r="G2" s="32" t="str">
        <x:v>600rpm</x:v>
      </x:c>
      <x:c r="H2" s="34" t="n">
        <x:v>43.53596371882086</x:v>
      </x:c>
      <x:c r="I2" s="33" t="n">
        <x:v>33</x:v>
      </x:c>
      <x:c r="J2" s="34" t="n">
        <x:v>73.52145130234948</x:v>
      </x:c>
      <x:c r="K2" s="34" t="n">
        <x:v>85.62014550970683</x:v>
      </x:c>
      <x:c r="L2" s="32" t="str">
        <x:v>无同转速基准</x:v>
      </x:c>
      <x:c r="M2" s="32" t="str">
        <x:v>无同转速基准</x:v>
      </x:c>
      <x:c r="N2" s="34"/>
      <x:c r="O2" s="34"/>
      <x:c r="P2" s="34" t="str">
        <x:v>初始状态</x:v>
      </x:c>
      <x:c r="Q2" s="34" t="str">
        <x:v>初始状态</x:v>
      </x:c>
      <x:c r="R2" s="34" t="n">
        <x:v>0</x:v>
      </x:c>
      <x:c r="S2" s="34" t="n">
        <x:v>0</x:v>
      </x:c>
      <x:c r="T2" s="34"/>
      <x:c r="U2" s="32" t="str">
        <x:v>无同转速基准</x:v>
      </x:c>
      <x:c r="V2" s="32" t="str">
        <x:v>是</x:v>
      </x:c>
      <x:c r="W2" s="16" t="str"/>
      <x:c r="X2" s="36" t="str">
        <x:v>绝对dB(A)为手机录音经分贝仪画面校准后的估算值；相对差值更可靠。</x:v>
      </x:c>
    </x:row>
    <x:row r="3">
      <x:c r="A3" s="32" t="str">
        <x:v>DD_BASE_260707_700</x:v>
      </x:c>
      <x:c r="B3" s="32" t="str">
        <x:v>2026-07-07</x:v>
      </x:c>
      <x:c r="C3" s="32" t="str">
        <x:v>东德基准</x:v>
      </x:c>
      <x:c r="D3" s="32" t="str">
        <x:v>东德基准状态</x:v>
      </x:c>
      <x:c r="E3" s="32" t="str">
        <x:v>东德基准</x:v>
      </x:c>
      <x:c r="F3" s="33" t="n">
        <x:v>700</x:v>
      </x:c>
      <x:c r="G3" s="32" t="str">
        <x:v>700rpm</x:v>
      </x:c>
      <x:c r="H3" s="34" t="n">
        <x:v>71.14448979591836</x:v>
      </x:c>
      <x:c r="I3" s="33" t="n">
        <x:v>60</x:v>
      </x:c>
      <x:c r="J3" s="34" t="n">
        <x:v>69.87918364991627</x:v>
      </x:c>
      <x:c r="K3" s="34" t="n">
        <x:v>78.3836127175188</x:v>
      </x:c>
      <x:c r="L3" s="32" t="str">
        <x:v>基准</x:v>
      </x:c>
      <x:c r="M3" s="32" t="str">
        <x:v>基准</x:v>
      </x:c>
      <x:c r="N3" s="34" t="n">
        <x:v>0</x:v>
      </x:c>
      <x:c r="O3" s="34" t="n">
        <x:v>0</x:v>
      </x:c>
      <x:c r="P3" s="34" t="str">
        <x:v>不适用</x:v>
      </x:c>
      <x:c r="Q3" s="34" t="str">
        <x:v>不适用</x:v>
      </x:c>
      <x:c r="R3" s="34"/>
      <x:c r="S3" s="34"/>
      <x:c r="T3" s="34" t="n">
        <x:v>10</x:v>
      </x:c>
      <x:c r="U3" s="32" t="str">
        <x:v>东德基准</x:v>
      </x:c>
      <x:c r="V3" s="32" t="str">
        <x:v>是</x:v>
      </x:c>
      <x:c r="W3" s="16" t="str"/>
      <x:c r="X3" s="36" t="str">
        <x:v>绝对dB(A)为手机录音经分贝仪画面校准后的估算值；相对差值更可靠。</x:v>
      </x:c>
    </x:row>
    <x:row r="4">
      <x:c r="A4" s="32" t="str">
        <x:v>FR_INIT_260709_700</x:v>
      </x:c>
      <x:c r="B4" s="32" t="str">
        <x:v>2026-07-09</x:v>
      </x:c>
      <x:c r="C4" s="32" t="str">
        <x:v>富瑞初始</x:v>
      </x:c>
      <x:c r="D4" s="32" t="str">
        <x:v>富瑞初始状态</x:v>
      </x:c>
      <x:c r="E4" s="32" t="str">
        <x:v>富瑞初始</x:v>
      </x:c>
      <x:c r="F4" s="33" t="n">
        <x:v>700</x:v>
      </x:c>
      <x:c r="G4" s="32" t="str">
        <x:v>700rpm</x:v>
      </x:c>
      <x:c r="H4" s="34" t="n">
        <x:v>57.70013605442177</x:v>
      </x:c>
      <x:c r="I4" s="33" t="n">
        <x:v>52</x:v>
      </x:c>
      <x:c r="J4" s="34" t="n">
        <x:v>68.66649335990613</x:v>
      </x:c>
      <x:c r="K4" s="34" t="n">
        <x:v>80.21613661249395</x:v>
      </x:c>
      <x:c r="L4" s="32" t="str">
        <x:v>低于东德 1.2 dB</x:v>
      </x:c>
      <x:c r="M4" s="32" t="str">
        <x:v>高于东德 1.8 dB</x:v>
      </x:c>
      <x:c r="N4" s="34" t="n">
        <x:v>1.2126902900101442</x:v>
      </x:c>
      <x:c r="O4" s="34" t="n">
        <x:v>1.8325238949751537</x:v>
      </x:c>
      <x:c r="P4" s="34" t="str">
        <x:v>初始状态</x:v>
      </x:c>
      <x:c r="Q4" s="34" t="str">
        <x:v>初始状态</x:v>
      </x:c>
      <x:c r="R4" s="34" t="n">
        <x:v>0</x:v>
      </x:c>
      <x:c r="S4" s="34" t="n">
        <x:v>0</x:v>
      </x:c>
      <x:c r="T4" s="34" t="n">
        <x:v>11.538461538461538</x:v>
      </x:c>
      <x:c r="U4" s="32" t="str">
        <x:v>略差/接近</x:v>
      </x:c>
      <x:c r="V4" s="32" t="str">
        <x:v>是</x:v>
      </x:c>
      <x:c r="W4" s="16" t="str"/>
      <x:c r="X4" s="36" t="str">
        <x:v>绝对dB(A)为手机录音经分贝仪画面校准后的估算值；相对差值更可靠。</x:v>
      </x:c>
    </x:row>
    <x:row r="5">
      <x:c r="A5" s="32" t="str">
        <x:v>DD_BASE_260707_800</x:v>
      </x:c>
      <x:c r="B5" s="32" t="str">
        <x:v>2026-07-07</x:v>
      </x:c>
      <x:c r="C5" s="32" t="str">
        <x:v>东德基准</x:v>
      </x:c>
      <x:c r="D5" s="32" t="str">
        <x:v>东德基准状态</x:v>
      </x:c>
      <x:c r="E5" s="32" t="str">
        <x:v>东德基准</x:v>
      </x:c>
      <x:c r="F5" s="33" t="n">
        <x:v>800</x:v>
      </x:c>
      <x:c r="G5" s="32" t="str">
        <x:v>800rpm</x:v>
      </x:c>
      <x:c r="H5" s="34" t="n">
        <x:v>51.15210884353741</x:v>
      </x:c>
      <x:c r="I5" s="33" t="n">
        <x:v>55</x:v>
      </x:c>
      <x:c r="J5" s="34" t="n">
        <x:v>70.93613197032454</x:v>
      </x:c>
      <x:c r="K5" s="34" t="n">
        <x:v>81.55093752351863</x:v>
      </x:c>
      <x:c r="L5" s="32" t="str">
        <x:v>基准</x:v>
      </x:c>
      <x:c r="M5" s="32" t="str">
        <x:v>基准</x:v>
      </x:c>
      <x:c r="N5" s="34" t="n">
        <x:v>0</x:v>
      </x:c>
      <x:c r="O5" s="34" t="n">
        <x:v>0</x:v>
      </x:c>
      <x:c r="P5" s="34" t="str">
        <x:v>不适用</x:v>
      </x:c>
      <x:c r="Q5" s="34" t="str">
        <x:v>不适用</x:v>
      </x:c>
      <x:c r="R5" s="34"/>
      <x:c r="S5" s="34"/>
      <x:c r="T5" s="34" t="n">
        <x:v>10</x:v>
      </x:c>
      <x:c r="U5" s="32" t="str">
        <x:v>东德基准</x:v>
      </x:c>
      <x:c r="V5" s="32" t="str">
        <x:v>是</x:v>
      </x:c>
      <x:c r="W5" s="16" t="str"/>
      <x:c r="X5" s="36" t="str">
        <x:v>绝对dB(A)为手机录音经分贝仪画面校准后的估算值；相对差值更可靠。</x:v>
      </x:c>
    </x:row>
    <x:row r="6">
      <x:c r="A6" s="32" t="str">
        <x:v>FR_INIT_260709_800</x:v>
      </x:c>
      <x:c r="B6" s="32" t="str">
        <x:v>2026-07-09</x:v>
      </x:c>
      <x:c r="C6" s="32" t="str">
        <x:v>富瑞初始</x:v>
      </x:c>
      <x:c r="D6" s="32" t="str">
        <x:v>富瑞初始状态</x:v>
      </x:c>
      <x:c r="E6" s="32" t="str">
        <x:v>富瑞初始</x:v>
      </x:c>
      <x:c r="F6" s="33" t="n">
        <x:v>800</x:v>
      </x:c>
      <x:c r="G6" s="32" t="str">
        <x:v>800rpm</x:v>
      </x:c>
      <x:c r="H6" s="34" t="n">
        <x:v>73.76834467120182</x:v>
      </x:c>
      <x:c r="I6" s="33" t="n">
        <x:v>76</x:v>
      </x:c>
      <x:c r="J6" s="34" t="n">
        <x:v>63.02820377834645</x:v>
      </x:c>
      <x:c r="K6" s="34" t="n">
        <x:v>79.2615240916549</x:v>
      </x:c>
      <x:c r="L6" s="32" t="str">
        <x:v>低于东德 7.9 dB</x:v>
      </x:c>
      <x:c r="M6" s="32" t="str">
        <x:v>低于东德 2.3 dB</x:v>
      </x:c>
      <x:c r="N6" s="34" t="n">
        <x:v>7.907928191978087</x:v>
      </x:c>
      <x:c r="O6" s="34" t="n">
        <x:v>2.2894134318637214</x:v>
      </x:c>
      <x:c r="P6" s="34" t="str">
        <x:v>初始状态</x:v>
      </x:c>
      <x:c r="Q6" s="34" t="str">
        <x:v>初始状态</x:v>
      </x:c>
      <x:c r="R6" s="34" t="n">
        <x:v>0</x:v>
      </x:c>
      <x:c r="S6" s="34" t="n">
        <x:v>0</x:v>
      </x:c>
      <x:c r="T6" s="34" t="n">
        <x:v>5.263157894736842</x:v>
      </x:c>
      <x:c r="U6" s="32" t="str">
        <x:v>明显优于东德</x:v>
      </x:c>
      <x:c r="V6" s="32" t="str">
        <x:v>是</x:v>
      </x:c>
      <x:c r="W6" s="16" t="str"/>
      <x:c r="X6" s="36" t="str">
        <x:v>绝对dB(A)为手机录音经分贝仪画面校准后的估算值；相对差值更可靠。</x:v>
      </x:c>
    </x:row>
    <x:row r="7">
      <x:c r="A7" s="32" t="str">
        <x:v>DD_BASE_260707_900</x:v>
      </x:c>
      <x:c r="B7" s="32" t="str">
        <x:v>2026-07-07</x:v>
      </x:c>
      <x:c r="C7" s="32" t="str">
        <x:v>东德基准</x:v>
      </x:c>
      <x:c r="D7" s="32" t="str">
        <x:v>东德基准状态</x:v>
      </x:c>
      <x:c r="E7" s="32" t="str">
        <x:v>东德基准</x:v>
      </x:c>
      <x:c r="F7" s="33" t="n">
        <x:v>900</x:v>
      </x:c>
      <x:c r="G7" s="32" t="str">
        <x:v>900rpm</x:v>
      </x:c>
      <x:c r="H7" s="34" t="n">
        <x:v>24.54204081632653</x:v>
      </x:c>
      <x:c r="I7" s="33" t="n">
        <x:v>27</x:v>
      </x:c>
      <x:c r="J7" s="34" t="n">
        <x:v>65.88776647757734</x:v>
      </x:c>
      <x:c r="K7" s="34" t="n">
        <x:v>76.05170915205913</x:v>
      </x:c>
      <x:c r="L7" s="32" t="str">
        <x:v>基准</x:v>
      </x:c>
      <x:c r="M7" s="32" t="str">
        <x:v>基准</x:v>
      </x:c>
      <x:c r="N7" s="34" t="n">
        <x:v>0</x:v>
      </x:c>
      <x:c r="O7" s="34" t="n">
        <x:v>0</x:v>
      </x:c>
      <x:c r="P7" s="34" t="str">
        <x:v>不适用</x:v>
      </x:c>
      <x:c r="Q7" s="34" t="str">
        <x:v>不适用</x:v>
      </x:c>
      <x:c r="R7" s="34"/>
      <x:c r="S7" s="34"/>
      <x:c r="T7" s="34" t="n">
        <x:v>10</x:v>
      </x:c>
      <x:c r="U7" s="32" t="str">
        <x:v>东德基准</x:v>
      </x:c>
      <x:c r="V7" s="32" t="str">
        <x:v>是</x:v>
      </x:c>
      <x:c r="W7" s="16" t="str"/>
      <x:c r="X7" s="36" t="str">
        <x:v>绝对dB(A)为手机录音经分贝仪画面校准后的估算值；相对差值更可靠。</x:v>
      </x:c>
    </x:row>
    <x:row r="8">
      <x:c r="A8" s="32" t="str">
        <x:v>FR_INIT_260709_900</x:v>
      </x:c>
      <x:c r="B8" s="32" t="str">
        <x:v>2026-07-09</x:v>
      </x:c>
      <x:c r="C8" s="32" t="str">
        <x:v>富瑞初始</x:v>
      </x:c>
      <x:c r="D8" s="32" t="str">
        <x:v>富瑞初始状态</x:v>
      </x:c>
      <x:c r="E8" s="32" t="str">
        <x:v>富瑞初始</x:v>
      </x:c>
      <x:c r="F8" s="33" t="n">
        <x:v>900</x:v>
      </x:c>
      <x:c r="G8" s="32" t="str">
        <x:v>900rpm</x:v>
      </x:c>
      <x:c r="H8" s="34" t="n">
        <x:v>56.748117913832196</x:v>
      </x:c>
      <x:c r="I8" s="33" t="n">
        <x:v>48</x:v>
      </x:c>
      <x:c r="J8" s="34" t="n">
        <x:v>73.45493750018855</x:v>
      </x:c>
      <x:c r="K8" s="34" t="n">
        <x:v>81.17092045939745</x:v>
      </x:c>
      <x:c r="L8" s="32" t="str">
        <x:v>高于东德 7.6 dB</x:v>
      </x:c>
      <x:c r="M8" s="32" t="str">
        <x:v>高于东德 5.1 dB</x:v>
      </x:c>
      <x:c r="N8" s="34" t="n">
        <x:v>7.5671710226112054</x:v>
      </x:c>
      <x:c r="O8" s="34" t="n">
        <x:v>5.119211307338318</x:v>
      </x:c>
      <x:c r="P8" s="34" t="str">
        <x:v>初始状态</x:v>
      </x:c>
      <x:c r="Q8" s="34" t="str">
        <x:v>初始状态</x:v>
      </x:c>
      <x:c r="R8" s="34" t="n">
        <x:v>0</x:v>
      </x:c>
      <x:c r="S8" s="34" t="n">
        <x:v>0</x:v>
      </x:c>
      <x:c r="T8" s="34" t="n">
        <x:v>39.58333333333333</x:v>
      </x:c>
      <x:c r="U8" s="32" t="str">
        <x:v>明显差于东德</x:v>
      </x:c>
      <x:c r="V8" s="32" t="str">
        <x:v>是</x:v>
      </x:c>
      <x:c r="W8" s="16" t="str"/>
      <x:c r="X8" s="36" t="str">
        <x:v>绝对dB(A)为手机录音经分贝仪画面校准后的估算值；相对差值更可靠。</x:v>
      </x:c>
    </x:row>
    <x:row r="9">
      <x:c r="A9" s="32" t="str">
        <x:v>FR_INIT_260709_1000</x:v>
      </x:c>
      <x:c r="B9" s="32" t="str">
        <x:v>2026-07-09</x:v>
      </x:c>
      <x:c r="C9" s="32" t="str">
        <x:v>富瑞初始</x:v>
      </x:c>
      <x:c r="D9" s="32" t="str">
        <x:v>富瑞初始状态</x:v>
      </x:c>
      <x:c r="E9" s="32" t="str">
        <x:v>富瑞初始</x:v>
      </x:c>
      <x:c r="F9" s="33" t="n">
        <x:v>1000</x:v>
      </x:c>
      <x:c r="G9" s="32" t="str">
        <x:v>1000rpm</x:v>
      </x:c>
      <x:c r="H9" s="34" t="n">
        <x:v>72.51446712018141</x:v>
      </x:c>
      <x:c r="I9" s="33" t="n">
        <x:v>78</x:v>
      </x:c>
      <x:c r="J9" s="34" t="n">
        <x:v>72.24411604985423</x:v>
      </x:c>
      <x:c r="K9" s="34" t="n">
        <x:v>83.15960294871199</x:v>
      </x:c>
      <x:c r="L9" s="32" t="str">
        <x:v>无同转速基准</x:v>
      </x:c>
      <x:c r="M9" s="32" t="str">
        <x:v>无同转速基准</x:v>
      </x:c>
      <x:c r="N9" s="34"/>
      <x:c r="O9" s="34"/>
      <x:c r="P9" s="34" t="str">
        <x:v>初始状态</x:v>
      </x:c>
      <x:c r="Q9" s="34" t="str">
        <x:v>初始状态</x:v>
      </x:c>
      <x:c r="R9" s="34" t="n">
        <x:v>0</x:v>
      </x:c>
      <x:c r="S9" s="34" t="n">
        <x:v>0</x:v>
      </x:c>
      <x:c r="T9" s="34"/>
      <x:c r="U9" s="32" t="str">
        <x:v>无同转速基准</x:v>
      </x:c>
      <x:c r="V9" s="32" t="str">
        <x:v>是</x:v>
      </x:c>
      <x:c r="W9" s="16" t="str"/>
      <x:c r="X9" s="36" t="str">
        <x:v>绝对dB(A)为手机录音经分贝仪画面校准后的估算值；相对差值更可靠。</x:v>
      </x:c>
    </x:row>
    <x:row r="10">
      <x:c r="A10" s="32" t="str">
        <x:v>DD_BASE_260707_1125</x:v>
      </x:c>
      <x:c r="B10" s="32" t="str">
        <x:v>2026-07-07</x:v>
      </x:c>
      <x:c r="C10" s="32" t="str">
        <x:v>东德基准</x:v>
      </x:c>
      <x:c r="D10" s="32" t="str">
        <x:v>东德基准状态</x:v>
      </x:c>
      <x:c r="E10" s="32" t="str">
        <x:v>东德基准</x:v>
      </x:c>
      <x:c r="F10" s="33" t="n">
        <x:v>1125</x:v>
      </x:c>
      <x:c r="G10" s="32" t="str">
        <x:v>1125rpm</x:v>
      </x:c>
      <x:c r="H10" s="34" t="n">
        <x:v>18.92281179138322</x:v>
      </x:c>
      <x:c r="I10" s="33" t="n">
        <x:v>26</x:v>
      </x:c>
      <x:c r="J10" s="34" t="n">
        <x:v>57.92815630171668</x:v>
      </x:c>
      <x:c r="K10" s="34" t="n">
        <x:v>80.48060007602363</x:v>
      </x:c>
      <x:c r="L10" s="32" t="str">
        <x:v>基准</x:v>
      </x:c>
      <x:c r="M10" s="32" t="str">
        <x:v>基准</x:v>
      </x:c>
      <x:c r="N10" s="34" t="n">
        <x:v>0</x:v>
      </x:c>
      <x:c r="O10" s="34" t="n">
        <x:v>0</x:v>
      </x:c>
      <x:c r="P10" s="34" t="str">
        <x:v>不适用</x:v>
      </x:c>
      <x:c r="Q10" s="34" t="str">
        <x:v>不适用</x:v>
      </x:c>
      <x:c r="R10" s="34"/>
      <x:c r="S10" s="34"/>
      <x:c r="T10" s="34" t="n">
        <x:v>10</x:v>
      </x:c>
      <x:c r="U10" s="32" t="str">
        <x:v>东德基准</x:v>
      </x:c>
      <x:c r="V10" s="32" t="str">
        <x:v>是</x:v>
      </x:c>
      <x:c r="W10" s="16" t="str"/>
      <x:c r="X10" s="36" t="str">
        <x:v>绝对dB(A)为手机录音经分贝仪画面校准后的估算值；相对差值更可靠。</x:v>
      </x:c>
    </x:row>
    <x:row r="11">
      <x:c r="A11" s="32" t="str">
        <x:v>FR_INIT_260709_1125</x:v>
      </x:c>
      <x:c r="B11" s="32" t="str">
        <x:v>2026-07-09</x:v>
      </x:c>
      <x:c r="C11" s="32" t="str">
        <x:v>富瑞初始</x:v>
      </x:c>
      <x:c r="D11" s="32" t="str">
        <x:v>富瑞初始状态</x:v>
      </x:c>
      <x:c r="E11" s="32" t="str">
        <x:v>富瑞初始</x:v>
      </x:c>
      <x:c r="F11" s="33" t="n">
        <x:v>1125</x:v>
      </x:c>
      <x:c r="G11" s="32" t="str">
        <x:v>1125rpm</x:v>
      </x:c>
      <x:c r="H11" s="34" t="n">
        <x:v>25.935238095238095</x:v>
      </x:c>
      <x:c r="I11" s="33" t="n">
        <x:v>36</x:v>
      </x:c>
      <x:c r="J11" s="34" t="n">
        <x:v>62.01221128287424</x:v>
      </x:c>
      <x:c r="K11" s="34" t="n">
        <x:v>83.91396375760235</x:v>
      </x:c>
      <x:c r="L11" s="32" t="str">
        <x:v>高于东德 4.1 dB</x:v>
      </x:c>
      <x:c r="M11" s="32" t="str">
        <x:v>高于东德 3.4 dB</x:v>
      </x:c>
      <x:c r="N11" s="34" t="n">
        <x:v>4.084054981157557</x:v>
      </x:c>
      <x:c r="O11" s="34" t="n">
        <x:v>3.4333636815787116</x:v>
      </x:c>
      <x:c r="P11" s="34" t="str">
        <x:v>初始状态</x:v>
      </x:c>
      <x:c r="Q11" s="34" t="str">
        <x:v>初始状态</x:v>
      </x:c>
      <x:c r="R11" s="34" t="n">
        <x:v>0</x:v>
      </x:c>
      <x:c r="S11" s="34" t="n">
        <x:v>0</x:v>
      </x:c>
      <x:c r="T11" s="34" t="n">
        <x:v>47.22222222222222</x:v>
      </x:c>
      <x:c r="U11" s="32" t="str">
        <x:v>明显差于东德</x:v>
      </x:c>
      <x:c r="V11" s="32" t="str">
        <x:v>是</x:v>
      </x:c>
      <x:c r="W11" s="16" t="str"/>
      <x:c r="X11" s="36" t="str">
        <x:v>绝对dB(A)为手机录音经分贝仪画面校准后的估算值；相对差值更可靠。</x:v>
      </x:c>
    </x:row>
    <x:row r="12">
      <x:c r="A12" s="32" t="str">
        <x:v>FR_0716_CYL_800</x:v>
      </x:c>
      <x:c r="B12" s="32" t="str">
        <x:v>2026-07-16</x:v>
      </x:c>
      <x:c r="C12" s="32" t="str">
        <x:v>富瑞后续</x:v>
      </x:c>
      <x:c r="D12" s="32" t="str">
        <x:v>换26号嵌套油缸 + 老控制器</x:v>
      </x:c>
      <x:c r="E12" s="32" t="str">
        <x:v>0716嵌套油缸</x:v>
      </x:c>
      <x:c r="F12" s="33" t="n">
        <x:v>800</x:v>
      </x:c>
      <x:c r="G12" s="32" t="str">
        <x:v>800rpm</x:v>
      </x:c>
      <x:c r="H12" s="34" t="n">
        <x:v>53.0097052154195</x:v>
      </x:c>
      <x:c r="I12" s="33" t="n">
        <x:v>58</x:v>
      </x:c>
      <x:c r="J12" s="34" t="n">
        <x:v>84.40046220747189</x:v>
      </x:c>
      <x:c r="K12" s="34" t="n">
        <x:v>86.22834864167591</x:v>
      </x:c>
      <x:c r="L12" s="32" t="str">
        <x:v>高于 13.5 dB</x:v>
      </x:c>
      <x:c r="M12" s="32" t="str">
        <x:v>高于 4.7 dB</x:v>
      </x:c>
      <x:c r="N12" s="34" t="n">
        <x:v>13.464330237147351</x:v>
      </x:c>
      <x:c r="O12" s="34" t="n">
        <x:v>4.677411118157281</x:v>
      </x:c>
      <x:c r="P12" s="34" t="str">
        <x:v>高于 21.4 dB</x:v>
      </x:c>
      <x:c r="Q12" s="34" t="str">
        <x:v>高于 7.0 dB</x:v>
      </x:c>
      <x:c r="R12" s="34" t="n">
        <x:v>21.372258429125438</x:v>
      </x:c>
      <x:c r="S12" s="34" t="n">
        <x:v>6.966824550021002</x:v>
      </x:c>
      <x:c r="T12" s="34" t="n">
        <x:v>65.51724137931035</x:v>
      </x:c>
      <x:c r="U12" s="32" t="str">
        <x:v>明显高于东德</x:v>
      </x:c>
      <x:c r="V12" s="32" t="str">
        <x:v>是</x:v>
      </x:c>
      <x:c r="W12" s="16" t="str"/>
      <x:c r="X12" s="36" t="str">
        <x:v>沿用V2固定基准算法；无分贝仪的跨日期视频受手机自动增益影响，结论需复测确认。</x:v>
      </x:c>
    </x:row>
    <x:row r="13">
      <x:c r="A13" s="32" t="str">
        <x:v>FR_0716_CYL_900</x:v>
      </x:c>
      <x:c r="B13" s="32" t="str">
        <x:v>2026-07-16</x:v>
      </x:c>
      <x:c r="C13" s="32" t="str">
        <x:v>富瑞后续</x:v>
      </x:c>
      <x:c r="D13" s="32" t="str">
        <x:v>换26号嵌套油缸 + 老控制器</x:v>
      </x:c>
      <x:c r="E13" s="32" t="str">
        <x:v>0716嵌套油缸</x:v>
      </x:c>
      <x:c r="F13" s="33" t="n">
        <x:v>900</x:v>
      </x:c>
      <x:c r="G13" s="32" t="str">
        <x:v>900rpm</x:v>
      </x:c>
      <x:c r="H13" s="34" t="n">
        <x:v>50.014331065759634</x:v>
      </x:c>
      <x:c r="I13" s="33" t="n">
        <x:v>45</x:v>
      </x:c>
      <x:c r="J13" s="34" t="n">
        <x:v>84.79376078575967</x:v>
      </x:c>
      <x:c r="K13" s="34" t="n">
        <x:v>87.43854459184675</x:v>
      </x:c>
      <x:c r="L13" s="32" t="str">
        <x:v>高于 18.9 dB</x:v>
      </x:c>
      <x:c r="M13" s="32" t="str">
        <x:v>高于 11.4 dB</x:v>
      </x:c>
      <x:c r="N13" s="34" t="n">
        <x:v>18.90599430818233</x:v>
      </x:c>
      <x:c r="O13" s="34" t="n">
        <x:v>11.386835439787617</x:v>
      </x:c>
      <x:c r="P13" s="34" t="str">
        <x:v>高于 11.3 dB</x:v>
      </x:c>
      <x:c r="Q13" s="34" t="str">
        <x:v>高于 6.3 dB</x:v>
      </x:c>
      <x:c r="R13" s="34" t="n">
        <x:v>11.338823285571124</x:v>
      </x:c>
      <x:c r="S13" s="34" t="n">
        <x:v>6.267624132449299</x:v>
      </x:c>
      <x:c r="T13" s="34" t="n">
        <x:v>100</x:v>
      </x:c>
      <x:c r="U13" s="32" t="str">
        <x:v>明显高于东德</x:v>
      </x:c>
      <x:c r="V13" s="32" t="str">
        <x:v>是</x:v>
      </x:c>
      <x:c r="W13" s="16" t="str"/>
      <x:c r="X13" s="36" t="str">
        <x:v>沿用V2固定基准算法；无分贝仪的跨日期视频受手机自动增益影响，结论需复测确认。</x:v>
      </x:c>
    </x:row>
    <x:row r="14">
      <x:c r="A14" s="32" t="str">
        <x:v>FR_0716_CYL_1000</x:v>
      </x:c>
      <x:c r="B14" s="32" t="str">
        <x:v>2026-07-16</x:v>
      </x:c>
      <x:c r="C14" s="32" t="str">
        <x:v>富瑞后续</x:v>
      </x:c>
      <x:c r="D14" s="32" t="str">
        <x:v>换26号嵌套油缸 + 老控制器</x:v>
      </x:c>
      <x:c r="E14" s="32" t="str">
        <x:v>0716嵌套油缸</x:v>
      </x:c>
      <x:c r="F14" s="33" t="n">
        <x:v>1000</x:v>
      </x:c>
      <x:c r="G14" s="32" t="str">
        <x:v>1000rpm</x:v>
      </x:c>
      <x:c r="H14" s="34" t="n">
        <x:v>51.47718820861678</x:v>
      </x:c>
      <x:c r="I14" s="33" t="n">
        <x:v>45</x:v>
      </x:c>
      <x:c r="J14" s="34" t="n">
        <x:v>85.59012315600415</x:v>
      </x:c>
      <x:c r="K14" s="34" t="n">
        <x:v>87.57255382491769</x:v>
      </x:c>
      <x:c r="L14" s="32" t="str">
        <x:v>无同转速基准</x:v>
      </x:c>
      <x:c r="M14" s="32" t="str">
        <x:v>无同转速基准</x:v>
      </x:c>
      <x:c r="N14" s="34"/>
      <x:c r="O14" s="34"/>
      <x:c r="P14" s="34" t="str">
        <x:v>高于 13.3 dB</x:v>
      </x:c>
      <x:c r="Q14" s="34" t="str">
        <x:v>高于 4.4 dB</x:v>
      </x:c>
      <x:c r="R14" s="34" t="n">
        <x:v>13.346007106149926</x:v>
      </x:c>
      <x:c r="S14" s="34" t="n">
        <x:v>4.412950876205699</x:v>
      </x:c>
      <x:c r="T14" s="34"/>
      <x:c r="U14" s="32" t="str">
        <x:v>无东德同转速基准</x:v>
      </x:c>
      <x:c r="V14" s="32" t="str">
        <x:v>是</x:v>
      </x:c>
      <x:c r="W14" s="16" t="str"/>
      <x:c r="X14" s="36" t="str">
        <x:v>沿用V2固定基准算法；无分贝仪的跨日期视频受手机自动增益影响，结论需复测确认。</x:v>
      </x:c>
    </x:row>
    <x:row r="15">
      <x:c r="A15" s="32" t="str">
        <x:v>FR_0716_CYL_1125</x:v>
      </x:c>
      <x:c r="B15" s="32" t="str">
        <x:v>2026-07-16</x:v>
      </x:c>
      <x:c r="C15" s="32" t="str">
        <x:v>富瑞后续</x:v>
      </x:c>
      <x:c r="D15" s="32" t="str">
        <x:v>换26号嵌套油缸 + 老控制器</x:v>
      </x:c>
      <x:c r="E15" s="32" t="str">
        <x:v>0716嵌套油缸</x:v>
      </x:c>
      <x:c r="F15" s="33" t="n">
        <x:v>1125</x:v>
      </x:c>
      <x:c r="G15" s="32" t="str">
        <x:v>1125rpm</x:v>
      </x:c>
      <x:c r="H15" s="34" t="n">
        <x:v>47.20471655328798</x:v>
      </x:c>
      <x:c r="I15" s="33" t="n">
        <x:v>52</x:v>
      </x:c>
      <x:c r="J15" s="34" t="n">
        <x:v>85.14294785137214</x:v>
      </x:c>
      <x:c r="K15" s="34" t="n">
        <x:v>87.79833955013505</x:v>
      </x:c>
      <x:c r="L15" s="32" t="str">
        <x:v>高于 27.2 dB</x:v>
      </x:c>
      <x:c r="M15" s="32" t="str">
        <x:v>高于 7.3 dB</x:v>
      </x:c>
      <x:c r="N15" s="34" t="n">
        <x:v>27.21479154965546</x:v>
      </x:c>
      <x:c r="O15" s="34" t="n">
        <x:v>7.31773947411142</x:v>
      </x:c>
      <x:c r="P15" s="34" t="str">
        <x:v>高于 23.1 dB</x:v>
      </x:c>
      <x:c r="Q15" s="34" t="str">
        <x:v>高于 3.9 dB</x:v>
      </x:c>
      <x:c r="R15" s="34" t="n">
        <x:v>23.130736568497902</x:v>
      </x:c>
      <x:c r="S15" s="34" t="n">
        <x:v>3.8843757925327083</x:v>
      </x:c>
      <x:c r="T15" s="34" t="n">
        <x:v>92.3076923076923</x:v>
      </x:c>
      <x:c r="U15" s="32" t="str">
        <x:v>明显高于东德</x:v>
      </x:c>
      <x:c r="V15" s="32" t="str">
        <x:v>是</x:v>
      </x:c>
      <x:c r="W15" s="16" t="str"/>
      <x:c r="X15" s="36" t="str">
        <x:v>沿用V2固定基准算法；无分贝仪的跨日期视频受手机自动增益影响，结论需复测确认。</x:v>
      </x:c>
    </x:row>
    <x:row r="16">
      <x:c r="A16" s="32" t="str">
        <x:v>FR_0716_SHUTTLE_900_R1</x:v>
      </x:c>
      <x:c r="B16" s="32" t="str">
        <x:v>2026-07-16</x:v>
      </x:c>
      <x:c r="C16" s="32" t="str">
        <x:v>富瑞后续</x:v>
      </x:c>
      <x:c r="D16" s="32" t="str">
        <x:v>换26号嵌套油缸 + 西港梭阀 + 老控制器</x:v>
      </x:c>
      <x:c r="E16" s="32" t="str">
        <x:v>0716西港梭阀R1</x:v>
      </x:c>
      <x:c r="F16" s="33" t="n">
        <x:v>900</x:v>
      </x:c>
      <x:c r="G16" s="32" t="str">
        <x:v>900rpm-1</x:v>
      </x:c>
      <x:c r="H16" s="34" t="n">
        <x:v>36.848616780045354</x:v>
      </x:c>
      <x:c r="I16" s="33" t="n">
        <x:v>32</x:v>
      </x:c>
      <x:c r="J16" s="34" t="n">
        <x:v>73.17894757552833</x:v>
      </x:c>
      <x:c r="K16" s="34" t="n">
        <x:v>76.94116341496868</x:v>
      </x:c>
      <x:c r="L16" s="32" t="str">
        <x:v>高于 7.3 dB</x:v>
      </x:c>
      <x:c r="M16" s="32" t="str">
        <x:v>高于 0.9 dB</x:v>
      </x:c>
      <x:c r="N16" s="34" t="n">
        <x:v>7.291181097950982</x:v>
      </x:c>
      <x:c r="O16" s="34" t="n">
        <x:v>0.8894542629095525</x:v>
      </x:c>
      <x:c r="P16" s="34" t="str">
        <x:v>低于 0.3 dB</x:v>
      </x:c>
      <x:c r="Q16" s="34" t="str">
        <x:v>低于 4.2 dB</x:v>
      </x:c>
      <x:c r="R16" s="34" t="n">
        <x:v>0.2759899246602231</x:v>
      </x:c>
      <x:c r="S16" s="34" t="n">
        <x:v>4.229757044428766</x:v>
      </x:c>
      <x:c r="T16" s="34" t="n">
        <x:v>15.625</x:v>
      </x:c>
      <x:c r="U16" s="32" t="str">
        <x:v>略高于东德</x:v>
      </x:c>
      <x:c r="V16" s="32" t="str">
        <x:v>否</x:v>
      </x:c>
      <x:c r="W16" s="16" t="str"/>
      <x:c r="X16" s="36" t="str">
        <x:v>沿用V2固定基准算法；无分贝仪的跨日期视频受手机自动增益影响，结论需复测确认。</x:v>
      </x:c>
    </x:row>
    <x:row r="17">
      <x:c r="A17" s="32" t="str">
        <x:v>FR_0716_SHUTTLE_900_R2</x:v>
      </x:c>
      <x:c r="B17" s="32" t="str">
        <x:v>2026-07-16</x:v>
      </x:c>
      <x:c r="C17" s="32" t="str">
        <x:v>富瑞后续</x:v>
      </x:c>
      <x:c r="D17" s="32" t="str">
        <x:v>换26号嵌套油缸 + 西港梭阀 + 老控制器</x:v>
      </x:c>
      <x:c r="E17" s="32" t="str">
        <x:v>0716西港梭阀R2</x:v>
      </x:c>
      <x:c r="F17" s="33" t="n">
        <x:v>900</x:v>
      </x:c>
      <x:c r="G17" s="32" t="str">
        <x:v>900rpm-2</x:v>
      </x:c>
      <x:c r="H17" s="34" t="n">
        <x:v>20.22312925170068</x:v>
      </x:c>
      <x:c r="I17" s="33" t="n">
        <x:v>14</x:v>
      </x:c>
      <x:c r="J17" s="34" t="n">
        <x:v>75.38089545502042</x:v>
      </x:c>
      <x:c r="K17" s="34" t="n">
        <x:v>82.82723079021027</x:v>
      </x:c>
      <x:c r="L17" s="32" t="str">
        <x:v>高于 9.5 dB</x:v>
      </x:c>
      <x:c r="M17" s="32" t="str">
        <x:v>高于 6.8 dB</x:v>
      </x:c>
      <x:c r="N17" s="34" t="n">
        <x:v>9.493128977443078</x:v>
      </x:c>
      <x:c r="O17" s="34" t="n">
        <x:v>6.775521638151133</x:v>
      </x:c>
      <x:c r="P17" s="34" t="str">
        <x:v>高于 1.9 dB</x:v>
      </x:c>
      <x:c r="Q17" s="34" t="str">
        <x:v>高于 1.7 dB</x:v>
      </x:c>
      <x:c r="R17" s="34" t="n">
        <x:v>1.9259579548318726</x:v>
      </x:c>
      <x:c r="S17" s="34" t="n">
        <x:v>1.6563103308128149</x:v>
      </x:c>
      <x:c r="T17" s="34" t="n">
        <x:v>57.14285714285714</x:v>
      </x:c>
      <x:c r="U17" s="32" t="str">
        <x:v>明显高于东德</x:v>
      </x:c>
      <x:c r="V17" s="32" t="str">
        <x:v>否</x:v>
      </x:c>
      <x:c r="W17" s="16" t="str"/>
      <x:c r="X17" s="36" t="str">
        <x:v>沿用V2固定基准算法；无分贝仪的跨日期视频受手机自动增益影响，结论需复测确认。</x:v>
      </x:c>
    </x:row>
    <x:row r="18">
      <x:c r="A18" s="32" t="str">
        <x:v>FR_0716_SHUTTLE_1000</x:v>
      </x:c>
      <x:c r="B18" s="32" t="str">
        <x:v>2026-07-16</x:v>
      </x:c>
      <x:c r="C18" s="32" t="str">
        <x:v>富瑞后续</x:v>
      </x:c>
      <x:c r="D18" s="32" t="str">
        <x:v>换26号嵌套油缸 + 西港梭阀 + 老控制器</x:v>
      </x:c>
      <x:c r="E18" s="32" t="str">
        <x:v>0716西港梭阀</x:v>
      </x:c>
      <x:c r="F18" s="33" t="n">
        <x:v>1000</x:v>
      </x:c>
      <x:c r="G18" s="32" t="str">
        <x:v>1000rpm</x:v>
      </x:c>
      <x:c r="H18" s="34" t="n">
        <x:v>62.320907029478455</x:v>
      </x:c>
      <x:c r="I18" s="33" t="n">
        <x:v>57</x:v>
      </x:c>
      <x:c r="J18" s="34" t="n">
        <x:v>76.87566764782835</x:v>
      </x:c>
      <x:c r="K18" s="34" t="n">
        <x:v>81.62762743529574</x:v>
      </x:c>
      <x:c r="L18" s="32" t="str">
        <x:v>无同转速基准</x:v>
      </x:c>
      <x:c r="M18" s="32" t="str">
        <x:v>无同转速基准</x:v>
      </x:c>
      <x:c r="N18" s="34"/>
      <x:c r="O18" s="34"/>
      <x:c r="P18" s="34" t="str">
        <x:v>高于 4.6 dB</x:v>
      </x:c>
      <x:c r="Q18" s="34" t="str">
        <x:v>低于 1.5 dB</x:v>
      </x:c>
      <x:c r="R18" s="34" t="n">
        <x:v>4.6315515979741235</x:v>
      </x:c>
      <x:c r="S18" s="34" t="n">
        <x:v>1.5319755134162563</x:v>
      </x:c>
      <x:c r="T18" s="34"/>
      <x:c r="U18" s="32" t="str">
        <x:v>无东德同转速基准</x:v>
      </x:c>
      <x:c r="V18" s="32" t="str">
        <x:v>否</x:v>
      </x:c>
      <x:c r="W18" s="16" t="str"/>
      <x:c r="X18" s="36" t="str">
        <x:v>沿用V2固定基准算法；无分贝仪的跨日期视频受手机自动增益影响，结论需复测确认。</x:v>
      </x:c>
    </x:row>
    <x:row r="19">
      <x:c r="A19" s="32" t="str">
        <x:v>FR_0722_B_HEAT_900</x:v>
      </x:c>
      <x:c r="B19" s="32" t="str">
        <x:v>2026-07-22</x:v>
      </x:c>
      <x:c r="C19" s="32" t="str">
        <x:v>富瑞后续</x:v>
      </x:c>
      <x:c r="D19" s="32" t="str">
        <x:v>A样改B样 + 热处理活塞 + 嵌套油缸 + 老控制器</x:v>
      </x:c>
      <x:c r="E19" s="32" t="str">
        <x:v>0722热处理活塞+B样</x:v>
      </x:c>
      <x:c r="F19" s="33" t="n">
        <x:v>900</x:v>
      </x:c>
      <x:c r="G19" s="32" t="str">
        <x:v>900rpm</x:v>
      </x:c>
      <x:c r="H19" s="34" t="n">
        <x:v>24.472380952380952</x:v>
      </x:c>
      <x:c r="I19" s="33" t="n">
        <x:v>24</x:v>
      </x:c>
      <x:c r="J19" s="34" t="n">
        <x:v>85.26354363682104</x:v>
      </x:c>
      <x:c r="K19" s="34" t="n">
        <x:v>89.84844015421565</x:v>
      </x:c>
      <x:c r="L19" s="32" t="str">
        <x:v>高于 19.4 dB</x:v>
      </x:c>
      <x:c r="M19" s="32" t="str">
        <x:v>高于 13.8 dB</x:v>
      </x:c>
      <x:c r="N19" s="34" t="n">
        <x:v>19.375777159243697</x:v>
      </x:c>
      <x:c r="O19" s="34" t="n">
        <x:v>13.79673100215652</x:v>
      </x:c>
      <x:c r="P19" s="34" t="str">
        <x:v>高于 11.8 dB</x:v>
      </x:c>
      <x:c r="Q19" s="34" t="str">
        <x:v>高于 8.7 dB</x:v>
      </x:c>
      <x:c r="R19" s="34" t="n">
        <x:v>11.808606136632491</x:v>
      </x:c>
      <x:c r="S19" s="34" t="n">
        <x:v>8.677519694818201</x:v>
      </x:c>
      <x:c r="T19" s="34" t="n">
        <x:v>91.66666666666666</x:v>
      </x:c>
      <x:c r="U19" s="32" t="str">
        <x:v>明显高于东德</x:v>
      </x:c>
      <x:c r="V19" s="32" t="str">
        <x:v>否</x:v>
      </x:c>
      <x:c r="W19" s="16" t="str"/>
      <x:c r="X19" s="36" t="str">
        <x:v>沿用V2固定基准算法；无分贝仪的跨日期视频受手机自动增益影响，结论需复测确认。</x:v>
      </x:c>
    </x:row>
    <x:row r="20">
      <x:c r="A20" s="32" t="str">
        <x:v>FR_0722_B_HEAT_1000</x:v>
      </x:c>
      <x:c r="B20" s="32" t="str">
        <x:v>2026-07-22</x:v>
      </x:c>
      <x:c r="C20" s="32" t="str">
        <x:v>富瑞后续</x:v>
      </x:c>
      <x:c r="D20" s="32" t="str">
        <x:v>A样改B样 + 热处理活塞 + 嵌套油缸 + 老控制器</x:v>
      </x:c>
      <x:c r="E20" s="32" t="str">
        <x:v>0722热处理活塞+B样</x:v>
      </x:c>
      <x:c r="F20" s="33" t="n">
        <x:v>1000</x:v>
      </x:c>
      <x:c r="G20" s="32" t="str">
        <x:v>1000rpm</x:v>
      </x:c>
      <x:c r="H20" s="34" t="n">
        <x:v>24.681360544217686</x:v>
      </x:c>
      <x:c r="I20" s="33" t="n">
        <x:v>27</x:v>
      </x:c>
      <x:c r="J20" s="34" t="n">
        <x:v>84.31187581172514</x:v>
      </x:c>
      <x:c r="K20" s="34" t="n">
        <x:v>89.5978365617209</x:v>
      </x:c>
      <x:c r="L20" s="32" t="str">
        <x:v>无同转速基准</x:v>
      </x:c>
      <x:c r="M20" s="32" t="str">
        <x:v>无同转速基准</x:v>
      </x:c>
      <x:c r="N20" s="34"/>
      <x:c r="O20" s="34"/>
      <x:c r="P20" s="34" t="str">
        <x:v>高于 12.1 dB</x:v>
      </x:c>
      <x:c r="Q20" s="34" t="str">
        <x:v>高于 6.4 dB</x:v>
      </x:c>
      <x:c r="R20" s="34" t="n">
        <x:v>12.067759761870917</x:v>
      </x:c>
      <x:c r="S20" s="34" t="n">
        <x:v>6.438233613008904</x:v>
      </x:c>
      <x:c r="T20" s="34"/>
      <x:c r="U20" s="32" t="str">
        <x:v>无东德同转速基准</x:v>
      </x:c>
      <x:c r="V20" s="32" t="str">
        <x:v>否</x:v>
      </x:c>
      <x:c r="W20" s="16" t="str"/>
      <x:c r="X20" s="36" t="str">
        <x:v>沿用V2固定基准算法；无分贝仪的跨日期视频受手机自动增益影响，结论需复测确认。</x:v>
      </x:c>
    </x:row>
    <x:row r="21">
      <x:c r="A21" s="32" t="str">
        <x:v>FR_DELIVERY_0723_700</x:v>
      </x:c>
      <x:c r="B21" s="32" t="str">
        <x:v>2026-07-23</x:v>
      </x:c>
      <x:c r="C21" s="32" t="str">
        <x:v>富瑞后续</x:v>
      </x:c>
      <x:c r="D21" s="32" t="str">
        <x:v>交付泵</x:v>
      </x:c>
      <x:c r="E21" s="32" t="str">
        <x:v>0723交付泵</x:v>
      </x:c>
      <x:c r="F21" s="33" t="n">
        <x:v>700</x:v>
      </x:c>
      <x:c r="G21" s="32" t="str">
        <x:v>700rpm</x:v>
      </x:c>
      <x:c r="H21" s="34" t="n">
        <x:v>38.9384126984127</x:v>
      </x:c>
      <x:c r="I21" s="33" t="n">
        <x:v>33</x:v>
      </x:c>
      <x:c r="J21" s="34" t="n">
        <x:v>83.28585614875027</x:v>
      </x:c>
      <x:c r="K21" s="34" t="n">
        <x:v>86.36420043885288</x:v>
      </x:c>
      <x:c r="L21" s="32" t="str">
        <x:v>高于 13.4 dB</x:v>
      </x:c>
      <x:c r="M21" s="32" t="str">
        <x:v>高于 8.0 dB</x:v>
      </x:c>
      <x:c r="N21" s="34" t="n">
        <x:v>13.406672498833998</x:v>
      </x:c>
      <x:c r="O21" s="34" t="n">
        <x:v>7.980587721334075</x:v>
      </x:c>
      <x:c r="P21" s="34" t="str">
        <x:v>高于 14.6 dB</x:v>
      </x:c>
      <x:c r="Q21" s="34" t="str">
        <x:v>高于 6.1 dB</x:v>
      </x:c>
      <x:c r="R21" s="34" t="n">
        <x:v>14.619362788844143</x:v>
      </x:c>
      <x:c r="S21" s="34" t="n">
        <x:v>6.148063826358921</x:v>
      </x:c>
      <x:c r="T21" s="34" t="n">
        <x:v>93.93939393939394</x:v>
      </x:c>
      <x:c r="U21" s="32" t="str">
        <x:v>明显高于东德</x:v>
      </x:c>
      <x:c r="V21" s="32" t="str">
        <x:v>否</x:v>
      </x:c>
      <x:c r="W21" s="16" t="str">
        <x:v>用户主观感觉声音较好</x:v>
      </x:c>
      <x:c r="X21" s="36" t="str">
        <x:v>沿用V2固定基准算法；无分贝仪的跨日期视频受手机自动增益影响，结论需复测确认。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>
      <x:c r="A1" s="11" t="str">
        <x:v>时间 s</x:v>
      </x:c>
      <x:c r="B1" s="25" t="str">
        <x:v>FR_INIT_260709_600</x:v>
      </x:c>
      <x:c r="C1" s="25" t="str">
        <x:v>DD_BASE_260707_700</x:v>
      </x:c>
      <x:c r="D1" s="25" t="str">
        <x:v>FR_INIT_260709_700</x:v>
      </x:c>
      <x:c r="E1" s="25" t="str">
        <x:v>DD_BASE_260707_800</x:v>
      </x:c>
      <x:c r="F1" s="25" t="str">
        <x:v>FR_INIT_260709_800</x:v>
      </x:c>
      <x:c r="G1" s="25" t="str">
        <x:v>DD_BASE_260707_900</x:v>
      </x:c>
      <x:c r="H1" s="25" t="str">
        <x:v>FR_INIT_260709_900</x:v>
      </x:c>
      <x:c r="I1" s="25" t="str">
        <x:v>FR_INIT_260709_1000</x:v>
      </x:c>
      <x:c r="J1" s="25" t="str">
        <x:v>DD_BASE_260707_1125</x:v>
      </x:c>
      <x:c r="K1" s="25" t="str">
        <x:v>FR_INIT_260709_1125</x:v>
      </x:c>
      <x:c r="L1" s="25" t="str">
        <x:v>FR_0716_CYL_800</x:v>
      </x:c>
      <x:c r="M1" s="25" t="str">
        <x:v>FR_0716_CYL_900</x:v>
      </x:c>
      <x:c r="N1" s="25" t="str">
        <x:v>FR_0716_CYL_1000</x:v>
      </x:c>
      <x:c r="O1" s="25" t="str">
        <x:v>FR_0716_CYL_1125</x:v>
      </x:c>
      <x:c r="P1" s="25" t="str">
        <x:v>FR_0716_SHUTTLE_900_R1</x:v>
      </x:c>
      <x:c r="Q1" s="25" t="str">
        <x:v>FR_0716_SHUTTLE_900_R2</x:v>
      </x:c>
      <x:c r="R1" s="25" t="str">
        <x:v>FR_0716_SHUTTLE_1000</x:v>
      </x:c>
      <x:c r="S1" s="25" t="str">
        <x:v>FR_0722_B_HEAT_900</x:v>
      </x:c>
      <x:c r="T1" s="25" t="str">
        <x:v>FR_0722_B_HEAT_1000</x:v>
      </x:c>
      <x:c r="U1" s="12" t="str">
        <x:v>FR_DELIVERY_0723_700</x:v>
      </x:c>
    </x:row>
    <x:row r="2">
      <x:c r="A2" s="31" t="n">
        <x:v>0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</x:row>
    <x:row r="3">
      <x:c r="A3" s="31" t="n">
        <x:v>0.1</x:v>
      </x:c>
      <x:c r="B3" s="31" t="n">
        <x:v>71.7501759106058</x:v>
      </x:c>
      <x:c r="C3" s="31" t="n">
        <x:v>67.7465424634638</x:v>
      </x:c>
      <x:c r="D3" s="31" t="n">
        <x:v>70.26405649176621</x:v>
      </x:c>
      <x:c r="E3" s="31" t="n">
        <x:v>69.95946593435504</x:v>
      </x:c>
      <x:c r="F3" s="31" t="n">
        <x:v>70.86865957586086</x:v>
      </x:c>
      <x:c r="G3" s="31" t="n">
        <x:v>67.85484330604092</x:v>
      </x:c>
      <x:c r="H3" s="31" t="n">
        <x:v>76.63564579194676</x:v>
      </x:c>
      <x:c r="I3" s="31" t="n">
        <x:v>69.77636136542287</x:v>
      </x:c>
      <x:c r="J3" s="31" t="n">
        <x:v>73.07758220785101</x:v>
      </x:c>
      <x:c r="K3" s="31" t="n">
        <x:v>72.91389007952475</x:v>
      </x:c>
      <x:c r="L3" s="31"/>
      <x:c r="M3" s="31"/>
      <x:c r="N3" s="31" t="n">
        <x:v>78.08747872461008</x:v>
      </x:c>
      <x:c r="O3" s="31" t="n">
        <x:v>81.81844489480403</x:v>
      </x:c>
      <x:c r="P3" s="31" t="n">
        <x:v>72.41078959932851</x:v>
      </x:c>
      <x:c r="Q3" s="31" t="n">
        <x:v>78.28985252962286</x:v>
      </x:c>
      <x:c r="R3" s="31" t="n">
        <x:v>80.05595783959089</x:v>
      </x:c>
      <x:c r="S3" s="31" t="n">
        <x:v>83.97611972150162</x:v>
      </x:c>
      <x:c r="T3" s="31" t="n">
        <x:v>83.26927112717505</x:v>
      </x:c>
      <x:c r="U3" s="31" t="n">
        <x:v>80.72705010961431</x:v>
      </x:c>
    </x:row>
    <x:row r="4">
      <x:c r="A4" s="31" t="n">
        <x:v>0.2</x:v>
      </x:c>
      <x:c r="B4" s="31" t="n">
        <x:v>69.7295496047688</x:v>
      </x:c>
      <x:c r="C4" s="31" t="n">
        <x:v>66.87041667989782</x:v>
      </x:c>
      <x:c r="D4" s="31" t="n">
        <x:v>71.10343419861039</x:v>
      </x:c>
      <x:c r="E4" s="31" t="n">
        <x:v>70.18984366875765</x:v>
      </x:c>
      <x:c r="F4" s="31" t="n">
        <x:v>71.09255424179447</x:v>
      </x:c>
      <x:c r="G4" s="31" t="n">
        <x:v>76.25289375530984</x:v>
      </x:c>
      <x:c r="H4" s="31" t="n">
        <x:v>76.63564579194676</x:v>
      </x:c>
      <x:c r="I4" s="31" t="n">
        <x:v>69.13326938335862</x:v>
      </x:c>
      <x:c r="J4" s="31" t="n">
        <x:v>71.2925240497504</x:v>
      </x:c>
      <x:c r="K4" s="31" t="n">
        <x:v>79.2953352350077</x:v>
      </x:c>
      <x:c r="L4" s="31" t="n">
        <x:v>79.28676133473132</x:v>
      </x:c>
      <x:c r="M4" s="31"/>
      <x:c r="N4" s="31" t="n">
        <x:v>77.82280814790033</x:v>
      </x:c>
      <x:c r="O4" s="31" t="n">
        <x:v>81.31331350900166</x:v>
      </x:c>
      <x:c r="P4" s="31" t="n">
        <x:v>72.05385848530838</x:v>
      </x:c>
      <x:c r="Q4" s="31" t="n">
        <x:v>78.21571712442275</x:v>
      </x:c>
      <x:c r="R4" s="31" t="n">
        <x:v>74.11819216337814</x:v>
      </x:c>
      <x:c r="S4" s="31" t="n">
        <x:v>78.30545895809664</x:v>
      </x:c>
      <x:c r="T4" s="31" t="n">
        <x:v>82.52626716441053</x:v>
      </x:c>
      <x:c r="U4" s="31" t="n">
        <x:v>80.72705010961431</x:v>
      </x:c>
    </x:row>
    <x:row r="5">
      <x:c r="A5" s="31" t="n">
        <x:v>0.30000000000000004</x:v>
      </x:c>
      <x:c r="B5" s="31" t="n">
        <x:v>69.7295496047688</x:v>
      </x:c>
      <x:c r="C5" s="31" t="n">
        <x:v>66.48127238480149</x:v>
      </x:c>
      <x:c r="D5" s="31" t="n">
        <x:v>71.26611677567044</x:v>
      </x:c>
      <x:c r="E5" s="31" t="n">
        <x:v>70.18984366875765</x:v>
      </x:c>
      <x:c r="F5" s="31" t="n">
        <x:v>74.77409214625412</x:v>
      </x:c>
      <x:c r="G5" s="31" t="n">
        <x:v>76.25289375530984</x:v>
      </x:c>
      <x:c r="H5" s="31" t="n">
        <x:v>75.82019466890407</x:v>
      </x:c>
      <x:c r="I5" s="31" t="n">
        <x:v>75.4824678842841</x:v>
      </x:c>
      <x:c r="J5" s="31" t="n">
        <x:v>71.2925240497504</x:v>
      </x:c>
      <x:c r="K5" s="31" t="n">
        <x:v>87.4295801977906</x:v>
      </x:c>
      <x:c r="L5" s="31" t="n">
        <x:v>79.28676133473132</x:v>
      </x:c>
      <x:c r="M5" s="31" t="n">
        <x:v>86.64195508381857</x:v>
      </x:c>
      <x:c r="N5" s="31" t="n">
        <x:v>79.62853816924476</x:v>
      </x:c>
      <x:c r="O5" s="31" t="n">
        <x:v>81.78341542901521</x:v>
      </x:c>
      <x:c r="P5" s="31" t="n">
        <x:v>72.21562229764967</x:v>
      </x:c>
      <x:c r="Q5" s="31" t="n">
        <x:v>91.72243006167092</x:v>
      </x:c>
      <x:c r="R5" s="31" t="n">
        <x:v>73.71085598047358</x:v>
      </x:c>
      <x:c r="S5" s="31" t="n">
        <x:v>75.12130905850219</x:v>
      </x:c>
      <x:c r="T5" s="31" t="n">
        <x:v>82.1804453117415</x:v>
      </x:c>
      <x:c r="U5" s="31" t="n">
        <x:v>80.17159854825759</x:v>
      </x:c>
    </x:row>
    <x:row r="6">
      <x:c r="A6" s="31" t="n">
        <x:v>0.4</x:v>
      </x:c>
      <x:c r="B6" s="31" t="n">
        <x:v>68.37640598302386</x:v>
      </x:c>
      <x:c r="C6" s="31" t="n">
        <x:v>74.87640313957368</x:v>
      </x:c>
      <x:c r="D6" s="31" t="n">
        <x:v>70.95669350139283</x:v>
      </x:c>
      <x:c r="E6" s="31" t="n">
        <x:v>70.7731773312981</x:v>
      </x:c>
      <x:c r="F6" s="31" t="n">
        <x:v>74.90023211392383</x:v>
      </x:c>
      <x:c r="G6" s="31" t="n">
        <x:v>69.57936513849639</x:v>
      </x:c>
      <x:c r="H6" s="31" t="n">
        <x:v>76.51494455686499</x:v>
      </x:c>
      <x:c r="I6" s="31" t="n">
        <x:v>77.1501540072735</x:v>
      </x:c>
      <x:c r="J6" s="31" t="n">
        <x:v>72.36158746027168</x:v>
      </x:c>
      <x:c r="K6" s="31" t="n">
        <x:v>87.4295801977906</x:v>
      </x:c>
      <x:c r="L6" s="31" t="n">
        <x:v>75.51682980694949</x:v>
      </x:c>
      <x:c r="M6" s="31" t="n">
        <x:v>89.94208154185748</x:v>
      </x:c>
      <x:c r="N6" s="31" t="n">
        <x:v>89.75125442117809</x:v>
      </x:c>
      <x:c r="O6" s="31" t="n">
        <x:v>81.78341542901521</x:v>
      </x:c>
      <x:c r="P6" s="31" t="n">
        <x:v>72.21562229764967</x:v>
      </x:c>
      <x:c r="Q6" s="31" t="n">
        <x:v>91.72243006167092</x:v>
      </x:c>
      <x:c r="R6" s="31" t="n">
        <x:v>72.52505041919906</x:v>
      </x:c>
      <x:c r="S6" s="31" t="n">
        <x:v>72.29845647884822</x:v>
      </x:c>
      <x:c r="T6" s="31" t="n">
        <x:v>82.22038747357453</x:v>
      </x:c>
      <x:c r="U6" s="31" t="n">
        <x:v>80.17159854825759</x:v>
      </x:c>
    </x:row>
    <x:row r="7">
      <x:c r="A7" s="31" t="n">
        <x:v>0.5</x:v>
      </x:c>
      <x:c r="B7" s="31" t="n">
        <x:v>68.7682554578044</x:v>
      </x:c>
      <x:c r="C7" s="31" t="n">
        <x:v>74.87640313957368</x:v>
      </x:c>
      <x:c r="D7" s="31" t="n">
        <x:v>71.30627496244344</x:v>
      </x:c>
      <x:c r="E7" s="31" t="n">
        <x:v>70.7731773312981</x:v>
      </x:c>
      <x:c r="F7" s="31" t="n">
        <x:v>72.57691936901224</x:v>
      </x:c>
      <x:c r="G7" s="31" t="n">
        <x:v>65.59906658938077</x:v>
      </x:c>
      <x:c r="H7" s="31" t="n">
        <x:v>77.6332748027896</x:v>
      </x:c>
      <x:c r="I7" s="31" t="n">
        <x:v>76.80728223813131</x:v>
      </x:c>
      <x:c r="J7" s="31" t="n">
        <x:v>74.14335981114048</x:v>
      </x:c>
      <x:c r="K7" s="31" t="n">
        <x:v>80.5280628780053</x:v>
      </x:c>
      <x:c r="L7" s="31" t="n">
        <x:v>76.96355209421903</x:v>
      </x:c>
      <x:c r="M7" s="31" t="n">
        <x:v>89.94208154185748</x:v>
      </x:c>
      <x:c r="N7" s="31" t="n">
        <x:v>92.63702215231596</x:v>
      </x:c>
      <x:c r="O7" s="31" t="n">
        <x:v>81.30850298396481</x:v>
      </x:c>
      <x:c r="P7" s="31" t="n">
        <x:v>71.01134109061</x:v>
      </x:c>
      <x:c r="Q7" s="31" t="n">
        <x:v>88.61905784202253</x:v>
      </x:c>
      <x:c r="R7" s="31" t="n">
        <x:v>71.78673801151547</x:v>
      </x:c>
      <x:c r="S7" s="31" t="n">
        <x:v>73.12284744530875</x:v>
      </x:c>
      <x:c r="T7" s="31" t="n">
        <x:v>94.72957753851274</x:v>
      </x:c>
      <x:c r="U7" s="31" t="n">
        <x:v>82.24851183362182</x:v>
      </x:c>
    </x:row>
    <x:row r="8">
      <x:c r="A8" s="31" t="n">
        <x:v>0.6000000000000001</x:v>
      </x:c>
      <x:c r="B8" s="31" t="n">
        <x:v>68.7682554578044</x:v>
      </x:c>
      <x:c r="C8" s="31" t="n">
        <x:v>73.39796462113209</x:v>
      </x:c>
      <x:c r="D8" s="31" t="n">
        <x:v>71.30627496244344</x:v>
      </x:c>
      <x:c r="E8" s="31" t="n">
        <x:v>70.18820543168553</x:v>
      </x:c>
      <x:c r="F8" s="31" t="n">
        <x:v>68.43249019420398</x:v>
      </x:c>
      <x:c r="G8" s="31" t="n">
        <x:v>62.93080181840511</x:v>
      </x:c>
      <x:c r="H8" s="31" t="n">
        <x:v>77.6332748027896</x:v>
      </x:c>
      <x:c r="I8" s="31" t="n">
        <x:v>73.41293743276604</x:v>
      </x:c>
      <x:c r="J8" s="31" t="n">
        <x:v>74.49971428131424</x:v>
      </x:c>
      <x:c r="K8" s="31" t="n">
        <x:v>72.1557482593819</x:v>
      </x:c>
      <x:c r="L8" s="31" t="n">
        <x:v>77.13595725978416</x:v>
      </x:c>
      <x:c r="M8" s="31" t="n">
        <x:v>86.38773638315045</x:v>
      </x:c>
      <x:c r="N8" s="31" t="n">
        <x:v>92.63702215231596</x:v>
      </x:c>
      <x:c r="O8" s="31" t="n">
        <x:v>80.99919601506579</x:v>
      </x:c>
      <x:c r="P8" s="31" t="n">
        <x:v>77.99737214897537</x:v>
      </x:c>
      <x:c r="Q8" s="31" t="n">
        <x:v>79.45598759439908</x:v>
      </x:c>
      <x:c r="R8" s="31" t="n">
        <x:v>72.09997781052834</x:v>
      </x:c>
      <x:c r="S8" s="31" t="n">
        <x:v>74.87154958806839</x:v>
      </x:c>
      <x:c r="T8" s="31" t="n">
        <x:v>94.72957753851274</x:v>
      </x:c>
      <x:c r="U8" s="31" t="n">
        <x:v>82.62573824938397</x:v>
      </x:c>
    </x:row>
    <x:row r="9">
      <x:c r="A9" s="31" t="n">
        <x:v>0.7000000000000001</x:v>
      </x:c>
      <x:c r="B9" s="31" t="n">
        <x:v>67.45298759699453</x:v>
      </x:c>
      <x:c r="C9" s="31" t="n">
        <x:v>67.40760461778342</x:v>
      </x:c>
      <x:c r="D9" s="31" t="n">
        <x:v>71.01129709793038</x:v>
      </x:c>
      <x:c r="E9" s="31" t="n">
        <x:v>71.47295905256806</x:v>
      </x:c>
      <x:c r="F9" s="31" t="n">
        <x:v>68.00845997916775</x:v>
      </x:c>
      <x:c r="G9" s="31" t="n">
        <x:v>60.81769774030242</x:v>
      </x:c>
      <x:c r="H9" s="31" t="n">
        <x:v>77.60771399033794</x:v>
      </x:c>
      <x:c r="I9" s="31" t="n">
        <x:v>71.61463567246244</x:v>
      </x:c>
      <x:c r="J9" s="31" t="n">
        <x:v>71.59175144774235</x:v>
      </x:c>
      <x:c r="K9" s="31" t="n">
        <x:v>70.08406231595657</x:v>
      </x:c>
      <x:c r="L9" s="31" t="n">
        <x:v>76.85250891639083</x:v>
      </x:c>
      <x:c r="M9" s="31" t="n">
        <x:v>86.04123301565994</x:v>
      </x:c>
      <x:c r="N9" s="31" t="n">
        <x:v>87.43158178056194</x:v>
      </x:c>
      <x:c r="O9" s="31" t="n">
        <x:v>89.28849659186001</x:v>
      </x:c>
      <x:c r="P9" s="31" t="n">
        <x:v>78.33606363130627</x:v>
      </x:c>
      <x:c r="Q9" s="31" t="n">
        <x:v>72.35612778886252</x:v>
      </x:c>
      <x:c r="R9" s="31" t="n">
        <x:v>72.09997781052834</x:v>
      </x:c>
      <x:c r="S9" s="31" t="n">
        <x:v>77.43499357402058</x:v>
      </x:c>
      <x:c r="T9" s="31" t="n">
        <x:v>91.74947542060897</x:v>
      </x:c>
      <x:c r="U9" s="31" t="n">
        <x:v>86.50612452937479</x:v>
      </x:c>
    </x:row>
    <x:row r="10">
      <x:c r="A10" s="31" t="n">
        <x:v>0.8</x:v>
      </x:c>
      <x:c r="B10" s="31" t="n">
        <x:v>68.79558033412441</x:v>
      </x:c>
      <x:c r="C10" s="31" t="n">
        <x:v>67.94537399945264</x:v>
      </x:c>
      <x:c r="D10" s="31" t="n">
        <x:v>70.48451168071813</x:v>
      </x:c>
      <x:c r="E10" s="31" t="n">
        <x:v>71.47295905256806</x:v>
      </x:c>
      <x:c r="F10" s="31" t="n">
        <x:v>69.57218667546502</x:v>
      </x:c>
      <x:c r="G10" s="31" t="n">
        <x:v>64.0496218229024</x:v>
      </x:c>
      <x:c r="H10" s="31" t="n">
        <x:v>77.60771399033794</x:v>
      </x:c>
      <x:c r="I10" s="31" t="n">
        <x:v>72.71442771869108</x:v>
      </x:c>
      <x:c r="J10" s="31" t="n">
        <x:v>71.39360890463968</x:v>
      </x:c>
      <x:c r="K10" s="31" t="n">
        <x:v>70.25652028977657</x:v>
      </x:c>
      <x:c r="L10" s="31" t="n">
        <x:v>76.83546585661233</x:v>
      </x:c>
      <x:c r="M10" s="31" t="n">
        <x:v>84.95335636590633</x:v>
      </x:c>
      <x:c r="N10" s="31" t="n">
        <x:v>86.85890697275794</x:v>
      </x:c>
      <x:c r="O10" s="31" t="n">
        <x:v>89.28849659186001</x:v>
      </x:c>
      <x:c r="P10" s="31" t="n">
        <x:v>76.60838581657845</x:v>
      </x:c>
      <x:c r="Q10" s="31" t="n">
        <x:v>70.472944565585</x:v>
      </x:c>
      <x:c r="R10" s="31" t="n">
        <x:v>72.29123916325386</x:v>
      </x:c>
      <x:c r="S10" s="31" t="n">
        <x:v>79.1880116370806</x:v>
      </x:c>
      <x:c r="T10" s="31" t="n">
        <x:v>86.44358203813353</x:v>
      </x:c>
      <x:c r="U10" s="31" t="n">
        <x:v>89.02540866390535</x:v>
      </x:c>
    </x:row>
    <x:row r="11">
      <x:c r="A11" s="31" t="n">
        <x:v>0.9</x:v>
      </x:c>
      <x:c r="B11" s="31" t="n">
        <x:v>68.79558033412441</x:v>
      </x:c>
      <x:c r="C11" s="31" t="n">
        <x:v>67.94537399945264</x:v>
      </x:c>
      <x:c r="D11" s="31" t="n">
        <x:v>70.93645648620665</x:v>
      </x:c>
      <x:c r="E11" s="31" t="n">
        <x:v>70.71686798142348</x:v>
      </x:c>
      <x:c r="F11" s="31" t="n">
        <x:v>69.98457834195324</x:v>
      </x:c>
      <x:c r="G11" s="31" t="n">
        <x:v>64.5897386100657</x:v>
      </x:c>
      <x:c r="H11" s="31" t="n">
        <x:v>77.14586585003104</x:v>
      </x:c>
      <x:c r="I11" s="31" t="n">
        <x:v>72.71442771869108</x:v>
      </x:c>
      <x:c r="J11" s="31" t="n">
        <x:v>71.63242405486706</x:v>
      </x:c>
      <x:c r="K11" s="31" t="n">
        <x:v>71.99530075706316</x:v>
      </x:c>
      <x:c r="L11" s="31" t="n">
        <x:v>76.83546585661233</x:v>
      </x:c>
      <x:c r="M11" s="31" t="n">
        <x:v>84.95335636590633</x:v>
      </x:c>
      <x:c r="N11" s="31" t="n">
        <x:v>85.12567549820929</x:v>
      </x:c>
      <x:c r="O11" s="31" t="n">
        <x:v>85.61798669262771</x:v>
      </x:c>
      <x:c r="P11" s="31" t="n">
        <x:v>69.49735868440655</x:v>
      </x:c>
      <x:c r="Q11" s="31" t="n">
        <x:v>69.7679620310534</x:v>
      </x:c>
      <x:c r="R11" s="31" t="n">
        <x:v>73.38196790613515</x:v>
      </x:c>
      <x:c r="S11" s="31" t="n">
        <x:v>79.9058166450611</x:v>
      </x:c>
      <x:c r="T11" s="31" t="n">
        <x:v>85.66779475991179</x:v>
      </x:c>
      <x:c r="U11" s="31" t="n">
        <x:v>89.02540866390535</x:v>
      </x:c>
    </x:row>
    <x:row r="12">
      <x:c r="A12" s="31" t="n">
        <x:v>1</x:v>
      </x:c>
      <x:c r="B12" s="31" t="n">
        <x:v>67.7018695904848</x:v>
      </x:c>
      <x:c r="C12" s="31" t="n">
        <x:v>66.88803839551909</x:v>
      </x:c>
      <x:c r="D12" s="31" t="n">
        <x:v>70.93645648620665</x:v>
      </x:c>
      <x:c r="E12" s="31" t="n">
        <x:v>81.73332161213877</x:v>
      </x:c>
      <x:c r="F12" s="31" t="n">
        <x:v>69.92819922098303</x:v>
      </x:c>
      <x:c r="G12" s="31" t="n">
        <x:v>63.623037049783036</x:v>
      </x:c>
      <x:c r="H12" s="31" t="n">
        <x:v>76.21117235164553</x:v>
      </x:c>
      <x:c r="I12" s="31" t="n">
        <x:v>70.54973350034204</x:v>
      </x:c>
      <x:c r="J12" s="31" t="n">
        <x:v>71.53965369909923</x:v>
      </x:c>
      <x:c r="K12" s="31" t="n">
        <x:v>73.98540285288857</x:v>
      </x:c>
      <x:c r="L12" s="31" t="n">
        <x:v>75.83892480503266</x:v>
      </x:c>
      <x:c r="M12" s="31" t="n">
        <x:v>83.41362087827184</x:v>
      </x:c>
      <x:c r="N12" s="31" t="n">
        <x:v>83.46283625028326</x:v>
      </x:c>
      <x:c r="O12" s="31" t="n">
        <x:v>77.62976939928518</x:v>
      </x:c>
      <x:c r="P12" s="31" t="n">
        <x:v>64.35707537775569</x:v>
      </x:c>
      <x:c r="Q12" s="31" t="n">
        <x:v>69.7679620310534</x:v>
      </x:c>
      <x:c r="R12" s="31" t="n">
        <x:v>73.38196790613515</x:v>
      </x:c>
      <x:c r="S12" s="31" t="n">
        <x:v>79.9058166450611</x:v>
      </x:c>
      <x:c r="T12" s="31" t="n">
        <x:v>82.31864098707769</x:v>
      </x:c>
      <x:c r="U12" s="31" t="n">
        <x:v>87.7038303251323</x:v>
      </x:c>
    </x:row>
    <x:row r="13">
      <x:c r="A13" s="31" t="n">
        <x:v>1.1</x:v>
      </x:c>
      <x:c r="B13" s="31" t="n">
        <x:v>68.12948029406625</x:v>
      </x:c>
      <x:c r="C13" s="31" t="n">
        <x:v>66.62880329975158</x:v>
      </x:c>
      <x:c r="D13" s="31" t="n">
        <x:v>69.73410721067152</x:v>
      </x:c>
      <x:c r="E13" s="31" t="n">
        <x:v>81.73332161213877</x:v>
      </x:c>
      <x:c r="F13" s="31" t="n">
        <x:v>69.20468665489086</x:v>
      </x:c>
      <x:c r="G13" s="31" t="n">
        <x:v>67.68505178175559</x:v>
      </x:c>
      <x:c r="H13" s="31" t="n">
        <x:v>74.81463257920802</x:v>
      </x:c>
      <x:c r="I13" s="31" t="n">
        <x:v>70.40713123687578</x:v>
      </x:c>
      <x:c r="J13" s="31" t="n">
        <x:v>70.68118150532777</x:v>
      </x:c>
      <x:c r="K13" s="31" t="n">
        <x:v>74.78144369121873</x:v>
      </x:c>
      <x:c r="L13" s="31" t="n">
        <x:v>76.52421698375007</x:v>
      </x:c>
      <x:c r="M13" s="31" t="n">
        <x:v>83.82355213214298</x:v>
      </x:c>
      <x:c r="N13" s="31" t="n">
        <x:v>83.60182093272566</x:v>
      </x:c>
      <x:c r="O13" s="31" t="n">
        <x:v>68.03818342327126</x:v>
      </x:c>
      <x:c r="P13" s="31" t="n">
        <x:v>63.79042118010127</x:v>
      </x:c>
      <x:c r="Q13" s="31" t="n">
        <x:v>66.36219553812599</x:v>
      </x:c>
      <x:c r="R13" s="31" t="n">
        <x:v>70.04092437969288</x:v>
      </x:c>
      <x:c r="S13" s="31" t="n">
        <x:v>80.04233610145212</x:v>
      </x:c>
      <x:c r="T13" s="31" t="n">
        <x:v>80.06023293361841</x:v>
      </x:c>
      <x:c r="U13" s="31" t="n">
        <x:v>87.7038303251323</x:v>
      </x:c>
    </x:row>
    <x:row r="14">
      <x:c r="A14" s="31" t="n">
        <x:v>1.2000000000000002</x:v>
      </x:c>
      <x:c r="B14" s="31" t="n">
        <x:v>73.33837709237201</x:v>
      </x:c>
      <x:c r="C14" s="31" t="n">
        <x:v>66.62880329975158</x:v>
      </x:c>
      <x:c r="D14" s="31" t="n">
        <x:v>70.53845486677645</x:v>
      </x:c>
      <x:c r="E14" s="31" t="n">
        <x:v>73.02432053981906</x:v>
      </x:c>
      <x:c r="F14" s="31" t="n">
        <x:v>70.55875684143885</x:v>
      </x:c>
      <x:c r="G14" s="31" t="n">
        <x:v>67.68505178175559</x:v>
      </x:c>
      <x:c r="H14" s="31" t="n">
        <x:v>68.80704539522502</x:v>
      </x:c>
      <x:c r="I14" s="31" t="n">
        <x:v>69.76205476333581</x:v>
      </x:c>
      <x:c r="J14" s="31" t="n">
        <x:v>69.68474634675177</x:v>
      </x:c>
      <x:c r="K14" s="31" t="n">
        <x:v>73.26050397091535</x:v>
      </x:c>
      <x:c r="L14" s="31" t="n">
        <x:v>76.67339505773128</x:v>
      </x:c>
      <x:c r="M14" s="31" t="n">
        <x:v>83.82355213214298</x:v>
      </x:c>
      <x:c r="N14" s="31" t="n">
        <x:v>84.07302653274431</x:v>
      </x:c>
      <x:c r="O14" s="31" t="n">
        <x:v>66.76818470492749</x:v>
      </x:c>
      <x:c r="P14" s="31" t="n">
        <x:v>63.79042118010125</x:v>
      </x:c>
      <x:c r="Q14" s="31" t="n">
        <x:v>84.25739302471457</x:v>
      </x:c>
      <x:c r="R14" s="31" t="n">
        <x:v>69.34885463600983</x:v>
      </x:c>
      <x:c r="S14" s="31" t="n">
        <x:v>80.04233610145212</x:v>
      </x:c>
      <x:c r="T14" s="31" t="n">
        <x:v>78.51307925554737</x:v>
      </x:c>
      <x:c r="U14" s="31" t="n">
        <x:v>87.58156764017187</x:v>
      </x:c>
    </x:row>
    <x:row r="15">
      <x:c r="A15" s="31" t="n">
        <x:v>1.3</x:v>
      </x:c>
      <x:c r="B15" s="31" t="n">
        <x:v>78.54727389067776</x:v>
      </x:c>
      <x:c r="C15" s="31" t="n">
        <x:v>67.3378262263938</x:v>
      </x:c>
      <x:c r="D15" s="31" t="n">
        <x:v>75.77282252239739</x:v>
      </x:c>
      <x:c r="E15" s="31" t="n">
        <x:v>66.96596594013148</x:v>
      </x:c>
      <x:c r="F15" s="31" t="n">
        <x:v>70.55875684143885</x:v>
      </x:c>
      <x:c r="G15" s="31" t="n">
        <x:v>61.23760074527628</x:v>
      </x:c>
      <x:c r="H15" s="31" t="n">
        <x:v>82.59357078509203</x:v>
      </x:c>
      <x:c r="I15" s="31" t="n">
        <x:v>70.05395308301635</x:v>
      </x:c>
      <x:c r="J15" s="31" t="n">
        <x:v>70.4323778495208</x:v>
      </x:c>
      <x:c r="K15" s="31" t="n">
        <x:v>67.01123431427179</x:v>
      </x:c>
      <x:c r="L15" s="31" t="n">
        <x:v>77.21477712176363</x:v>
      </x:c>
      <x:c r="M15" s="31" t="n">
        <x:v>84.30350475846981</x:v>
      </x:c>
      <x:c r="N15" s="31" t="n">
        <x:v>84.07302653274431</x:v>
      </x:c>
      <x:c r="O15" s="31" t="n">
        <x:v>71.46535015231372</x:v>
      </x:c>
      <x:c r="P15" s="31" t="n">
        <x:v>50</x:v>
      </x:c>
      <x:c r="Q15" s="31" t="n">
        <x:v>86.64862522797264</x:v>
      </x:c>
      <x:c r="R15" s="31" t="n">
        <x:v>67.92621965141905</x:v>
      </x:c>
      <x:c r="S15" s="31" t="n">
        <x:v>80.8246899334497</x:v>
      </x:c>
      <x:c r="T15" s="31" t="n">
        <x:v>80.73608058549495</x:v>
      </x:c>
      <x:c r="U15" s="31" t="n">
        <x:v>85.11074053947662</x:v>
      </x:c>
    </x:row>
    <x:row r="16">
      <x:c r="A16" s="31" t="n">
        <x:v>1.4000000000000001</x:v>
      </x:c>
      <x:c r="B16" s="31" t="n">
        <x:v>80.63083261000006</x:v>
      </x:c>
      <x:c r="C16" s="31" t="n">
        <x:v>67.59355318682114</x:v>
      </x:c>
      <x:c r="D16" s="31" t="n">
        <x:v>90.36537919958417</x:v>
      </x:c>
      <x:c r="E16" s="31" t="n">
        <x:v>64.40702998934137</x:v>
      </x:c>
      <x:c r="F16" s="31" t="n">
        <x:v>69.00384548600314</x:v>
      </x:c>
      <x:c r="G16" s="31" t="n">
        <x:v>59.108825302158166</x:v>
      </x:c>
      <x:c r="H16" s="31" t="n">
        <x:v>82.59357078509203</x:v>
      </x:c>
      <x:c r="I16" s="31" t="n">
        <x:v>70.34590931094905</x:v>
      </x:c>
      <x:c r="J16" s="31" t="n">
        <x:v>85.27194955252105</x:v>
      </x:c>
      <x:c r="K16" s="31" t="n">
        <x:v>66.10873395594012</x:v>
      </x:c>
      <x:c r="L16" s="31" t="n">
        <x:v>77.21477712176363</x:v>
      </x:c>
      <x:c r="M16" s="31" t="n">
        <x:v>84.54992343106458</x:v>
      </x:c>
      <x:c r="N16" s="31" t="n">
        <x:v>83.56637875852806</x:v>
      </x:c>
      <x:c r="O16" s="31" t="n">
        <x:v>88.6013102368136</x:v>
      </x:c>
      <x:c r="P16" s="31" t="n">
        <x:v>67.79059548211087</x:v>
      </x:c>
      <x:c r="Q16" s="31" t="n">
        <x:v>86.64862522797264</x:v>
      </x:c>
      <x:c r="R16" s="31" t="n">
        <x:v>81.07483784682884</x:v>
      </x:c>
      <x:c r="S16" s="31" t="n">
        <x:v>95.0554295489988</x:v>
      </x:c>
      <x:c r="T16" s="31" t="n">
        <x:v>86.39925878171243</x:v>
      </x:c>
      <x:c r="U16" s="31" t="n">
        <x:v>81.5588119390591</x:v>
      </x:c>
    </x:row>
    <x:row r="17">
      <x:c r="A17" s="31" t="n">
        <x:v>1.5</x:v>
      </x:c>
      <x:c r="B17" s="31" t="n">
        <x:v>79.81320789713291</x:v>
      </x:c>
      <x:c r="C17" s="31" t="n">
        <x:v>67.2020657925499</x:v>
      </x:c>
      <x:c r="D17" s="31" t="n">
        <x:v>90.36537919958417</x:v>
      </x:c>
      <x:c r="E17" s="31" t="n">
        <x:v>61.84809403855124</x:v>
      </x:c>
      <x:c r="F17" s="31" t="n">
        <x:v>68.689493231828</x:v>
      </x:c>
      <x:c r="G17" s="31" t="n">
        <x:v>60.05904443808387</x:v>
      </x:c>
      <x:c r="H17" s="31" t="n">
        <x:v>77.93474150955831</x:v>
      </x:c>
      <x:c r="I17" s="31" t="n">
        <x:v>70.34590931094905</x:v>
      </x:c>
      <x:c r="J17" s="31" t="n">
        <x:v>85.27194955252105</x:v>
      </x:c>
      <x:c r="K17" s="31" t="n">
        <x:v>66.99883722691142</x:v>
      </x:c>
      <x:c r="L17" s="31" t="n">
        <x:v>76.48735426549663</x:v>
      </x:c>
      <x:c r="M17" s="31" t="n">
        <x:v>84.54992343106458</x:v>
      </x:c>
      <x:c r="N17" s="31" t="n">
        <x:v>83.56637875852806</x:v>
      </x:c>
      <x:c r="O17" s="31" t="n">
        <x:v>90.7507294001671</x:v>
      </x:c>
      <x:c r="P17" s="31" t="n">
        <x:v>79.06328517643371</x:v>
      </x:c>
      <x:c r="Q17" s="31" t="n">
        <x:v>81.36487322346127</x:v>
      </x:c>
      <x:c r="R17" s="31" t="n">
        <x:v>81.07483784682884</x:v>
      </x:c>
      <x:c r="S17" s="31" t="n">
        <x:v>95.0554295489988</x:v>
      </x:c>
      <x:c r="T17" s="31" t="n">
        <x:v>86.39925878171243</x:v>
      </x:c>
      <x:c r="U17" s="31" t="n">
        <x:v>78.33906288975223</x:v>
      </x:c>
    </x:row>
    <x:row r="18">
      <x:c r="A18" s="31" t="n">
        <x:v>1.6</x:v>
      </x:c>
      <x:c r="B18" s="31" t="n">
        <x:v>71.78219181167748</x:v>
      </x:c>
      <x:c r="C18" s="31" t="n">
        <x:v>67.28137788307242</x:v>
      </x:c>
      <x:c r="D18" s="31" t="n">
        <x:v>82.06089137377197</x:v>
      </x:c>
      <x:c r="E18" s="31" t="n">
        <x:v>60.82451965823519</x:v>
      </x:c>
      <x:c r="F18" s="31" t="n">
        <x:v>68.689493231828</x:v>
      </x:c>
      <x:c r="G18" s="31" t="n">
        <x:v>61.723427967503326</x:v>
      </x:c>
      <x:c r="H18" s="31" t="n">
        <x:v>69.05933987708832</x:v>
      </x:c>
      <x:c r="I18" s="31" t="n">
        <x:v>66.15739538421784</x:v>
      </x:c>
      <x:c r="J18" s="31" t="n">
        <x:v>80.13802776939161</x:v>
      </x:c>
      <x:c r="K18" s="31" t="n">
        <x:v>66.99883722691142</x:v>
      </x:c>
      <x:c r="L18" s="31" t="n">
        <x:v>91.40628610417421</x:v>
      </x:c>
      <x:c r="M18" s="31" t="n">
        <x:v>83.32344975213363</x:v>
      </x:c>
      <x:c r="N18" s="31" t="n">
        <x:v>81.22134169925394</x:v>
      </x:c>
      <x:c r="O18" s="31" t="n">
        <x:v>90.7507294001671</x:v>
      </x:c>
      <x:c r="P18" s="31" t="n">
        <x:v>79.06328517643371</x:v>
      </x:c>
      <x:c r="Q18" s="31" t="n">
        <x:v>77.30049745107128</x:v>
      </x:c>
      <x:c r="R18" s="31" t="n">
        <x:v>77.38890003187825</x:v>
      </x:c>
      <x:c r="S18" s="31" t="n">
        <x:v>91.04776686756622</x:v>
      </x:c>
      <x:c r="T18" s="31" t="n">
        <x:v>79.76503653125263</x:v>
      </x:c>
      <x:c r="U18" s="31" t="n">
        <x:v>76.1620693009905</x:v>
      </x:c>
    </x:row>
    <x:row r="19">
      <x:c r="A19" s="31" t="n">
        <x:v>1.7000000000000002</x:v>
      </x:c>
      <x:c r="B19" s="31" t="n">
        <x:v>63.856404029438636</x:v>
      </x:c>
      <x:c r="C19" s="31" t="n">
        <x:v>67.72717444100489</x:v>
      </x:c>
      <x:c r="D19" s="31" t="n">
        <x:v>75.54687672015231</x:v>
      </x:c>
      <x:c r="E19" s="31" t="n">
        <x:v>67.09981306535552</x:v>
      </x:c>
      <x:c r="F19" s="31" t="n">
        <x:v>68.02784497749782</x:v>
      </x:c>
      <x:c r="G19" s="31" t="n">
        <x:v>62.08878258680123</x:v>
      </x:c>
      <x:c r="H19" s="31" t="n">
        <x:v>50</x:v>
      </x:c>
      <x:c r="I19" s="31" t="n">
        <x:v>82.31557215024846</x:v>
      </x:c>
      <x:c r="J19" s="31" t="n">
        <x:v>71.08257358270224</x:v>
      </x:c>
      <x:c r="K19" s="31" t="n">
        <x:v>69.63304092095534</x:v>
      </x:c>
      <x:c r="L19" s="31" t="n">
        <x:v>92.35303295623392</x:v>
      </x:c>
      <x:c r="M19" s="31" t="n">
        <x:v>82.63460194951811</x:v>
      </x:c>
      <x:c r="N19" s="31" t="n">
        <x:v>89.18368388583033</x:v>
      </x:c>
      <x:c r="O19" s="31" t="n">
        <x:v>86.53893788371656</x:v>
      </x:c>
      <x:c r="P19" s="31" t="n">
        <x:v>74.24915488449717</x:v>
      </x:c>
      <x:c r="Q19" s="31" t="n">
        <x:v>74.74054895752674</x:v>
      </x:c>
      <x:c r="R19" s="31" t="n">
        <x:v>65.80053717888114</x:v>
      </x:c>
      <x:c r="S19" s="31" t="n">
        <x:v>85.00346010527585</x:v>
      </x:c>
      <x:c r="T19" s="31" t="n">
        <x:v>50</x:v>
      </x:c>
      <x:c r="U19" s="31" t="n">
        <x:v>76.11775134690184</x:v>
      </x:c>
    </x:row>
    <x:row r="20">
      <x:c r="A20" s="31" t="n">
        <x:v>1.8</x:v>
      </x:c>
      <x:c r="B20" s="31" t="n">
        <x:v>60.24155370117234</x:v>
      </x:c>
      <x:c r="C20" s="31" t="n">
        <x:v>67.72717444100489</x:v>
      </x:c>
      <x:c r="D20" s="31" t="n">
        <x:v>66.67034548632098</x:v>
      </x:c>
      <x:c r="E20" s="31" t="n">
        <x:v>67.09981306535552</x:v>
      </x:c>
      <x:c r="F20" s="31" t="n">
        <x:v>66.4832975538778</x:v>
      </x:c>
      <x:c r="G20" s="31" t="n">
        <x:v>62.08878258680123</x:v>
      </x:c>
      <x:c r="H20" s="31" t="n">
        <x:v>50</x:v>
      </x:c>
      <x:c r="I20" s="31" t="n">
        <x:v>82.31557215024846</x:v>
      </x:c>
      <x:c r="J20" s="31" t="n">
        <x:v>66.74033641346917</x:v>
      </x:c>
      <x:c r="K20" s="31" t="n">
        <x:v>70.64198251843838</x:v>
      </x:c>
      <x:c r="L20" s="31" t="n">
        <x:v>91.8130821289734</x:v>
      </x:c>
      <x:c r="M20" s="31" t="n">
        <x:v>90.09548623009402</x:v>
      </x:c>
      <x:c r="N20" s="31" t="n">
        <x:v>92.14875594071152</x:v>
      </x:c>
      <x:c r="O20" s="31" t="n">
        <x:v>84.3503934565054</x:v>
      </x:c>
      <x:c r="P20" s="31" t="n">
        <x:v>71.88295618728645</x:v>
      </x:c>
      <x:c r="Q20" s="31" t="n">
        <x:v>77.07278855752713</x:v>
      </x:c>
      <x:c r="R20" s="31" t="n">
        <x:v>50</x:v>
      </x:c>
      <x:c r="S20" s="31" t="n">
        <x:v>83.09074742060312</x:v>
      </x:c>
      <x:c r="T20" s="31" t="n">
        <x:v>50</x:v>
      </x:c>
      <x:c r="U20" s="31" t="n">
        <x:v>72.28086681233312</x:v>
      </x:c>
    </x:row>
    <x:row r="21">
      <x:c r="A21" s="31" t="n">
        <x:v>1.9000000000000001</x:v>
      </x:c>
      <x:c r="B21" s="31" t="n">
        <x:v>56.62670337290605</x:v>
      </x:c>
      <x:c r="C21" s="31" t="n">
        <x:v>82.94509958650085</x:v>
      </x:c>
      <x:c r="D21" s="31" t="n">
        <x:v>60.71407693193899</x:v>
      </x:c>
      <x:c r="E21" s="31" t="n">
        <x:v>69.41864929983662</x:v>
      </x:c>
      <x:c r="F21" s="31" t="n">
        <x:v>63.301644030743454</x:v>
      </x:c>
      <x:c r="G21" s="31" t="n">
        <x:v>60.03140581727936</x:v>
      </x:c>
      <x:c r="H21" s="31" t="n">
        <x:v>60.63703835825441</x:v>
      </x:c>
      <x:c r="I21" s="31" t="n">
        <x:v>75.63273912204973</x:v>
      </x:c>
      <x:c r="J21" s="31" t="n">
        <x:v>66.74033641346917</x:v>
      </x:c>
      <x:c r="K21" s="31" t="n">
        <x:v>86.9530816018245</x:v>
      </x:c>
      <x:c r="L21" s="31" t="n">
        <x:v>82.74486667329042</x:v>
      </x:c>
      <x:c r="M21" s="31" t="n">
        <x:v>90.33440255627882</x:v>
      </x:c>
      <x:c r="N21" s="31" t="n">
        <x:v>91.53726651492852</x:v>
      </x:c>
      <x:c r="O21" s="31" t="n">
        <x:v>81.2052009991475</x:v>
      </x:c>
      <x:c r="P21" s="31" t="n">
        <x:v>71.88295618728645</x:v>
      </x:c>
      <x:c r="Q21" s="31" t="n">
        <x:v>77.07278855752713</x:v>
      </x:c>
      <x:c r="R21" s="31" t="n">
        <x:v>50</x:v>
      </x:c>
      <x:c r="S21" s="31" t="n">
        <x:v>79.44056493092778</x:v>
      </x:c>
      <x:c r="T21" s="31" t="n">
        <x:v>50</x:v>
      </x:c>
      <x:c r="U21" s="31" t="n">
        <x:v>77.67847343463066</x:v>
      </x:c>
    </x:row>
    <x:row r="22">
      <x:c r="A22" s="31" t="n">
        <x:v>2</x:v>
      </x:c>
      <x:c r="B22" s="31" t="n">
        <x:v>58.52661623422312</x:v>
      </x:c>
      <x:c r="C22" s="31" t="n">
        <x:v>83.53884537259137</x:v>
      </x:c>
      <x:c r="D22" s="31" t="n">
        <x:v>50</x:v>
      </x:c>
      <x:c r="E22" s="31" t="n">
        <x:v>76.02619927995406</x:v>
      </x:c>
      <x:c r="F22" s="31" t="n">
        <x:v>62.356085623188314</x:v>
      </x:c>
      <x:c r="G22" s="31" t="n">
        <x:v>62.052620321322806</x:v>
      </x:c>
      <x:c r="H22" s="31" t="n">
        <x:v>71.27407671650879</x:v>
      </x:c>
      <x:c r="I22" s="31" t="n">
        <x:v>73.79665302444226</x:v>
      </x:c>
      <x:c r="J22" s="31" t="n">
        <x:v>51.24147216775218</x:v>
      </x:c>
      <x:c r="K22" s="31" t="n">
        <x:v>86.9530816018245</x:v>
      </x:c>
      <x:c r="L22" s="31" t="n">
        <x:v>70.51867590808422</x:v>
      </x:c>
      <x:c r="M22" s="31" t="n">
        <x:v>89.13845035527159</x:v>
      </x:c>
      <x:c r="N22" s="31" t="n">
        <x:v>81.40338636227725</x:v>
      </x:c>
      <x:c r="O22" s="31" t="n">
        <x:v>79.40232518046659</x:v>
      </x:c>
      <x:c r="P22" s="31" t="n">
        <x:v>71.04824257135013</x:v>
      </x:c>
      <x:c r="Q22" s="31" t="n">
        <x:v>74.91187090395525</x:v>
      </x:c>
      <x:c r="R22" s="31" t="n">
        <x:v>50</x:v>
      </x:c>
      <x:c r="S22" s="31" t="n">
        <x:v>77.05165509329859</x:v>
      </x:c>
      <x:c r="T22" s="31" t="n">
        <x:v>50</x:v>
      </x:c>
      <x:c r="U22" s="31" t="n">
        <x:v>91.59081910037392</x:v>
      </x:c>
    </x:row>
    <x:row r="23">
      <x:c r="A23" s="31" t="n">
        <x:v>2.1</x:v>
      </x:c>
      <x:c r="B23" s="31" t="n">
        <x:v>59.08062847759269</x:v>
      </x:c>
      <x:c r="C23" s="31" t="n">
        <x:v>82.74763834507377</x:v>
      </x:c>
      <x:c r="D23" s="31" t="n">
        <x:v>50</x:v>
      </x:c>
      <x:c r="E23" s="31" t="n">
        <x:v>76.02619927995406</x:v>
      </x:c>
      <x:c r="F23" s="31" t="n">
        <x:v>77.8966335941164</x:v>
      </x:c>
      <x:c r="G23" s="31" t="n">
        <x:v>62.052620321322806</x:v>
      </x:c>
      <x:c r="H23" s="31" t="n">
        <x:v>74.00686887991509</x:v>
      </x:c>
      <x:c r="I23" s="31" t="n">
        <x:v>71.96056692683479</x:v>
      </x:c>
      <x:c r="J23" s="31" t="n">
        <x:v>66.83302497997138</x:v>
      </x:c>
      <x:c r="K23" s="31" t="n">
        <x:v>82.39941482503765</x:v>
      </x:c>
      <x:c r="L23" s="31" t="n">
        <x:v>50</x:v>
      </x:c>
      <x:c r="M23" s="31" t="n">
        <x:v>77.85512619358369</x:v>
      </x:c>
      <x:c r="N23" s="31" t="n">
        <x:v>50</x:v>
      </x:c>
      <x:c r="O23" s="31" t="n">
        <x:v>78.85849123161226</x:v>
      </x:c>
      <x:c r="P23" s="31" t="n">
        <x:v>71.04824257135013</x:v>
      </x:c>
      <x:c r="Q23" s="31" t="n">
        <x:v>76.68091024034845</x:v>
      </x:c>
      <x:c r="R23" s="31" t="n">
        <x:v>50</x:v>
      </x:c>
      <x:c r="S23" s="31" t="n">
        <x:v>74.88108720867871</x:v>
      </x:c>
      <x:c r="T23" s="31" t="n">
        <x:v>72.39717994209954</x:v>
      </x:c>
      <x:c r="U23" s="31" t="n">
        <x:v>91.59081910037392</x:v>
      </x:c>
    </x:row>
    <x:row r="24">
      <x:c r="A24" s="31" t="n">
        <x:v>2.2</x:v>
      </x:c>
      <x:c r="B24" s="31" t="n">
        <x:v>62.23827200243106</x:v>
      </x:c>
      <x:c r="C24" s="31" t="n">
        <x:v>73.23354335005678</x:v>
      </x:c>
      <x:c r="D24" s="31" t="n">
        <x:v>61.034546848340234</x:v>
      </x:c>
      <x:c r="E24" s="31" t="n">
        <x:v>70.55144627331649</x:v>
      </x:c>
      <x:c r="F24" s="31" t="n">
        <x:v>77.8966335941164</x:v>
      </x:c>
      <x:c r="G24" s="31" t="n">
        <x:v>61.552952489089996</x:v>
      </x:c>
      <x:c r="H24" s="31" t="n">
        <x:v>76.22125552198871</x:v>
      </x:c>
      <x:c r="I24" s="31" t="n">
        <x:v>70.12448082922732</x:v>
      </x:c>
      <x:c r="J24" s="31" t="n">
        <x:v>73.06964610485906</x:v>
      </x:c>
      <x:c r="K24" s="31" t="n">
        <x:v>73.10699997127473</x:v>
      </x:c>
      <x:c r="L24" s="31" t="n">
        <x:v>55.70833156044654</x:v>
      </x:c>
      <x:c r="M24" s="31" t="n">
        <x:v>50</x:v>
      </x:c>
      <x:c r="N24" s="31" t="n">
        <x:v>50</x:v>
      </x:c>
      <x:c r="O24" s="31" t="n">
        <x:v>78.16114442578254</x:v>
      </x:c>
      <x:c r="P24" s="31" t="n">
        <x:v>70.07671811885567</x:v>
      </x:c>
      <x:c r="Q24" s="31" t="n">
        <x:v>76.68091024034845</x:v>
      </x:c>
      <x:c r="R24" s="31" t="n">
        <x:v>50</x:v>
      </x:c>
      <x:c r="S24" s="31" t="n">
        <x:v>73.2142823333759</x:v>
      </x:c>
      <x:c r="T24" s="31" t="n">
        <x:v>76.64930768923469</x:v>
      </x:c>
      <x:c r="U24" s="31" t="n">
        <x:v>89.65536698731889</x:v>
      </x:c>
    </x:row>
    <x:row r="25">
      <x:c r="A25" s="31" t="n">
        <x:v>2.3000000000000003</x:v>
      </x:c>
      <x:c r="B25" s="31" t="n">
        <x:v>65.39591552726941</x:v>
      </x:c>
      <x:c r="C25" s="31" t="n">
        <x:v>66.27860794892946</x:v>
      </x:c>
      <x:c r="D25" s="31" t="n">
        <x:v>61.03454684833999</x:v>
      </x:c>
      <x:c r="E25" s="31" t="n">
        <x:v>55.72122516972762</x:v>
      </x:c>
      <x:c r="F25" s="31" t="n">
        <x:v>73.53763725231151</x:v>
      </x:c>
      <x:c r="G25" s="31" t="n">
        <x:v>61.10362100399614</x:v>
      </x:c>
      <x:c r="H25" s="31" t="n">
        <x:v>76.22125552198871</x:v>
      </x:c>
      <x:c r="I25" s="31" t="n">
        <x:v>68.28839473161986</x:v>
      </x:c>
      <x:c r="J25" s="31" t="n">
        <x:v>72.1543965610699</x:v>
      </x:c>
      <x:c r="K25" s="31" t="n">
        <x:v>68.42565556560199</x:v>
      </x:c>
      <x:c r="L25" s="31" t="n">
        <x:v>61.41666312089308</x:v>
      </x:c>
      <x:c r="M25" s="31" t="n">
        <x:v>50</x:v>
      </x:c>
      <x:c r="N25" s="31" t="n">
        <x:v>50</x:v>
      </x:c>
      <x:c r="O25" s="31" t="n">
        <x:v>78.9970963606088</x:v>
      </x:c>
      <x:c r="P25" s="31" t="n">
        <x:v>69.82384029120294</x:v>
      </x:c>
      <x:c r="Q25" s="31" t="n">
        <x:v>76.41204354369887</x:v>
      </x:c>
      <x:c r="R25" s="31" t="n">
        <x:v>70.99697355207716</x:v>
      </x:c>
      <x:c r="S25" s="31" t="n">
        <x:v>87.90321394821106</x:v>
      </x:c>
      <x:c r="T25" s="31" t="n">
        <x:v>77.95020612187645</x:v>
      </x:c>
      <x:c r="U25" s="31" t="n">
        <x:v>82.20314672561538</x:v>
      </x:c>
    </x:row>
    <x:row r="26">
      <x:c r="A26" s="31" t="n">
        <x:v>2.4000000000000004</x:v>
      </x:c>
      <x:c r="B26" s="31" t="n">
        <x:v>65.8800526571776</x:v>
      </x:c>
      <x:c r="C26" s="31" t="n">
        <x:v>65.7531895261657</x:v>
      </x:c>
      <x:c r="D26" s="31" t="n">
        <x:v>72.42656122659531</x:v>
      </x:c>
      <x:c r="E26" s="31" t="n">
        <x:v>64.5122803757254</x:v>
      </x:c>
      <x:c r="F26" s="31" t="n">
        <x:v>62.58271006373968</x:v>
      </x:c>
      <x:c r="G26" s="31" t="n">
        <x:v>72.05367469521968</x:v>
      </x:c>
      <x:c r="H26" s="31" t="n">
        <x:v>67.23743553295925</x:v>
      </x:c>
      <x:c r="I26" s="31" t="n">
        <x:v>70.65264322423702</x:v>
      </x:c>
      <x:c r="J26" s="31" t="n">
        <x:v>69.22988475819558</x:v>
      </x:c>
      <x:c r="K26" s="31" t="n">
        <x:v>67.86399265126167</x:v>
      </x:c>
      <x:c r="L26" s="31" t="n">
        <x:v>67.12499468133961</x:v>
      </x:c>
      <x:c r="M26" s="31" t="n">
        <x:v>50</x:v>
      </x:c>
      <x:c r="N26" s="31" t="n">
        <x:v>71.70245779825963</x:v>
      </x:c>
      <x:c r="O26" s="31" t="n">
        <x:v>79.95031156895993</x:v>
      </x:c>
      <x:c r="P26" s="31" t="n">
        <x:v>70.66545899982845</x:v>
      </x:c>
      <x:c r="Q26" s="31" t="n">
        <x:v>76.70330198327026</x:v>
      </x:c>
      <x:c r="R26" s="31" t="n">
        <x:v>70.99697355207716</x:v>
      </x:c>
      <x:c r="S26" s="31" t="n">
        <x:v>89.42096071361881</x:v>
      </x:c>
      <x:c r="T26" s="31" t="n">
        <x:v>77.95020612187645</x:v>
      </x:c>
      <x:c r="U26" s="31" t="n">
        <x:v>78.79044018998387</x:v>
      </x:c>
    </x:row>
    <x:row r="27">
      <x:c r="A27" s="31" t="n">
        <x:v>2.5</x:v>
      </x:c>
      <x:c r="B27" s="31" t="n">
        <x:v>68.30073830671847</x:v>
      </x:c>
      <x:c r="C27" s="31" t="n">
        <x:v>58.83126465902929</x:v>
      </x:c>
      <x:c r="D27" s="31" t="n">
        <x:v>75.30347443032895</x:v>
      </x:c>
      <x:c r="E27" s="31" t="n">
        <x:v>68.49767187049608</x:v>
      </x:c>
      <x:c r="F27" s="31" t="n">
        <x:v>53.756592120998434</x:v>
      </x:c>
      <x:c r="G27" s="31" t="n">
        <x:v>72.30226399527106</x:v>
      </x:c>
      <x:c r="H27" s="31" t="n">
        <x:v>73.10525019297405</x:v>
      </x:c>
      <x:c r="I27" s="31" t="n">
        <x:v>75.8514934510094</x:v>
      </x:c>
      <x:c r="J27" s="31" t="n">
        <x:v>70.86525162231123</x:v>
      </x:c>
      <x:c r="K27" s="31" t="n">
        <x:v>67.86399265126167</x:v>
      </x:c>
      <x:c r="L27" s="31" t="n">
        <x:v>68.2666609934289</x:v>
      </x:c>
      <x:c r="M27" s="31" t="n">
        <x:v>50</x:v>
      </x:c>
      <x:c r="N27" s="31" t="n">
        <x:v>90.46288781876903</x:v>
      </x:c>
      <x:c r="O27" s="31" t="n">
        <x:v>88.25490784269448</x:v>
      </x:c>
      <x:c r="P27" s="31" t="n">
        <x:v>70.66545899982845</x:v>
      </x:c>
      <x:c r="Q27" s="31" t="n">
        <x:v>76.06657429883207</x:v>
      </x:c>
      <x:c r="R27" s="31" t="n">
        <x:v>67.38517603336459</x:v>
      </x:c>
      <x:c r="S27" s="31" t="n">
        <x:v>89.42096071361881</x:v>
      </x:c>
      <x:c r="T27" s="31" t="n">
        <x:v>78.71553325355893</x:v>
      </x:c>
      <x:c r="U27" s="31" t="n">
        <x:v>75.15175935346358</x:v>
      </x:c>
    </x:row>
    <x:row r="28">
      <x:c r="A28" s="31" t="n">
        <x:v>2.6</x:v>
      </x:c>
      <x:c r="B28" s="31" t="n">
        <x:v>70.72142395625936</x:v>
      </x:c>
      <x:c r="C28" s="31" t="n">
        <x:v>58.92942336733426</x:v>
      </x:c>
      <x:c r="D28" s="31" t="n">
        <x:v>75.30347443032895</x:v>
      </x:c>
      <x:c r="E28" s="31" t="n">
        <x:v>68.49767187049608</x:v>
      </x:c>
      <x:c r="F28" s="31" t="n">
        <x:v>54.30481189513214</x:v>
      </x:c>
      <x:c r="G28" s="31" t="n">
        <x:v>71.77895135526323</x:v>
      </x:c>
      <x:c r="H28" s="31" t="n">
        <x:v>75.58450706927056</x:v>
      </x:c>
      <x:c r="I28" s="31" t="n">
        <x:v>75.47954638724877</x:v>
      </x:c>
      <x:c r="J28" s="31" t="n">
        <x:v>70.86525162231123</x:v>
      </x:c>
      <x:c r="K28" s="31" t="n">
        <x:v>73.35694043288049</x:v>
      </x:c>
      <x:c r="L28" s="31" t="n">
        <x:v>77.88895511542293</x:v>
      </x:c>
      <x:c r="M28" s="31" t="n">
        <x:v>64.54041190392758</x:v>
      </x:c>
      <x:c r="N28" s="31" t="n">
        <x:v>90.46288781876903</x:v>
      </x:c>
      <x:c r="O28" s="31" t="n">
        <x:v>90.40449036151108</x:v>
      </x:c>
      <x:c r="P28" s="31" t="n">
        <x:v>69.63857833663127</x:v>
      </x:c>
      <x:c r="Q28" s="31" t="n">
        <x:v>73.52229840467666</x:v>
      </x:c>
      <x:c r="R28" s="31" t="n">
        <x:v>70.10667125371313</x:v>
      </x:c>
      <x:c r="S28" s="31" t="n">
        <x:v>81.02577342461802</x:v>
      </x:c>
      <x:c r="T28" s="31" t="n">
        <x:v>79.15240399565351</x:v>
      </x:c>
      <x:c r="U28" s="31" t="n">
        <x:v>68.86003312208517</x:v>
      </x:c>
    </x:row>
    <x:row r="29">
      <x:c r="A29" s="31" t="n">
        <x:v>2.7</x:v>
      </x:c>
      <x:c r="B29" s="31" t="n">
        <x:v>73.14210960580026</x:v>
      </x:c>
      <x:c r="C29" s="31" t="n">
        <x:v>60.250496486135596</x:v>
      </x:c>
      <x:c r="D29" s="31" t="n">
        <x:v>69.86399587037926</x:v>
      </x:c>
      <x:c r="E29" s="31" t="n">
        <x:v>68.09271139569846</x:v>
      </x:c>
      <x:c r="F29" s="31" t="n">
        <x:v>57.04591076580066</x:v>
      </x:c>
      <x:c r="G29" s="31" t="n">
        <x:v>59.30137827588372</x:v>
      </x:c>
      <x:c r="H29" s="31" t="n">
        <x:v>75.58450706927056</x:v>
      </x:c>
      <x:c r="I29" s="31" t="n">
        <x:v>73.61981106844559</x:v>
      </x:c>
      <x:c r="J29" s="31" t="n">
        <x:v>68.8421560806944</x:v>
      </x:c>
      <x:c r="K29" s="31" t="n">
        <x:v>73.87034739548412</x:v>
      </x:c>
      <x:c r="L29" s="31" t="n">
        <x:v>91.24609099296867</x:v>
      </x:c>
      <x:c r="M29" s="31" t="n">
        <x:v>79.08082380785515</x:v>
      </x:c>
      <x:c r="N29" s="31" t="n">
        <x:v>86.88944482465709</x:v>
      </x:c>
      <x:c r="O29" s="31" t="n">
        <x:v>89.44077855643695</x:v>
      </x:c>
      <x:c r="P29" s="31" t="n">
        <x:v>69.59021890850565</x:v>
      </x:c>
      <x:c r="Q29" s="31" t="n">
        <x:v>82.06109212217068</x:v>
      </x:c>
      <x:c r="R29" s="31" t="n">
        <x:v>70.10667125371313</x:v>
      </x:c>
      <x:c r="S29" s="31" t="n">
        <x:v>72.63470554445529</x:v>
      </x:c>
      <x:c r="T29" s="31" t="n">
        <x:v>94.31035555898983</x:v>
      </x:c>
      <x:c r="U29" s="31" t="n">
        <x:v>50</x:v>
      </x:c>
    </x:row>
    <x:row r="30">
      <x:c r="A30" s="31" t="n">
        <x:v>2.8000000000000003</x:v>
      </x:c>
      <x:c r="B30" s="31" t="n">
        <x:v>75.56279525534114</x:v>
      </x:c>
      <x:c r="C30" s="31" t="n">
        <x:v>63.55317928313894</x:v>
      </x:c>
      <x:c r="D30" s="31" t="n">
        <x:v>63.88066758449903</x:v>
      </x:c>
      <x:c r="E30" s="31" t="n">
        <x:v>68.09271139569846</x:v>
      </x:c>
      <x:c r="F30" s="31" t="n">
        <x:v>59.78700963646918</x:v>
      </x:c>
      <x:c r="G30" s="31" t="n">
        <x:v>50</x:v>
      </x:c>
      <x:c r="H30" s="31" t="n">
        <x:v>75.67051006821535</x:v>
      </x:c>
      <x:c r="I30" s="31" t="n">
        <x:v>71.76007574964241</x:v>
      </x:c>
      <x:c r="J30" s="31" t="n">
        <x:v>68.28559155192309</x:v>
      </x:c>
      <x:c r="K30" s="31" t="n">
        <x:v>73.6758272880897</x:v>
      </x:c>
      <x:c r="L30" s="31" t="n">
        <x:v>91.24609099296867</x:v>
      </x:c>
      <x:c r="M30" s="31" t="n">
        <x:v>79.08082380785515</x:v>
      </x:c>
      <x:c r="N30" s="31" t="n">
        <x:v>84.36530967445711</x:v>
      </x:c>
      <x:c r="O30" s="31" t="n">
        <x:v>79.00667943245915</x:v>
      </x:c>
      <x:c r="P30" s="31" t="n">
        <x:v>68.39684077385478</x:v>
      </x:c>
      <x:c r="Q30" s="31" t="n">
        <x:v>82.46558088029371</x:v>
      </x:c>
      <x:c r="R30" s="31" t="n">
        <x:v>70.30545298220761</x:v>
      </x:c>
      <x:c r="S30" s="31" t="n">
        <x:v>50</x:v>
      </x:c>
      <x:c r="T30" s="31" t="n">
        <x:v>94.75392204532127</x:v>
      </x:c>
      <x:c r="U30" s="31" t="n">
        <x:v>50</x:v>
      </x:c>
    </x:row>
    <x:row r="31">
      <x:c r="A31" s="31" t="n">
        <x:v>2.9000000000000004</x:v>
      </x:c>
      <x:c r="B31" s="31" t="n">
        <x:v>76.0469323852493</x:v>
      </x:c>
      <x:c r="C31" s="31" t="n">
        <x:v>66.85586208014227</x:v>
      </x:c>
      <x:c r="D31" s="31" t="n">
        <x:v>59.82258183158239</x:v>
      </x:c>
      <x:c r="E31" s="31" t="n">
        <x:v>69.58087305424027</x:v>
      </x:c>
      <x:c r="F31" s="31" t="n">
        <x:v>61.43166895887028</x:v>
      </x:c>
      <x:c r="G31" s="31" t="n">
        <x:v>53.00978505770685</x:v>
      </x:c>
      <x:c r="H31" s="31" t="n">
        <x:v>76.2534385406627</x:v>
      </x:c>
      <x:c r="I31" s="31" t="n">
        <x:v>70.27228749459988</x:v>
      </x:c>
      <x:c r="J31" s="31" t="n">
        <x:v>68.2855915519231</x:v>
      </x:c>
      <x:c r="K31" s="31" t="n">
        <x:v>63.5475387487568</x:v>
      </x:c>
      <x:c r="L31" s="31" t="n">
        <x:v>85.92160440545685</x:v>
      </x:c>
      <x:c r="M31" s="31" t="n">
        <x:v>80.23323167720113</x:v>
      </x:c>
      <x:c r="N31" s="31" t="n">
        <x:v>82.21342599556999</x:v>
      </x:c>
      <x:c r="O31" s="31" t="n">
        <x:v>50</x:v>
      </x:c>
      <x:c r="P31" s="31" t="n">
        <x:v>67.8147767172852</x:v>
      </x:c>
      <x:c r="Q31" s="31" t="n">
        <x:v>81.85565375001197</x:v>
      </x:c>
      <x:c r="R31" s="31" t="n">
        <x:v>70.60891646415244</x:v>
      </x:c>
      <x:c r="S31" s="31" t="n">
        <x:v>50</x:v>
      </x:c>
      <x:c r="T31" s="31" t="n">
        <x:v>93.29790731665838</x:v>
      </x:c>
      <x:c r="U31" s="31" t="n">
        <x:v>69.9248847651533</x:v>
      </x:c>
    </x:row>
    <x:row r="32">
      <x:c r="A32" s="31" t="n">
        <x:v>3</x:v>
      </x:c>
      <x:c r="B32" s="31" t="n">
        <x:v>75.4866696400002</x:v>
      </x:c>
      <x:c r="C32" s="31" t="n">
        <x:v>70.1585448771456</x:v>
      </x:c>
      <x:c r="D32" s="31" t="n">
        <x:v>64.35669605053954</x:v>
      </x:c>
      <x:c r="E32" s="31" t="n">
        <x:v>69.91074592673192</x:v>
      </x:c>
      <x:c r="F32" s="31" t="n">
        <x:v>62.514772991223865</x:v>
      </x:c>
      <x:c r="G32" s="31" t="n">
        <x:v>58.026093487218205</x:v>
      </x:c>
      <x:c r="H32" s="31" t="n">
        <x:v>76.2534385406627</x:v>
      </x:c>
      <x:c r="I32" s="31" t="n">
        <x:v>70.27228749459988</x:v>
      </x:c>
      <x:c r="J32" s="31" t="n">
        <x:v>85.93703137673376</x:v>
      </x:c>
      <x:c r="K32" s="31" t="n">
        <x:v>63.5475387487568</x:v>
      </x:c>
      <x:c r="L32" s="31" t="n">
        <x:v>84.83442898138574</x:v>
      </x:c>
      <x:c r="M32" s="31" t="n">
        <x:v>80.51171208634298</x:v>
      </x:c>
      <x:c r="N32" s="31" t="n">
        <x:v>82.21342599556999</x:v>
      </x:c>
      <x:c r="O32" s="31" t="n">
        <x:v>64.82266501227737</x:v>
      </x:c>
      <x:c r="P32" s="31" t="n">
        <x:v>71.37137778102374</x:v>
      </x:c>
      <x:c r="Q32" s="31" t="n">
        <x:v>73.82561921920805</x:v>
      </x:c>
      <x:c r="R32" s="31" t="n">
        <x:v>70.60891646415244</x:v>
      </x:c>
      <x:c r="S32" s="31" t="n">
        <x:v>56.36241817955353</x:v>
      </x:c>
      <x:c r="T32" s="31" t="n">
        <x:v>85.88227347669692</x:v>
      </x:c>
      <x:c r="U32" s="31" t="n">
        <x:v>75.44685018123388</x:v>
      </x:c>
    </x:row>
    <x:row r="33">
      <x:c r="A33" s="31" t="n">
        <x:v>3.1</x:v>
      </x:c>
      <x:c r="B33" s="31" t="n">
        <x:v>69.69230146767558</x:v>
      </x:c>
      <x:c r="C33" s="31" t="n">
        <x:v>73.86304527148769</x:v>
      </x:c>
      <x:c r="D33" s="31" t="n">
        <x:v>66.62643176238275</x:v>
      </x:c>
      <x:c r="E33" s="31" t="n">
        <x:v>69.91074592673192</x:v>
      </x:c>
      <x:c r="F33" s="31" t="n">
        <x:v>69.79836842832971</x:v>
      </x:c>
      <x:c r="G33" s="31" t="n">
        <x:v>61.63865419104604</x:v>
      </x:c>
      <x:c r="H33" s="31" t="n">
        <x:v>75.65846033073605</x:v>
      </x:c>
      <x:c r="I33" s="31" t="n">
        <x:v>70.7586978542159</x:v>
      </x:c>
      <x:c r="J33" s="31" t="n">
        <x:v>85.93703137673376</x:v>
      </x:c>
      <x:c r="K33" s="31" t="n">
        <x:v>63.879789547042236</x:v>
      </x:c>
      <x:c r="L33" s="31" t="n">
        <x:v>79.3595280791852</x:v>
      </x:c>
      <x:c r="M33" s="31" t="n">
        <x:v>81.70674037287424</x:v>
      </x:c>
      <x:c r="N33" s="31" t="n">
        <x:v>81.52118462753148</x:v>
      </x:c>
      <x:c r="O33" s="31" t="n">
        <x:v>83.35099627762409</x:v>
      </x:c>
      <x:c r="P33" s="31" t="n">
        <x:v>74.54459280983643</x:v>
      </x:c>
      <x:c r="Q33" s="31" t="n">
        <x:v>50</x:v>
      </x:c>
      <x:c r="R33" s="31" t="n">
        <x:v>70.74498913070724</x:v>
      </x:c>
      <x:c r="S33" s="31" t="n">
        <x:v>75.49273734985695</x:v>
      </x:c>
      <x:c r="T33" s="31" t="n">
        <x:v>84.59456418151272</x:v>
      </x:c>
      <x:c r="U33" s="31" t="n">
        <x:v>75.44685018123388</x:v>
      </x:c>
    </x:row>
    <x:row r="34">
      <x:c r="A34" s="31" t="n">
        <x:v>3.2</x:v>
      </x:c>
      <x:c r="B34" s="31" t="n">
        <x:v>66.12897513725045</x:v>
      </x:c>
      <x:c r="C34" s="31" t="n">
        <x:v>74.52411659671972</x:v>
      </x:c>
      <x:c r="D34" s="31" t="n">
        <x:v>67.42343658259561</x:v>
      </x:c>
      <x:c r="E34" s="31" t="n">
        <x:v>70.44313432304878</x:v>
      </x:c>
      <x:c r="F34" s="31" t="n">
        <x:v>69.79836842832971</x:v>
      </x:c>
      <x:c r="G34" s="31" t="n">
        <x:v>61.63865419104604</x:v>
      </x:c>
      <x:c r="H34" s="31" t="n">
        <x:v>76.62750426764856</x:v>
      </x:c>
      <x:c r="I34" s="31" t="n">
        <x:v>70.7586978542159</x:v>
      </x:c>
      <x:c r="J34" s="31" t="n">
        <x:v>82.81035405687038</x:v>
      </x:c>
      <x:c r="K34" s="31" t="n">
        <x:v>68.11667613476857</x:v>
      </x:c>
      <x:c r="L34" s="31" t="n">
        <x:v>76.67019276375866</x:v>
      </x:c>
      <x:c r="M34" s="31" t="n">
        <x:v>82.05800763095351</x:v>
      </x:c>
      <x:c r="N34" s="31" t="n">
        <x:v>81.66535632981498</x:v>
      </x:c>
      <x:c r="O34" s="31" t="n">
        <x:v>90.55471784926445</x:v>
      </x:c>
      <x:c r="P34" s="31" t="n">
        <x:v>74.54459280983643</x:v>
      </x:c>
      <x:c r="Q34" s="31" t="n">
        <x:v>50</x:v>
      </x:c>
      <x:c r="R34" s="31" t="n">
        <x:v>71.16984189075421</x:v>
      </x:c>
      <x:c r="S34" s="31" t="n">
        <x:v>78.95709380805995</x:v>
      </x:c>
      <x:c r="T34" s="31" t="n">
        <x:v>80.94063634905564</x:v>
      </x:c>
      <x:c r="U34" s="31" t="n">
        <x:v>87.83365866727871</x:v>
      </x:c>
    </x:row>
    <x:row r="35">
      <x:c r="A35" s="31" t="n">
        <x:v>3.3000000000000003</x:v>
      </x:c>
      <x:c r="B35" s="31" t="n">
        <x:v>61.206974224346325</x:v>
      </x:c>
      <x:c r="C35" s="31" t="n">
        <x:v>73.9518789769494</x:v>
      </x:c>
      <x:c r="D35" s="31" t="n">
        <x:v>68.25465237260546</x:v>
      </x:c>
      <x:c r="E35" s="31" t="n">
        <x:v>71.19888949430688</x:v>
      </x:c>
      <x:c r="F35" s="31" t="n">
        <x:v>60.189915928808446</x:v>
      </x:c>
      <x:c r="G35" s="31" t="n">
        <x:v>67.0600623098521</x:v>
      </x:c>
      <x:c r="H35" s="31" t="n">
        <x:v>76.7341024747715</x:v>
      </x:c>
      <x:c r="I35" s="31" t="n">
        <x:v>68.52546423542913</x:v>
      </x:c>
      <x:c r="J35" s="31" t="n">
        <x:v>74.05388466601421</x:v>
      </x:c>
      <x:c r="K35" s="31" t="n">
        <x:v>68.11667613476867</x:v>
      </x:c>
      <x:c r="L35" s="31" t="n">
        <x:v>74.61602539406704</x:v>
      </x:c>
      <x:c r="M35" s="31" t="n">
        <x:v>82.49867518945548</x:v>
      </x:c>
      <x:c r="N35" s="31" t="n">
        <x:v>82.61291108423318</x:v>
      </x:c>
      <x:c r="O35" s="31" t="n">
        <x:v>90.55471784926445</x:v>
      </x:c>
      <x:c r="P35" s="31" t="n">
        <x:v>66.73330730205959</x:v>
      </x:c>
      <x:c r="Q35" s="31" t="n">
        <x:v>50</x:v>
      </x:c>
      <x:c r="R35" s="31" t="n">
        <x:v>72.76911148776455</x:v>
      </x:c>
      <x:c r="S35" s="31" t="n">
        <x:v>79.23191307097888</x:v>
      </x:c>
      <x:c r="T35" s="31" t="n">
        <x:v>79.42596199083803</x:v>
      </x:c>
      <x:c r="U35" s="31" t="n">
        <x:v>87.83365866727871</x:v>
      </x:c>
    </x:row>
    <x:row r="36">
      <x:c r="A36" s="31" t="n">
        <x:v>3.4000000000000004</x:v>
      </x:c>
      <x:c r="B36" s="31" t="n">
        <x:v>62.422317576716665</x:v>
      </x:c>
      <x:c r="C36" s="31" t="n">
        <x:v>66.90434094194532</x:v>
      </x:c>
      <x:c r="D36" s="31" t="n">
        <x:v>68.25465237260546</x:v>
      </x:c>
      <x:c r="E36" s="31" t="n">
        <x:v>70.16739653515569</x:v>
      </x:c>
      <x:c r="F36" s="31" t="n">
        <x:v>59.7062043195963</x:v>
      </x:c>
      <x:c r="G36" s="31" t="n">
        <x:v>67.0600623098521</x:v>
      </x:c>
      <x:c r="H36" s="31" t="n">
        <x:v>90.43519794140671</x:v>
      </x:c>
      <x:c r="I36" s="31" t="n">
        <x:v>70.889646928421</x:v>
      </x:c>
      <x:c r="J36" s="31" t="n">
        <x:v>66.65863019955523</x:v>
      </x:c>
      <x:c r="K36" s="31" t="n">
        <x:v>87.96708403748414</x:v>
      </x:c>
      <x:c r="L36" s="31" t="n">
        <x:v>74.97088969902632</x:v>
      </x:c>
      <x:c r="M36" s="31" t="n">
        <x:v>83.08996363673506</x:v>
      </x:c>
      <x:c r="N36" s="31" t="n">
        <x:v>83.47656824587332</x:v>
      </x:c>
      <x:c r="O36" s="31" t="n">
        <x:v>85.81310635174687</x:v>
      </x:c>
      <x:c r="P36" s="31" t="n">
        <x:v>50</x:v>
      </x:c>
      <x:c r="Q36" s="31" t="n">
        <x:v>50</x:v>
      </x:c>
      <x:c r="R36" s="31" t="n">
        <x:v>72.76911148776455</x:v>
      </x:c>
      <x:c r="S36" s="31" t="n">
        <x:v>79.52849367243397</x:v>
      </x:c>
      <x:c r="T36" s="31" t="n">
        <x:v>78.74644433238359</x:v>
      </x:c>
      <x:c r="U36" s="31" t="n">
        <x:v>86.45587000917766</x:v>
      </x:c>
    </x:row>
    <x:row r="37">
      <x:c r="A37" s="31" t="n">
        <x:v>3.5</x:v>
      </x:c>
      <x:c r="B37" s="31" t="n">
        <x:v>62.905248941236536</x:v>
      </x:c>
      <x:c r="C37" s="31" t="n">
        <x:v>61.69373491880839</x:v>
      </x:c>
      <x:c r="D37" s="31" t="n">
        <x:v>68.34269069558093</x:v>
      </x:c>
      <x:c r="E37" s="31" t="n">
        <x:v>77.15752691644887</x:v>
      </x:c>
      <x:c r="F37" s="31" t="n">
        <x:v>61.7327308324948</x:v>
      </x:c>
      <x:c r="G37" s="31" t="n">
        <x:v>62.740826814223034</x:v>
      </x:c>
      <x:c r="H37" s="31" t="n">
        <x:v>91.2256466904601</x:v>
      </x:c>
      <x:c r="I37" s="31" t="n">
        <x:v>70.889646928421</x:v>
      </x:c>
      <x:c r="J37" s="31" t="n">
        <x:v>63.905750359364426</x:v>
      </x:c>
      <x:c r="K37" s="31" t="n">
        <x:v>87.96708403748414</x:v>
      </x:c>
      <x:c r="L37" s="31" t="n">
        <x:v>75.77059236467807</x:v>
      </x:c>
      <x:c r="M37" s="31" t="n">
        <x:v>83.26017761616613</x:v>
      </x:c>
      <x:c r="N37" s="31" t="n">
        <x:v>83.47656824587332</x:v>
      </x:c>
      <x:c r="O37" s="31" t="n">
        <x:v>82.4093822238945</x:v>
      </x:c>
      <x:c r="P37" s="31" t="n">
        <x:v>50</x:v>
      </x:c>
      <x:c r="Q37" s="31" t="n">
        <x:v>61.47931100774602</x:v>
      </x:c>
      <x:c r="R37" s="31" t="n">
        <x:v>84.09286154583764</x:v>
      </x:c>
      <x:c r="S37" s="31" t="n">
        <x:v>79.52849367243397</x:v>
      </x:c>
      <x:c r="T37" s="31" t="n">
        <x:v>82.80807087761882</x:v>
      </x:c>
      <x:c r="U37" s="31" t="n">
        <x:v>86.78643289906447</x:v>
      </x:c>
    </x:row>
    <x:row r="38">
      <x:c r="A38" s="31" t="n">
        <x:v>3.6</x:v>
      </x:c>
      <x:c r="B38" s="31" t="n">
        <x:v>65.83170667865645</x:v>
      </x:c>
      <x:c r="C38" s="31" t="n">
        <x:v>63.1183048111879</x:v>
      </x:c>
      <x:c r="D38" s="31" t="n">
        <x:v>68.34269069558093</x:v>
      </x:c>
      <x:c r="E38" s="31" t="n">
        <x:v>78.10420001773446</x:v>
      </x:c>
      <x:c r="F38" s="31" t="n">
        <x:v>62.59577100212729</x:v>
      </x:c>
      <x:c r="G38" s="31" t="n">
        <x:v>58.89492176065887</x:v>
      </x:c>
      <x:c r="H38" s="31" t="n">
        <x:v>90.68868005246514</x:v>
      </x:c>
      <x:c r="I38" s="31" t="n">
        <x:v>68.29454925673164</x:v>
      </x:c>
      <x:c r="J38" s="31" t="n">
        <x:v>68.55182030534822</x:v>
      </x:c>
      <x:c r="K38" s="31" t="n">
        <x:v>84.83573133387637</x:v>
      </x:c>
      <x:c r="L38" s="31" t="n">
        <x:v>76.64154479397439</x:v>
      </x:c>
      <x:c r="M38" s="31" t="n">
        <x:v>83.26017761616613</x:v>
      </x:c>
      <x:c r="N38" s="31" t="n">
        <x:v>82.55750952183311</x:v>
      </x:c>
      <x:c r="O38" s="31" t="n">
        <x:v>80.2515174383098</x:v>
      </x:c>
      <x:c r="P38" s="31" t="n">
        <x:v>50</x:v>
      </x:c>
      <x:c r="Q38" s="31" t="n">
        <x:v>80.3177159686148</x:v>
      </x:c>
      <x:c r="R38" s="31" t="n">
        <x:v>84.58303038973403</x:v>
      </x:c>
      <x:c r="S38" s="31" t="n">
        <x:v>78.50434223065237</x:v>
      </x:c>
      <x:c r="T38" s="31" t="n">
        <x:v>88.65139867990922</x:v>
      </x:c>
      <x:c r="U38" s="31" t="n">
        <x:v>86.78643289906447</x:v>
      </x:c>
    </x:row>
    <x:row r="39">
      <x:c r="A39" s="31" t="n">
        <x:v>3.7</x:v>
      </x:c>
      <x:c r="B39" s="31" t="n">
        <x:v>65.83170667865645</x:v>
      </x:c>
      <x:c r="C39" s="31" t="n">
        <x:v>65.7377765518794</x:v>
      </x:c>
      <x:c r="D39" s="31" t="n">
        <x:v>68.01590195427204</x:v>
      </x:c>
      <x:c r="E39" s="31" t="n">
        <x:v>76.21617874018604</x:v>
      </x:c>
      <x:c r="F39" s="31" t="n">
        <x:v>66.83099321818221</x:v>
      </x:c>
      <x:c r="G39" s="31" t="n">
        <x:v>59.67642105137487</x:v>
      </x:c>
      <x:c r="H39" s="31" t="n">
        <x:v>81.17578866149466</x:v>
      </x:c>
      <x:c r="I39" s="31" t="n">
        <x:v>66.77638743770918</x:v>
      </x:c>
      <x:c r="J39" s="31" t="n">
        <x:v>73.19789025133201</x:v>
      </x:c>
      <x:c r="K39" s="31" t="n">
        <x:v>76.27127905420261</x:v>
      </x:c>
      <x:c r="L39" s="31" t="n">
        <x:v>77.74599474569132</x:v>
      </x:c>
      <x:c r="M39" s="31" t="n">
        <x:v>82.90416251599125</x:v>
      </x:c>
      <x:c r="N39" s="31" t="n">
        <x:v>80.69426997832348</x:v>
      </x:c>
      <x:c r="O39" s="31" t="n">
        <x:v>79.39678698654654</x:v>
      </x:c>
      <x:c r="P39" s="31" t="n">
        <x:v>50</x:v>
      </x:c>
      <x:c r="Q39" s="31" t="n">
        <x:v>80.3177159686148</x:v>
      </x:c>
      <x:c r="R39" s="31" t="n">
        <x:v>83.58549179124394</x:v>
      </x:c>
      <x:c r="S39" s="31" t="n">
        <x:v>74.11515909052241</x:v>
      </x:c>
      <x:c r="T39" s="31" t="n">
        <x:v>88.65139867990922</x:v>
      </x:c>
      <x:c r="U39" s="31" t="n">
        <x:v>84.28316068363208</x:v>
      </x:c>
    </x:row>
    <x:row r="40">
      <x:c r="A40" s="31" t="n">
        <x:v>3.8000000000000003</x:v>
      </x:c>
      <x:c r="B40" s="31" t="n">
        <x:v>64.98538402812387</x:v>
      </x:c>
      <x:c r="C40" s="31" t="n">
        <x:v>66.32700817741892</x:v>
      </x:c>
      <x:c r="D40" s="31" t="n">
        <x:v>67.65262158398077</x:v>
      </x:c>
      <x:c r="E40" s="31" t="n">
        <x:v>65.51508135736684</x:v>
      </x:c>
      <x:c r="F40" s="31" t="n">
        <x:v>67.45110473604277</x:v>
      </x:c>
      <x:c r="G40" s="31" t="n">
        <x:v>60.3722016515481</x:v>
      </x:c>
      <x:c r="H40" s="31" t="n">
        <x:v>74.26216708669601</x:v>
      </x:c>
      <x:c r="I40" s="31" t="n">
        <x:v>70.17352097030927</x:v>
      </x:c>
      <x:c r="J40" s="31" t="n">
        <x:v>73.19789025133198</x:v>
      </x:c>
      <x:c r="K40" s="31" t="n">
        <x:v>71.10581179299872</x:v>
      </x:c>
      <x:c r="L40" s="31" t="n">
        <x:v>77.83778578833405</x:v>
      </x:c>
      <x:c r="M40" s="31" t="n">
        <x:v>83.97176402269923</x:v>
      </x:c>
      <x:c r="N40" s="31" t="n">
        <x:v>87.43502497980126</x:v>
      </x:c>
      <x:c r="O40" s="31" t="n">
        <x:v>76.69391935492479</x:v>
      </x:c>
      <x:c r="P40" s="31" t="n">
        <x:v>61.98546733021334</x:v>
      </x:c>
      <x:c r="Q40" s="31" t="n">
        <x:v>73.4653650977551</x:v>
      </x:c>
      <x:c r="R40" s="31" t="n">
        <x:v>72.6568477306094</x:v>
      </x:c>
      <x:c r="S40" s="31" t="n">
        <x:v>88.67556913816286</x:v>
      </x:c>
      <x:c r="T40" s="31" t="n">
        <x:v>82.76758651742118</x:v>
      </x:c>
      <x:c r="U40" s="31" t="n">
        <x:v>80.45106273072523</x:v>
      </x:c>
    </x:row>
    <x:row r="41">
      <x:c r="A41" s="31" t="n">
        <x:v>3.9000000000000004</x:v>
      </x:c>
      <x:c r="B41" s="31" t="n">
        <x:v>66.03159074071145</x:v>
      </x:c>
      <x:c r="C41" s="31" t="n">
        <x:v>66.32700817741892</x:v>
      </x:c>
      <x:c r="D41" s="31" t="n">
        <x:v>69.64561296520273</x:v>
      </x:c>
      <x:c r="E41" s="31" t="n">
        <x:v>52.71607027761128</x:v>
      </x:c>
      <x:c r="F41" s="31" t="n">
        <x:v>67.10645839123116</x:v>
      </x:c>
      <x:c r="G41" s="31" t="n">
        <x:v>61.93282974480268</x:v>
      </x:c>
      <x:c r="H41" s="31" t="n">
        <x:v>72.06359802259817</x:v>
      </x:c>
      <x:c r="I41" s="31" t="n">
        <x:v>79.16009499735009</x:v>
      </x:c>
      <x:c r="J41" s="31" t="n">
        <x:v>65.75883181858474</x:v>
      </x:c>
      <x:c r="K41" s="31" t="n">
        <x:v>68.93387045849238</x:v>
      </x:c>
      <x:c r="L41" s="31" t="n">
        <x:v>77.23436397448243</x:v>
      </x:c>
      <x:c r="M41" s="31" t="n">
        <x:v>83.97176402269923</x:v>
      </x:c>
      <x:c r="N41" s="31" t="n">
        <x:v>91.4794779806879</x:v>
      </x:c>
      <x:c r="O41" s="31" t="n">
        <x:v>76.61550416588042</x:v>
      </x:c>
      <x:c r="P41" s="31" t="n">
        <x:v>77.23416406432457</x:v>
      </x:c>
      <x:c r="Q41" s="31" t="n">
        <x:v>73.96870178428536</x:v>
      </x:c>
      <x:c r="R41" s="31" t="n">
        <x:v>65.0855962464046</x:v>
      </x:c>
      <x:c r="S41" s="31" t="n">
        <x:v>89.2405737095383</x:v>
      </x:c>
      <x:c r="T41" s="31" t="n">
        <x:v>74.49340780580624</x:v>
      </x:c>
      <x:c r="U41" s="31" t="n">
        <x:v>77.18134145482452</x:v>
      </x:c>
    </x:row>
    <x:row r="42">
      <x:c r="A42" s="31" t="n">
        <x:v>4</x:v>
      </x:c>
      <x:c r="B42" s="31" t="n">
        <x:v>66.03159074071145</x:v>
      </x:c>
      <x:c r="C42" s="31" t="n">
        <x:v>66.93246393745848</x:v>
      </x:c>
      <x:c r="D42" s="31" t="n">
        <x:v>69.64561296520273</x:v>
      </x:c>
      <x:c r="E42" s="31" t="n">
        <x:v>53.61281193959662</x:v>
      </x:c>
      <x:c r="F42" s="31" t="n">
        <x:v>67.66828896928001</x:v>
      </x:c>
      <x:c r="G42" s="31" t="n">
        <x:v>61.466973123817326</x:v>
      </x:c>
      <x:c r="H42" s="31" t="n">
        <x:v>57.74173591282451</x:v>
      </x:c>
      <x:c r="I42" s="31" t="n">
        <x:v>79.16009499735009</x:v>
      </x:c>
      <x:c r="J42" s="31" t="n">
        <x:v>68.76384389569728</x:v>
      </x:c>
      <x:c r="K42" s="31" t="n">
        <x:v>70.13219483542271</x:v>
      </x:c>
      <x:c r="L42" s="31" t="n">
        <x:v>74.71578439622124</x:v>
      </x:c>
      <x:c r="M42" s="31" t="n">
        <x:v>81.96034998249175</x:v>
      </x:c>
      <x:c r="N42" s="31" t="n">
        <x:v>91.4794779806879</x:v>
      </x:c>
      <x:c r="O42" s="31" t="n">
        <x:v>78.93406026198426</x:v>
      </x:c>
      <x:c r="P42" s="31" t="n">
        <x:v>77.23416406432457</x:v>
      </x:c>
      <x:c r="Q42" s="31" t="n">
        <x:v>73.74780724131199</x:v>
      </x:c>
      <x:c r="R42" s="31" t="n">
        <x:v>50</x:v>
      </x:c>
      <x:c r="S42" s="31" t="n">
        <x:v>88.5364911118814</x:v>
      </x:c>
      <x:c r="T42" s="31" t="n">
        <x:v>58.089955112406095</x:v>
      </x:c>
      <x:c r="U42" s="31" t="n">
        <x:v>75.18712234669668</x:v>
      </x:c>
    </x:row>
    <x:row r="43">
      <x:c r="A43" s="31" t="n">
        <x:v>4.1000000000000005</x:v>
      </x:c>
      <x:c r="B43" s="31" t="n">
        <x:v>64.15036847208006</x:v>
      </x:c>
      <x:c r="C43" s="31" t="n">
        <x:v>66.97640474809475</x:v>
      </x:c>
      <x:c r="D43" s="31" t="n">
        <x:v>90.23985189781754</x:v>
      </x:c>
      <x:c r="E43" s="31" t="n">
        <x:v>54.10184712418287</x:v>
      </x:c>
      <x:c r="F43" s="31" t="n">
        <x:v>68.36641909812225</x:v>
      </x:c>
      <x:c r="G43" s="31" t="n">
        <x:v>61.941435659660364</x:v>
      </x:c>
      <x:c r="H43" s="31" t="n">
        <x:v>65.60930312983683</x:v>
      </x:c>
      <x:c r="I43" s="31" t="n">
        <x:v>76.47418532370546</x:v>
      </x:c>
      <x:c r="J43" s="31" t="n">
        <x:v>69.51103887850824</x:v>
      </x:c>
      <x:c r="K43" s="31" t="n">
        <x:v>72.1294021303066</x:v>
      </x:c>
      <x:c r="L43" s="31" t="n">
        <x:v>71.82089385297611</x:v>
      </x:c>
      <x:c r="M43" s="31" t="n">
        <x:v>80.48396751808903</x:v>
      </x:c>
      <x:c r="N43" s="31" t="n">
        <x:v>81.4201144456746</x:v>
      </x:c>
      <x:c r="O43" s="31" t="n">
        <x:v>79.00589662551629</x:v>
      </x:c>
      <x:c r="P43" s="31" t="n">
        <x:v>73.62227368905285</x:v>
      </x:c>
      <x:c r="Q43" s="31" t="n">
        <x:v>72.8292428950709</x:v>
      </x:c>
      <x:c r="R43" s="31" t="n">
        <x:v>50</x:v>
      </x:c>
      <x:c r="S43" s="31" t="n">
        <x:v>79.44280879673948</x:v>
      </x:c>
      <x:c r="T43" s="31" t="n">
        <x:v>50</x:v>
      </x:c>
      <x:c r="U43" s="31" t="n">
        <x:v>73.27143585904118</x:v>
      </x:c>
    </x:row>
    <x:row r="44">
      <x:c r="A44" s="31" t="n">
        <x:v>4.2</x:v>
      </x:c>
      <x:c r="B44" s="31" t="n">
        <x:v>64.15036847208006</x:v>
      </x:c>
      <x:c r="C44" s="31" t="n">
        <x:v>66.82772206363009</x:v>
      </x:c>
      <x:c r="D44" s="31" t="n">
        <x:v>90.23985189781754</x:v>
      </x:c>
      <x:c r="E44" s="31" t="n">
        <x:v>66.84348482246943</x:v>
      </x:c>
      <x:c r="F44" s="31" t="n">
        <x:v>68.36641909812225</x:v>
      </x:c>
      <x:c r="G44" s="31" t="n">
        <x:v>62.872694177997516</x:v>
      </x:c>
      <x:c r="H44" s="31" t="n">
        <x:v>65.60930312983683</x:v>
      </x:c>
      <x:c r="I44" s="31" t="n">
        <x:v>73.2310972728149</x:v>
      </x:c>
      <x:c r="J44" s="31" t="n">
        <x:v>69.51103887850824</x:v>
      </x:c>
      <x:c r="K44" s="31" t="n">
        <x:v>73.32772650723692</x:v>
      </x:c>
      <x:c r="L44" s="31" t="n">
        <x:v>71.60497806652863</x:v>
      </x:c>
      <x:c r="M44" s="31" t="n">
        <x:v>87.36564836551999</x:v>
      </x:c>
      <x:c r="N44" s="31" t="n">
        <x:v>73.47162975057788</x:v>
      </x:c>
      <x:c r="O44" s="31" t="n">
        <x:v>79.00597644679038</x:v>
      </x:c>
      <x:c r="P44" s="31" t="n">
        <x:v>72.63192107714005</x:v>
      </x:c>
      <x:c r="Q44" s="31" t="n">
        <x:v>72.99587616354559</x:v>
      </x:c>
      <x:c r="R44" s="31" t="n">
        <x:v>50</x:v>
      </x:c>
      <x:c r="S44" s="31" t="n">
        <x:v>74.427794591083</x:v>
      </x:c>
      <x:c r="T44" s="31" t="n">
        <x:v>63.20490203780401</x:v>
      </x:c>
      <x:c r="U44" s="31" t="n">
        <x:v>73.1406920325498</x:v>
      </x:c>
    </x:row>
    <x:row r="45">
      <x:c r="A45" s="31" t="n">
        <x:v>4.3</x:v>
      </x:c>
      <x:c r="B45" s="31" t="n">
        <x:v>59.83278426980191</x:v>
      </x:c>
      <x:c r="C45" s="31" t="n">
        <x:v>66.55045348643127</x:v>
      </x:c>
      <x:c r="D45" s="31" t="n">
        <x:v>86.99197423899426</x:v>
      </x:c>
      <x:c r="E45" s="31" t="n">
        <x:v>67.82845295275897</x:v>
      </x:c>
      <x:c r="F45" s="31" t="n">
        <x:v>66.94348469284</x:v>
      </x:c>
      <x:c r="G45" s="31" t="n">
        <x:v>63.02405403318932</x:v>
      </x:c>
      <x:c r="H45" s="31" t="n">
        <x:v>74.42661022205496</x:v>
      </x:c>
      <x:c r="I45" s="31" t="n">
        <x:v>70.97017740318762</x:v>
      </x:c>
      <x:c r="J45" s="31" t="n">
        <x:v>67.74150489662787</x:v>
      </x:c>
      <x:c r="K45" s="31" t="n">
        <x:v>73.32772650723692</x:v>
      </x:c>
      <x:c r="L45" s="31" t="n">
        <x:v>86.07731789839887</x:v>
      </x:c>
      <x:c r="M45" s="31" t="n">
        <x:v>91.09128506353926</x:v>
      </x:c>
      <x:c r="N45" s="31" t="n">
        <x:v>50</x:v>
      </x:c>
      <x:c r="O45" s="31" t="n">
        <x:v>88.34957603444798</x:v>
      </x:c>
      <x:c r="P45" s="31" t="n">
        <x:v>72.63192107714005</x:v>
      </x:c>
      <x:c r="Q45" s="31" t="n">
        <x:v>72.99587616354559</x:v>
      </x:c>
      <x:c r="R45" s="31" t="n">
        <x:v>63.493216488440716</x:v>
      </x:c>
      <x:c r="S45" s="31" t="n">
        <x:v>67.94766001124515</x:v>
      </x:c>
      <x:c r="T45" s="31" t="n">
        <x:v>74.51141802036653</x:v>
      </x:c>
      <x:c r="U45" s="31" t="n">
        <x:v>73.08016933451519</x:v>
      </x:c>
    </x:row>
    <x:row r="46">
      <x:c r="A46" s="31" t="n">
        <x:v>4.4</x:v>
      </x:c>
      <x:c r="B46" s="31" t="n">
        <x:v>64.35545326367398</x:v>
      </x:c>
      <x:c r="C46" s="31" t="n">
        <x:v>66.55045348643127</x:v>
      </x:c>
      <x:c r="D46" s="31" t="n">
        <x:v>78.64896473561814</x:v>
      </x:c>
      <x:c r="E46" s="31" t="n">
        <x:v>67.7327467847438</x:v>
      </x:c>
      <x:c r="F46" s="31" t="n">
        <x:v>66.94348469284</x:v>
      </x:c>
      <x:c r="G46" s="31" t="n">
        <x:v>81.2120387401104</x:v>
      </x:c>
      <x:c r="H46" s="31" t="n">
        <x:v>74.42661022205496</x:v>
      </x:c>
      <x:c r="I46" s="31" t="n">
        <x:v>68.70925753356032</x:v>
      </x:c>
      <x:c r="J46" s="31" t="n">
        <x:v>66.9862136375105</x:v>
      </x:c>
      <x:c r="K46" s="31" t="n">
        <x:v>66.29411833228329</x:v>
      </x:c>
      <x:c r="L46" s="31" t="n">
        <x:v>88.45496246165294</x:v>
      </x:c>
      <x:c r="M46" s="31" t="n">
        <x:v>91.09128506353926</x:v>
      </x:c>
      <x:c r="N46" s="31" t="n">
        <x:v>50</x:v>
      </x:c>
      <x:c r="O46" s="31" t="n">
        <x:v>90.23539523237724</x:v>
      </x:c>
      <x:c r="P46" s="31" t="n">
        <x:v>69.7933860103563</x:v>
      </x:c>
      <x:c r="Q46" s="31" t="n">
        <x:v>72.85111488477668</x:v>
      </x:c>
      <x:c r="R46" s="31" t="n">
        <x:v>83.2263333268834</x:v>
      </x:c>
      <x:c r="S46" s="31" t="n">
        <x:v>50</x:v>
      </x:c>
      <x:c r="T46" s="31" t="n">
        <x:v>78.43846351837294</x:v>
      </x:c>
      <x:c r="U46" s="31" t="n">
        <x:v>93.2326360465882</x:v>
      </x:c>
    </x:row>
    <x:row r="47">
      <x:c r="A47" s="31" t="n">
        <x:v>4.5</x:v>
      </x:c>
      <x:c r="B47" s="31" t="n">
        <x:v>64.35545326367398</x:v>
      </x:c>
      <x:c r="C47" s="31" t="n">
        <x:v>66.35905900673994</x:v>
      </x:c>
      <x:c r="D47" s="31" t="n">
        <x:v>70.20732376251303</x:v>
      </x:c>
      <x:c r="E47" s="31" t="n">
        <x:v>77.56176811173262</x:v>
      </x:c>
      <x:c r="F47" s="31" t="n">
        <x:v>65.56638124519795</x:v>
      </x:c>
      <x:c r="G47" s="31" t="n">
        <x:v>82.89481338461111</x:v>
      </x:c>
      <x:c r="H47" s="31" t="n">
        <x:v>68.3530550885787</x:v>
      </x:c>
      <x:c r="I47" s="31" t="n">
        <x:v>66.44833766393303</x:v>
      </x:c>
      <x:c r="J47" s="31" t="n">
        <x:v>83.08120618679231</x:v>
      </x:c>
      <x:c r="K47" s="31" t="n">
        <x:v>67.10546750882486</x:v>
      </x:c>
      <x:c r="L47" s="31" t="n">
        <x:v>88.45496246165294</x:v>
      </x:c>
      <x:c r="M47" s="31" t="n">
        <x:v>81.5104830951108</x:v>
      </x:c>
      <x:c r="N47" s="31" t="n">
        <x:v>50</x:v>
      </x:c>
      <x:c r="O47" s="31" t="n">
        <x:v>90.23539523237724</x:v>
      </x:c>
      <x:c r="P47" s="31" t="n">
        <x:v>69.7933860103563</x:v>
      </x:c>
      <x:c r="Q47" s="31" t="n">
        <x:v>73.07627918326807</x:v>
      </x:c>
      <x:c r="R47" s="31" t="n">
        <x:v>87.56912737801119</x:v>
      </x:c>
      <x:c r="S47" s="31" t="n">
        <x:v>59.537799455254586</x:v>
      </x:c>
      <x:c r="T47" s="31" t="n">
        <x:v>79.80731662651621</x:v>
      </x:c>
      <x:c r="U47" s="31" t="n">
        <x:v>94.02834057142854</x:v>
      </x:c>
    </x:row>
    <x:row r="48">
      <x:c r="A48" s="31" t="n">
        <x:v>4.6000000000000005</x:v>
      </x:c>
      <x:c r="B48" s="31" t="n">
        <x:v>77.94551312945408</x:v>
      </x:c>
      <x:c r="C48" s="31" t="n">
        <x:v>67.16713586058262</x:v>
      </x:c>
      <x:c r="D48" s="31" t="n">
        <x:v>63.96513890969584</x:v>
      </x:c>
      <x:c r="E48" s="31" t="n">
        <x:v>77.56176811173262</x:v>
      </x:c>
      <x:c r="F48" s="31" t="n">
        <x:v>62.25895143440466</x:v>
      </x:c>
      <x:c r="G48" s="31" t="n">
        <x:v>82.894813384611</x:v>
      </x:c>
      <x:c r="H48" s="31" t="n">
        <x:v>50.00000000000048</x:v>
      </x:c>
      <x:c r="I48" s="31" t="n">
        <x:v>65.09178574215666</x:v>
      </x:c>
      <x:c r="J48" s="31" t="n">
        <x:v>83.41399588172342</x:v>
      </x:c>
      <x:c r="K48" s="31" t="n">
        <x:v>67.10546750882486</x:v>
      </x:c>
      <x:c r="L48" s="31" t="n">
        <x:v>78.72486202311278</x:v>
      </x:c>
      <x:c r="M48" s="31" t="n">
        <x:v>50</x:v>
      </x:c>
      <x:c r="N48" s="31" t="n">
        <x:v>80.06943841349451</x:v>
      </x:c>
      <x:c r="O48" s="31" t="n">
        <x:v>80.96694097503376</x:v>
      </x:c>
      <x:c r="P48" s="31" t="n">
        <x:v>70.38822568719411</x:v>
      </x:c>
      <x:c r="Q48" s="31" t="n">
        <x:v>73.07627918326807</x:v>
      </x:c>
      <x:c r="R48" s="31" t="n">
        <x:v>88.28042989558207</x:v>
      </x:c>
      <x:c r="S48" s="31" t="n">
        <x:v>79.50235615004766</x:v>
      </x:c>
      <x:c r="T48" s="31" t="n">
        <x:v>79.8073166265162</x:v>
      </x:c>
      <x:c r="U48" s="31" t="n">
        <x:v>93.64590951818136</x:v>
      </x:c>
    </x:row>
    <x:row r="49">
      <x:c r="A49" s="31" t="n">
        <x:v>4.7</x:v>
      </x:c>
      <x:c r="B49" s="31" t="n">
        <x:v>90.56252260904776</x:v>
      </x:c>
      <x:c r="C49" s="31" t="n">
        <x:v>71.50987101586423</x:v>
      </x:c>
      <x:c r="D49" s="31" t="n">
        <x:v>57.51897451777818</x:v>
      </x:c>
      <x:c r="E49" s="31" t="n">
        <x:v>74.2348886711223</x:v>
      </x:c>
      <x:c r="F49" s="31" t="n">
        <x:v>78.96248790243662</x:v>
      </x:c>
      <x:c r="G49" s="31" t="n">
        <x:v>75.52718849018095</x:v>
      </x:c>
      <x:c r="H49" s="31" t="n">
        <x:v>69.43903041070698</x:v>
      </x:c>
      <x:c r="I49" s="31" t="n">
        <x:v>69.83539774627857</x:v>
      </x:c>
      <x:c r="J49" s="31" t="n">
        <x:v>82.37718662730448</x:v>
      </x:c>
      <x:c r="K49" s="31" t="n">
        <x:v>66.39715122198476</x:v>
      </x:c>
      <x:c r="L49" s="31" t="n">
        <x:v>69.95558065457314</x:v>
      </x:c>
      <x:c r="M49" s="31" t="n">
        <x:v>50</x:v>
      </x:c>
      <x:c r="N49" s="31" t="n">
        <x:v>81.42106629492616</x:v>
      </x:c>
      <x:c r="O49" s="31" t="n">
        <x:v>60.31516191172566</x:v>
      </x:c>
      <x:c r="P49" s="31" t="n">
        <x:v>70.53531727436655</x:v>
      </x:c>
      <x:c r="Q49" s="31" t="n">
        <x:v>74.26551783868078</x:v>
      </x:c>
      <x:c r="R49" s="31" t="n">
        <x:v>88.04303406275656</x:v>
      </x:c>
      <x:c r="S49" s="31" t="n">
        <x:v>88.51071751786071</x:v>
      </x:c>
      <x:c r="T49" s="31" t="n">
        <x:v>77.29426322815127</x:v>
      </x:c>
      <x:c r="U49" s="31" t="n">
        <x:v>85.39454191944438</x:v>
      </x:c>
    </x:row>
    <x:row r="50">
      <x:c r="A50" s="31" t="n">
        <x:v>4.800000000000001</x:v>
      </x:c>
      <x:c r="B50" s="31" t="n">
        <x:v>90.56252260904776</x:v>
      </x:c>
      <x:c r="C50" s="31" t="n">
        <x:v>78.26063031769108</x:v>
      </x:c>
      <x:c r="D50" s="31" t="n">
        <x:v>50</x:v>
      </x:c>
      <x:c r="E50" s="31" t="n">
        <x:v>68.03276282686413</x:v>
      </x:c>
      <x:c r="F50" s="31" t="n">
        <x:v>79.76718586609188</x:v>
      </x:c>
      <x:c r="G50" s="31" t="n">
        <x:v>67.40447953971216</x:v>
      </x:c>
      <x:c r="H50" s="31" t="n">
        <x:v>69.43903041070698</x:v>
      </x:c>
      <x:c r="I50" s="31" t="n">
        <x:v>74.5790097504005</x:v>
      </x:c>
      <x:c r="J50" s="31" t="n">
        <x:v>74.07694062224883</x:v>
      </x:c>
      <x:c r="K50" s="31" t="n">
        <x:v>67.74852776804504</x:v>
      </x:c>
      <x:c r="L50" s="31" t="n">
        <x:v>57.483342745464874</x:v>
      </x:c>
      <x:c r="M50" s="31" t="n">
        <x:v>57.66653334110006</x:v>
      </x:c>
      <x:c r="N50" s="31" t="n">
        <x:v>81.42106629492612</x:v>
      </x:c>
      <x:c r="O50" s="31" t="n">
        <x:v>57.45306989399161</x:v>
      </x:c>
      <x:c r="P50" s="31" t="n">
        <x:v>69.63877324677065</x:v>
      </x:c>
      <x:c r="Q50" s="31" t="n">
        <x:v>74.26551783868078</x:v>
      </x:c>
      <x:c r="R50" s="31" t="n">
        <x:v>77.53113441898259</x:v>
      </x:c>
      <x:c r="S50" s="31" t="n">
        <x:v>88.51071751786071</x:v>
      </x:c>
      <x:c r="T50" s="31" t="n">
        <x:v>76.53582310337582</x:v>
      </x:c>
      <x:c r="U50" s="31" t="n">
        <x:v>77.55307377175292</x:v>
      </x:c>
    </x:row>
    <x:row r="51">
      <x:c r="A51" s="31" t="n">
        <x:v>4.9</x:v>
      </x:c>
      <x:c r="B51" s="31" t="n">
        <x:v>83.00584226947655</x:v>
      </x:c>
      <x:c r="C51" s="31" t="n">
        <x:v>78.26063031769108</x:v>
      </x:c>
      <x:c r="D51" s="31" t="n">
        <x:v>65.11176962947985</x:v>
      </x:c>
      <x:c r="E51" s="31" t="n">
        <x:v>67.09853071699132</x:v>
      </x:c>
      <x:c r="F51" s="31" t="n">
        <x:v>79.01720809858108</x:v>
      </x:c>
      <x:c r="G51" s="31" t="n">
        <x:v>57.52715457712975</x:v>
      </x:c>
      <x:c r="H51" s="31" t="n">
        <x:v>70.69155283733046</x:v>
      </x:c>
      <x:c r="I51" s="31" t="n">
        <x:v>74.5790097504005</x:v>
      </x:c>
      <x:c r="J51" s="31" t="n">
        <x:v>67.50156161540943</x:v>
      </x:c>
      <x:c r="K51" s="31" t="n">
        <x:v>67.30670629310114</x:v>
      </x:c>
      <x:c r="L51" s="31" t="n">
        <x:v>51.0740368626279</x:v>
      </x:c>
      <x:c r="M51" s="31" t="n">
        <x:v>65.33306668220006</x:v>
      </x:c>
      <x:c r="N51" s="31" t="n">
        <x:v>78.99509817525961</x:v>
      </x:c>
      <x:c r="O51" s="31" t="n">
        <x:v>76.08574462897015</x:v>
      </x:c>
      <x:c r="P51" s="31" t="n">
        <x:v>69.50891184098688</x:v>
      </x:c>
      <x:c r="Q51" s="31" t="n">
        <x:v>73.2256681446822</x:v>
      </x:c>
      <x:c r="R51" s="31" t="n">
        <x:v>72.57944083896902</x:v>
      </x:c>
      <x:c r="S51" s="31" t="n">
        <x:v>82.96178460273464</x:v>
      </x:c>
      <x:c r="T51" s="31" t="n">
        <x:v>74.21723779326854</x:v>
      </x:c>
      <x:c r="U51" s="31" t="n">
        <x:v>68.73150127377471</x:v>
      </x:c>
    </x:row>
    <x:row r="52">
      <x:c r="A52" s="31" t="n">
        <x:v>5</x:v>
      </x:c>
      <x:c r="B52" s="31" t="n">
        <x:v>74.75774413827922</x:v>
      </x:c>
      <x:c r="C52" s="31" t="n">
        <x:v>67.38235913612976</x:v>
      </x:c>
      <x:c r="D52" s="31" t="n">
        <x:v>65.11176962947985</x:v>
      </x:c>
      <x:c r="E52" s="31" t="n">
        <x:v>70.1746381416168</x:v>
      </x:c>
      <x:c r="F52" s="31" t="n">
        <x:v>68.08151120673145</x:v>
      </x:c>
      <x:c r="G52" s="31" t="n">
        <x:v>63.890335002976606</x:v>
      </x:c>
      <x:c r="H52" s="31" t="n">
        <x:v>70.86903131491519</x:v>
      </x:c>
      <x:c r="I52" s="31" t="n">
        <x:v>70.77404914051903</x:v>
      </x:c>
      <x:c r="J52" s="31" t="n">
        <x:v>65.36734413645854</x:v>
      </x:c>
      <x:c r="K52" s="31" t="n">
        <x:v>87.31628613286951</x:v>
      </x:c>
      <x:c r="L52" s="31" t="n">
        <x:v>56.44422117576726</x:v>
      </x:c>
      <x:c r="M52" s="31" t="n">
        <x:v>72.99960002330005</x:v>
      </x:c>
      <x:c r="N52" s="31" t="n">
        <x:v>80.95344033264037</x:v>
      </x:c>
      <x:c r="O52" s="31" t="n">
        <x:v>89.95235041376469</x:v>
      </x:c>
      <x:c r="P52" s="31" t="n">
        <x:v>70.2099808235352</x:v>
      </x:c>
      <x:c r="Q52" s="31" t="n">
        <x:v>72.70264131144086</x:v>
      </x:c>
      <x:c r="R52" s="31" t="n">
        <x:v>70.05624328246142</x:v>
      </x:c>
      <x:c r="S52" s="31" t="n">
        <x:v>75.75929587649216</x:v>
      </x:c>
      <x:c r="T52" s="31" t="n">
        <x:v>85.48111337192621</x:v>
      </x:c>
      <x:c r="U52" s="31" t="n">
        <x:v>57.29612396978611</x:v>
      </x:c>
    </x:row>
    <x:row r="53">
      <x:c r="A53" s="31" t="n">
        <x:v>5.1000000000000005</x:v>
      </x:c>
      <x:c r="B53" s="31" t="n">
        <x:v>71.84080319804275</x:v>
      </x:c>
      <x:c r="C53" s="31" t="n">
        <x:v>58.90569430947123</x:v>
      </x:c>
      <x:c r="D53" s="31" t="n">
        <x:v>50.00000000000075</x:v>
      </x:c>
      <x:c r="E53" s="31" t="n">
        <x:v>70.1746381416168</x:v>
      </x:c>
      <x:c r="F53" s="31" t="n">
        <x:v>57.26277349391721</x:v>
      </x:c>
      <x:c r="G53" s="31" t="n">
        <x:v>63.890335002976606</x:v>
      </x:c>
      <x:c r="H53" s="31" t="n">
        <x:v>72.53801315218823</x:v>
      </x:c>
      <x:c r="I53" s="31" t="n">
        <x:v>69.7534362331563</x:v>
      </x:c>
      <x:c r="J53" s="31" t="n">
        <x:v>65.36734413645858</x:v>
      </x:c>
      <x:c r="K53" s="31" t="n">
        <x:v>87.9654399534949</x:v>
      </x:c>
      <x:c r="L53" s="31" t="n">
        <x:v>61.814405488906665</x:v>
      </x:c>
      <x:c r="M53" s="31" t="n">
        <x:v>90.22463261260792</x:v>
      </x:c>
      <x:c r="N53" s="31" t="n">
        <x:v>80.95344033264037</x:v>
      </x:c>
      <x:c r="O53" s="31" t="n">
        <x:v>89.95235041376469</x:v>
      </x:c>
      <x:c r="P53" s="31" t="n">
        <x:v>69.64186707364402</x:v>
      </x:c>
      <x:c r="Q53" s="31" t="n">
        <x:v>74.80244609649192</x:v>
      </x:c>
      <x:c r="R53" s="31" t="n">
        <x:v>71.46703124868436</x:v>
      </x:c>
      <x:c r="S53" s="31" t="n">
        <x:v>68.42248847706789</x:v>
      </x:c>
      <x:c r="T53" s="31" t="n">
        <x:v>89.9866636033893</x:v>
      </x:c>
      <x:c r="U53" s="31" t="n">
        <x:v>50</x:v>
      </x:c>
    </x:row>
    <x:row r="54">
      <x:c r="A54" s="31" t="n">
        <x:v>5.2</x:v>
      </x:c>
      <x:c r="B54" s="31" t="n">
        <x:v>71.08200554609707</x:v>
      </x:c>
      <x:c r="C54" s="31" t="n">
        <x:v>58.60649758421173</x:v>
      </x:c>
      <x:c r="D54" s="31" t="n">
        <x:v>74.71367516741543</x:v>
      </x:c>
      <x:c r="E54" s="31" t="n">
        <x:v>69.31765980028175</x:v>
      </x:c>
      <x:c r="F54" s="31" t="n">
        <x:v>57.26277349391721</x:v>
      </x:c>
      <x:c r="G54" s="31" t="n">
        <x:v>55.91081434827626</x:v>
      </x:c>
      <x:c r="H54" s="31" t="n">
        <x:v>72.83523050586662</x:v>
      </x:c>
      <x:c r="I54" s="31" t="n">
        <x:v>69.99495315577221</x:v>
      </x:c>
      <x:c r="J54" s="31" t="n">
        <x:v>69.70344561450132</x:v>
      </x:c>
      <x:c r="K54" s="31" t="n">
        <x:v>85.50350137604514</x:v>
      </x:c>
      <x:c r="L54" s="31" t="n">
        <x:v>66.11055293941813</x:v>
      </x:c>
      <x:c r="M54" s="31" t="n">
        <x:v>90.4937132344285</x:v>
      </x:c>
      <x:c r="N54" s="31" t="n">
        <x:v>81.20277048031076</x:v>
      </x:c>
      <x:c r="O54" s="31" t="n">
        <x:v>87.45401001118326</x:v>
      </x:c>
      <x:c r="P54" s="31" t="n">
        <x:v>81.10902755052072</x:v>
      </x:c>
      <x:c r="Q54" s="31" t="n">
        <x:v>79.70903286056408</x:v>
      </x:c>
      <x:c r="R54" s="31" t="n">
        <x:v>71.46703124868436</x:v>
      </x:c>
      <x:c r="S54" s="31" t="n">
        <x:v>64.90076882254964</x:v>
      </x:c>
      <x:c r="T54" s="31" t="n">
        <x:v>89.9866636033893</x:v>
      </x:c>
      <x:c r="U54" s="31" t="n">
        <x:v>58.408036570094104</x:v>
      </x:c>
    </x:row>
    <x:row r="55">
      <x:c r="A55" s="31" t="n">
        <x:v>5.300000000000001</x:v>
      </x:c>
      <x:c r="B55" s="31" t="n">
        <x:v>70.90936083566396</x:v>
      </x:c>
      <x:c r="C55" s="31" t="n">
        <x:v>58.307300858952225</x:v>
      </x:c>
      <x:c r="D55" s="31" t="n">
        <x:v>74.71367516741543</x:v>
      </x:c>
      <x:c r="E55" s="31" t="n">
        <x:v>68.6204597968155</x:v>
      </x:c>
      <x:c r="F55" s="31" t="n">
        <x:v>50</x:v>
      </x:c>
      <x:c r="G55" s="31" t="n">
        <x:v>70.39687288271466</x:v>
      </x:c>
      <x:c r="H55" s="31" t="n">
        <x:v>76.68870609084965</x:v>
      </x:c>
      <x:c r="I55" s="31" t="n">
        <x:v>69.99495315577221</x:v>
      </x:c>
      <x:c r="J55" s="31" t="n">
        <x:v>73.17232679693554</x:v>
      </x:c>
      <x:c r="K55" s="31" t="n">
        <x:v>76.83949225907645</x:v>
      </x:c>
      <x:c r="L55" s="31" t="n">
        <x:v>87.77271774874029</x:v>
      </x:c>
      <x:c r="M55" s="31" t="n">
        <x:v>89.3114803748292</x:v>
      </x:c>
      <x:c r="N55" s="31" t="n">
        <x:v>81.59419839204025</x:v>
      </x:c>
      <x:c r="O55" s="31" t="n">
        <x:v>80.97420400461559</x:v>
      </x:c>
      <x:c r="P55" s="31" t="n">
        <x:v>81.10902755052072</x:v>
      </x:c>
      <x:c r="Q55" s="31" t="n">
        <x:v>79.70903286056408</x:v>
      </x:c>
      <x:c r="R55" s="31" t="n">
        <x:v>71.22162585933836</x:v>
      </x:c>
      <x:c r="S55" s="31" t="n">
        <x:v>68.07098313903941</x:v>
      </x:c>
      <x:c r="T55" s="31" t="n">
        <x:v>82.14538091780545</x:v>
      </x:c>
      <x:c r="U55" s="31" t="n">
        <x:v>66.66161043742952</x:v>
      </x:c>
    </x:row>
    <x:row r="56">
      <x:c r="A56" s="31" t="n">
        <x:v>5.4</x:v>
      </x:c>
      <x:c r="B56" s="31" t="n">
        <x:v>67.97203708613415</x:v>
      </x:c>
      <x:c r="C56" s="31" t="n">
        <x:v>58.00810413369272</x:v>
      </x:c>
      <x:c r="D56" s="31" t="n">
        <x:v>73.38995917132736</x:v>
      </x:c>
      <x:c r="E56" s="31" t="n">
        <x:v>68.8264961861448</x:v>
      </x:c>
      <x:c r="F56" s="31" t="n">
        <x:v>54.165280421567466</x:v>
      </x:c>
      <x:c r="G56" s="31" t="n">
        <x:v>70.39687288271466</x:v>
      </x:c>
      <x:c r="H56" s="31" t="n">
        <x:v>76.68870609084965</x:v>
      </x:c>
      <x:c r="I56" s="31" t="n">
        <x:v>69.77337136552876</x:v>
      </x:c>
      <x:c r="J56" s="31" t="n">
        <x:v>73.17232679693554</x:v>
      </x:c>
      <x:c r="K56" s="31" t="n">
        <x:v>69.1611934101474</x:v>
      </x:c>
      <x:c r="L56" s="31" t="n">
        <x:v>87.91833345411611</x:v>
      </x:c>
      <x:c r="M56" s="31" t="n">
        <x:v>84.46596025579413</x:v>
      </x:c>
      <x:c r="N56" s="31" t="n">
        <x:v>81.73719175983437</x:v>
      </x:c>
      <x:c r="O56" s="31" t="n">
        <x:v>80.4839873924623</x:v>
      </x:c>
      <x:c r="P56" s="31" t="n">
        <x:v>76.37327838371284</x:v>
      </x:c>
      <x:c r="Q56" s="31" t="n">
        <x:v>70.71569635871232</x:v>
      </x:c>
      <x:c r="R56" s="31" t="n">
        <x:v>71.22162585933836</x:v>
      </x:c>
      <x:c r="S56" s="31" t="n">
        <x:v>71.24119745552915</x:v>
      </x:c>
      <x:c r="T56" s="31" t="n">
        <x:v>75.11059349579335</x:v>
      </x:c>
      <x:c r="U56" s="31" t="n">
        <x:v>77.67418890106322</x:v>
      </x:c>
    </x:row>
    <x:row r="57">
      <x:c r="A57" s="31" t="n">
        <x:v>5.5</x:v>
      </x:c>
      <x:c r="B57" s="31" t="n">
        <x:v>65.91868899920941</x:v>
      </x:c>
      <x:c r="C57" s="31" t="n">
        <x:v>57.70890740843322</x:v>
      </x:c>
      <x:c r="D57" s="31" t="n">
        <x:v>67.61944396885188</x:v>
      </x:c>
      <x:c r="E57" s="31" t="n">
        <x:v>68.8264961861448</x:v>
      </x:c>
      <x:c r="F57" s="31" t="n">
        <x:v>64.37505770707394</x:v>
      </x:c>
      <x:c r="G57" s="31" t="n">
        <x:v>68.56825060113314</x:v>
      </x:c>
      <x:c r="H57" s="31" t="n">
        <x:v>88.20117526105611</x:v>
      </x:c>
      <x:c r="I57" s="31" t="n">
        <x:v>69.33177117483112</x:v>
      </x:c>
      <x:c r="J57" s="31" t="n">
        <x:v>68.07280062413363</x:v>
      </x:c>
      <x:c r="K57" s="31" t="n">
        <x:v>67.65060871064637</x:v>
      </x:c>
      <x:c r="L57" s="31" t="n">
        <x:v>86.27389007543051</x:v>
      </x:c>
      <x:c r="M57" s="31" t="n">
        <x:v>83.40236133608849</x:v>
      </x:c>
      <x:c r="N57" s="31" t="n">
        <x:v>81.84008750046058</x:v>
      </x:c>
      <x:c r="O57" s="31" t="n">
        <x:v>78.46871071180152</x:v>
      </x:c>
      <x:c r="P57" s="31" t="n">
        <x:v>65.97717908174889</x:v>
      </x:c>
      <x:c r="Q57" s="31" t="n">
        <x:v>61.02034522747086</x:v>
      </x:c>
      <x:c r="R57" s="31" t="n">
        <x:v>85.47770883166905</x:v>
      </x:c>
      <x:c r="S57" s="31" t="n">
        <x:v>75.39820349338335</x:v>
      </x:c>
      <x:c r="T57" s="31" t="n">
        <x:v>67.14418695485081</x:v>
      </x:c>
      <x:c r="U57" s="31" t="n">
        <x:v>88.19125216501989</x:v>
      </x:c>
    </x:row>
    <x:row r="58">
      <x:c r="A58" s="31" t="n">
        <x:v>5.6000000000000005</x:v>
      </x:c>
      <x:c r="B58" s="31" t="n">
        <x:v>66.5887333992192</x:v>
      </x:c>
      <x:c r="C58" s="31" t="n">
        <x:v>57.40971068317387</x:v>
      </x:c>
      <x:c r="D58" s="31" t="n">
        <x:v>62.66397401307484</x:v>
      </x:c>
      <x:c r="E58" s="31" t="n">
        <x:v>69.26482357774238</x:v>
      </x:c>
      <x:c r="F58" s="31" t="n">
        <x:v>64.37505770707394</x:v>
      </x:c>
      <x:c r="G58" s="31" t="n">
        <x:v>61.95068022299914</x:v>
      </x:c>
      <x:c r="H58" s="31" t="n">
        <x:v>91.84826249779366</x:v>
      </x:c>
      <x:c r="I58" s="31" t="n">
        <x:v>68.6797973919792</x:v>
      </x:c>
      <x:c r="J58" s="31" t="n">
        <x:v>68.30037711316697</x:v>
      </x:c>
      <x:c r="K58" s="31" t="n">
        <x:v>67.65060871064637</x:v>
      </x:c>
      <x:c r="L58" s="31" t="n">
        <x:v>82.16441254525002</x:v>
      </x:c>
      <x:c r="M58" s="31" t="n">
        <x:v>83.81968298803412</x:v>
      </x:c>
      <x:c r="N58" s="31" t="n">
        <x:v>83.15750825008851</x:v>
      </x:c>
      <x:c r="O58" s="31" t="n">
        <x:v>78.46871071180152</x:v>
      </x:c>
      <x:c r="P58" s="31" t="n">
        <x:v>50</x:v>
      </x:c>
      <x:c r="Q58" s="31" t="n">
        <x:v>58.766768706986106</x:v>
      </x:c>
      <x:c r="R58" s="31" t="n">
        <x:v>85.47770883166905</x:v>
      </x:c>
      <x:c r="S58" s="31" t="n">
        <x:v>77.95592977050242</x:v>
      </x:c>
      <x:c r="T58" s="31" t="n">
        <x:v>71.24078421846461</x:v>
      </x:c>
      <x:c r="U58" s="31" t="n">
        <x:v>88.19125216501989</x:v>
      </x:c>
    </x:row>
    <x:row r="59">
      <x:c r="A59" s="31" t="n">
        <x:v>5.7</x:v>
      </x:c>
      <x:c r="B59" s="31" t="n">
        <x:v>65.48351176009278</x:v>
      </x:c>
      <x:c r="C59" s="31" t="n">
        <x:v>62.18741614980881</x:v>
      </x:c>
      <x:c r="D59" s="31" t="n">
        <x:v>66.18080703720179</x:v>
      </x:c>
      <x:c r="E59" s="31" t="n">
        <x:v>71.1889284595026</x:v>
      </x:c>
      <x:c r="F59" s="31" t="n">
        <x:v>69.85817875374856</x:v>
      </x:c>
      <x:c r="G59" s="31" t="n">
        <x:v>60.07086709733204</x:v>
      </x:c>
      <x:c r="H59" s="31" t="n">
        <x:v>91.84826249779366</x:v>
      </x:c>
      <x:c r="I59" s="31" t="n">
        <x:v>68.6797973919792</x:v>
      </x:c>
      <x:c r="J59" s="31" t="n">
        <x:v>68.30037711316697</x:v>
      </x:c>
      <x:c r="K59" s="31" t="n">
        <x:v>69.92950156451036</x:v>
      </x:c>
      <x:c r="L59" s="31" t="n">
        <x:v>79.619859772595</x:v>
      </x:c>
      <x:c r="M59" s="31" t="n">
        <x:v>83.81968298803412</x:v>
      </x:c>
      <x:c r="N59" s="31" t="n">
        <x:v>83.15750825008851</x:v>
      </x:c>
      <x:c r="O59" s="31" t="n">
        <x:v>77.12163581931178</x:v>
      </x:c>
      <x:c r="P59" s="31" t="n">
        <x:v>50</x:v>
      </x:c>
      <x:c r="Q59" s="31" t="n">
        <x:v>58.766768706986106</x:v>
      </x:c>
      <x:c r="R59" s="31" t="n">
        <x:v>81.12270362328674</x:v>
      </x:c>
      <x:c r="S59" s="31" t="n">
        <x:v>79.8794863752527</x:v>
      </x:c>
      <x:c r="T59" s="31" t="n">
        <x:v>75.33738148207837</x:v>
      </x:c>
      <x:c r="U59" s="31" t="n">
        <x:v>87.43881720934999</x:v>
      </x:c>
    </x:row>
    <x:row r="60">
      <x:c r="A60" s="31" t="n">
        <x:v>5.800000000000001</x:v>
      </x:c>
      <x:c r="B60" s="31" t="n">
        <x:v>64.37709943651252</x:v>
      </x:c>
      <x:c r="C60" s="31" t="n">
        <x:v>62.18741614980877</x:v>
      </x:c>
      <x:c r="D60" s="31" t="n">
        <x:v>66.94784414031488</x:v>
      </x:c>
      <x:c r="E60" s="31" t="n">
        <x:v>85.0080002878873</x:v>
      </x:c>
      <x:c r="F60" s="31" t="n">
        <x:v>69.85817875374856</x:v>
      </x:c>
      <x:c r="G60" s="31" t="n">
        <x:v>60.07086709733204</x:v>
      </x:c>
      <x:c r="H60" s="31" t="n">
        <x:v>82.3861146826603</x:v>
      </x:c>
      <x:c r="I60" s="31" t="n">
        <x:v>71.21497538442125</x:v>
      </x:c>
      <x:c r="J60" s="31" t="n">
        <x:v>68.51474366690866</x:v>
      </x:c>
      <x:c r="K60" s="31" t="n">
        <x:v>72.96802536966233</x:v>
      </x:c>
      <x:c r="L60" s="31" t="n">
        <x:v>74.59020396295645</x:v>
      </x:c>
      <x:c r="M60" s="31" t="n">
        <x:v>83.39842884460018</x:v>
      </x:c>
      <x:c r="N60" s="31" t="n">
        <x:v>82.35170717697245</x:v>
      </x:c>
      <x:c r="O60" s="31" t="n">
        <x:v>79.27247765474746</x:v>
      </x:c>
      <x:c r="P60" s="31" t="n">
        <x:v>50</x:v>
      </x:c>
      <x:c r="Q60" s="31" t="n">
        <x:v>50</x:v>
      </x:c>
      <x:c r="R60" s="31" t="n">
        <x:v>76.50860385669165</x:v>
      </x:c>
      <x:c r="S60" s="31" t="n">
        <x:v>79.87948637525268</x:v>
      </x:c>
      <x:c r="T60" s="31" t="n">
        <x:v>88.41887889915284</x:v>
      </x:c>
      <x:c r="U60" s="31" t="n">
        <x:v>87.37057788905261</x:v>
      </x:c>
    </x:row>
    <x:row r="61">
      <x:c r="A61" s="31" t="n">
        <x:v>5.9</x:v>
      </x:c>
      <x:c r="B61" s="31" t="n">
        <x:v>60.66109241189619</x:v>
      </x:c>
      <x:c r="C61" s="31" t="n">
        <x:v>67.31592473873148</x:v>
      </x:c>
      <x:c r="D61" s="31" t="n">
        <x:v>66.9119930359274</x:v>
      </x:c>
      <x:c r="E61" s="31" t="n">
        <x:v>86.44635478414524</x:v>
      </x:c>
      <x:c r="F61" s="31" t="n">
        <x:v>65.19219420289757</x:v>
      </x:c>
      <x:c r="G61" s="31" t="n">
        <x:v>59.69403140393166</x:v>
      </x:c>
      <x:c r="H61" s="31" t="n">
        <x:v>77.12928870322048</x:v>
      </x:c>
      <x:c r="I61" s="31" t="n">
        <x:v>71.21497538442125</x:v>
      </x:c>
      <x:c r="J61" s="31" t="n">
        <x:v>68.51474366690866</x:v>
      </x:c>
      <x:c r="K61" s="31" t="n">
        <x:v>72.96802536966233</x:v>
      </x:c>
      <x:c r="L61" s="31" t="n">
        <x:v>74.36284299266224</x:v>
      </x:c>
      <x:c r="M61" s="31" t="n">
        <x:v>83.10696464871918</x:v>
      </x:c>
      <x:c r="N61" s="31" t="n">
        <x:v>84.17125426353854</x:v>
      </x:c>
      <x:c r="O61" s="31" t="n">
        <x:v>80.39909021427708</x:v>
      </x:c>
      <x:c r="P61" s="31" t="n">
        <x:v>50</x:v>
      </x:c>
      <x:c r="Q61" s="31" t="n">
        <x:v>50</x:v>
      </x:c>
      <x:c r="R61" s="31" t="n">
        <x:v>70.07313335999251</x:v>
      </x:c>
      <x:c r="S61" s="31" t="n">
        <x:v>78.68854961345826</x:v>
      </x:c>
      <x:c r="T61" s="31" t="n">
        <x:v>88.41887889915284</x:v>
      </x:c>
      <x:c r="U61" s="31" t="n">
        <x:v>86.7495785992515</x:v>
      </x:c>
    </x:row>
    <x:row r="62">
      <x:c r="A62" s="31" t="n">
        <x:v>6</x:v>
      </x:c>
      <x:c r="B62" s="31" t="n">
        <x:v>69.3309006639083</x:v>
      </x:c>
      <x:c r="C62" s="31" t="n">
        <x:v>71.88504519754292</x:v>
      </x:c>
      <x:c r="D62" s="31" t="n">
        <x:v>68.36557441241908</x:v>
      </x:c>
      <x:c r="E62" s="31" t="n">
        <x:v>86.44635478414524</x:v>
      </x:c>
      <x:c r="F62" s="31" t="n">
        <x:v>53.65365724678181</x:v>
      </x:c>
      <x:c r="G62" s="31" t="n">
        <x:v>59.69403140393166</x:v>
      </x:c>
      <x:c r="H62" s="31" t="n">
        <x:v>73.82176971129832</x:v>
      </x:c>
      <x:c r="I62" s="31" t="n">
        <x:v>67.57982261116757</x:v>
      </x:c>
      <x:c r="J62" s="31" t="n">
        <x:v>66.3315326347941</x:v>
      </x:c>
      <x:c r="K62" s="31" t="n">
        <x:v>65.50065593065784</x:v>
      </x:c>
      <x:c r="L62" s="31" t="n">
        <x:v>74.36284299266224</x:v>
      </x:c>
      <x:c r="M62" s="31" t="n">
        <x:v>83.51047107038289</x:v>
      </x:c>
      <x:c r="N62" s="31" t="n">
        <x:v>92.11994884376881</x:v>
      </x:c>
      <x:c r="O62" s="31" t="n">
        <x:v>80.39909021427708</x:v>
      </x:c>
      <x:c r="P62" s="31" t="n">
        <x:v>80.0236259625681</x:v>
      </x:c>
      <x:c r="Q62" s="31" t="n">
        <x:v>80.42314120226467</x:v>
      </x:c>
      <x:c r="R62" s="31" t="n">
        <x:v>65.91879918985369</x:v>
      </x:c>
      <x:c r="S62" s="31" t="n">
        <x:v>75.9446769129552</x:v>
      </x:c>
      <x:c r="T62" s="31" t="n">
        <x:v>85.22591885319079</x:v>
      </x:c>
      <x:c r="U62" s="31" t="n">
        <x:v>85.76253353123667</x:v>
      </x:c>
    </x:row>
    <x:row r="63">
      <x:c r="A63" s="31" t="n">
        <x:v>6.1000000000000005</x:v>
      </x:c>
      <x:c r="B63" s="31" t="n">
        <x:v>75.23557117613836</x:v>
      </x:c>
      <x:c r="C63" s="31" t="n">
        <x:v>71.88504519754292</x:v>
      </x:c>
      <x:c r="D63" s="31" t="n">
        <x:v>68.36557441241908</x:v>
      </x:c>
      <x:c r="E63" s="31" t="n">
        <x:v>79.13085266983676</x:v>
      </x:c>
      <x:c r="F63" s="31" t="n">
        <x:v>64.72627264574916</x:v>
      </x:c>
      <x:c r="G63" s="31" t="n">
        <x:v>60.50649549281729</x:v>
      </x:c>
      <x:c r="H63" s="31" t="n">
        <x:v>72.93288547472834</x:v>
      </x:c>
      <x:c r="I63" s="31" t="n">
        <x:v>65.1849832599781</x:v>
      </x:c>
      <x:c r="J63" s="31" t="n">
        <x:v>84.41148582487149</x:v>
      </x:c>
      <x:c r="K63" s="31" t="n">
        <x:v>66.63781558252674</x:v>
      </x:c>
      <x:c r="L63" s="31" t="n">
        <x:v>75.05432050817731</x:v>
      </x:c>
      <x:c r="M63" s="31" t="n">
        <x:v>83.51047107038289</x:v>
      </x:c>
      <x:c r="N63" s="31" t="n">
        <x:v>92.11994884376881</x:v>
      </x:c>
      <x:c r="O63" s="31" t="n">
        <x:v>84.821203326112</x:v>
      </x:c>
      <x:c r="P63" s="31" t="n">
        <x:v>80.8208928673856</x:v>
      </x:c>
      <x:c r="Q63" s="31" t="n">
        <x:v>80.42314120226467</x:v>
      </x:c>
      <x:c r="R63" s="31" t="n">
        <x:v>65.91879918985364</x:v>
      </x:c>
      <x:c r="S63" s="31" t="n">
        <x:v>75.94467691295519</x:v>
      </x:c>
      <x:c r="T63" s="31" t="n">
        <x:v>76.5867254817261</x:v>
      </x:c>
      <x:c r="U63" s="31" t="n">
        <x:v>83.20356229229488</x:v>
      </x:c>
    </x:row>
    <x:row r="64">
      <x:c r="A64" s="31" t="n">
        <x:v>6.2</x:v>
      </x:c>
      <x:c r="B64" s="31" t="n">
        <x:v>75.23557117613836</x:v>
      </x:c>
      <x:c r="C64" s="31" t="n">
        <x:v>68.11425247299934</x:v>
      </x:c>
      <x:c r="D64" s="31" t="n">
        <x:v>67.12370942929456</x:v>
      </x:c>
      <x:c r="E64" s="31" t="n">
        <x:v>71.64325186055783</x:v>
      </x:c>
      <x:c r="F64" s="31" t="n">
        <x:v>65.2320797544897</x:v>
      </x:c>
      <x:c r="G64" s="31" t="n">
        <x:v>60.50649549281729</x:v>
      </x:c>
      <x:c r="H64" s="31" t="n">
        <x:v>66.61135873162061</x:v>
      </x:c>
      <x:c r="I64" s="31" t="n">
        <x:v>76.57018273432386</x:v>
      </x:c>
      <x:c r="J64" s="31" t="n">
        <x:v>85.8758450027643</x:v>
      </x:c>
      <x:c r="K64" s="31" t="n">
        <x:v>67.42942114930952</x:v>
      </x:c>
      <x:c r="L64" s="31" t="n">
        <x:v>75.94715219336408</x:v>
      </x:c>
      <x:c r="M64" s="31" t="n">
        <x:v>83.41452639382209</x:v>
      </x:c>
      <x:c r="N64" s="31" t="n">
        <x:v>87.34059835311453</x:v>
      </x:c>
      <x:c r="O64" s="31" t="n">
        <x:v>90.73014680739409</x:v>
      </x:c>
      <x:c r="P64" s="31" t="n">
        <x:v>80.8208928673856</x:v>
      </x:c>
      <x:c r="Q64" s="31" t="n">
        <x:v>77.60046535590942</x:v>
      </x:c>
      <x:c r="R64" s="31" t="n">
        <x:v>62.75828687492576</x:v>
      </x:c>
      <x:c r="S64" s="31" t="n">
        <x:v>88.23083190618391</x:v>
      </x:c>
      <x:c r="T64" s="31" t="n">
        <x:v>69.89687750033855</x:v>
      </x:c>
      <x:c r="U64" s="31" t="n">
        <x:v>80.39428260386</x:v>
      </x:c>
    </x:row>
    <x:row r="65">
      <x:c r="A65" s="31" t="n">
        <x:v>6.300000000000001</x:v>
      </x:c>
      <x:c r="B65" s="31" t="n">
        <x:v>72.9826594931955</x:v>
      </x:c>
      <x:c r="C65" s="31" t="n">
        <x:v>61.81088726014318</x:v>
      </x:c>
      <x:c r="D65" s="31" t="n">
        <x:v>68.52305319845077</x:v>
      </x:c>
      <x:c r="E65" s="31" t="n">
        <x:v>64.45144877275861</x:v>
      </x:c>
      <x:c r="F65" s="31" t="n">
        <x:v>65.00334466704602</x:v>
      </x:c>
      <x:c r="G65" s="31" t="n">
        <x:v>59.64976228379262</x:v>
      </x:c>
      <x:c r="H65" s="31" t="n">
        <x:v>66.61135873162061</x:v>
      </x:c>
      <x:c r="I65" s="31" t="n">
        <x:v>77.91470359623558</x:v>
      </x:c>
      <x:c r="J65" s="31" t="n">
        <x:v>85.87584500276422</x:v>
      </x:c>
      <x:c r="K65" s="31" t="n">
        <x:v>68.74254876331008</x:v>
      </x:c>
      <x:c r="L65" s="31" t="n">
        <x:v>77.18753414836902</x:v>
      </x:c>
      <x:c r="M65" s="31" t="n">
        <x:v>82.07801778580748</x:v>
      </x:c>
      <x:c r="N65" s="31" t="n">
        <x:v>76.54081230232853</x:v>
      </x:c>
      <x:c r="O65" s="31" t="n">
        <x:v>90.73014680739409</x:v>
      </x:c>
      <x:c r="P65" s="31" t="n">
        <x:v>71.1708385703623</x:v>
      </x:c>
      <x:c r="Q65" s="31" t="n">
        <x:v>71.94713416942905</x:v>
      </x:c>
      <x:c r="R65" s="31" t="n">
        <x:v>66.00571858249769</x:v>
      </x:c>
      <x:c r="S65" s="31" t="n">
        <x:v>90.23341658064211</x:v>
      </x:c>
      <x:c r="T65" s="31" t="n">
        <x:v>62.496005425918284</x:v>
      </x:c>
      <x:c r="U65" s="31" t="n">
        <x:v>76.74000571847904</x:v>
      </x:c>
    </x:row>
    <x:row r="66">
      <x:c r="A66" s="31" t="n">
        <x:v>6.4</x:v>
      </x:c>
      <x:c r="B66" s="31" t="n">
        <x:v>67.83767095543459</x:v>
      </x:c>
      <x:c r="C66" s="31" t="n">
        <x:v>64.83361725871221</x:v>
      </x:c>
      <x:c r="D66" s="31" t="n">
        <x:v>69.31347689943121</x:v>
      </x:c>
      <x:c r="E66" s="31" t="n">
        <x:v>57.32678397108168</x:v>
      </x:c>
      <x:c r="F66" s="31" t="n">
        <x:v>66.74714478573077</x:v>
      </x:c>
      <x:c r="G66" s="31" t="n">
        <x:v>61.1742789204508</x:v>
      </x:c>
      <x:c r="H66" s="31" t="n">
        <x:v>75.98984228667452</x:v>
      </x:c>
      <x:c r="I66" s="31" t="n">
        <x:v>77.91470359623558</x:v>
      </x:c>
      <x:c r="J66" s="31" t="n">
        <x:v>77.96593621529665</x:v>
      </x:c>
      <x:c r="K66" s="31" t="n">
        <x:v>68.74254876331008</x:v>
      </x:c>
      <x:c r="L66" s="31" t="n">
        <x:v>77.18753414836902</x:v>
      </x:c>
      <x:c r="M66" s="31" t="n">
        <x:v>80.4772004874427</x:v>
      </x:c>
      <x:c r="N66" s="31" t="n">
        <x:v>50</x:v>
      </x:c>
      <x:c r="O66" s="31" t="n">
        <x:v>84.9979360382711</x:v>
      </x:c>
      <x:c r="P66" s="31" t="n">
        <x:v>71.1708385703623</x:v>
      </x:c>
      <x:c r="Q66" s="31" t="n">
        <x:v>72.28901397121012</x:v>
      </x:c>
      <x:c r="R66" s="31" t="n">
        <x:v>66.21786440147588</x:v>
      </x:c>
      <x:c r="S66" s="31" t="n">
        <x:v>90.23341658064211</x:v>
      </x:c>
      <x:c r="T66" s="31" t="n">
        <x:v>64.39647073538153</x:v>
      </x:c>
      <x:c r="U66" s="31" t="n">
        <x:v>77.0078953580691</x:v>
      </x:c>
    </x:row>
    <x:row r="67">
      <x:c r="A67" s="31" t="n">
        <x:v>6.5</x:v>
      </x:c>
      <x:c r="B67" s="31" t="n">
        <x:v>60.64979684947041</x:v>
      </x:c>
      <x:c r="C67" s="31" t="n">
        <x:v>65.59639357869898</x:v>
      </x:c>
      <x:c r="D67" s="31" t="n">
        <x:v>69.31347689943121</x:v>
      </x:c>
      <x:c r="E67" s="31" t="n">
        <x:v>64.73329770380245</x:v>
      </x:c>
      <x:c r="F67" s="31" t="n">
        <x:v>66.98028595784506</x:v>
      </x:c>
      <x:c r="G67" s="31" t="n">
        <x:v>61.1742789204508</x:v>
      </x:c>
      <x:c r="H67" s="31" t="n">
        <x:v>75.98984228667452</x:v>
      </x:c>
      <x:c r="I67" s="31" t="n">
        <x:v>65.15399473456426</x:v>
      </x:c>
      <x:c r="J67" s="31" t="n">
        <x:v>67.50792607657779</x:v>
      </x:c>
      <x:c r="K67" s="31" t="n">
        <x:v>86.28924448371868</x:v>
      </x:c>
      <x:c r="L67" s="31" t="n">
        <x:v>78.04474217810636</x:v>
      </x:c>
      <x:c r="M67" s="31" t="n">
        <x:v>79.56989365222935</x:v>
      </x:c>
      <x:c r="N67" s="31" t="n">
        <x:v>50</x:v>
      </x:c>
      <x:c r="O67" s="31" t="n">
        <x:v>71.00618348342155</x:v>
      </x:c>
      <x:c r="P67" s="31" t="n">
        <x:v>70.38278277307097</x:v>
      </x:c>
      <x:c r="Q67" s="31" t="n">
        <x:v>72.28901397121012</x:v>
      </x:c>
      <x:c r="R67" s="31" t="n">
        <x:v>66.21786440147588</x:v>
      </x:c>
      <x:c r="S67" s="31" t="n">
        <x:v>85.60282609727358</x:v>
      </x:c>
      <x:c r="T67" s="31" t="n">
        <x:v>76.92678093065584</x:v>
      </x:c>
      <x:c r="U67" s="31" t="n">
        <x:v>75.9710025444013</x:v>
      </x:c>
    </x:row>
    <x:row r="68">
      <x:c r="A68" s="31" t="n">
        <x:v>6.6000000000000005</x:v>
      </x:c>
      <x:c r="B68" s="31" t="n">
        <x:v>61.004911603017966</x:v>
      </x:c>
      <x:c r="C68" s="31" t="n">
        <x:v>66.68433154516521</x:v>
      </x:c>
      <x:c r="D68" s="31" t="n">
        <x:v>69.14511943454242</x:v>
      </x:c>
      <x:c r="E68" s="31" t="n">
        <x:v>64.73329770380235</x:v>
      </x:c>
      <x:c r="F68" s="31" t="n">
        <x:v>66.98028595784506</x:v>
      </x:c>
      <x:c r="G68" s="31" t="n">
        <x:v>65.10535724693024</x:v>
      </x:c>
      <x:c r="H68" s="31" t="n">
        <x:v>72.504129718022</x:v>
      </x:c>
      <x:c r="I68" s="31" t="n">
        <x:v>64.1027497279709</x:v>
      </x:c>
      <x:c r="J68" s="31" t="n">
        <x:v>65.19990334480767</x:v>
      </x:c>
      <x:c r="K68" s="31" t="n">
        <x:v>87.73863091147638</x:v>
      </x:c>
      <x:c r="L68" s="31" t="n">
        <x:v>78.04474217810636</x:v>
      </x:c>
      <x:c r="M68" s="31" t="n">
        <x:v>77.13506881122825</x:v>
      </x:c>
      <x:c r="N68" s="31" t="n">
        <x:v>73.11160838402637</x:v>
      </x:c>
      <x:c r="O68" s="31" t="n">
        <x:v>50</x:v>
      </x:c>
      <x:c r="P68" s="31" t="n">
        <x:v>70.38278277307094</x:v>
      </x:c>
      <x:c r="Q68" s="31" t="n">
        <x:v>72.99584844833217</x:v>
      </x:c>
      <x:c r="R68" s="31" t="n">
        <x:v>79.47992114067706</x:v>
      </x:c>
      <x:c r="S68" s="31" t="n">
        <x:v>77.31989895642317</x:v>
      </x:c>
      <x:c r="T68" s="31" t="n">
        <x:v>79.18814748477439</x:v>
      </x:c>
      <x:c r="U68" s="31" t="n">
        <x:v>73.22115923574606</x:v>
      </x:c>
    </x:row>
    <x:row r="69">
      <x:c r="A69" s="31" t="n">
        <x:v>6.7</x:v>
      </x:c>
      <x:c r="B69" s="31" t="n">
        <x:v>63.39240199777368</x:v>
      </x:c>
      <x:c r="C69" s="31" t="n">
        <x:v>66.68433154516521</x:v>
      </x:c>
      <x:c r="D69" s="31" t="n">
        <x:v>69.14511943454242</x:v>
      </x:c>
      <x:c r="E69" s="31" t="n">
        <x:v>57.28777403108867</x:v>
      </x:c>
      <x:c r="F69" s="31" t="n">
        <x:v>66.4878504181884</x:v>
      </x:c>
      <x:c r="G69" s="31" t="n">
        <x:v>73.1298401554368</x:v>
      </x:c>
      <x:c r="H69" s="31" t="n">
        <x:v>50</x:v>
      </x:c>
      <x:c r="I69" s="31" t="n">
        <x:v>64.49498031058592</x:v>
      </x:c>
      <x:c r="J69" s="31" t="n">
        <x:v>65.19990334480767</x:v>
      </x:c>
      <x:c r="K69" s="31" t="n">
        <x:v>87.73863091147638</x:v>
      </x:c>
      <x:c r="L69" s="31" t="n">
        <x:v>73.9458087236849</x:v>
      </x:c>
      <x:c r="M69" s="31" t="n">
        <x:v>89.597251530343</x:v>
      </x:c>
      <x:c r="N69" s="31" t="n">
        <x:v>90.52966986766239</x:v>
      </x:c>
      <x:c r="O69" s="31" t="n">
        <x:v>50</x:v>
      </x:c>
      <x:c r="P69" s="31" t="n">
        <x:v>69.89266369112566</x:v>
      </x:c>
      <x:c r="Q69" s="31" t="n">
        <x:v>72.99584844833217</x:v>
      </x:c>
      <x:c r="R69" s="31" t="n">
        <x:v>82.78451028218578</x:v>
      </x:c>
      <x:c r="S69" s="31" t="n">
        <x:v>73.33923421969797</x:v>
      </x:c>
      <x:c r="T69" s="31" t="n">
        <x:v>81.40269802485955</x:v>
      </x:c>
      <x:c r="U69" s="31" t="n">
        <x:v>73.33252034724765</x:v>
      </x:c>
    </x:row>
    <x:row r="70">
      <x:c r="A70" s="31" t="n">
        <x:v>6.800000000000001</x:v>
      </x:c>
      <x:c r="B70" s="31" t="n">
        <x:v>63.39240199777368</x:v>
      </x:c>
      <x:c r="C70" s="31" t="n">
        <x:v>64.651620147721</x:v>
      </x:c>
      <x:c r="D70" s="31" t="n">
        <x:v>69.0516351359886</x:v>
      </x:c>
      <x:c r="E70" s="31" t="n">
        <x:v>75.50720910881026</x:v>
      </x:c>
      <x:c r="F70" s="31" t="n">
        <x:v>67.09532934517078</x:v>
      </x:c>
      <x:c r="G70" s="31" t="n">
        <x:v>73.1298401554368</x:v>
      </x:c>
      <x:c r="H70" s="31" t="n">
        <x:v>71.73205265620048</x:v>
      </x:c>
      <x:c r="I70" s="31" t="n">
        <x:v>64.88721089320092</x:v>
      </x:c>
      <x:c r="J70" s="31" t="n">
        <x:v>58.831911284932275</x:v>
      </x:c>
      <x:c r="K70" s="31" t="n">
        <x:v>77.44188403164272</x:v>
      </x:c>
      <x:c r="L70" s="31" t="n">
        <x:v>71.5752546115794</x:v>
      </x:c>
      <x:c r="M70" s="31" t="n">
        <x:v>89.597251530343</x:v>
      </x:c>
      <x:c r="N70" s="31" t="n">
        <x:v>91.88308443264644</x:v>
      </x:c>
      <x:c r="O70" s="31" t="n">
        <x:v>50</x:v>
      </x:c>
      <x:c r="P70" s="31" t="n">
        <x:v>69.96575138417737</x:v>
      </x:c>
      <x:c r="Q70" s="31" t="n">
        <x:v>73.11041500948483</x:v>
      </x:c>
      <x:c r="R70" s="31" t="n">
        <x:v>82.78451028218578</x:v>
      </x:c>
      <x:c r="S70" s="31" t="n">
        <x:v>61.669617109848936</x:v>
      </x:c>
      <x:c r="T70" s="31" t="n">
        <x:v>89.55192558825723</x:v>
      </x:c>
      <x:c r="U70" s="31" t="n">
        <x:v>84.91904037282006</x:v>
      </x:c>
    </x:row>
    <x:row r="71">
      <x:c r="A71" s="31" t="n">
        <x:v>6.9</x:v>
      </x:c>
      <x:c r="B71" s="31" t="n">
        <x:v>60.37968604240321</x:v>
      </x:c>
      <x:c r="C71" s="31" t="n">
        <x:v>66.3751368514989</x:v>
      </x:c>
      <x:c r="D71" s="31" t="n">
        <x:v>82.32621299569381</x:v>
      </x:c>
      <x:c r="E71" s="31" t="n">
        <x:v>75.50720910881026</x:v>
      </x:c>
      <x:c r="F71" s="31" t="n">
        <x:v>68.67084005071793</x:v>
      </x:c>
      <x:c r="G71" s="31" t="n">
        <x:v>67.64005946466294</x:v>
      </x:c>
      <x:c r="H71" s="31" t="n">
        <x:v>72.91524009204396</x:v>
      </x:c>
      <x:c r="I71" s="31" t="n">
        <x:v>65.27944147581593</x:v>
      </x:c>
      <x:c r="J71" s="31" t="n">
        <x:v>73.0459913388872</x:v>
      </x:c>
      <x:c r="K71" s="31" t="n">
        <x:v>73.110708960122</x:v>
      </x:c>
      <x:c r="L71" s="31" t="n">
        <x:v>68.67425644435414</x:v>
      </x:c>
      <x:c r="M71" s="31" t="n">
        <x:v>83.42563783247681</x:v>
      </x:c>
      <x:c r="N71" s="31" t="n">
        <x:v>91.88308443264644</x:v>
      </x:c>
      <x:c r="O71" s="31" t="n">
        <x:v>90.76820330843665</x:v>
      </x:c>
      <x:c r="P71" s="31" t="n">
        <x:v>71.01880490074922</x:v>
      </x:c>
      <x:c r="Q71" s="31" t="n">
        <x:v>73.11041500948483</x:v>
      </x:c>
      <x:c r="R71" s="31" t="n">
        <x:v>73.49294067439246</x:v>
      </x:c>
      <x:c r="S71" s="31" t="n">
        <x:v>50</x:v>
      </x:c>
      <x:c r="T71" s="31" t="n">
        <x:v>94.22083671137256</x:v>
      </x:c>
      <x:c r="U71" s="31" t="n">
        <x:v>89.98127949053833</x:v>
      </x:c>
    </x:row>
    <x:row r="72">
      <x:c r="A72" s="31" t="n">
        <x:v>7</x:v>
      </x:c>
      <x:c r="B72" s="31" t="n">
        <x:v>60.63256325000498</x:v>
      </x:c>
      <x:c r="C72" s="31" t="n">
        <x:v>66.3751368514989</x:v>
      </x:c>
      <x:c r="D72" s="31" t="n">
        <x:v>85.0196241764834</x:v>
      </x:c>
      <x:c r="E72" s="31" t="n">
        <x:v>74.59498043955851</x:v>
      </x:c>
      <x:c r="F72" s="31" t="n">
        <x:v>69.11401429490441</x:v>
      </x:c>
      <x:c r="G72" s="31" t="n">
        <x:v>50</x:v>
      </x:c>
      <x:c r="H72" s="31" t="n">
        <x:v>72.92395263111827</x:v>
      </x:c>
      <x:c r="I72" s="31" t="n">
        <x:v>72.63045582143805</x:v>
      </x:c>
      <x:c r="J72" s="31" t="n">
        <x:v>73.0459913388872</x:v>
      </x:c>
      <x:c r="K72" s="31" t="n">
        <x:v>67.67634371394288</x:v>
      </x:c>
      <x:c r="L72" s="31" t="n">
        <x:v>65.99197929788215</x:v>
      </x:c>
      <x:c r="M72" s="31" t="n">
        <x:v>62.93068299515958</x:v>
      </x:c>
      <x:c r="N72" s="31" t="n">
        <x:v>86.16307710497983</x:v>
      </x:c>
      <x:c r="O72" s="31" t="n">
        <x:v>91.5569508295876</x:v>
      </x:c>
      <x:c r="P72" s="31" t="n">
        <x:v>71.01880490074922</x:v>
      </x:c>
      <x:c r="Q72" s="31" t="n">
        <x:v>73.20531312175669</x:v>
      </x:c>
      <x:c r="R72" s="31" t="n">
        <x:v>50</x:v>
      </x:c>
      <x:c r="S72" s="31" t="n">
        <x:v>69.86520713927348</x:v>
      </x:c>
      <x:c r="T72" s="31" t="n">
        <x:v>94.22083671137256</x:v>
      </x:c>
      <x:c r="U72" s="31" t="n">
        <x:v>89.98127949053833</x:v>
      </x:c>
    </x:row>
    <x:row r="73">
      <x:c r="A73" s="31" t="n">
        <x:v>7.1000000000000005</x:v>
      </x:c>
      <x:c r="B73" s="31" t="n">
        <x:v>60.528459575148716</x:v>
      </x:c>
      <x:c r="C73" s="31" t="n">
        <x:v>66.78922624536824</x:v>
      </x:c>
      <x:c r="D73" s="31" t="n">
        <x:v>85.01962417648338</x:v>
      </x:c>
      <x:c r="E73" s="31" t="n">
        <x:v>64.34092787285668</x:v>
      </x:c>
      <x:c r="F73" s="31" t="n">
        <x:v>68.55742352500282</x:v>
      </x:c>
      <x:c r="G73" s="31" t="n">
        <x:v>51.128313002116286</x:v>
      </x:c>
      <x:c r="H73" s="31" t="n">
        <x:v>74.45692958019625</x:v>
      </x:c>
      <x:c r="I73" s="31" t="n">
        <x:v>72.97022501718826</x:v>
      </x:c>
      <x:c r="J73" s="31" t="n">
        <x:v>64.95927954924912</x:v>
      </x:c>
      <x:c r="K73" s="31" t="n">
        <x:v>67.67634371394288</x:v>
      </x:c>
      <x:c r="L73" s="31" t="n">
        <x:v>88.7423586112051</x:v>
      </x:c>
      <x:c r="M73" s="31" t="n">
        <x:v>50</x:v>
      </x:c>
      <x:c r="N73" s="31" t="n">
        <x:v>85.61969065450465</x:v>
      </x:c>
      <x:c r="O73" s="31" t="n">
        <x:v>90.69080336955795</x:v>
      </x:c>
      <x:c r="P73" s="31" t="n">
        <x:v>70.47276244063434</x:v>
      </x:c>
      <x:c r="Q73" s="31" t="n">
        <x:v>73.33908089118415</x:v>
      </x:c>
      <x:c r="R73" s="31" t="n">
        <x:v>50</x:v>
      </x:c>
      <x:c r="S73" s="31" t="n">
        <x:v>89.5151208751045</x:v>
      </x:c>
      <x:c r="T73" s="31" t="n">
        <x:v>89.43268394371353</x:v>
      </x:c>
      <x:c r="U73" s="31" t="n">
        <x:v>82.18216185169074</x:v>
      </x:c>
    </x:row>
    <x:row r="74">
      <x:c r="A74" s="31" t="n">
        <x:v>7.2</x:v>
      </x:c>
      <x:c r="B74" s="31" t="n">
        <x:v>59.38732447850253</x:v>
      </x:c>
      <x:c r="C74" s="31" t="n">
        <x:v>66.78922624536824</x:v>
      </x:c>
      <x:c r="D74" s="31" t="n">
        <x:v>75.91417737440352</x:v>
      </x:c>
      <x:c r="E74" s="31" t="n">
        <x:v>51.56919522359503</x:v>
      </x:c>
      <x:c r="F74" s="31" t="n">
        <x:v>63.97528395496782</x:v>
      </x:c>
      <x:c r="G74" s="31" t="n">
        <x:v>56.76987801269756</x:v>
      </x:c>
      <x:c r="H74" s="31" t="n">
        <x:v>75.69276360140734</x:v>
      </x:c>
      <x:c r="I74" s="31" t="n">
        <x:v>69.4519747780134</x:v>
      </x:c>
      <x:c r="J74" s="31" t="n">
        <x:v>67.89105915069611</x:v>
      </x:c>
      <x:c r="K74" s="31" t="n">
        <x:v>68.41434562805054</x:v>
      </x:c>
      <x:c r="L74" s="31" t="n">
        <x:v>88.7423586112051</x:v>
      </x:c>
      <x:c r="M74" s="31" t="n">
        <x:v>55.060157128005</x:v>
      </x:c>
      <x:c r="N74" s="31" t="n">
        <x:v>80.6698448990544</x:v>
      </x:c>
      <x:c r="O74" s="31" t="n">
        <x:v>87.37617950005456</x:v>
      </x:c>
      <x:c r="P74" s="31" t="n">
        <x:v>70.47276244063434</x:v>
      </x:c>
      <x:c r="Q74" s="31" t="n">
        <x:v>73.33908089118415</x:v>
      </x:c>
      <x:c r="R74" s="31" t="n">
        <x:v>50</x:v>
      </x:c>
      <x:c r="S74" s="31" t="n">
        <x:v>89.5151208751045</x:v>
      </x:c>
      <x:c r="T74" s="31" t="n">
        <x:v>86.06967130675824</x:v>
      </x:c>
      <x:c r="U74" s="31" t="n">
        <x:v>78.66251840906932</x:v>
      </x:c>
    </x:row>
    <x:row r="75">
      <x:c r="A75" s="31" t="n">
        <x:v>7.300000000000001</x:v>
      </x:c>
      <x:c r="B75" s="31" t="n">
        <x:v>61.222318215789855</x:v>
      </x:c>
      <x:c r="C75" s="31" t="n">
        <x:v>66.36885254932018</x:v>
      </x:c>
      <x:c r="D75" s="31" t="n">
        <x:v>69.71139131957179</x:v>
      </x:c>
      <x:c r="E75" s="31" t="n">
        <x:v>65.59038740235884</x:v>
      </x:c>
      <x:c r="F75" s="31" t="n">
        <x:v>76.00661785302458</x:v>
      </x:c>
      <x:c r="G75" s="31" t="n">
        <x:v>62.41144302327889</x:v>
      </x:c>
      <x:c r="H75" s="31" t="n">
        <x:v>75.93512654656433</x:v>
      </x:c>
      <x:c r="I75" s="31" t="n">
        <x:v>65.84449586947663</x:v>
      </x:c>
      <x:c r="J75" s="31" t="n">
        <x:v>68.54479491529462</x:v>
      </x:c>
      <x:c r="K75" s="31" t="n">
        <x:v>75.48424301007283</x:v>
      </x:c>
      <x:c r="L75" s="31" t="n">
        <x:v>85.27050752307959</x:v>
      </x:c>
      <x:c r="M75" s="31" t="n">
        <x:v>61.38535353801127</x:v>
      </x:c>
      <x:c r="N75" s="31" t="n">
        <x:v>81.27261207654404</x:v>
      </x:c>
      <x:c r="O75" s="31" t="n">
        <x:v>82.4788858495082</x:v>
      </x:c>
      <x:c r="P75" s="31" t="n">
        <x:v>80.4734798266183</x:v>
      </x:c>
      <x:c r="Q75" s="31" t="n">
        <x:v>72.23330588634505</x:v>
      </x:c>
      <x:c r="R75" s="31" t="n">
        <x:v>50</x:v>
      </x:c>
      <x:c r="S75" s="31" t="n">
        <x:v>85.8094320277924</x:v>
      </x:c>
      <x:c r="T75" s="31" t="n">
        <x:v>82.8881261591596</x:v>
      </x:c>
      <x:c r="U75" s="31" t="n">
        <x:v>70.99662941352071</x:v>
      </x:c>
    </x:row>
    <x:row r="76">
      <x:c r="A76" s="31" t="n">
        <x:v>7.4</x:v>
      </x:c>
      <x:c r="B76" s="31" t="n">
        <x:v>61.222318215789855</x:v>
      </x:c>
      <x:c r="C76" s="31" t="n">
        <x:v>66.11004770911029</x:v>
      </x:c>
      <x:c r="D76" s="31" t="n">
        <x:v>56.6292311708693</x:v>
      </x:c>
      <x:c r="E76" s="31" t="n">
        <x:v>66.81350841230534</x:v>
      </x:c>
      <x:c r="F76" s="31" t="n">
        <x:v>79.97739876128833</x:v>
      </x:c>
      <x:c r="G76" s="31" t="n">
        <x:v>64.66806902751136</x:v>
      </x:c>
      <x:c r="H76" s="31" t="n">
        <x:v>75.9964478547761</x:v>
      </x:c>
      <x:c r="I76" s="31" t="n">
        <x:v>68.41610352681936</x:v>
      </x:c>
      <x:c r="J76" s="31" t="n">
        <x:v>68.73454693061345</x:v>
      </x:c>
      <x:c r="K76" s="31" t="n">
        <x:v>75.48424301007283</x:v>
      </x:c>
      <x:c r="L76" s="31" t="n">
        <x:v>75.43139340576485</x:v>
      </x:c>
      <x:c r="M76" s="31" t="n">
        <x:v>67.7105499480175</x:v>
      </x:c>
      <x:c r="N76" s="31" t="n">
        <x:v>81.66179531100587</x:v>
      </x:c>
      <x:c r="O76" s="31" t="n">
        <x:v>80.72780313594787</x:v>
      </x:c>
      <x:c r="P76" s="31" t="n">
        <x:v>80.74148069993115</x:v>
      </x:c>
      <x:c r="Q76" s="31" t="n">
        <x:v>72.23330588634505</x:v>
      </x:c>
      <x:c r="R76" s="31" t="n">
        <x:v>82.55999518313902</x:v>
      </x:c>
      <x:c r="S76" s="31" t="n">
        <x:v>78.53268556325948</x:v>
      </x:c>
      <x:c r="T76" s="31" t="n">
        <x:v>80.46253053511475</x:v>
      </x:c>
      <x:c r="U76" s="31" t="n">
        <x:v>50</x:v>
      </x:c>
    </x:row>
    <x:row r="77">
      <x:c r="A77" s="31" t="n">
        <x:v>7.5</x:v>
      </x:c>
      <x:c r="B77" s="31" t="n">
        <x:v>60.837786603181</x:v>
      </x:c>
      <x:c r="C77" s="31" t="n">
        <x:v>65.62629568350751</x:v>
      </x:c>
      <x:c r="D77" s="31" t="n">
        <x:v>56.0375293343452</x:v>
      </x:c>
      <x:c r="E77" s="31" t="n">
        <x:v>68.1441727031913</x:v>
      </x:c>
      <x:c r="F77" s="31" t="n">
        <x:v>79.97739876128833</x:v>
      </x:c>
      <x:c r="G77" s="31" t="n">
        <x:v>66.26500428157351</x:v>
      </x:c>
      <x:c r="H77" s="31" t="n">
        <x:v>77.01025088805179</x:v>
      </x:c>
      <x:c r="I77" s="31" t="n">
        <x:v>70.24256777784848</x:v>
      </x:c>
      <x:c r="J77" s="31" t="n">
        <x:v>68.34318480303608</x:v>
      </x:c>
      <x:c r="K77" s="31" t="n">
        <x:v>71.67127713822835</x:v>
      </x:c>
      <x:c r="L77" s="31" t="n">
        <x:v>60.42249304941491</x:v>
      </x:c>
      <x:c r="M77" s="31" t="n">
        <x:v>88.1455880406514</x:v>
      </x:c>
      <x:c r="N77" s="31" t="n">
        <x:v>81.80085068715888</x:v>
      </x:c>
      <x:c r="O77" s="31" t="n">
        <x:v>79.43638381423557</x:v>
      </x:c>
      <x:c r="P77" s="31" t="n">
        <x:v>79.65084872760235</x:v>
      </x:c>
      <x:c r="Q77" s="31" t="n">
        <x:v>71.96093472495733</x:v>
      </x:c>
      <x:c r="R77" s="31" t="n">
        <x:v>82.81102290532374</x:v>
      </x:c>
      <x:c r="S77" s="31" t="n">
        <x:v>72.62754209431638</x:v>
      </x:c>
      <x:c r="T77" s="31" t="n">
        <x:v>77.79076630432726</x:v>
      </x:c>
      <x:c r="U77" s="31" t="n">
        <x:v>50</x:v>
      </x:c>
    </x:row>
    <x:row r="78">
      <x:c r="A78" s="31" t="n">
        <x:v>7.6000000000000005</x:v>
      </x:c>
      <x:c r="B78" s="31" t="n">
        <x:v>63.387575856292386</x:v>
      </x:c>
      <x:c r="C78" s="31" t="n">
        <x:v>76.87001486596793</x:v>
      </x:c>
      <x:c r="D78" s="31" t="n">
        <x:v>50</x:v>
      </x:c>
      <x:c r="E78" s="31" t="n">
        <x:v>68.65583822811132</x:v>
      </x:c>
      <x:c r="F78" s="31" t="n">
        <x:v>69.92700157344949</x:v>
      </x:c>
      <x:c r="G78" s="31" t="n">
        <x:v>67.82309184739017</x:v>
      </x:c>
      <x:c r="H78" s="31" t="n">
        <x:v>77.01025088805179</x:v>
      </x:c>
      <x:c r="I78" s="31" t="n">
        <x:v>70.24256777784846</x:v>
      </x:c>
      <x:c r="J78" s="31" t="n">
        <x:v>67.35265526994101</x:v>
      </x:c>
      <x:c r="K78" s="31" t="n">
        <x:v>50.0000000000007</x:v>
      </x:c>
      <x:c r="L78" s="31" t="n">
        <x:v>55.684996208771736</x:v>
      </x:c>
      <x:c r="M78" s="31" t="n">
        <x:v>90.13955655776095</x:v>
      </x:c>
      <x:c r="N78" s="31" t="n">
        <x:v>82.83195648814362</x:v>
      </x:c>
      <x:c r="O78" s="31" t="n">
        <x:v>80.04055046313971</x:v>
      </x:c>
      <x:c r="P78" s="31" t="n">
        <x:v>66.72057343970742</x:v>
      </x:c>
      <x:c r="Q78" s="31" t="n">
        <x:v>80.9563166620452</x:v>
      </x:c>
      <x:c r="R78" s="31" t="n">
        <x:v>81.02683692765547</x:v>
      </x:c>
      <x:c r="S78" s="31" t="n">
        <x:v>64.24110783060037</x:v>
      </x:c>
      <x:c r="T78" s="31" t="n">
        <x:v>81.90399313509417</x:v>
      </x:c>
      <x:c r="U78" s="31" t="n">
        <x:v>50</x:v>
      </x:c>
    </x:row>
    <x:row r="79">
      <x:c r="A79" s="31" t="n">
        <x:v>7.7</x:v>
      </x:c>
      <x:c r="B79" s="31" t="n">
        <x:v>63.387575856292386</x:v>
      </x:c>
      <x:c r="C79" s="31" t="n">
        <x:v>76.87001486596793</x:v>
      </x:c>
      <x:c r="D79" s="31" t="n">
        <x:v>63.98528142988954</x:v>
      </x:c>
      <x:c r="E79" s="31" t="n">
        <x:v>68.84089937651862</x:v>
      </x:c>
      <x:c r="F79" s="31" t="n">
        <x:v>60.113341758189385</x:v>
      </x:c>
      <x:c r="G79" s="31" t="n">
        <x:v>67.82309184739017</x:v>
      </x:c>
      <x:c r="H79" s="31" t="n">
        <x:v>76.16813161537245</x:v>
      </x:c>
      <x:c r="I79" s="31" t="n">
        <x:v>69.29842356222244</x:v>
      </x:c>
      <x:c r="J79" s="31" t="n">
        <x:v>81.50179833299234</x:v>
      </x:c>
      <x:c r="K79" s="31" t="n">
        <x:v>67.51394569884744</x:v>
      </x:c>
      <x:c r="L79" s="31" t="n">
        <x:v>50.947499368128604</x:v>
      </x:c>
      <x:c r="M79" s="31" t="n">
        <x:v>90.13955655776095</x:v>
      </x:c>
      <x:c r="N79" s="31" t="n">
        <x:v>82.15136947252701</x:v>
      </x:c>
      <x:c r="O79" s="31" t="n">
        <x:v>79.52922056818551</x:v>
      </x:c>
      <x:c r="P79" s="31" t="n">
        <x:v>50</x:v>
      </x:c>
      <x:c r="Q79" s="31" t="n">
        <x:v>80.9563166620452</x:v>
      </x:c>
      <x:c r="R79" s="31" t="n">
        <x:v>73.7833143870242</x:v>
      </x:c>
      <x:c r="S79" s="31" t="n">
        <x:v>52.37351797176669</x:v>
      </x:c>
      <x:c r="T79" s="31" t="n">
        <x:v>85.42984876290488</x:v>
      </x:c>
      <x:c r="U79" s="31" t="n">
        <x:v>50</x:v>
      </x:c>
    </x:row>
    <x:row r="80">
      <x:c r="A80" s="31" t="n">
        <x:v>7.800000000000001</x:v>
      </x:c>
      <x:c r="B80" s="31" t="n">
        <x:v>65.74071151944199</x:v>
      </x:c>
      <x:c r="C80" s="31" t="n">
        <x:v>73.19650312979871</x:v>
      </x:c>
      <x:c r="D80" s="31" t="n">
        <x:v>64.92034643048581</x:v>
      </x:c>
      <x:c r="E80" s="31" t="n">
        <x:v>69.59829082514338</x:v>
      </x:c>
      <x:c r="F80" s="31" t="n">
        <x:v>50</x:v>
      </x:c>
      <x:c r="G80" s="31" t="n">
        <x:v>63.62555754664477</x:v>
      </x:c>
      <x:c r="H80" s="31" t="n">
        <x:v>86.72036289109103</x:v>
      </x:c>
      <x:c r="I80" s="31" t="n">
        <x:v>69.53851099127894</x:v>
      </x:c>
      <x:c r="J80" s="31" t="n">
        <x:v>85.7387718837057</x:v>
      </x:c>
      <x:c r="K80" s="31" t="n">
        <x:v>68.28518483137131</x:v>
      </x:c>
      <x:c r="L80" s="31" t="n">
        <x:v>55.755394854293996</x:v>
      </x:c>
      <x:c r="M80" s="31" t="n">
        <x:v>85.91757607100315</x:v>
      </x:c>
      <x:c r="N80" s="31" t="n">
        <x:v>82.11753559445836</x:v>
      </x:c>
      <x:c r="O80" s="31" t="n">
        <x:v>80.87852708245407</x:v>
      </x:c>
      <x:c r="P80" s="31" t="n">
        <x:v>50</x:v>
      </x:c>
      <x:c r="Q80" s="31" t="n">
        <x:v>75.06098001385593</x:v>
      </x:c>
      <x:c r="R80" s="31" t="n">
        <x:v>73.0087436324029</x:v>
      </x:c>
      <x:c r="S80" s="31" t="n">
        <x:v>67.24282169045308</x:v>
      </x:c>
      <x:c r="T80" s="31" t="n">
        <x:v>85.42984876290483</x:v>
      </x:c>
      <x:c r="U80" s="31" t="n">
        <x:v>74.16219788080816</x:v>
      </x:c>
    </x:row>
    <x:row r="81">
      <x:c r="A81" s="31" t="n">
        <x:v>7.9</x:v>
      </x:c>
      <x:c r="B81" s="31" t="n">
        <x:v>65.74071151944199</x:v>
      </x:c>
      <x:c r="C81" s="31" t="n">
        <x:v>63.306340267701586</x:v>
      </x:c>
      <x:c r="D81" s="31" t="n">
        <x:v>64.92034643048581</x:v>
      </x:c>
      <x:c r="E81" s="31" t="n">
        <x:v>69.32295618025867</x:v>
      </x:c>
      <x:c r="F81" s="31" t="n">
        <x:v>50</x:v>
      </x:c>
      <x:c r="G81" s="31" t="n">
        <x:v>63.37069096766116</x:v>
      </x:c>
      <x:c r="H81" s="31" t="n">
        <x:v>86.72036289109103</x:v>
      </x:c>
      <x:c r="I81" s="31" t="n">
        <x:v>70.26040594296151</x:v>
      </x:c>
      <x:c r="J81" s="31" t="n">
        <x:v>85.7387718837057</x:v>
      </x:c>
      <x:c r="K81" s="31" t="n">
        <x:v>68.44309078964896</x:v>
      </x:c>
      <x:c r="L81" s="31" t="n">
        <x:v>62.94963842216137</x:v>
      </x:c>
      <x:c r="M81" s="31" t="n">
        <x:v>85.76602709999953</x:v>
      </x:c>
      <x:c r="N81" s="31" t="n">
        <x:v>79.95198828054674</x:v>
      </x:c>
      <x:c r="O81" s="31" t="n">
        <x:v>81.41559184895073</x:v>
      </x:c>
      <x:c r="P81" s="31" t="n">
        <x:v>50</x:v>
      </x:c>
      <x:c r="Q81" s="31" t="n">
        <x:v>71.96928419103318</x:v>
      </x:c>
      <x:c r="R81" s="31" t="n">
        <x:v>68.76443619216245</x:v>
      </x:c>
      <x:c r="S81" s="31" t="n">
        <x:v>76.38046137919136</x:v>
      </x:c>
      <x:c r="T81" s="31" t="n">
        <x:v>78.79552545886534</x:v>
      </x:c>
      <x:c r="U81" s="31" t="n">
        <x:v>84.08545286264737</x:v>
      </x:c>
    </x:row>
    <x:row r="82">
      <x:c r="A82" s="31" t="n">
        <x:v>8</x:v>
      </x:c>
      <x:c r="B82" s="31" t="n">
        <x:v>64.53963063012387</x:v>
      </x:c>
      <x:c r="C82" s="31" t="n">
        <x:v>58.54296568726665</x:v>
      </x:c>
      <x:c r="D82" s="31" t="n">
        <x:v>57.14753933904788</x:v>
      </x:c>
      <x:c r="E82" s="31" t="n">
        <x:v>69.64299750951659</x:v>
      </x:c>
      <x:c r="F82" s="31" t="n">
        <x:v>54.895918255502096</x:v>
      </x:c>
      <x:c r="G82" s="31" t="n">
        <x:v>63.37069096766116</x:v>
      </x:c>
      <x:c r="H82" s="31" t="n">
        <x:v>82.1715736449258</x:v>
      </x:c>
      <x:c r="I82" s="31" t="n">
        <x:v>70.26040594296151</x:v>
      </x:c>
      <x:c r="J82" s="31" t="n">
        <x:v>78.64603192975648</x:v>
      </x:c>
      <x:c r="K82" s="31" t="n">
        <x:v>68.44309078964896</x:v>
      </x:c>
      <x:c r="L82" s="31" t="n">
        <x:v>87.47965334654988</x:v>
      </x:c>
      <x:c r="M82" s="31" t="n">
        <x:v>82.5727743917002</x:v>
      </x:c>
      <x:c r="N82" s="31" t="n">
        <x:v>82.52457885675395</x:v>
      </x:c>
      <x:c r="O82" s="31" t="n">
        <x:v>80.53330662853392</x:v>
      </x:c>
      <x:c r="P82" s="31" t="n">
        <x:v>50</x:v>
      </x:c>
      <x:c r="Q82" s="31" t="n">
        <x:v>59.75833489403573</x:v>
      </x:c>
      <x:c r="R82" s="31" t="n">
        <x:v>68.85969854778932</x:v>
      </x:c>
      <x:c r="S82" s="31" t="n">
        <x:v>78.99520663936872</x:v>
      </x:c>
      <x:c r="T82" s="31" t="n">
        <x:v>73.99150251501668</x:v>
      </x:c>
      <x:c r="U82" s="31" t="n">
        <x:v>85.46977671563025</x:v>
      </x:c>
    </x:row>
    <x:row r="83">
      <x:c r="A83" s="31" t="n">
        <x:v>8.1</x:v>
      </x:c>
      <x:c r="B83" s="31" t="n">
        <x:v>83.21204614551613</x:v>
      </x:c>
      <x:c r="C83" s="31" t="n">
        <x:v>57.45599839028682</x:v>
      </x:c>
      <x:c r="D83" s="31" t="n">
        <x:v>69.06010490412771</x:v>
      </x:c>
      <x:c r="E83" s="31" t="n">
        <x:v>73.5951519509475</x:v>
      </x:c>
      <x:c r="F83" s="31" t="n">
        <x:v>64.1367501352751</x:v>
      </x:c>
      <x:c r="G83" s="31" t="n">
        <x:v>62.62610293547759</x:v>
      </x:c>
      <x:c r="H83" s="31" t="n">
        <x:v>71.71355490200693</x:v>
      </x:c>
      <x:c r="I83" s="31" t="n">
        <x:v>70.05536175570927</x:v>
      </x:c>
      <x:c r="J83" s="31" t="n">
        <x:v>70.24448311347251</x:v>
      </x:c>
      <x:c r="K83" s="31" t="n">
        <x:v>85.11382408991182</x:v>
      </x:c>
      <x:c r="L83" s="31" t="n">
        <x:v>89.90635219359412</x:v>
      </x:c>
      <x:c r="M83" s="31" t="n">
        <x:v>82.32224440089966</x:v>
      </x:c>
      <x:c r="N83" s="31" t="n">
        <x:v>86.10138346105471</x:v>
      </x:c>
      <x:c r="O83" s="31" t="n">
        <x:v>89.5137194769066</x:v>
      </x:c>
      <x:c r="P83" s="31" t="n">
        <x:v>75.09790155597075</x:v>
      </x:c>
      <x:c r="Q83" s="31" t="n">
        <x:v>52.894001510523864</x:v>
      </x:c>
      <x:c r="R83" s="31" t="n">
        <x:v>69.06638514192295</x:v>
      </x:c>
      <x:c r="S83" s="31" t="n">
        <x:v>87.32736862963998</x:v>
      </x:c>
      <x:c r="T83" s="31" t="n">
        <x:v>50</x:v>
      </x:c>
      <x:c r="U83" s="31" t="n">
        <x:v>85.46977671563025</x:v>
      </x:c>
    </x:row>
    <x:row r="84">
      <x:c r="A84" s="31" t="n">
        <x:v>8.200000000000001</x:v>
      </x:c>
      <x:c r="B84" s="31" t="n">
        <x:v>83.63204084863541</x:v>
      </x:c>
      <x:c r="C84" s="31" t="n">
        <x:v>56.36903109330699</x:v>
      </x:c>
      <x:c r="D84" s="31" t="n">
        <x:v>73.82513113015978</x:v>
      </x:c>
      <x:c r="E84" s="31" t="n">
        <x:v>85.80990723213586</x:v>
      </x:c>
      <x:c r="F84" s="31" t="n">
        <x:v>64.1367501352751</x:v>
      </x:c>
      <x:c r="G84" s="31" t="n">
        <x:v>62.640442090163944</x:v>
      </x:c>
      <x:c r="H84" s="31" t="n">
        <x:v>62.863826176266485</x:v>
      </x:c>
      <x:c r="I84" s="31" t="n">
        <x:v>68.12748055324035</x:v>
      </x:c>
      <x:c r="J84" s="31" t="n">
        <x:v>60.82047166771385</x:v>
      </x:c>
      <x:c r="K84" s="31" t="n">
        <x:v>87.97304815893175</x:v>
      </x:c>
      <x:c r="L84" s="31" t="n">
        <x:v>89.90635219359406</x:v>
      </x:c>
      <x:c r="M84" s="31" t="n">
        <x:v>81.83205449214583</x:v>
      </x:c>
      <x:c r="N84" s="31" t="n">
        <x:v>89.67818806535554</x:v>
      </x:c>
      <x:c r="O84" s="31" t="n">
        <x:v>89.5137194769066</x:v>
      </x:c>
      <x:c r="P84" s="31" t="n">
        <x:v>79.28333114158612</x:v>
      </x:c>
      <x:c r="Q84" s="31" t="n">
        <x:v>50</x:v>
      </x:c>
      <x:c r="R84" s="31" t="n">
        <x:v>69.06638514192295</x:v>
      </x:c>
      <x:c r="S84" s="31" t="n">
        <x:v>94.75650375754337</x:v>
      </x:c>
      <x:c r="T84" s="31" t="n">
        <x:v>50</x:v>
      </x:c>
      <x:c r="U84" s="31" t="n">
        <x:v>83.43622126408147</x:v>
      </x:c>
    </x:row>
    <x:row r="85">
      <x:c r="A85" s="31" t="n">
        <x:v>8.3</x:v>
      </x:c>
      <x:c r="B85" s="31" t="n">
        <x:v>81.8510928758657</x:v>
      </x:c>
      <x:c r="C85" s="31" t="n">
        <x:v>55.28206379632716</x:v>
      </x:c>
      <x:c r="D85" s="31" t="n">
        <x:v>73.16434377382075</x:v>
      </x:c>
      <x:c r="E85" s="31" t="n">
        <x:v>85.80990723213586</x:v>
      </x:c>
      <x:c r="F85" s="31" t="n">
        <x:v>69.97111973111022</x:v>
      </x:c>
      <x:c r="G85" s="31" t="n">
        <x:v>64.29089824574392</x:v>
      </x:c>
      <x:c r="H85" s="31" t="n">
        <x:v>50</x:v>
      </x:c>
      <x:c r="I85" s="31" t="n">
        <x:v>65.69803740675906</x:v>
      </x:c>
      <x:c r="J85" s="31" t="n">
        <x:v>60.82047166771385</x:v>
      </x:c>
      <x:c r="K85" s="31" t="n">
        <x:v>87.97304815893175</x:v>
      </x:c>
      <x:c r="L85" s="31" t="n">
        <x:v>83.973346824528</x:v>
      </x:c>
      <x:c r="M85" s="31" t="n">
        <x:v>83.31460535693927</x:v>
      </x:c>
      <x:c r="N85" s="31" t="n">
        <x:v>90.39354898621568</x:v>
      </x:c>
      <x:c r="O85" s="31" t="n">
        <x:v>85.83295597522292</x:v>
      </x:c>
      <x:c r="P85" s="31" t="n">
        <x:v>79.28333114158612</x:v>
      </x:c>
      <x:c r="Q85" s="31" t="n">
        <x:v>50</x:v>
      </x:c>
      <x:c r="R85" s="31" t="n">
        <x:v>69.92710365498552</x:v>
      </x:c>
      <x:c r="S85" s="31" t="n">
        <x:v>94.75650375754337</x:v>
      </x:c>
      <x:c r="T85" s="31" t="n">
        <x:v>73.74525290141182</x:v>
      </x:c>
      <x:c r="U85" s="31" t="n">
        <x:v>82.8472901332627</x:v>
      </x:c>
    </x:row>
    <x:row r="86">
      <x:c r="A86" s="31" t="n">
        <x:v>8.4</x:v>
      </x:c>
      <x:c r="B86" s="31" t="n">
        <x:v>73.30781053394524</x:v>
      </x:c>
      <x:c r="C86" s="31" t="n">
        <x:v>54.195096499347336</x:v>
      </x:c>
      <x:c r="D86" s="31" t="n">
        <x:v>69.18064065343654</x:v>
      </x:c>
      <x:c r="E86" s="31" t="n">
        <x:v>78.28328708764963</x:v>
      </x:c>
      <x:c r="F86" s="31" t="n">
        <x:v>70.69537950289313</x:v>
      </x:c>
      <x:c r="G86" s="31" t="n">
        <x:v>64.29089824574392</x:v>
      </x:c>
      <x:c r="H86" s="31" t="n">
        <x:v>61.82652153517522</x:v>
      </x:c>
      <x:c r="I86" s="31" t="n">
        <x:v>71.46206962692445</x:v>
      </x:c>
      <x:c r="J86" s="31" t="n">
        <x:v>61.24275851732004</x:v>
      </x:c>
      <x:c r="K86" s="31" t="n">
        <x:v>80.30697647752459</x:v>
      </x:c>
      <x:c r="L86" s="31" t="n">
        <x:v>80.36184565767923</x:v>
      </x:c>
      <x:c r="M86" s="31" t="n">
        <x:v>83.31460535693927</x:v>
      </x:c>
      <x:c r="N86" s="31" t="n">
        <x:v>87.99773252657383</x:v>
      </x:c>
      <x:c r="O86" s="31" t="n">
        <x:v>50</x:v>
      </x:c>
      <x:c r="P86" s="31" t="n">
        <x:v>72.4489389852117</x:v>
      </x:c>
      <x:c r="Q86" s="31" t="n">
        <x:v>50</x:v>
      </x:c>
      <x:c r="R86" s="31" t="n">
        <x:v>70.33567950593505</x:v>
      </x:c>
      <x:c r="S86" s="31" t="n">
        <x:v>90.25887380085135</x:v>
      </x:c>
      <x:c r="T86" s="31" t="n">
        <x:v>78.35338064394455</x:v>
      </x:c>
      <x:c r="U86" s="31" t="n">
        <x:v>82.11114336660981</x:v>
      </x:c>
    </x:row>
    <x:row r="87">
      <x:c r="A87" s="31" t="n">
        <x:v>8.5</x:v>
      </x:c>
      <x:c r="B87" s="31" t="n">
        <x:v>63.98859630203511</x:v>
      </x:c>
      <x:c r="C87" s="31" t="n">
        <x:v>53.108129202367515</x:v>
      </x:c>
      <x:c r="D87" s="31" t="n">
        <x:v>64.51825080963157</x:v>
      </x:c>
      <x:c r="E87" s="31" t="n">
        <x:v>69.70272600779096</x:v>
      </x:c>
      <x:c r="F87" s="31" t="n">
        <x:v>69.2552744554041</x:v>
      </x:c>
      <x:c r="G87" s="31" t="n">
        <x:v>62.70779624556369</x:v>
      </x:c>
      <x:c r="H87" s="31" t="n">
        <x:v>66.55713014924522</x:v>
      </x:c>
      <x:c r="I87" s="31" t="n">
        <x:v>77.9233136081331</x:v>
      </x:c>
      <x:c r="J87" s="31" t="n">
        <x:v>71.84811922805191</x:v>
      </x:c>
      <x:c r="K87" s="31" t="n">
        <x:v>69.81965219881776</x:v>
      </x:c>
      <x:c r="L87" s="31" t="n">
        <x:v>76.16173170126719</x:v>
      </x:c>
      <x:c r="M87" s="31" t="n">
        <x:v>82.0241390090836</x:v>
      </x:c>
      <x:c r="N87" s="31" t="n">
        <x:v>74.85609020698718</x:v>
      </x:c>
      <x:c r="O87" s="31" t="n">
        <x:v>56.25398012164426</x:v>
      </x:c>
      <x:c r="P87" s="31" t="n">
        <x:v>72.4489389852117</x:v>
      </x:c>
      <x:c r="Q87" s="31" t="n">
        <x:v>50</x:v>
      </x:c>
      <x:c r="R87" s="31" t="n">
        <x:v>70.33567950593505</x:v>
      </x:c>
      <x:c r="S87" s="31" t="n">
        <x:v>85.57628087969839</x:v>
      </x:c>
      <x:c r="T87" s="31" t="n">
        <x:v>80.55198012381436</x:v>
      </x:c>
      <x:c r="U87" s="31" t="n">
        <x:v>76.92852411565127</x:v>
      </x:c>
    </x:row>
    <x:row r="88">
      <x:c r="A88" s="31" t="n">
        <x:v>8.6</x:v>
      </x:c>
      <x:c r="B88" s="31" t="n">
        <x:v>58.85877636092859</x:v>
      </x:c>
      <x:c r="C88" s="31" t="n">
        <x:v>55.850170161889956</x:v>
      </x:c>
      <x:c r="D88" s="31" t="n">
        <x:v>63.94570314056074</x:v>
      </x:c>
      <x:c r="E88" s="31" t="n">
        <x:v>62.07455202673029</x:v>
      </x:c>
      <x:c r="F88" s="31" t="n">
        <x:v>61.29724336114717</x:v>
      </x:c>
      <x:c r="G88" s="31" t="n">
        <x:v>62.81015573790096</x:v>
      </x:c>
      <x:c r="H88" s="31" t="n">
        <x:v>74.86670335342863</x:v>
      </x:c>
      <x:c r="I88" s="31" t="n">
        <x:v>77.9233136081331</x:v>
      </x:c>
      <x:c r="J88" s="31" t="n">
        <x:v>73.96919137019825</x:v>
      </x:c>
      <x:c r="K88" s="31" t="n">
        <x:v>67.52415993187557</x:v>
      </x:c>
      <x:c r="L88" s="31" t="n">
        <x:v>76.57824094473509</x:v>
      </x:c>
      <x:c r="M88" s="31" t="n">
        <x:v>82.0241390090836</x:v>
      </x:c>
      <x:c r="N88" s="31" t="n">
        <x:v>50</x:v>
      </x:c>
      <x:c r="O88" s="31" t="n">
        <x:v>71.8889304257552</x:v>
      </x:c>
      <x:c r="P88" s="31" t="n">
        <x:v>71.450755744335</x:v>
      </x:c>
      <x:c r="Q88" s="31" t="n">
        <x:v>59.91145103938834</x:v>
      </x:c>
      <x:c r="R88" s="31" t="n">
        <x:v>68.28572192390274</x:v>
      </x:c>
      <x:c r="S88" s="31" t="n">
        <x:v>84.4550999962313</x:v>
      </x:c>
      <x:c r="T88" s="31" t="n">
        <x:v>81.90242025008149</x:v>
      </x:c>
      <x:c r="U88" s="31" t="n">
        <x:v>75.74189237127783</x:v>
      </x:c>
    </x:row>
    <x:row r="89">
      <x:c r="A89" s="31" t="n">
        <x:v>8.700000000000001</x:v>
      </x:c>
      <x:c r="B89" s="31" t="n">
        <x:v>54.69511932862837</x:v>
      </x:c>
      <x:c r="C89" s="31" t="n">
        <x:v>63.79223985767615</x:v>
      </x:c>
      <x:c r="D89" s="31" t="n">
        <x:v>66.71952072544124</x:v>
      </x:c>
      <x:c r="E89" s="31" t="n">
        <x:v>58.72800403337344</x:v>
      </x:c>
      <x:c r="F89" s="31" t="n">
        <x:v>59.07158952825119</x:v>
      </x:c>
      <x:c r="G89" s="31" t="n">
        <x:v>62.877582497891126</x:v>
      </x:c>
      <x:c r="H89" s="31" t="n">
        <x:v>75.84750031834196</x:v>
      </x:c>
      <x:c r="I89" s="31" t="n">
        <x:v>70.72547515863069</x:v>
      </x:c>
      <x:c r="J89" s="31" t="n">
        <x:v>70.28248153995345</x:v>
      </x:c>
      <x:c r="K89" s="31" t="n">
        <x:v>69.28299878861644</x:v>
      </x:c>
      <x:c r="L89" s="31" t="n">
        <x:v>77.33692446592633</x:v>
      </x:c>
      <x:c r="M89" s="31" t="n">
        <x:v>81.59627821403066</x:v>
      </x:c>
      <x:c r="N89" s="31" t="n">
        <x:v>52.513600575807004</x:v>
      </x:c>
      <x:c r="O89" s="31" t="n">
        <x:v>87.90465557420072</x:v>
      </x:c>
      <x:c r="P89" s="31" t="n">
        <x:v>70.87216842120215</x:v>
      </x:c>
      <x:c r="Q89" s="31" t="n">
        <x:v>69.26173337268052</x:v>
      </x:c>
      <x:c r="R89" s="31" t="n">
        <x:v>83.50492979535233</x:v>
      </x:c>
      <x:c r="S89" s="31" t="n">
        <x:v>81.06315349805564</x:v>
      </x:c>
      <x:c r="T89" s="31" t="n">
        <x:v>94.35508182148182</x:v>
      </x:c>
      <x:c r="U89" s="31" t="n">
        <x:v>74.9771961802805</x:v>
      </x:c>
    </x:row>
    <x:row r="90">
      <x:c r="A90" s="31" t="n">
        <x:v>8.8</x:v>
      </x:c>
      <x:c r="B90" s="31" t="n">
        <x:v>52.87224478341048</x:v>
      </x:c>
      <x:c r="C90" s="31" t="n">
        <x:v>71.7343095534622</x:v>
      </x:c>
      <x:c r="D90" s="31" t="n">
        <x:v>66.71952072544124</x:v>
      </x:c>
      <x:c r="E90" s="31" t="n">
        <x:v>67.34807090434519</x:v>
      </x:c>
      <x:c r="F90" s="31" t="n">
        <x:v>64.81135242743223</x:v>
      </x:c>
      <x:c r="G90" s="31" t="n">
        <x:v>79.00790257786969</x:v>
      </x:c>
      <x:c r="H90" s="31" t="n">
        <x:v>75.84750031834196</x:v>
      </x:c>
      <x:c r="I90" s="31" t="n">
        <x:v>69.61241974652796</x:v>
      </x:c>
      <x:c r="J90" s="31" t="n">
        <x:v>67.26169068936032</x:v>
      </x:c>
      <x:c r="K90" s="31" t="n">
        <x:v>67.7043680165149</x:v>
      </x:c>
      <x:c r="L90" s="31" t="n">
        <x:v>77.33692446592633</x:v>
      </x:c>
      <x:c r="M90" s="31" t="n">
        <x:v>91.75322710746616</x:v>
      </x:c>
      <x:c r="N90" s="31" t="n">
        <x:v>65.08160345484112</x:v>
      </x:c>
      <x:c r="O90" s="31" t="n">
        <x:v>90.69122313463556</x:v>
      </x:c>
      <x:c r="P90" s="31" t="n">
        <x:v>70.61864685627499</x:v>
      </x:c>
      <x:c r="Q90" s="31" t="n">
        <x:v>69.8300729182381</x:v>
      </x:c>
      <x:c r="R90" s="31" t="n">
        <x:v>83.50492979535233</x:v>
      </x:c>
      <x:c r="S90" s="31" t="n">
        <x:v>78.25826149535692</x:v>
      </x:c>
      <x:c r="T90" s="31" t="n">
        <x:v>94.35508182148182</x:v>
      </x:c>
      <x:c r="U90" s="31" t="n">
        <x:v>72.06819914646513</x:v>
      </x:c>
    </x:row>
    <x:row r="91">
      <x:c r="A91" s="31" t="n">
        <x:v>8.9</x:v>
      </x:c>
      <x:c r="B91" s="31" t="n">
        <x:v>54.868428294308714</x:v>
      </x:c>
      <x:c r="C91" s="31" t="n">
        <x:v>71.7343095534622</x:v>
      </x:c>
      <x:c r="D91" s="31" t="n">
        <x:v>66.07563352531949</x:v>
      </x:c>
      <x:c r="E91" s="31" t="n">
        <x:v>67.34807090434519</x:v>
      </x:c>
      <x:c r="F91" s="31" t="n">
        <x:v>66.30060762755048</x:v>
      </x:c>
      <x:c r="G91" s="31" t="n">
        <x:v>79.00790257786969</x:v>
      </x:c>
      <x:c r="H91" s="31" t="n">
        <x:v>51.02451629988019</x:v>
      </x:c>
      <x:c r="I91" s="31" t="n">
        <x:v>68.49936433442525</x:v>
      </x:c>
      <x:c r="J91" s="31" t="n">
        <x:v>68.41351388465907</x:v>
      </x:c>
      <x:c r="K91" s="31" t="n">
        <x:v>73.63922825294857</x:v>
      </x:c>
      <x:c r="L91" s="31" t="n">
        <x:v>76.88820682535003</x:v>
      </x:c>
      <x:c r="M91" s="31" t="n">
        <x:v>92.19598479994639</x:v>
      </x:c>
      <x:c r="N91" s="31" t="n">
        <x:v>84.92562336506437</x:v>
      </x:c>
      <x:c r="O91" s="31" t="n">
        <x:v>90.69122313463556</x:v>
      </x:c>
      <x:c r="P91" s="31" t="n">
        <x:v>70.61864685627499</x:v>
      </x:c>
      <x:c r="Q91" s="31" t="n">
        <x:v>68.49687652803713</x:v>
      </x:c>
      <x:c r="R91" s="31" t="n">
        <x:v>79.05624467965254</x:v>
      </x:c>
      <x:c r="S91" s="31" t="n">
        <x:v>77.1905333061213</x:v>
      </x:c>
      <x:c r="T91" s="31" t="n">
        <x:v>92.4644821934847</x:v>
      </x:c>
      <x:c r="U91" s="31" t="n">
        <x:v>72.28436436731059</x:v>
      </x:c>
    </x:row>
    <x:row r="92">
      <x:c r="A92" s="31" t="n">
        <x:v>9</x:v>
      </x:c>
      <x:c r="B92" s="31" t="n">
        <x:v>62.25199059131916</x:v>
      </x:c>
      <x:c r="C92" s="31" t="n">
        <x:v>70.07418209107477</x:v>
      </x:c>
      <x:c r="D92" s="31" t="n">
        <x:v>65.98804811693303</x:v>
      </x:c>
      <x:c r="E92" s="31" t="n">
        <x:v>63.43384169421563</x:v>
      </x:c>
      <x:c r="F92" s="31" t="n">
        <x:v>66.98781574569233</x:v>
      </x:c>
      <x:c r="G92" s="31" t="n">
        <x:v>73.91963788900243</x:v>
      </x:c>
      <x:c r="H92" s="31" t="n">
        <x:v>72.39936401050807</x:v>
      </x:c>
      <x:c r="I92" s="31" t="n">
        <x:v>67.38630892232254</x:v>
      </x:c>
      <x:c r="J92" s="31" t="n">
        <x:v>67.66669201960835</x:v>
      </x:c>
      <x:c r="K92" s="31" t="n">
        <x:v>74.08849897295164</x:v>
      </x:c>
      <x:c r="L92" s="31" t="n">
        <x:v>76.38010679479962</x:v>
      </x:c>
      <x:c r="M92" s="31" t="n">
        <x:v>91.76869888585574</x:v>
      </x:c>
      <x:c r="N92" s="31" t="n">
        <x:v>90.91327420101187</x:v>
      </x:c>
      <x:c r="O92" s="31" t="n">
        <x:v>84.65557971470331</x:v>
      </x:c>
      <x:c r="P92" s="31" t="n">
        <x:v>70.98681817769142</x:v>
      </x:c>
      <x:c r="Q92" s="31" t="n">
        <x:v>68.74391258913127</x:v>
      </x:c>
      <x:c r="R92" s="31" t="n">
        <x:v>62.26739839177629</x:v>
      </x:c>
      <x:c r="S92" s="31" t="n">
        <x:v>89.03930773748338</x:v>
      </x:c>
      <x:c r="T92" s="31" t="n">
        <x:v>85.21804306118312</x:v>
      </x:c>
      <x:c r="U92" s="31" t="n">
        <x:v>71.2103462226084</x:v>
      </x:c>
    </x:row>
    <x:row r="93">
      <x:c r="A93" s="31" t="n">
        <x:v>9.1</x:v>
      </x:c>
      <x:c r="B93" s="31" t="n">
        <x:v>63.86949834119359</x:v>
      </x:c>
      <x:c r="C93" s="31" t="n">
        <x:v>63.53908733309821</x:v>
      </x:c>
      <x:c r="D93" s="31" t="n">
        <x:v>66.0505093524279</x:v>
      </x:c>
      <x:c r="E93" s="31" t="n">
        <x:v>69.7444208617938</x:v>
      </x:c>
      <x:c r="F93" s="31" t="n">
        <x:v>66.98781574569233</x:v>
      </x:c>
      <x:c r="G93" s="31" t="n">
        <x:v>62.275951084463806</x:v>
      </x:c>
      <x:c r="H93" s="31" t="n">
        <x:v>72.85531701333561</x:v>
      </x:c>
      <x:c r="I93" s="31" t="n">
        <x:v>66.27325351021983</x:v>
      </x:c>
      <x:c r="J93" s="31" t="n">
        <x:v>68.39379551889928</x:v>
      </x:c>
      <x:c r="K93" s="31" t="n">
        <x:v>71.64483615039492</x:v>
      </x:c>
      <x:c r="L93" s="31" t="n">
        <x:v>74.24701258402004</x:v>
      </x:c>
      <x:c r="M93" s="31" t="n">
        <x:v>82.18992999046628</x:v>
      </x:c>
      <x:c r="N93" s="31" t="n">
        <x:v>90.91327420101187</x:v>
      </x:c>
      <x:c r="O93" s="31" t="n">
        <x:v>82.94909261898104</x:v>
      </x:c>
      <x:c r="P93" s="31" t="n">
        <x:v>71.29348954561628</x:v>
      </x:c>
      <x:c r="Q93" s="31" t="n">
        <x:v>69.6563894324301</x:v>
      </x:c>
      <x:c r="R93" s="31" t="n">
        <x:v>50</x:v>
      </x:c>
      <x:c r="S93" s="31" t="n">
        <x:v>89.64222079168314</x:v>
      </x:c>
      <x:c r="T93" s="31" t="n">
        <x:v>83.82114331551197</x:v>
      </x:c>
      <x:c r="U93" s="31" t="n">
        <x:v>75.36451297004203</x:v>
      </x:c>
    </x:row>
    <x:row r="94">
      <x:c r="A94" s="31" t="n">
        <x:v>9.200000000000001</x:v>
      </x:c>
      <x:c r="B94" s="31" t="n">
        <x:v>61.557915284327855</x:v>
      </x:c>
      <x:c r="C94" s="31" t="n">
        <x:v>60.14897958172394</x:v>
      </x:c>
      <x:c r="D94" s="31" t="n">
        <x:v>66.050509352428</x:v>
      </x:c>
      <x:c r="E94" s="31" t="n">
        <x:v>75.32023108460538</x:v>
      </x:c>
      <x:c r="F94" s="31" t="n">
        <x:v>67.07872645890089</x:v>
      </x:c>
      <x:c r="G94" s="31" t="n">
        <x:v>50</x:v>
      </x:c>
      <x:c r="H94" s="31" t="n">
        <x:v>75.88135985672577</x:v>
      </x:c>
      <x:c r="I94" s="31" t="n">
        <x:v>66.27325351021983</x:v>
      </x:c>
      <x:c r="J94" s="31" t="n">
        <x:v>68.39379551889928</x:v>
      </x:c>
      <x:c r="K94" s="31" t="n">
        <x:v>63.37077057146796</x:v>
      </x:c>
      <x:c r="L94" s="31" t="n">
        <x:v>76.22214526547812</x:v>
      </x:c>
      <x:c r="M94" s="31" t="n">
        <x:v>50</x:v>
      </x:c>
      <x:c r="N94" s="31" t="n">
        <x:v>85.58906346627303</x:v>
      </x:c>
      <x:c r="O94" s="31" t="n">
        <x:v>78.52691687299506</x:v>
      </x:c>
      <x:c r="P94" s="31" t="n">
        <x:v>71.29348954561628</x:v>
      </x:c>
      <x:c r="Q94" s="31" t="n">
        <x:v>72.50056991654901</x:v>
      </x:c>
      <x:c r="R94" s="31" t="n">
        <x:v>50</x:v>
      </x:c>
      <x:c r="S94" s="31" t="n">
        <x:v>89.0189442208824</x:v>
      </x:c>
      <x:c r="T94" s="31" t="n">
        <x:v>79.77172257248209</x:v>
      </x:c>
      <x:c r="U94" s="31" t="n">
        <x:v>79.61749015949836</x:v>
      </x:c>
    </x:row>
    <x:row r="95">
      <x:c r="A95" s="31" t="n">
        <x:v>9.3</x:v>
      </x:c>
      <x:c r="B95" s="31" t="n">
        <x:v>50</x:v>
      </x:c>
      <x:c r="C95" s="31" t="n">
        <x:v>63.82650838675592</x:v>
      </x:c>
      <x:c r="D95" s="31" t="n">
        <x:v>67.10779359976837</x:v>
      </x:c>
      <x:c r="E95" s="31" t="n">
        <x:v>75.32023108460538</x:v>
      </x:c>
      <x:c r="F95" s="31" t="n">
        <x:v>67.61448799207466</x:v>
      </x:c>
      <x:c r="G95" s="31" t="n">
        <x:v>53.31998103027726</x:v>
      </x:c>
      <x:c r="H95" s="31" t="n">
        <x:v>76.00387553541717</x:v>
      </x:c>
      <x:c r="I95" s="31" t="n">
        <x:v>72.59972856714867</x:v>
      </x:c>
      <x:c r="J95" s="31" t="n">
        <x:v>68.28225758123553</x:v>
      </x:c>
      <x:c r="K95" s="31" t="n">
        <x:v>67.89840249395463</x:v>
      </x:c>
      <x:c r="L95" s="31" t="n">
        <x:v>76.4943550142433</x:v>
      </x:c>
      <x:c r="M95" s="31" t="n">
        <x:v>50</x:v>
      </x:c>
      <x:c r="N95" s="31" t="n">
        <x:v>84.34116114409522</x:v>
      </x:c>
      <x:c r="O95" s="31" t="n">
        <x:v>78.52691687299506</x:v>
      </x:c>
      <x:c r="P95" s="31" t="n">
        <x:v>71.07610672944068</x:v>
      </x:c>
      <x:c r="Q95" s="31" t="n">
        <x:v>72.67854017704087</x:v>
      </x:c>
      <x:c r="R95" s="31" t="n">
        <x:v>50</x:v>
      </x:c>
      <x:c r="S95" s="31" t="n">
        <x:v>80.05662758307619</x:v>
      </x:c>
      <x:c r="T95" s="31" t="n">
        <x:v>75.72889734165955</x:v>
      </x:c>
      <x:c r="U95" s="31" t="n">
        <x:v>86.70578547525884</x:v>
      </x:c>
    </x:row>
    <x:row r="96">
      <x:c r="A96" s="31" t="n">
        <x:v>9.4</x:v>
      </x:c>
      <x:c r="B96" s="31" t="n">
        <x:v>50</x:v>
      </x:c>
      <x:c r="C96" s="31" t="n">
        <x:v>65.45627524430374</x:v>
      </x:c>
      <x:c r="D96" s="31" t="n">
        <x:v>67.9220870568854</x:v>
      </x:c>
      <x:c r="E96" s="31" t="n">
        <x:v>68.07441548994424</x:v>
      </x:c>
      <x:c r="F96" s="31" t="n">
        <x:v>67.85083290199178</x:v>
      </x:c>
      <x:c r="G96" s="31" t="n">
        <x:v>61.6199336059702</x:v>
      </x:c>
      <x:c r="H96" s="31" t="n">
        <x:v>76.69137732566733</x:v>
      </x:c>
      <x:c r="I96" s="31" t="n">
        <x:v>74.97164591358398</x:v>
      </x:c>
      <x:c r="J96" s="31" t="n">
        <x:v>85.7316103723705</x:v>
      </x:c>
      <x:c r="K96" s="31" t="n">
        <x:v>67.89840249395463</x:v>
      </x:c>
      <x:c r="L96" s="31" t="n">
        <x:v>76.47936107546403</x:v>
      </x:c>
      <x:c r="M96" s="31" t="n">
        <x:v>50</x:v>
      </x:c>
      <x:c r="N96" s="31" t="n">
        <x:v>81.91437710588156</x:v>
      </x:c>
      <x:c r="O96" s="31" t="n">
        <x:v>79.54724025528328</x:v>
      </x:c>
      <x:c r="P96" s="31" t="n">
        <x:v>70.34585346418852</x:v>
      </x:c>
      <x:c r="Q96" s="31" t="n">
        <x:v>72.67854017704087</x:v>
      </x:c>
      <x:c r="R96" s="31" t="n">
        <x:v>50</x:v>
      </x:c>
      <x:c r="S96" s="31" t="n">
        <x:v>74.82990070965096</x:v>
      </x:c>
      <x:c r="T96" s="31" t="n">
        <x:v>74.6389520952882</x:v>
      </x:c>
      <x:c r="U96" s="31" t="n">
        <x:v>86.70578547525884</x:v>
      </x:c>
    </x:row>
    <x:row r="97">
      <x:c r="A97" s="31" t="n">
        <x:v>9.5</x:v>
      </x:c>
      <x:c r="B97" s="31" t="n">
        <x:v>59.13740931599904</x:v>
      </x:c>
      <x:c r="C97" s="31" t="n">
        <x:v>65.45627524430374</x:v>
      </x:c>
      <x:c r="D97" s="31" t="n">
        <x:v>67.9220870568854</x:v>
      </x:c>
      <x:c r="E97" s="31" t="n">
        <x:v>50</x:v>
      </x:c>
      <x:c r="F97" s="31" t="n">
        <x:v>66.67679771865322</x:v>
      </x:c>
      <x:c r="G97" s="31" t="n">
        <x:v>63.27992412110876</x:v>
      </x:c>
      <x:c r="H97" s="31" t="n">
        <x:v>76.12942295742914</x:v>
      </x:c>
      <x:c r="I97" s="31" t="n">
        <x:v>74.42765740109868</x:v>
      </x:c>
      <x:c r="J97" s="31" t="n">
        <x:v>85.7316103723705</x:v>
      </x:c>
      <x:c r="K97" s="31" t="n">
        <x:v>67.73535252777326</x:v>
      </x:c>
      <x:c r="L97" s="31" t="n">
        <x:v>91.43634917847449</x:v>
      </x:c>
      <x:c r="M97" s="31" t="n">
        <x:v>50</x:v>
      </x:c>
      <x:c r="N97" s="31" t="n">
        <x:v>81.24461753259774</x:v>
      </x:c>
      <x:c r="O97" s="31" t="n">
        <x:v>79.54724025528328</x:v>
      </x:c>
      <x:c r="P97" s="31" t="n">
        <x:v>78.55699809614097</x:v>
      </x:c>
      <x:c r="Q97" s="31" t="n">
        <x:v>71.78901711466325</x:v>
      </x:c>
      <x:c r="R97" s="31" t="n">
        <x:v>68.25097382390685</x:v>
      </x:c>
      <x:c r="S97" s="31" t="n">
        <x:v>58.849009387234645</x:v>
      </x:c>
      <x:c r="T97" s="31" t="n">
        <x:v>86.50166947144636</x:v>
      </x:c>
      <x:c r="U97" s="31" t="n">
        <x:v>83.60890727146119</x:v>
      </x:c>
    </x:row>
    <x:row r="98">
      <x:c r="A98" s="31" t="n">
        <x:v>9.600000000000001</x:v>
      </x:c>
      <x:c r="B98" s="31" t="n">
        <x:v>76.06415324497208</x:v>
      </x:c>
      <x:c r="C98" s="31" t="n">
        <x:v>65.4462725343106</x:v>
      </x:c>
      <x:c r="D98" s="31" t="n">
        <x:v>67.11312926220808</x:v>
      </x:c>
      <x:c r="E98" s="31" t="n">
        <x:v>66.2866639595066</x:v>
      </x:c>
      <x:c r="F98" s="31" t="n">
        <x:v>67.32906928160618</x:v>
      </x:c>
      <x:c r="G98" s="31" t="n">
        <x:v>63.00553868258905</x:v>
      </x:c>
      <x:c r="H98" s="31" t="n">
        <x:v>76.12942295742907</x:v>
      </x:c>
      <x:c r="I98" s="31" t="n">
        <x:v>61.9458563283123</x:v>
      </x:c>
      <x:c r="J98" s="31" t="n">
        <x:v>80.25748203824682</x:v>
      </x:c>
      <x:c r="K98" s="31" t="n">
        <x:v>70.6452679127743</x:v>
      </x:c>
      <x:c r="L98" s="31" t="n">
        <x:v>91.96247399485851</x:v>
      </x:c>
      <x:c r="M98" s="31" t="n">
        <x:v>50</x:v>
      </x:c>
      <x:c r="N98" s="31" t="n">
        <x:v>81.12532841000402</x:v>
      </x:c>
      <x:c r="O98" s="31" t="n">
        <x:v>79.03632384380492</x:v>
      </x:c>
      <x:c r="P98" s="31" t="n">
        <x:v>79.59806412413016</x:v>
      </x:c>
      <x:c r="Q98" s="31" t="n">
        <x:v>73.28697673836948</x:v>
      </x:c>
      <x:c r="R98" s="31" t="n">
        <x:v>68.25097382390685</x:v>
      </x:c>
      <x:c r="S98" s="31" t="n">
        <x:v>50</x:v>
      </x:c>
      <x:c r="T98" s="31" t="n">
        <x:v>88.56311248330846</x:v>
      </x:c>
      <x:c r="U98" s="31" t="n">
        <x:v>77.24669196135758</x:v>
      </x:c>
    </x:row>
    <x:row r="99">
      <x:c r="A99" s="31" t="n">
        <x:v>9.700000000000001</x:v>
      </x:c>
      <x:c r="B99" s="31" t="n">
        <x:v>76.16259192325612</x:v>
      </x:c>
      <x:c r="C99" s="31" t="n">
        <x:v>65.88729823424887</x:v>
      </x:c>
      <x:c r="D99" s="31" t="n">
        <x:v>67.11312926220808</x:v>
      </x:c>
      <x:c r="E99" s="31" t="n">
        <x:v>67.21806214948316</x:v>
      </x:c>
      <x:c r="F99" s="31" t="n">
        <x:v>67.32906928160618</x:v>
      </x:c>
      <x:c r="G99" s="31" t="n">
        <x:v>70.57148171615626</x:v>
      </x:c>
      <x:c r="H99" s="31" t="n">
        <x:v>77.0798062239237</x:v>
      </x:c>
      <x:c r="I99" s="31" t="n">
        <x:v>66.64476423566046</x:v>
      </x:c>
      <x:c r="J99" s="31" t="n">
        <x:v>72.79891836702117</x:v>
      </x:c>
      <x:c r="K99" s="31" t="n">
        <x:v>87.81401302163584</x:v>
      </x:c>
      <x:c r="L99" s="31" t="n">
        <x:v>91.4169584229354</x:v>
      </x:c>
      <x:c r="M99" s="31" t="n">
        <x:v>80.454629231448</x:v>
      </x:c>
      <x:c r="N99" s="31" t="n">
        <x:v>81.83027844121847</x:v>
      </x:c>
      <x:c r="O99" s="31" t="n">
        <x:v>79.03632384380495</x:v>
      </x:c>
      <x:c r="P99" s="31" t="n">
        <x:v>79.59806412412996</x:v>
      </x:c>
      <x:c r="Q99" s="31" t="n">
        <x:v>73.28697673836948</x:v>
      </x:c>
      <x:c r="R99" s="31" t="n">
        <x:v>66.48805673529813</x:v>
      </x:c>
      <x:c r="S99" s="31" t="n">
        <x:v>56.50813754829781</x:v>
      </x:c>
      <x:c r="T99" s="31" t="n">
        <x:v>88.56311248330839</x:v>
      </x:c>
      <x:c r="U99" s="31" t="n">
        <x:v>71.10080788280403</x:v>
      </x:c>
    </x:row>
    <x:row r="100">
      <x:c r="A100" s="31" t="n">
        <x:v>9.8</x:v>
      </x:c>
      <x:c r="B100" s="31" t="n">
        <x:v>74.42683594855768</x:v>
      </x:c>
      <x:c r="C100" s="31" t="n">
        <x:v>65.88729823424887</x:v>
      </x:c>
      <x:c r="D100" s="31" t="n">
        <x:v>65.8179588973982</x:v>
      </x:c>
      <x:c r="E100" s="31" t="n">
        <x:v>69.43860317135075</x:v>
      </x:c>
      <x:c r="F100" s="31" t="n">
        <x:v>66.9443832374252</x:v>
      </x:c>
      <x:c r="G100" s="31" t="n">
        <x:v>70.57148171615626</x:v>
      </x:c>
      <x:c r="H100" s="31" t="n">
        <x:v>77.0798062239237</x:v>
      </x:c>
      <x:c r="I100" s="31" t="n">
        <x:v>69.01312069282471</x:v>
      </x:c>
      <x:c r="J100" s="31" t="n">
        <x:v>67.75970656612503</x:v>
      </x:c>
      <x:c r="K100" s="31" t="n">
        <x:v>87.81401302163584</x:v>
      </x:c>
      <x:c r="L100" s="31" t="n">
        <x:v>81.62053117011327</x:v>
      </x:c>
      <x:c r="M100" s="31" t="n">
        <x:v>90.69252695134388</x:v>
      </x:c>
      <x:c r="N100" s="31" t="n">
        <x:v>81.83027844121847</x:v>
      </x:c>
      <x:c r="O100" s="31" t="n">
        <x:v>80.35761709587916</x:v>
      </x:c>
      <x:c r="P100" s="31" t="n">
        <x:v>68.81797213235998</x:v>
      </x:c>
      <x:c r="Q100" s="31" t="n">
        <x:v>71.45313757561314</x:v>
      </x:c>
      <x:c r="R100" s="31" t="n">
        <x:v>68.19180052898267</x:v>
      </x:c>
      <x:c r="S100" s="31" t="n">
        <x:v>71.78235835161622</x:v>
      </x:c>
      <x:c r="T100" s="31" t="n">
        <x:v>80.40303896614631</x:v>
      </x:c>
      <x:c r="U100" s="31" t="n">
        <x:v>50</x:v>
      </x:c>
    </x:row>
    <x:row r="101">
      <x:c r="A101" s="31" t="n">
        <x:v>9.9</x:v>
      </x:c>
      <x:c r="B101" s="31" t="n">
        <x:v>69.61483739826167</x:v>
      </x:c>
      <x:c r="C101" s="31" t="n">
        <x:v>65.30897078238257</x:v>
      </x:c>
      <x:c r="D101" s="31" t="n">
        <x:v>83.12688556508151</x:v>
      </x:c>
      <x:c r="E101" s="31" t="n">
        <x:v>69.43860317135075</x:v>
      </x:c>
      <x:c r="F101" s="31" t="n">
        <x:v>61.837745425107464</x:v>
      </x:c>
      <x:c r="G101" s="31" t="n">
        <x:v>63.50812638083414</x:v>
      </x:c>
      <x:c r="H101" s="31" t="n">
        <x:v>75.58299415777375</x:v>
      </x:c>
      <x:c r="I101" s="31" t="n">
        <x:v>69.01312069282471</x:v>
      </x:c>
      <x:c r="J101" s="31" t="n">
        <x:v>62.873614332637196</x:v>
      </x:c>
      <x:c r="K101" s="31" t="n">
        <x:v>82.50289706682314</x:v>
      </x:c>
      <x:c r="L101" s="31" t="n">
        <x:v>67.36632878591945</x:v>
      </x:c>
      <x:c r="M101" s="31" t="n">
        <x:v>90.69252695134388</x:v>
      </x:c>
      <x:c r="N101" s="31" t="n">
        <x:v>82.16477247635737</x:v>
      </x:c>
      <x:c r="O101" s="31" t="n">
        <x:v>80.35761709587916</x:v>
      </x:c>
      <x:c r="P101" s="31" t="n">
        <x:v>50</x:v>
      </x:c>
      <x:c r="Q101" s="31" t="n">
        <x:v>72.4839282127705</x:v>
      </x:c>
      <x:c r="R101" s="31" t="n">
        <x:v>68.19180052898267</x:v>
      </x:c>
      <x:c r="S101" s="31" t="n">
        <x:v>78.0508366913782</x:v>
      </x:c>
      <x:c r="T101" s="31" t="n">
        <x:v>72.73241910687784</x:v>
      </x:c>
      <x:c r="U101" s="31" t="n">
        <x:v>50</x:v>
      </x:c>
    </x:row>
    <x:row r="102">
      <x:c r="A102" s="31" t="n">
        <x:v>10</x:v>
      </x:c>
      <x:c r="B102" s="31" t="n">
        <x:v>65.16917200526919</x:v>
      </x:c>
      <x:c r="C102" s="31" t="n">
        <x:v>65.81437171921273</x:v>
      </x:c>
      <x:c r="D102" s="31" t="n">
        <x:v>83.12688556508151</x:v>
      </x:c>
      <x:c r="E102" s="31" t="n">
        <x:v>69.23127431590416</x:v>
      </x:c>
      <x:c r="F102" s="31" t="n">
        <x:v>60.40751542520589</x:v>
      </x:c>
      <x:c r="G102" s="31" t="n">
        <x:v>62.74826707632208</x:v>
      </x:c>
      <x:c r="H102" s="31" t="n">
        <x:v>72.7501723836433</x:v>
      </x:c>
      <x:c r="I102" s="31" t="n">
        <x:v>68.46807147265045</x:v>
      </x:c>
      <x:c r="J102" s="31" t="n">
        <x:v>67.88065577756633</x:v>
      </x:c>
      <x:c r="K102" s="31" t="n">
        <x:v>73.46510347505574</x:v>
      </x:c>
      <x:c r="L102" s="31" t="n">
        <x:v>50</x:v>
      </x:c>
      <x:c r="M102" s="31" t="n">
        <x:v>87.55785138071701</x:v>
      </x:c>
      <x:c r="N102" s="31" t="n">
        <x:v>82.16477247635737</x:v>
      </x:c>
      <x:c r="O102" s="31" t="n">
        <x:v>88.55437734929271</x:v>
      </x:c>
      <x:c r="P102" s="31" t="n">
        <x:v>50</x:v>
      </x:c>
      <x:c r="Q102" s="31" t="n">
        <x:v>72.4839282127705</x:v>
      </x:c>
      <x:c r="R102" s="31" t="n">
        <x:v>69.60175147318667</x:v>
      </x:c>
      <x:c r="S102" s="31" t="n">
        <x:v>79.96050971770035</x:v>
      </x:c>
      <x:c r="T102" s="31" t="n">
        <x:v>65.40767666913676</x:v>
      </x:c>
      <x:c r="U102" s="31" t="n">
        <x:v>50</x:v>
      </x:c>
    </x:row>
    <x:row r="103">
      <x:c r="A103" s="31" t="n">
        <x:v>10.100000000000001</x:v>
      </x:c>
      <x:c r="B103" s="31" t="n">
        <x:v>60.71915917188831</x:v>
      </x:c>
      <x:c r="C103" s="31" t="n">
        <x:v>66.15539314312804</x:v>
      </x:c>
      <x:c r="D103" s="31" t="n">
        <x:v>77.91787372310951</x:v>
      </x:c>
      <x:c r="E103" s="31" t="n">
        <x:v>69.0942517001044</x:v>
      </x:c>
      <x:c r="F103" s="31" t="n">
        <x:v>78.13235737613572</x:v>
      </x:c>
      <x:c r="G103" s="31" t="n">
        <x:v>64.05173598387528</x:v>
      </x:c>
      <x:c r="H103" s="31" t="n">
        <x:v>84.27343764252288</x:v>
      </x:c>
      <x:c r="I103" s="31" t="n">
        <x:v>68.52877909172418</x:v>
      </x:c>
      <x:c r="J103" s="31" t="n">
        <x:v>72.88769722249546</x:v>
      </x:c>
      <x:c r="K103" s="31" t="n">
        <x:v>68.0133466818955</x:v>
      </x:c>
      <x:c r="L103" s="31" t="n">
        <x:v>50</x:v>
      </x:c>
      <x:c r="M103" s="31" t="n">
        <x:v>85.8217860152437</x:v>
      </x:c>
      <x:c r="N103" s="31" t="n">
        <x:v>81.996260856111</x:v>
      </x:c>
      <x:c r="O103" s="31" t="n">
        <x:v>90.1937293999754</x:v>
      </x:c>
      <x:c r="P103" s="31" t="n">
        <x:v>50</x:v>
      </x:c>
      <x:c r="Q103" s="31" t="n">
        <x:v>82.64241360825211</x:v>
      </x:c>
      <x:c r="R103" s="31" t="n">
        <x:v>69.60175147318667</x:v>
      </x:c>
      <x:c r="S103" s="31" t="n">
        <x:v>80.13358553664158</x:v>
      </x:c>
      <x:c r="T103" s="31" t="n">
        <x:v>50</x:v>
      </x:c>
      <x:c r="U103" s="31" t="n">
        <x:v>50</x:v>
      </x:c>
    </x:row>
    <x:row r="104">
      <x:c r="A104" s="31" t="n">
        <x:v>10.200000000000001</x:v>
      </x:c>
      <x:c r="B104" s="31" t="n">
        <x:v>61.40439127463487</x:v>
      </x:c>
      <x:c r="C104" s="31" t="n">
        <x:v>66.50221136664057</x:v>
      </x:c>
      <x:c r="D104" s="31" t="n">
        <x:v>69.20423379597057</x:v>
      </x:c>
      <x:c r="E104" s="31" t="n">
        <x:v>68.2364318949985</x:v>
      </x:c>
      <x:c r="F104" s="31" t="n">
        <x:v>78.13235737613572</x:v>
      </x:c>
      <x:c r="G104" s="31" t="n">
        <x:v>64.3469133081388</x:v>
      </x:c>
      <x:c r="H104" s="31" t="n">
        <x:v>84.27343764252288</x:v>
      </x:c>
      <x:c r="I104" s="31" t="n">
        <x:v>68.55769177722598</x:v>
      </x:c>
      <x:c r="J104" s="31" t="n">
        <x:v>72.1931715733691</x:v>
      </x:c>
      <x:c r="K104" s="31" t="n">
        <x:v>66.95139350438774</x:v>
      </x:c>
      <x:c r="L104" s="31" t="n">
        <x:v>50</x:v>
      </x:c>
      <x:c r="M104" s="31" t="n">
        <x:v>82.62669352049946</x:v>
      </x:c>
      <x:c r="N104" s="31" t="n">
        <x:v>80.2139289663634</x:v>
      </x:c>
      <x:c r="O104" s="31" t="n">
        <x:v>87.65319004911177</x:v>
      </x:c>
      <x:c r="P104" s="31" t="n">
        <x:v>50</x:v>
      </x:c>
      <x:c r="Q104" s="31" t="n">
        <x:v>83.40524235401736</x:v>
      </x:c>
      <x:c r="R104" s="31" t="n">
        <x:v>68.75698493369363</x:v>
      </x:c>
      <x:c r="S104" s="31" t="n">
        <x:v>94.63612344610569</x:v>
      </x:c>
      <x:c r="T104" s="31" t="n">
        <x:v>61.218896445846234</x:v>
      </x:c>
      <x:c r="U104" s="31" t="n">
        <x:v>56.424331879116785</x:v>
      </x:c>
    </x:row>
    <x:row r="105">
      <x:c r="A105" s="31" t="n">
        <x:v>10.3</x:v>
      </x:c>
      <x:c r="B105" s="31" t="n">
        <x:v>64.75492703851907</x:v>
      </x:c>
      <x:c r="C105" s="31" t="n">
        <x:v>66.86814514135094</x:v>
      </x:c>
      <x:c r="D105" s="31" t="n">
        <x:v>60.86240395579442</x:v>
      </x:c>
      <x:c r="E105" s="31" t="n">
        <x:v>68.95421127544341</x:v>
      </x:c>
      <x:c r="F105" s="31" t="n">
        <x:v>72.56118451754527</x:v>
      </x:c>
      <x:c r="G105" s="31" t="n">
        <x:v>64.0632476746539</x:v>
      </x:c>
      <x:c r="H105" s="31" t="n">
        <x:v>82.30093842697538</x:v>
      </x:c>
      <x:c r="I105" s="31" t="n">
        <x:v>70.07395096657697</x:v>
      </x:c>
      <x:c r="J105" s="31" t="n">
        <x:v>71.61314806163848</x:v>
      </x:c>
      <x:c r="K105" s="31" t="n">
        <x:v>61.157121011314</x:v>
      </x:c>
      <x:c r="L105" s="31" t="n">
        <x:v>50</x:v>
      </x:c>
      <x:c r="M105" s="31" t="n">
        <x:v>81.25083485232574</x:v>
      </x:c>
      <x:c r="N105" s="31" t="n">
        <x:v>87.58421570841622</x:v>
      </x:c>
      <x:c r="O105" s="31" t="n">
        <x:v>74.13993974103201</x:v>
      </x:c>
      <x:c r="P105" s="31" t="n">
        <x:v>50</x:v>
      </x:c>
      <x:c r="Q105" s="31" t="n">
        <x:v>83.11726612095825</x:v>
      </x:c>
      <x:c r="R105" s="31" t="n">
        <x:v>69.44170174064624</x:v>
      </x:c>
      <x:c r="S105" s="31" t="n">
        <x:v>94.63612344610569</x:v>
      </x:c>
      <x:c r="T105" s="31" t="n">
        <x:v>77.42156410552921</x:v>
      </x:c>
      <x:c r="U105" s="31" t="n">
        <x:v>77.41095414557964</x:v>
      </x:c>
    </x:row>
    <x:row r="106">
      <x:c r="A106" s="31" t="n">
        <x:v>10.4</x:v>
      </x:c>
      <x:c r="B106" s="31" t="n">
        <x:v>64.75492703851907</x:v>
      </x:c>
      <x:c r="C106" s="31" t="n">
        <x:v>66.86814514135094</x:v>
      </x:c>
      <x:c r="D106" s="31" t="n">
        <x:v>50</x:v>
      </x:c>
      <x:c r="E106" s="31" t="n">
        <x:v>70.46372307200589</x:v>
      </x:c>
      <x:c r="F106" s="31" t="n">
        <x:v>65.336988243919</x:v>
      </x:c>
      <x:c r="G106" s="31" t="n">
        <x:v>63.5142762535379</x:v>
      </x:c>
      <x:c r="H106" s="31" t="n">
        <x:v>72.068540843856</x:v>
      </x:c>
      <x:c r="I106" s="31" t="n">
        <x:v>88.70111783237107</x:v>
      </x:c>
      <x:c r="J106" s="31" t="n">
        <x:v>71.91098953616773</x:v>
      </x:c>
      <x:c r="K106" s="31" t="n">
        <x:v>71.24879189911896</x:v>
      </x:c>
      <x:c r="L106" s="31" t="n">
        <x:v>62.975516966272636</x:v>
      </x:c>
      <x:c r="M106" s="31" t="n">
        <x:v>81.70071910161343</x:v>
      </x:c>
      <x:c r="N106" s="31" t="n">
        <x:v>89.90340309163045</x:v>
      </x:c>
      <x:c r="O106" s="31" t="n">
        <x:v>52.97716420654126</x:v>
      </x:c>
      <x:c r="P106" s="31" t="n">
        <x:v>77.90576322626558</x:v>
      </x:c>
      <x:c r="Q106" s="31" t="n">
        <x:v>71.9454138138714</x:v>
      </x:c>
      <x:c r="R106" s="31" t="n">
        <x:v>70.13620516395822</x:v>
      </x:c>
      <x:c r="S106" s="31" t="n">
        <x:v>92.27699494748079</x:v>
      </x:c>
      <x:c r="T106" s="31" t="n">
        <x:v>79.11050802473719</x:v>
      </x:c>
      <x:c r="U106" s="31" t="n">
        <x:v>85.11825203389184</x:v>
      </x:c>
    </x:row>
    <x:row r="107">
      <x:c r="A107" s="31" t="n">
        <x:v>10.5</x:v>
      </x:c>
      <x:c r="B107" s="31" t="n">
        <x:v>64.64804146960267</x:v>
      </x:c>
      <x:c r="C107" s="31" t="n">
        <x:v>61.82297939802218</x:v>
      </x:c>
      <x:c r="D107" s="31" t="n">
        <x:v>50</x:v>
      </x:c>
      <x:c r="E107" s="31" t="n">
        <x:v>70.74230118968715</x:v>
      </x:c>
      <x:c r="F107" s="31" t="n">
        <x:v>58.734315762358605</x:v>
      </x:c>
      <x:c r="G107" s="31" t="n">
        <x:v>64.5069688002434</x:v>
      </x:c>
      <x:c r="H107" s="31" t="n">
        <x:v>68.0939338949739</x:v>
      </x:c>
      <x:c r="I107" s="31" t="n">
        <x:v>88.70111783237107</x:v>
      </x:c>
      <x:c r="J107" s="31" t="n">
        <x:v>71.91098953616773</x:v>
      </x:c>
      <x:c r="K107" s="31" t="n">
        <x:v>74.52673355668531</x:v>
      </x:c>
      <x:c r="L107" s="31" t="n">
        <x:v>89.93395900429707</x:v>
      </x:c>
      <x:c r="M107" s="31" t="n">
        <x:v>82.9552079035605</x:v>
      </x:c>
      <x:c r="N107" s="31" t="n">
        <x:v>89.90340309163045</x:v>
      </x:c>
      <x:c r="O107" s="31" t="n">
        <x:v>57.939104550776634</x:v>
      </x:c>
      <x:c r="P107" s="31" t="n">
        <x:v>77.90576322626558</x:v>
      </x:c>
      <x:c r="Q107" s="31" t="n">
        <x:v>65.0887840413173</x:v>
      </x:c>
      <x:c r="R107" s="31" t="n">
        <x:v>70.679879792231</x:v>
      </x:c>
      <x:c r="S107" s="31" t="n">
        <x:v>85.596858938741</x:v>
      </x:c>
      <x:c r="T107" s="31" t="n">
        <x:v>79.11050802473719</x:v>
      </x:c>
      <x:c r="U107" s="31" t="n">
        <x:v>85.11825203389184</x:v>
      </x:c>
    </x:row>
    <x:row r="108">
      <x:c r="A108" s="31" t="n">
        <x:v>10.600000000000001</x:v>
      </x:c>
      <x:c r="B108" s="31" t="n">
        <x:v>63.708002598809124</x:v>
      </x:c>
      <x:c r="C108" s="31" t="n">
        <x:v>56.74445610376082</x:v>
      </x:c>
      <x:c r="D108" s="31" t="n">
        <x:v>53.003234621727906</x:v>
      </x:c>
      <x:c r="E108" s="31" t="n">
        <x:v>82.11103414664606</x:v>
      </x:c>
      <x:c r="F108" s="31" t="n">
        <x:v>50</x:v>
      </x:c>
      <x:c r="G108" s="31" t="n">
        <x:v>64.5069688002434</x:v>
      </x:c>
      <x:c r="H108" s="31" t="n">
        <x:v>67.27029626157743</x:v>
      </x:c>
      <x:c r="I108" s="31" t="n">
        <x:v>84.80135671891375</x:v>
      </x:c>
      <x:c r="J108" s="31" t="n">
        <x:v>70.10493887866369</x:v>
      </x:c>
      <x:c r="K108" s="31" t="n">
        <x:v>73.88803140101278</x:v>
      </x:c>
      <x:c r="L108" s="31" t="n">
        <x:v>89.93395900429707</x:v>
      </x:c>
      <x:c r="M108" s="31" t="n">
        <x:v>82.9552079035605</x:v>
      </x:c>
      <x:c r="N108" s="31" t="n">
        <x:v>80.04031765033157</x:v>
      </x:c>
      <x:c r="O108" s="31" t="n">
        <x:v>62.90104489501201</x:v>
      </x:c>
      <x:c r="P108" s="31" t="n">
        <x:v>73.23666773023976</x:v>
      </x:c>
      <x:c r="Q108" s="31" t="n">
        <x:v>50</x:v>
      </x:c>
      <x:c r="R108" s="31" t="n">
        <x:v>70.57794153797175</x:v>
      </x:c>
      <x:c r="S108" s="31" t="n">
        <x:v>78.82545371864634</x:v>
      </x:c>
      <x:c r="T108" s="31" t="n">
        <x:v>93.3520601230855</x:v>
      </x:c>
      <x:c r="U108" s="31" t="n">
        <x:v>84.33758505727411</x:v>
      </x:c>
    </x:row>
    <x:row r="109">
      <x:c r="A109" s="31" t="n">
        <x:v>10.700000000000001</x:v>
      </x:c>
      <x:c r="B109" s="31" t="n">
        <x:v>65.08063557862287</x:v>
      </x:c>
      <x:c r="C109" s="31" t="n">
        <x:v>55.29891743696106</x:v>
      </x:c>
      <x:c r="D109" s="31" t="n">
        <x:v>62.99510800944526</x:v>
      </x:c>
      <x:c r="E109" s="31" t="n">
        <x:v>82.11103414664606</x:v>
      </x:c>
      <x:c r="F109" s="31" t="n">
        <x:v>52.68953047499197</x:v>
      </x:c>
      <x:c r="G109" s="31" t="n">
        <x:v>64.01187056846791</x:v>
      </x:c>
      <x:c r="H109" s="31" t="n">
        <x:v>66.44665862818097</x:v>
      </x:c>
      <x:c r="I109" s="31" t="n">
        <x:v>78.52627979898801</x:v>
      </x:c>
      <x:c r="J109" s="31" t="n">
        <x:v>70.80083914241243</x:v>
      </x:c>
      <x:c r="K109" s="31" t="n">
        <x:v>50</x:v>
      </x:c>
      <x:c r="L109" s="31" t="n">
        <x:v>87.79847629810322</x:v>
      </x:c>
      <x:c r="M109" s="31" t="n">
        <x:v>81.91035031481354</x:v>
      </x:c>
      <x:c r="N109" s="31" t="n">
        <x:v>50</x:v>
      </x:c>
      <x:c r="O109" s="31" t="n">
        <x:v>82.68570464414154</x:v>
      </x:c>
      <x:c r="P109" s="31" t="n">
        <x:v>72.30569158812446</x:v>
      </x:c>
      <x:c r="Q109" s="31" t="n">
        <x:v>55.4139059186509</x:v>
      </x:c>
      <x:c r="R109" s="31" t="n">
        <x:v>83.42112117396334</x:v>
      </x:c>
      <x:c r="S109" s="31" t="n">
        <x:v>73.92069046006077</x:v>
      </x:c>
      <x:c r="T109" s="31" t="n">
        <x:v>93.97012933610897</x:v>
      </x:c>
      <x:c r="U109" s="31" t="n">
        <x:v>84.33758505727408</x:v>
      </x:c>
    </x:row>
    <x:row r="110">
      <x:c r="A110" s="31" t="n">
        <x:v>10.8</x:v>
      </x:c>
      <x:c r="B110" s="31" t="n">
        <x:v>64.6008348413655</x:v>
      </x:c>
      <x:c r="C110" s="31" t="n">
        <x:v>53.853378770161314</x:v>
      </x:c>
      <x:c r="D110" s="31" t="n">
        <x:v>62.99510800944526</x:v>
      </x:c>
      <x:c r="E110" s="31" t="n">
        <x:v>77.80649116367935</x:v>
      </x:c>
      <x:c r="F110" s="31" t="n">
        <x:v>59.413356662471706</x:v>
      </x:c>
      <x:c r="G110" s="31" t="n">
        <x:v>64.9215239943436</x:v>
      </x:c>
      <x:c r="H110" s="31" t="n">
        <x:v>65.78774852146381</x:v>
      </x:c>
      <x:c r="I110" s="31" t="n">
        <x:v>76.20169800373645</x:v>
      </x:c>
      <x:c r="J110" s="31" t="n">
        <x:v>70.80083914241243</x:v>
      </x:c>
      <x:c r="K110" s="31" t="n">
        <x:v>65.37321673967283</x:v>
      </x:c>
      <x:c r="L110" s="31" t="n">
        <x:v>83.16278422379202</x:v>
      </x:c>
      <x:c r="M110" s="31" t="n">
        <x:v>82.7229487164957</x:v>
      </x:c>
      <x:c r="N110" s="31" t="n">
        <x:v>50</x:v>
      </x:c>
      <x:c r="O110" s="31" t="n">
        <x:v>91.94142667572322</x:v>
      </x:c>
      <x:c r="P110" s="31" t="n">
        <x:v>71.3834584464027</x:v>
      </x:c>
      <x:c r="Q110" s="31" t="n">
        <x:v>62.181288316964334</x:v>
      </x:c>
      <x:c r="R110" s="31" t="n">
        <x:v>83.75867487036483</x:v>
      </x:c>
      <x:c r="S110" s="31" t="n">
        <x:v>70.05731075170756</x:v>
      </x:c>
      <x:c r="T110" s="31" t="n">
        <x:v>93.28042350067074</x:v>
      </x:c>
      <x:c r="U110" s="31" t="n">
        <x:v>83.49504338106661</x:v>
      </x:c>
    </x:row>
    <x:row r="111">
      <x:c r="A111" s="31" t="n">
        <x:v>10.9</x:v>
      </x:c>
      <x:c r="B111" s="31" t="n">
        <x:v>64.6008348413655</x:v>
      </x:c>
      <x:c r="C111" s="31" t="n">
        <x:v>53.04938616208195</x:v>
      </x:c>
      <x:c r="D111" s="31" t="n">
        <x:v>55.34057222845064</x:v>
      </x:c>
      <x:c r="E111" s="31" t="n">
        <x:v>66.26277358803908</x:v>
      </x:c>
      <x:c r="F111" s="31" t="n">
        <x:v>64.79241761245552</x:v>
      </x:c>
      <x:c r="G111" s="31" t="n">
        <x:v>64.9215239943436</x:v>
      </x:c>
      <x:c r="H111" s="31" t="n">
        <x:v>71.23094169042602</x:v>
      </x:c>
      <x:c r="I111" s="31" t="n">
        <x:v>74.96539961516774</x:v>
      </x:c>
      <x:c r="J111" s="31" t="n">
        <x:v>72.07659209338188</x:v>
      </x:c>
      <x:c r="K111" s="31" t="n">
        <x:v>66.11564796824892</x:v>
      </x:c>
      <x:c r="L111" s="31" t="n">
        <x:v>78.73898360322961</x:v>
      </x:c>
      <x:c r="M111" s="31" t="n">
        <x:v>82.91866717567135</x:v>
      </x:c>
      <x:c r="N111" s="31" t="n">
        <x:v>53.92950467841768</x:v>
      </x:c>
      <x:c r="O111" s="31" t="n">
        <x:v>91.94142667572322</x:v>
      </x:c>
      <x:c r="P111" s="31" t="n">
        <x:v>70.42710807968608</x:v>
      </x:c>
      <x:c r="Q111" s="31" t="n">
        <x:v>64.88824127628966</x:v>
      </x:c>
      <x:c r="R111" s="31" t="n">
        <x:v>82.64112644441349</x:v>
      </x:c>
      <x:c r="S111" s="31" t="n">
        <x:v>68.48185526553874</x:v>
      </x:c>
      <x:c r="T111" s="31" t="n">
        <x:v>84.8653258545627</x:v>
      </x:c>
      <x:c r="U111" s="31" t="n">
        <x:v>81.46506488452374</x:v>
      </x:c>
    </x:row>
    <x:row r="112">
      <x:c r="A112" s="31" t="n">
        <x:v>11</x:v>
      </x:c>
      <x:c r="B112" s="31" t="n">
        <x:v>64.1903126441378</x:v>
      </x:c>
      <x:c r="C112" s="31" t="n">
        <x:v>54.81157778888419</x:v>
      </x:c>
      <x:c r="D112" s="31" t="n">
        <x:v>68.91205139392386</x:v>
      </x:c>
      <x:c r="E112" s="31" t="n">
        <x:v>50</x:v>
      </x:c>
      <x:c r="F112" s="31" t="n">
        <x:v>64.79241761245552</x:v>
      </x:c>
      <x:c r="G112" s="31" t="n">
        <x:v>72.70770183021966</x:v>
      </x:c>
      <x:c r="H112" s="31" t="n">
        <x:v>76.06651022629217</x:v>
      </x:c>
      <x:c r="I112" s="31" t="n">
        <x:v>73.42554142369963</x:v>
      </x:c>
      <x:c r="J112" s="31" t="n">
        <x:v>81.16468803647959</x:v>
      </x:c>
      <x:c r="K112" s="31" t="n">
        <x:v>67.29914211480957</x:v>
      </x:c>
      <x:c r="L112" s="31" t="n">
        <x:v>75.44050453835435</x:v>
      </x:c>
      <x:c r="M112" s="31" t="n">
        <x:v>93.55726349425795</x:v>
      </x:c>
      <x:c r="N112" s="31" t="n">
        <x:v>73.57702807050643</x:v>
      </x:c>
      <x:c r="O112" s="31" t="n">
        <x:v>87.73399489131397</x:v>
      </x:c>
      <x:c r="P112" s="31" t="n">
        <x:v>70.42710807968608</x:v>
      </x:c>
      <x:c r="Q112" s="31" t="n">
        <x:v>64.88824127628966</x:v>
      </x:c>
      <x:c r="R112" s="31" t="n">
        <x:v>70.85101649720177</x:v>
      </x:c>
      <x:c r="S112" s="31" t="n">
        <x:v>68.48185526553874</x:v>
      </x:c>
      <x:c r="T112" s="31" t="n">
        <x:v>78.05105429438673</x:v>
      </x:c>
      <x:c r="U112" s="31" t="n">
        <x:v>76.81424184039489</x:v>
      </x:c>
    </x:row>
    <x:row r="113">
      <x:c r="A113" s="31" t="n">
        <x:v>11.100000000000001</x:v>
      </x:c>
      <x:c r="B113" s="31" t="n">
        <x:v>64.88107460279599</x:v>
      </x:c>
      <x:c r="C113" s="31" t="n">
        <x:v>54.811577788884094</x:v>
      </x:c>
      <x:c r="D113" s="31" t="n">
        <x:v>73.5136397979378</x:v>
      </x:c>
      <x:c r="E113" s="31" t="n">
        <x:v>61.47463574820933</x:v>
      </x:c>
      <x:c r="F113" s="31" t="n">
        <x:v>68.78803409505718</x:v>
      </x:c>
      <x:c r="G113" s="31" t="n">
        <x:v>73.54670928763454</x:v>
      </x:c>
      <x:c r="H113" s="31" t="n">
        <x:v>76.06651022629217</x:v>
      </x:c>
      <x:c r="I113" s="31" t="n">
        <x:v>71.32063468391306</x:v>
      </x:c>
      <x:c r="J113" s="31" t="n">
        <x:v>81.16468803647959</x:v>
      </x:c>
      <x:c r="K113" s="31" t="n">
        <x:v>67.2991421148095</x:v>
      </x:c>
      <x:c r="L113" s="31" t="n">
        <x:v>74.06971726119713</x:v>
      </x:c>
      <x:c r="M113" s="31" t="n">
        <x:v>94.98111996307364</x:v>
      </x:c>
      <x:c r="N113" s="31" t="n">
        <x:v>90.41023284593582</x:v>
      </x:c>
      <x:c r="O113" s="31" t="n">
        <x:v>85.4140753802044</x:v>
      </x:c>
      <x:c r="P113" s="31" t="n">
        <x:v>69.85465815126716</x:v>
      </x:c>
      <x:c r="Q113" s="31" t="n">
        <x:v>82.21817557946679</x:v>
      </x:c>
      <x:c r="R113" s="31" t="n">
        <x:v>55.188446326927</x:v>
      </x:c>
      <x:c r="S113" s="31" t="n">
        <x:v>65.55836216848135</x:v>
      </x:c>
      <x:c r="T113" s="31" t="n">
        <x:v>67.79885053650052</x:v>
      </x:c>
      <x:c r="U113" s="31" t="n">
        <x:v>74.00285912516125</x:v>
      </x:c>
    </x:row>
    <x:row r="114">
      <x:c r="A114" s="31" t="n">
        <x:v>11.200000000000001</x:v>
      </x:c>
      <x:c r="B114" s="31" t="n">
        <x:v>64.88107460279599</x:v>
      </x:c>
      <x:c r="C114" s="31" t="n">
        <x:v>50.000000000000036</x:v>
      </x:c>
      <x:c r="D114" s="31" t="n">
        <x:v>73.5136397979378</x:v>
      </x:c>
      <x:c r="E114" s="31" t="n">
        <x:v>66.0644900474929</x:v>
      </x:c>
      <x:c r="F114" s="31" t="n">
        <x:v>68.78803409505718</x:v>
      </x:c>
      <x:c r="G114" s="31" t="n">
        <x:v>73.12773400735607</x:v>
      </x:c>
      <x:c r="H114" s="31" t="n">
        <x:v>68.29821036174351</x:v>
      </x:c>
      <x:c r="I114" s="31" t="n">
        <x:v>73.40808788933286</x:v>
      </x:c>
      <x:c r="J114" s="31" t="n">
        <x:v>75.76286525273177</x:v>
      </x:c>
      <x:c r="K114" s="31" t="n">
        <x:v>67.84771080656293</x:v>
      </x:c>
      <x:c r="L114" s="31" t="n">
        <x:v>77.15631720115101</x:v>
      </x:c>
      <x:c r="M114" s="31" t="n">
        <x:v>94.98111996307351</x:v>
      </x:c>
      <x:c r="N114" s="31" t="n">
        <x:v>90.41023284593582</x:v>
      </x:c>
      <x:c r="O114" s="31" t="n">
        <x:v>82.38622161204643</x:v>
      </x:c>
      <x:c r="P114" s="31" t="n">
        <x:v>69.8546581512671</x:v>
      </x:c>
      <x:c r="Q114" s="31" t="n">
        <x:v>85.10994427359547</x:v>
      </x:c>
      <x:c r="R114" s="31" t="n">
        <x:v>50</x:v>
      </x:c>
      <x:c r="S114" s="31" t="n">
        <x:v>64.32215572785752</x:v>
      </x:c>
      <x:c r="T114" s="31" t="n">
        <x:v>63.053537740241005</x:v>
      </x:c>
      <x:c r="U114" s="31" t="n">
        <x:v>75.32365886960278</x:v>
      </x:c>
    </x:row>
    <x:row r="115">
      <x:c r="A115" s="31" t="n">
        <x:v>11.3</x:v>
      </x:c>
      <x:c r="B115" s="31" t="n">
        <x:v>62.901584190239916</x:v>
      </x:c>
      <x:c r="C115" s="31" t="n">
        <x:v>51.90650251013764</x:v>
      </x:c>
      <x:c r="D115" s="31" t="n">
        <x:v>67.42284548335465</x:v>
      </x:c>
      <x:c r="E115" s="31" t="n">
        <x:v>66.22716390007128</x:v>
      </x:c>
      <x:c r="F115" s="31" t="n">
        <x:v>62.528974177842194</x:v>
      </x:c>
      <x:c r="G115" s="31" t="n">
        <x:v>62.62430151239472</x:v>
      </x:c>
      <x:c r="H115" s="31" t="n">
        <x:v>69.49955242553337</x:v>
      </x:c>
      <x:c r="I115" s="31" t="n">
        <x:v>76.28580922287456</x:v>
      </x:c>
      <x:c r="J115" s="31" t="n">
        <x:v>63.31458299482583</x:v>
      </x:c>
      <x:c r="K115" s="31" t="n">
        <x:v>87.99764929552403</x:v>
      </x:c>
      <x:c r="L115" s="31" t="n">
        <x:v>77.71014113981758</x:v>
      </x:c>
      <x:c r="M115" s="31" t="n">
        <x:v>86.14810375815557</x:v>
      </x:c>
      <x:c r="N115" s="31" t="n">
        <x:v>87.01420317646202</x:v>
      </x:c>
      <x:c r="O115" s="31" t="n">
        <x:v>79.15389992937261</x:v>
      </x:c>
      <x:c r="P115" s="31" t="n">
        <x:v>70.46799475044948</x:v>
      </x:c>
      <x:c r="Q115" s="31" t="n">
        <x:v>86.90962973024294</x:v>
      </x:c>
      <x:c r="R115" s="31" t="n">
        <x:v>50</x:v>
      </x:c>
      <x:c r="S115" s="31" t="n">
        <x:v>62.261811660151146</x:v>
      </x:c>
      <x:c r="T115" s="31" t="n">
        <x:v>70.28179893150765</x:v>
      </x:c>
      <x:c r="U115" s="31" t="n">
        <x:v>75.32365886960278</x:v>
      </x:c>
    </x:row>
    <x:row r="116">
      <x:c r="A116" s="31" t="n">
        <x:v>11.4</x:v>
      </x:c>
      <x:c r="B116" s="31" t="n">
        <x:v>65.74269980752979</x:v>
      </x:c>
      <x:c r="C116" s="31" t="n">
        <x:v>52.66910351419267</x:v>
      </x:c>
      <x:c r="D116" s="31" t="n">
        <x:v>63.637415552659924</x:v>
      </x:c>
      <x:c r="E116" s="31" t="n">
        <x:v>66.22716390007128</x:v>
      </x:c>
      <x:c r="F116" s="31" t="n">
        <x:v>60.91125246606491</x:v>
      </x:c>
      <x:c r="G116" s="31" t="n">
        <x:v>50</x:v>
      </x:c>
      <x:c r="H116" s="31" t="n">
        <x:v>74.01078251566724</x:v>
      </x:c>
      <x:c r="I116" s="31" t="n">
        <x:v>76.28580922287456</x:v>
      </x:c>
      <x:c r="J116" s="31" t="n">
        <x:v>57.15973456904012</x:v>
      </x:c>
      <x:c r="K116" s="31" t="n">
        <x:v>87.99764929552403</x:v>
      </x:c>
      <x:c r="L116" s="31" t="n">
        <x:v>77.6746571049557</x:v>
      </x:c>
      <x:c r="M116" s="31" t="n">
        <x:v>50</x:v>
      </x:c>
      <x:c r="N116" s="31" t="n">
        <x:v>84.49002441432765</x:v>
      </x:c>
      <x:c r="O116" s="31" t="n">
        <x:v>79.0482164904233</x:v>
      </x:c>
      <x:c r="P116" s="31" t="n">
        <x:v>70.49734464041975</x:v>
      </x:c>
      <x:c r="Q116" s="31" t="n">
        <x:v>86.90962973024294</x:v>
      </x:c>
      <x:c r="R116" s="31" t="n">
        <x:v>71.64949381003592</x:v>
      </x:c>
      <x:c r="S116" s="31" t="n">
        <x:v>61.43767403306861</x:v>
      </x:c>
      <x:c r="T116" s="31" t="n">
        <x:v>81.13134175188242</x:v>
      </x:c>
      <x:c r="U116" s="31" t="n">
        <x:v>73.55911135789853</x:v>
      </x:c>
    </x:row>
    <x:row r="117">
      <x:c r="A117" s="31" t="n">
        <x:v>11.5</x:v>
      </x:c>
      <x:c r="B117" s="31" t="n">
        <x:v>65.74269980752979</x:v>
      </x:c>
      <x:c r="C117" s="31" t="n">
        <x:v>53.326755461310654</x:v>
      </x:c>
      <x:c r="D117" s="31" t="n">
        <x:v>61.380246225902376</x:v>
      </x:c>
      <x:c r="E117" s="31" t="n">
        <x:v>68.55897018350225</x:v>
      </x:c>
      <x:c r="F117" s="31" t="n">
        <x:v>64.60827212669889</x:v>
      </x:c>
      <x:c r="G117" s="31" t="n">
        <x:v>50</x:v>
      </x:c>
      <x:c r="H117" s="31" t="n">
        <x:v>74.01078251566724</x:v>
      </x:c>
      <x:c r="I117" s="31" t="n">
        <x:v>66.50429372502545</x:v>
      </x:c>
      <x:c r="J117" s="31" t="n">
        <x:v>66.78130019669159</x:v>
      </x:c>
      <x:c r="K117" s="31" t="n">
        <x:v>84.58599125442066</x:v>
      </x:c>
      <x:c r="L117" s="31" t="n">
        <x:v>77.3013875293355</x:v>
      </x:c>
      <x:c r="M117" s="31" t="n">
        <x:v>50</x:v>
      </x:c>
      <x:c r="N117" s="31" t="n">
        <x:v>82.01814777526363</x:v>
      </x:c>
      <x:c r="O117" s="31" t="n">
        <x:v>78.9611400388946</x:v>
      </x:c>
      <x:c r="P117" s="31" t="n">
        <x:v>69.68406413931774</x:v>
      </x:c>
      <x:c r="Q117" s="31" t="n">
        <x:v>78.61287954845669</x:v>
      </x:c>
      <x:c r="R117" s="31" t="n">
        <x:v>80.27986430083334</x:v>
      </x:c>
      <x:c r="S117" s="31" t="n">
        <x:v>64.26246718555714</x:v>
      </x:c>
      <x:c r="T117" s="31" t="n">
        <x:v>88.42498118472409</x:v>
      </x:c>
      <x:c r="U117" s="31" t="n">
        <x:v>73.4404489468233</x:v>
      </x:c>
    </x:row>
    <x:row r="118">
      <x:c r="A118" s="31" t="n">
        <x:v>11.600000000000001</x:v>
      </x:c>
      <x:c r="B118" s="31" t="n">
        <x:v>64.47929671386092</x:v>
      </x:c>
      <x:c r="C118" s="31" t="n">
        <x:v>54.14882039520814</x:v>
      </x:c>
      <x:c r="D118" s="31" t="n">
        <x:v>65.24905093875137</x:v>
      </x:c>
      <x:c r="E118" s="31" t="n">
        <x:v>72.44531398922057</x:v>
      </x:c>
      <x:c r="F118" s="31" t="n">
        <x:v>64.60827212669889</x:v>
      </x:c>
      <x:c r="G118" s="31" t="n">
        <x:v>50.00000000000024</x:v>
      </x:c>
      <x:c r="H118" s="31" t="n">
        <x:v>76.05962092770292</x:v>
      </x:c>
      <x:c r="I118" s="31" t="n">
        <x:v>50.00000000000133</x:v>
      </x:c>
      <x:c r="J118" s="31" t="n">
        <x:v>68.86122312352308</x:v>
      </x:c>
      <x:c r="K118" s="31" t="n">
        <x:v>79.31762927126833</x:v>
      </x:c>
      <x:c r="L118" s="31" t="n">
        <x:v>76.96752998720382</x:v>
      </x:c>
      <x:c r="M118" s="31" t="n">
        <x:v>50</x:v>
      </x:c>
      <x:c r="N118" s="31" t="n">
        <x:v>80.74059033001942</x:v>
      </x:c>
      <x:c r="O118" s="31" t="n">
        <x:v>79.05795212665778</x:v>
      </x:c>
      <x:c r="P118" s="31" t="n">
        <x:v>68.52801129981272</x:v>
      </x:c>
      <x:c r="Q118" s="31" t="n">
        <x:v>71.8837139010948</x:v>
      </x:c>
      <x:c r="R118" s="31" t="n">
        <x:v>80.27986430083334</x:v>
      </x:c>
      <x:c r="S118" s="31" t="n">
        <x:v>54.754155728518626</x:v>
      </x:c>
      <x:c r="T118" s="31" t="n">
        <x:v>88.42498118472409</x:v>
      </x:c>
      <x:c r="U118" s="31" t="n">
        <x:v>77.37028306529778</x:v>
      </x:c>
    </x:row>
    <x:row r="119">
      <x:c r="A119" s="31" t="n">
        <x:v>11.700000000000001</x:v>
      </x:c>
      <x:c r="B119" s="31" t="n">
        <x:v>80.14995554178921</x:v>
      </x:c>
      <x:c r="C119" s="31" t="n">
        <x:v>54.97088532910561</x:v>
      </x:c>
      <x:c r="D119" s="31" t="n">
        <x:v>65.25214165423691</x:v>
      </x:c>
      <x:c r="E119" s="31" t="n">
        <x:v>75.56261722776277</x:v>
      </x:c>
      <x:c r="F119" s="31" t="n">
        <x:v>65.84359163065221</x:v>
      </x:c>
      <x:c r="G119" s="31" t="n">
        <x:v>63.76316787008623</x:v>
      </x:c>
      <x:c r="H119" s="31" t="n">
        <x:v>76.05962092770292</x:v>
      </x:c>
      <x:c r="I119" s="31" t="n">
        <x:v>68.37499117237664</x:v>
      </x:c>
      <x:c r="J119" s="31" t="n">
        <x:v>72.20781469258301</x:v>
      </x:c>
      <x:c r="K119" s="31" t="n">
        <x:v>74.40613633568793</x:v>
      </x:c>
      <x:c r="L119" s="31" t="n">
        <x:v>75.77779048781089</x:v>
      </x:c>
      <x:c r="M119" s="31" t="n">
        <x:v>50</x:v>
      </x:c>
      <x:c r="N119" s="31" t="n">
        <x:v>81.47050470125811</x:v>
      </x:c>
      <x:c r="O119" s="31" t="n">
        <x:v>79.05795212665778</x:v>
      </x:c>
      <x:c r="P119" s="31" t="n">
        <x:v>68.30023906965022</x:v>
      </x:c>
      <x:c r="Q119" s="31" t="n">
        <x:v>68.9844086425567</x:v>
      </x:c>
      <x:c r="R119" s="31" t="n">
        <x:v>73.88410781435392</x:v>
      </x:c>
      <x:c r="S119" s="31" t="n">
        <x:v>55.78237199886239</x:v>
      </x:c>
      <x:c r="T119" s="31" t="n">
        <x:v>82.63209939991305</x:v>
      </x:c>
      <x:c r="U119" s="31" t="n">
        <x:v>86.43535069234949</x:v>
      </x:c>
    </x:row>
    <x:row r="120">
      <x:c r="A120" s="31" t="n">
        <x:v>11.8</x:v>
      </x:c>
      <x:c r="B120" s="31" t="n">
        <x:v>82.8655163708636</x:v>
      </x:c>
      <x:c r="C120" s="31" t="n">
        <x:v>55.88567405555459</x:v>
      </x:c>
      <x:c r="D120" s="31" t="n">
        <x:v>64.95923572709592</x:v>
      </x:c>
      <x:c r="E120" s="31" t="n">
        <x:v>75.56261722776277</x:v>
      </x:c>
      <x:c r="F120" s="31" t="n">
        <x:v>66.85027691933072</x:v>
      </x:c>
      <x:c r="G120" s="31" t="n">
        <x:v>63.76316787008623</x:v>
      </x:c>
      <x:c r="H120" s="31" t="n">
        <x:v>73.52970877648085</x:v>
      </x:c>
      <x:c r="I120" s="31" t="n">
        <x:v>68.37499117237664</x:v>
      </x:c>
      <x:c r="J120" s="31" t="n">
        <x:v>72.20781469258301</x:v>
      </x:c>
      <x:c r="K120" s="31" t="n">
        <x:v>72.47635104546059</x:v>
      </x:c>
      <x:c r="L120" s="31" t="n">
        <x:v>74.43026461817173</x:v>
      </x:c>
      <x:c r="M120" s="31" t="n">
        <x:v>50</x:v>
      </x:c>
      <x:c r="N120" s="31" t="n">
        <x:v>81.47050470125811</x:v>
      </x:c>
      <x:c r="O120" s="31" t="n">
        <x:v>78.97053559072927</x:v>
      </x:c>
      <x:c r="P120" s="31" t="n">
        <x:v>69.39139350283905</x:v>
      </x:c>
      <x:c r="Q120" s="31" t="n">
        <x:v>64.2222528035397</x:v>
      </x:c>
      <x:c r="R120" s="31" t="n">
        <x:v>72.21672086712564</x:v>
      </x:c>
      <x:c r="S120" s="31" t="n">
        <x:v>63.010336997440184</x:v>
      </x:c>
      <x:c r="T120" s="31" t="n">
        <x:v>74.1047287852673</x:v>
      </x:c>
      <x:c r="U120" s="31" t="n">
        <x:v>90.06137774317011</x:v>
      </x:c>
    </x:row>
    <x:row r="121">
      <x:c r="A121" s="31" t="n">
        <x:v>11.9</x:v>
      </x:c>
      <x:c r="B121" s="31" t="n">
        <x:v>82.8655163708636</x:v>
      </x:c>
      <x:c r="C121" s="31" t="n">
        <x:v>57.17135795220955</x:v>
      </x:c>
      <x:c r="D121" s="31" t="n">
        <x:v>66.4764525429405</x:v>
      </x:c>
      <x:c r="E121" s="31" t="n">
        <x:v>69.38891310283492</x:v>
      </x:c>
      <x:c r="F121" s="31" t="n">
        <x:v>67.88117567270918</x:v>
      </x:c>
      <x:c r="G121" s="31" t="n">
        <x:v>69.99505887249487</x:v>
      </x:c>
      <x:c r="H121" s="31" t="n">
        <x:v>74.46698732061174</x:v>
      </x:c>
      <x:c r="I121" s="31" t="n">
        <x:v>64.63011771249747</x:v>
      </x:c>
      <x:c r="J121" s="31" t="n">
        <x:v>63.481545645207675</x:v>
      </x:c>
      <x:c r="K121" s="31" t="n">
        <x:v>70.99163962313119</x:v>
      </x:c>
      <x:c r="L121" s="31" t="n">
        <x:v>86.05595610722735</x:v>
      </x:c>
      <x:c r="M121" s="31" t="n">
        <x:v>89.82761351530539</x:v>
      </x:c>
      <x:c r="N121" s="31" t="n">
        <x:v>81.43618170950596</x:v>
      </x:c>
      <x:c r="O121" s="31" t="n">
        <x:v>78.89525460215852</x:v>
      </x:c>
      <x:c r="P121" s="31" t="n">
        <x:v>77.42321409179628</x:v>
      </x:c>
      <x:c r="Q121" s="31" t="n">
        <x:v>62.61227074031357</x:v>
      </x:c>
      <x:c r="R121" s="31" t="n">
        <x:v>69.90598694492644</x:v>
      </x:c>
      <x:c r="S121" s="31" t="n">
        <x:v>70.23830199601798</x:v>
      </x:c>
      <x:c r="T121" s="31" t="n">
        <x:v>69.92245649759437</x:v>
      </x:c>
      <x:c r="U121" s="31" t="n">
        <x:v>89.33557132401546</x:v>
      </x:c>
    </x:row>
    <x:row r="122">
      <x:c r="A122" s="31" t="n">
        <x:v>12</x:v>
      </x:c>
      <x:c r="B122" s="31" t="n">
        <x:v>74.83521991549993</x:v>
      </x:c>
      <x:c r="C122" s="31" t="n">
        <x:v>57.42849473154054</x:v>
      </x:c>
      <x:c r="D122" s="31" t="n">
        <x:v>66.4764525429405</x:v>
      </x:c>
      <x:c r="E122" s="31" t="n">
        <x:v>59.07934488943062</x:v>
      </x:c>
      <x:c r="F122" s="31" t="n">
        <x:v>67.54658839640211</x:v>
      </x:c>
      <x:c r="G122" s="31" t="n">
        <x:v>69.99505887249487</x:v>
      </x:c>
      <x:c r="H122" s="31" t="n">
        <x:v>75.43202073400377</x:v>
      </x:c>
      <x:c r="I122" s="31" t="n">
        <x:v>60.702494124591986</x:v>
      </x:c>
      <x:c r="J122" s="31" t="n">
        <x:v>68.10240347202944</x:v>
      </x:c>
      <x:c r="K122" s="31" t="n">
        <x:v>69.17014366608528</x:v>
      </x:c>
      <x:c r="L122" s="31" t="n">
        <x:v>90.55552266038742</x:v>
      </x:c>
      <x:c r="M122" s="31" t="n">
        <x:v>89.82761351530539</x:v>
      </x:c>
      <x:c r="N122" s="31" t="n">
        <x:v>82.06318344781216</x:v>
      </x:c>
      <x:c r="O122" s="31" t="n">
        <x:v>85.51970384341095</x:v>
      </x:c>
      <x:c r="P122" s="31" t="n">
        <x:v>77.42321409179628</x:v>
      </x:c>
      <x:c r="Q122" s="31" t="n">
        <x:v>62.30779220450578</x:v>
      </x:c>
      <x:c r="R122" s="31" t="n">
        <x:v>68.82179866088632</x:v>
      </x:c>
      <x:c r="S122" s="31" t="n">
        <x:v>77.46626699459577</x:v>
      </x:c>
      <x:c r="T122" s="31" t="n">
        <x:v>66.62313757697619</x:v>
      </x:c>
      <x:c r="U122" s="31" t="n">
        <x:v>83.33498698060828</x:v>
      </x:c>
    </x:row>
    <x:row r="123">
      <x:c r="A123" s="31" t="n">
        <x:v>12.100000000000001</x:v>
      </x:c>
      <x:c r="B123" s="31" t="n">
        <x:v>66.36857660606623</x:v>
      </x:c>
      <x:c r="C123" s="31" t="n">
        <x:v>53.799272094185035</x:v>
      </x:c>
      <x:c r="D123" s="31" t="n">
        <x:v>65.69827231943236</x:v>
      </x:c>
      <x:c r="E123" s="31" t="n">
        <x:v>64.59271299050091</x:v>
      </x:c>
      <x:c r="F123" s="31" t="n">
        <x:v>67.56756158842825</x:v>
      </x:c>
      <x:c r="G123" s="31" t="n">
        <x:v>68.37802118040807</x:v>
      </x:c>
      <x:c r="H123" s="31" t="n">
        <x:v>75.32649409891337</x:v>
      </x:c>
      <x:c r="I123" s="31" t="n">
        <x:v>60.70249412459216</x:v>
      </x:c>
      <x:c r="J123" s="31" t="n">
        <x:v>68.10240347202944</x:v>
      </x:c>
      <x:c r="K123" s="31" t="n">
        <x:v>73.8515538669523</x:v>
      </x:c>
      <x:c r="L123" s="31" t="n">
        <x:v>90.55552266038742</x:v>
      </x:c>
      <x:c r="M123" s="31" t="n">
        <x:v>88.5321668245855</x:v>
      </x:c>
      <x:c r="N123" s="31" t="n">
        <x:v>82.06318344781216</x:v>
      </x:c>
      <x:c r="O123" s="31" t="n">
        <x:v>89.49437338816246</x:v>
      </x:c>
      <x:c r="P123" s="31" t="n">
        <x:v>71.09274369600769</x:v>
      </x:c>
      <x:c r="Q123" s="31" t="n">
        <x:v>62.30779220450575</x:v>
      </x:c>
      <x:c r="R123" s="31" t="n">
        <x:v>68.86293829227029</x:v>
      </x:c>
      <x:c r="S123" s="31" t="n">
        <x:v>84.6942319931737</x:v>
      </x:c>
      <x:c r="T123" s="31" t="n">
        <x:v>50</x:v>
      </x:c>
      <x:c r="U123" s="31" t="n">
        <x:v>79.17645682584504</x:v>
      </x:c>
    </x:row>
    <x:row r="124">
      <x:c r="A124" s="31" t="n">
        <x:v>12.200000000000001</x:v>
      </x:c>
      <x:c r="B124" s="31" t="n">
        <x:v>55.528385506998966</x:v>
      </x:c>
      <x:c r="C124" s="31" t="n">
        <x:v>53.79927209418501</x:v>
      </x:c>
      <x:c r="D124" s="31" t="n">
        <x:v>65.69827231943245</x:v>
      </x:c>
      <x:c r="E124" s="31" t="n">
        <x:v>65.83598663838923</x:v>
      </x:c>
      <x:c r="F124" s="31" t="n">
        <x:v>67.56756158842825</x:v>
      </x:c>
      <x:c r="G124" s="31" t="n">
        <x:v>56.90165819219424</x:v>
      </x:c>
      <x:c r="H124" s="31" t="n">
        <x:v>75.1363241701546</x:v>
      </x:c>
      <x:c r="I124" s="31" t="n">
        <x:v>62.651014849573855</x:v>
      </x:c>
      <x:c r="J124" s="31" t="n">
        <x:v>67.94775723302533</x:v>
      </x:c>
      <x:c r="K124" s="31" t="n">
        <x:v>73.85155386695229</x:v>
      </x:c>
      <x:c r="L124" s="31" t="n">
        <x:v>84.03593242258634</x:v>
      </x:c>
      <x:c r="M124" s="31" t="n">
        <x:v>85.10893256319557</x:v>
      </x:c>
      <x:c r="N124" s="31" t="n">
        <x:v>81.2969044222274</x:v>
      </x:c>
      <x:c r="O124" s="31" t="n">
        <x:v>89.49437338816232</x:v>
      </x:c>
      <x:c r="P124" s="31" t="n">
        <x:v>61.09694847874858</x:v>
      </x:c>
      <x:c r="Q124" s="31" t="n">
        <x:v>57.56809811169714</x:v>
      </x:c>
      <x:c r="R124" s="31" t="n">
        <x:v>69.279036959184</x:v>
      </x:c>
      <x:c r="S124" s="31" t="n">
        <x:v>87.98625461050281</x:v>
      </x:c>
      <x:c r="T124" s="31" t="n">
        <x:v>77.00831035190271</x:v>
      </x:c>
      <x:c r="U124" s="31" t="n">
        <x:v>68.49998165958735</x:v>
      </x:c>
    </x:row>
    <x:row r="125">
      <x:c r="A125" s="31" t="n">
        <x:v>12.3</x:v>
      </x:c>
      <x:c r="B125" s="31" t="n">
        <x:v>54.63849979248161</x:v>
      </x:c>
      <x:c r="C125" s="31" t="n">
        <x:v>52.22937066049306</x:v>
      </x:c>
      <x:c r="D125" s="31" t="n">
        <x:v>66.7721268806605</x:v>
      </x:c>
      <x:c r="E125" s="31" t="n">
        <x:v>68.5912348036216</x:v>
      </x:c>
      <x:c r="F125" s="31" t="n">
        <x:v>67.54981799480831</x:v>
      </x:c>
      <x:c r="G125" s="31" t="n">
        <x:v>59.58275296368359</x:v>
      </x:c>
      <x:c r="H125" s="31" t="n">
        <x:v>73.95355460839188</x:v>
      </x:c>
      <x:c r="I125" s="31" t="n">
        <x:v>87.6058220644212</x:v>
      </x:c>
      <x:c r="J125" s="31" t="n">
        <x:v>67.80526060170709</x:v>
      </x:c>
      <x:c r="K125" s="31" t="n">
        <x:v>57.62157651344882</x:v>
      </x:c>
      <x:c r="L125" s="31" t="n">
        <x:v>74.42022982721491</x:v>
      </x:c>
      <x:c r="M125" s="31" t="n">
        <x:v>80.59557263426518</x:v>
      </x:c>
      <x:c r="N125" s="31" t="n">
        <x:v>78.80204132048766</x:v>
      </x:c>
      <x:c r="O125" s="31" t="n">
        <x:v>76.62499834341689</x:v>
      </x:c>
      <x:c r="P125" s="31" t="n">
        <x:v>50</x:v>
      </x:c>
      <x:c r="Q125" s="31" t="n">
        <x:v>58.51981107146721</x:v>
      </x:c>
      <x:c r="R125" s="31" t="n">
        <x:v>69.279036959184</x:v>
      </x:c>
      <x:c r="S125" s="31" t="n">
        <x:v>87.98625461050281</x:v>
      </x:c>
      <x:c r="T125" s="31" t="n">
        <x:v>78.91683799578097</x:v>
      </x:c>
      <x:c r="U125" s="31" t="n">
        <x:v>57.82738873343369</x:v>
      </x:c>
    </x:row>
    <x:row r="126">
      <x:c r="A126" s="31" t="n">
        <x:v>12.4</x:v>
      </x:c>
      <x:c r="B126" s="31" t="n">
        <x:v>54.598468418019436</x:v>
      </x:c>
      <x:c r="C126" s="31" t="n">
        <x:v>56.00873084525152</x:v>
      </x:c>
      <x:c r="D126" s="31" t="n">
        <x:v>66.7721268806605</x:v>
      </x:c>
      <x:c r="E126" s="31" t="n">
        <x:v>70.08802760206314</x:v>
      </x:c>
      <x:c r="F126" s="31" t="n">
        <x:v>67.54981799480831</x:v>
      </x:c>
      <x:c r="G126" s="31" t="n">
        <x:v>62.81765354478631</x:v>
      </x:c>
      <x:c r="H126" s="31" t="n">
        <x:v>84.55558781082743</x:v>
      </x:c>
      <x:c r="I126" s="31" t="n">
        <x:v>88.76814097752505</x:v>
      </x:c>
      <x:c r="J126" s="31" t="n">
        <x:v>65.97349552132218</x:v>
      </x:c>
      <x:c r="K126" s="31" t="n">
        <x:v>63.41117946773677</x:v>
      </x:c>
      <x:c r="L126" s="31" t="n">
        <x:v>50</x:v>
      </x:c>
      <x:c r="M126" s="31" t="n">
        <x:v>80.59557263426518</x:v>
      </x:c>
      <x:c r="N126" s="31" t="n">
        <x:v>78.8460901581864</x:v>
      </x:c>
      <x:c r="O126" s="31" t="n">
        <x:v>50</x:v>
      </x:c>
      <x:c r="P126" s="31" t="n">
        <x:v>50</x:v>
      </x:c>
      <x:c r="Q126" s="31" t="n">
        <x:v>59.6177656264412</x:v>
      </x:c>
      <x:c r="R126" s="31" t="n">
        <x:v>70.40697762466776</x:v>
      </x:c>
      <x:c r="S126" s="31" t="n">
        <x:v>86.33670552996355</x:v>
      </x:c>
      <x:c r="T126" s="31" t="n">
        <x:v>79.63071996215567</x:v>
      </x:c>
      <x:c r="U126" s="31" t="n">
        <x:v>68.49091485860436</x:v>
      </x:c>
    </x:row>
    <x:row r="127">
      <x:c r="A127" s="31" t="n">
        <x:v>12.5</x:v>
      </x:c>
      <x:c r="B127" s="31" t="n">
        <x:v>54.43834292017073</x:v>
      </x:c>
      <x:c r="C127" s="31" t="n">
        <x:v>56.01150133997375</x:v>
      </x:c>
      <x:c r="D127" s="31" t="n">
        <x:v>67.99885294640791</x:v>
      </x:c>
      <x:c r="E127" s="31" t="n">
        <x:v>70.08802760206314</x:v>
      </x:c>
      <x:c r="F127" s="31" t="n">
        <x:v>67.36689333801581</x:v>
      </x:c>
      <x:c r="G127" s="31" t="n">
        <x:v>62.99501618220373</x:v>
      </x:c>
      <x:c r="H127" s="31" t="n">
        <x:v>86.05603872578219</x:v>
      </x:c>
      <x:c r="I127" s="31" t="n">
        <x:v>87.66834203235727</x:v>
      </x:c>
      <x:c r="J127" s="31" t="n">
        <x:v>88.13223777026845</x:v>
      </x:c>
      <x:c r="K127" s="31" t="n">
        <x:v>65.30647394973998</x:v>
      </x:c>
      <x:c r="L127" s="31" t="n">
        <x:v>53.105769708656425</x:v>
      </x:c>
      <x:c r="M127" s="31" t="n">
        <x:v>79.32555841067119</x:v>
      </x:c>
      <x:c r="N127" s="31" t="n">
        <x:v>80.58666283468972</x:v>
      </x:c>
      <x:c r="O127" s="31" t="n">
        <x:v>65.5034949955326</x:v>
      </x:c>
      <x:c r="P127" s="31" t="n">
        <x:v>50.89753336719561</x:v>
      </x:c>
      <x:c r="Q127" s="31" t="n">
        <x:v>58.32208793123114</x:v>
      </x:c>
      <x:c r="R127" s="31" t="n">
        <x:v>70.40697762466776</x:v>
      </x:c>
      <x:c r="S127" s="31" t="n">
        <x:v>78.0607066116983</x:v>
      </x:c>
      <x:c r="T127" s="31" t="n">
        <x:v>79.63071996215567</x:v>
      </x:c>
      <x:c r="U127" s="31" t="n">
        <x:v>68.49091485860436</x:v>
      </x:c>
    </x:row>
    <x:row r="128">
      <x:c r="A128" s="31" t="n">
        <x:v>12.600000000000001</x:v>
      </x:c>
      <x:c r="B128" s="31" t="n">
        <x:v>57.16008851797925</x:v>
      </x:c>
      <x:c r="C128" s="31" t="n">
        <x:v>56.017042329418196</x:v>
      </x:c>
      <x:c r="D128" s="31" t="n">
        <x:v>67.99885294640791</x:v>
      </x:c>
      <x:c r="E128" s="31" t="n">
        <x:v>73.20473494089433</x:v>
      </x:c>
      <x:c r="F128" s="31" t="n">
        <x:v>64.94200600490657</x:v>
      </x:c>
      <x:c r="G128" s="31" t="n">
        <x:v>62.98348000818636</x:v>
      </x:c>
      <x:c r="H128" s="31" t="n">
        <x:v>86.05603872578205</x:v>
      </x:c>
      <x:c r="I128" s="31" t="n">
        <x:v>80.19667604381742</x:v>
      </x:c>
      <x:c r="J128" s="31" t="n">
        <x:v>88.34691437952209</x:v>
      </x:c>
      <x:c r="K128" s="31" t="n">
        <x:v>69.25197806522914</x:v>
      </x:c>
      <x:c r="L128" s="31" t="n">
        <x:v>56.2115394173129</x:v>
      </x:c>
      <x:c r="M128" s="31" t="n">
        <x:v>79.461702370919</x:v>
      </x:c>
      <x:c r="N128" s="31" t="n">
        <x:v>89.52216189378454</x:v>
      </x:c>
      <x:c r="O128" s="31" t="n">
        <x:v>81.00698999106548</x:v>
      </x:c>
      <x:c r="P128" s="31" t="n">
        <x:v>55.385200203173724</x:v>
      </x:c>
      <x:c r="Q128" s="31" t="n">
        <x:v>55.08289369320588</x:v>
      </x:c>
      <x:c r="R128" s="31" t="n">
        <x:v>68.35956868830512</x:v>
      </x:c>
      <x:c r="S128" s="31" t="n">
        <x:v>74.0589931579833</x:v>
      </x:c>
      <x:c r="T128" s="31" t="n">
        <x:v>89.51811188612393</x:v>
      </x:c>
      <x:c r="U128" s="31" t="n">
        <x:v>50.00000000000183</x:v>
      </x:c>
    </x:row>
    <x:row r="129">
      <x:c r="A129" s="31" t="n">
        <x:v>12.700000000000001</x:v>
      </x:c>
      <x:c r="B129" s="31" t="n">
        <x:v>63.96445251250023</x:v>
      </x:c>
      <x:c r="C129" s="31" t="n">
        <x:v>57.38275074994902</x:v>
      </x:c>
      <x:c r="D129" s="31" t="n">
        <x:v>66.67140563718941</x:v>
      </x:c>
      <x:c r="E129" s="31" t="n">
        <x:v>73.2047349408944</x:v>
      </x:c>
      <x:c r="F129" s="31" t="n">
        <x:v>60.77146705754597</x:v>
      </x:c>
      <x:c r="G129" s="31" t="n">
        <x:v>62.852568845458464</x:v>
      </x:c>
      <x:c r="H129" s="31" t="n">
        <x:v>75.03749480112226</x:v>
      </x:c>
      <x:c r="I129" s="31" t="n">
        <x:v>76.28289097510901</x:v>
      </x:c>
      <x:c r="J129" s="31" t="n">
        <x:v>85.99355364285304</x:v>
      </x:c>
      <x:c r="K129" s="31" t="n">
        <x:v>69.25197806522914</x:v>
      </x:c>
      <x:c r="L129" s="31" t="n">
        <x:v>59.31730912596932</x:v>
      </x:c>
      <x:c r="M129" s="31" t="n">
        <x:v>80.35419812892468</x:v>
      </x:c>
      <x:c r="N129" s="31" t="n">
        <x:v>89.52216189378454</x:v>
      </x:c>
      <x:c r="O129" s="31" t="n">
        <x:v>91.587927858797</x:v>
      </x:c>
      <x:c r="P129" s="31" t="n">
        <x:v>77.63151370559312</x:v>
      </x:c>
      <x:c r="Q129" s="31" t="n">
        <x:v>54.39718125391961</x:v>
      </x:c>
      <x:c r="R129" s="31" t="n">
        <x:v>80.79494107494766</x:v>
      </x:c>
      <x:c r="S129" s="31" t="n">
        <x:v>71.93663516587281</x:v>
      </x:c>
      <x:c r="T129" s="31" t="n">
        <x:v>92.94752431924252</x:v>
      </x:c>
      <x:c r="U129" s="31" t="n">
        <x:v>72.56892109042258</x:v>
      </x:c>
    </x:row>
    <x:row r="130">
      <x:c r="A130" s="31" t="n">
        <x:v>12.8</x:v>
      </x:c>
      <x:c r="B130" s="31" t="n">
        <x:v>63.96445251250023</x:v>
      </x:c>
      <x:c r="C130" s="31" t="n">
        <x:v>57.59190116666022</x:v>
      </x:c>
      <x:c r="D130" s="31" t="n">
        <x:v>60.826090936990994</x:v>
      </x:c>
      <x:c r="E130" s="31" t="n">
        <x:v>82.68439553278816</x:v>
      </x:c>
      <x:c r="F130" s="31" t="n">
        <x:v>77.21597446125831</x:v>
      </x:c>
      <x:c r="G130" s="31" t="n">
        <x:v>64.59805244208377</x:v>
      </x:c>
      <x:c r="H130" s="31" t="n">
        <x:v>66.84451900624867</x:v>
      </x:c>
      <x:c r="I130" s="31" t="n">
        <x:v>75.09297228956507</x:v>
      </x:c>
      <x:c r="J130" s="31" t="n">
        <x:v>77.5953673945958</x:v>
      </x:c>
      <x:c r="K130" s="31" t="n">
        <x:v>87.41376236234365</x:v>
      </x:c>
      <x:c r="L130" s="31" t="n">
        <x:v>61.18077095116314</x:v>
      </x:c>
      <x:c r="M130" s="31" t="n">
        <x:v>80.74477041245277</x:v>
      </x:c>
      <x:c r="N130" s="31" t="n">
        <x:v>82.56863330374102</x:v>
      </x:c>
      <x:c r="O130" s="31" t="n">
        <x:v>91.587927858797</x:v>
      </x:c>
      <x:c r="P130" s="31" t="n">
        <x:v>78.1395117790518</x:v>
      </x:c>
      <x:c r="Q130" s="31" t="n">
        <x:v>54.39718125391961</x:v>
      </x:c>
      <x:c r="R130" s="31" t="n">
        <x:v>82.22285355358707</x:v>
      </x:c>
      <x:c r="S130" s="31" t="n">
        <x:v>68.02966380860047</x:v>
      </x:c>
      <x:c r="T130" s="31" t="n">
        <x:v>92.94752431924252</x:v>
      </x:c>
      <x:c r="U130" s="31" t="n">
        <x:v>83.13846790552516</x:v>
      </x:c>
    </x:row>
    <x:row r="131">
      <x:c r="A131" s="31" t="n">
        <x:v>12.9</x:v>
      </x:c>
      <x:c r="B131" s="31" t="n">
        <x:v>59.98386766410864</x:v>
      </x:c>
      <x:c r="C131" s="31" t="n">
        <x:v>54.64134279690526</x:v>
      </x:c>
      <x:c r="D131" s="31" t="n">
        <x:v>80.52899499126625</x:v>
      </x:c>
      <x:c r="E131" s="31" t="n">
        <x:v>82.68439553278816</x:v>
      </x:c>
      <x:c r="F131" s="31" t="n">
        <x:v>77.82532407046546</x:v>
      </x:c>
      <x:c r="G131" s="31" t="n">
        <x:v>64.59805244208377</x:v>
      </x:c>
      <x:c r="H131" s="31" t="n">
        <x:v>50</x:v>
      </x:c>
      <x:c r="I131" s="31" t="n">
        <x:v>74.06015508953195</x:v>
      </x:c>
      <x:c r="J131" s="31" t="n">
        <x:v>68.53004062155375</x:v>
      </x:c>
      <x:c r="K131" s="31" t="n">
        <x:v>88.17316761255807</x:v>
      </x:c>
      <x:c r="L131" s="31" t="n">
        <x:v>89.60847919215361</x:v>
      </x:c>
      <x:c r="M131" s="31" t="n">
        <x:v>79.90086791515557</x:v>
      </x:c>
      <x:c r="N131" s="31" t="n">
        <x:v>64.51039862481299</x:v>
      </x:c>
      <x:c r="O131" s="31" t="n">
        <x:v>89.12816310147113</x:v>
      </x:c>
      <x:c r="P131" s="31" t="n">
        <x:v>76.55482020861928</x:v>
      </x:c>
      <x:c r="Q131" s="31" t="n">
        <x:v>52.51267500223977</x:v>
      </x:c>
      <x:c r="R131" s="31" t="n">
        <x:v>82.22285355358707</x:v>
      </x:c>
      <x:c r="S131" s="31" t="n">
        <x:v>68.85508207689305</x:v>
      </x:c>
      <x:c r="T131" s="31" t="n">
        <x:v>84.56487145951911</x:v>
      </x:c>
      <x:c r="U131" s="31" t="n">
        <x:v>83.80229210190765</x:v>
      </x:c>
    </x:row>
    <x:row r="132">
      <x:c r="A132" s="31" t="n">
        <x:v>13</x:v>
      </x:c>
      <x:c r="B132" s="31" t="n">
        <x:v>57.07817608309361</x:v>
      </x:c>
      <x:c r="C132" s="31" t="n">
        <x:v>51.74235753740692</x:v>
      </x:c>
      <x:c r="D132" s="31" t="n">
        <x:v>81.09136797798035</x:v>
      </x:c>
      <x:c r="E132" s="31" t="n">
        <x:v>77.63710877116222</x:v>
      </x:c>
      <x:c r="F132" s="31" t="n">
        <x:v>77.82532407046546</x:v>
      </x:c>
      <x:c r="G132" s="31" t="n">
        <x:v>66.28954692730889</x:v>
      </x:c>
      <x:c r="H132" s="31" t="n">
        <x:v>56.45197154018707</x:v>
      </x:c>
      <x:c r="I132" s="31" t="n">
        <x:v>73.35250067831139</x:v>
      </x:c>
      <x:c r="J132" s="31" t="n">
        <x:v>68.55822932683381</x:v>
      </x:c>
      <x:c r="K132" s="31" t="n">
        <x:v>86.12691206041768</x:v>
      </x:c>
      <x:c r="L132" s="31" t="n">
        <x:v>90.13491786442302</x:v>
      </x:c>
      <x:c r="M132" s="31" t="n">
        <x:v>80.27049408668447</x:v>
      </x:c>
      <x:c r="N132" s="31" t="n">
        <x:v>51.92308533553716</x:v>
      </x:c>
      <x:c r="O132" s="31" t="n">
        <x:v>82.22918755622578</x:v>
      </x:c>
      <x:c r="P132" s="31" t="n">
        <x:v>71.92067650357284</x:v>
      </x:c>
      <x:c r="Q132" s="31" t="n">
        <x:v>51.5714097582651</x:v>
      </x:c>
      <x:c r="R132" s="31" t="n">
        <x:v>71.65339509067121</x:v>
      </x:c>
      <x:c r="S132" s="31" t="n">
        <x:v>69.54303025766492</x:v>
      </x:c>
      <x:c r="T132" s="31" t="n">
        <x:v>78.42587931995146</x:v>
      </x:c>
      <x:c r="U132" s="31" t="n">
        <x:v>82.55587939619284</x:v>
      </x:c>
    </x:row>
    <x:row r="133">
      <x:c r="A133" s="31" t="n">
        <x:v>13.100000000000001</x:v>
      </x:c>
      <x:c r="B133" s="31" t="n">
        <x:v>53.893933801565616</x:v>
      </x:c>
      <x:c r="C133" s="31" t="n">
        <x:v>52.71658532463289</x:v>
      </x:c>
      <x:c r="D133" s="31" t="n">
        <x:v>78.7431306379681</x:v>
      </x:c>
      <x:c r="E133" s="31" t="n">
        <x:v>79.50935554941167</x:v>
      </x:c>
      <x:c r="F133" s="31" t="n">
        <x:v>67.6448438842904</x:v>
      </x:c>
      <x:c r="G133" s="31" t="n">
        <x:v>78.72099300760196</x:v>
      </x:c>
      <x:c r="H133" s="31" t="n">
        <x:v>67.20525744049871</x:v>
      </x:c>
      <x:c r="I133" s="31" t="n">
        <x:v>71.32623765847748</x:v>
      </x:c>
      <x:c r="J133" s="31" t="n">
        <x:v>68.55822932683365</x:v>
      </x:c>
      <x:c r="K133" s="31" t="n">
        <x:v>76.86941909241493</x:v>
      </x:c>
      <x:c r="L133" s="31" t="n">
        <x:v>89.85407587439859</x:v>
      </x:c>
      <x:c r="M133" s="31" t="n">
        <x:v>80.16790958201592</x:v>
      </x:c>
      <x:c r="N133" s="31" t="n">
        <x:v>61.53851201322328</x:v>
      </x:c>
      <x:c r="O133" s="31" t="n">
        <x:v>79.00329089856882</x:v>
      </x:c>
      <x:c r="P133" s="31" t="n">
        <x:v>71.92067650357282</x:v>
      </x:c>
      <x:c r="Q133" s="31" t="n">
        <x:v>59.428458549590886</x:v>
      </x:c>
      <x:c r="R133" s="31" t="n">
        <x:v>50</x:v>
      </x:c>
      <x:c r="S133" s="31" t="n">
        <x:v>73.80989059975218</x:v>
      </x:c>
      <x:c r="T133" s="31" t="n">
        <x:v>74.00686948085186</x:v>
      </x:c>
      <x:c r="U133" s="31" t="n">
        <x:v>69.04201287068894</x:v>
      </x:c>
    </x:row>
    <x:row r="134">
      <x:c r="A134" s="31" t="n">
        <x:v>13.200000000000001</x:v>
      </x:c>
      <x:c r="B134" s="31" t="n">
        <x:v>75.61585111386904</x:v>
      </x:c>
      <x:c r="C134" s="31" t="n">
        <x:v>52.71658532463289</x:v>
      </x:c>
      <x:c r="D134" s="31" t="n">
        <x:v>69.80097479759296</x:v>
      </x:c>
      <x:c r="E134" s="31" t="n">
        <x:v>80.59888775617307</x:v>
      </x:c>
      <x:c r="F134" s="31" t="n">
        <x:v>57.58023544071833</x:v>
      </x:c>
      <x:c r="G134" s="31" t="n">
        <x:v>80.7248375519932</x:v>
      </x:c>
      <x:c r="H134" s="31" t="n">
        <x:v>67.20525744049871</x:v>
      </x:c>
      <x:c r="I134" s="31" t="n">
        <x:v>76.13377505048331</x:v>
      </x:c>
      <x:c r="J134" s="31" t="n">
        <x:v>57.60351305529828</x:v>
      </x:c>
      <x:c r="K134" s="31" t="n">
        <x:v>71.4144796680554</x:v>
      </x:c>
      <x:c r="L134" s="31" t="n">
        <x:v>82.5924432342143</x:v>
      </x:c>
      <x:c r="M134" s="31" t="n">
        <x:v>79.2690701295499</x:v>
      </x:c>
      <x:c r="N134" s="31" t="n">
        <x:v>71.15393869090924</x:v>
      </x:c>
      <x:c r="O134" s="31" t="n">
        <x:v>79.22116893659236</x:v>
      </x:c>
      <x:c r="P134" s="31" t="n">
        <x:v>68.8056124031807</x:v>
      </x:c>
      <x:c r="Q134" s="31" t="n">
        <x:v>67.96686174467007</x:v>
      </x:c>
      <x:c r="R134" s="31" t="n">
        <x:v>50</x:v>
      </x:c>
      <x:c r="S134" s="31" t="n">
        <x:v>90.8773319680997</x:v>
      </x:c>
      <x:c r="T134" s="31" t="n">
        <x:v>76.14615680413762</x:v>
      </x:c>
      <x:c r="U134" s="31" t="n">
        <x:v>66.58830875902157</x:v>
      </x:c>
    </x:row>
    <x:row r="135">
      <x:c r="A135" s="31" t="n">
        <x:v>13.3</x:v>
      </x:c>
      <x:c r="B135" s="31" t="n">
        <x:v>75.82524216626857</x:v>
      </x:c>
      <x:c r="C135" s="31" t="n">
        <x:v>52.67796528358681</x:v>
      </x:c>
      <x:c r="D135" s="31" t="n">
        <x:v>59.08277542484187</x:v>
      </x:c>
      <x:c r="E135" s="31" t="n">
        <x:v>80.59888775617307</x:v>
      </x:c>
      <x:c r="F135" s="31" t="n">
        <x:v>50</x:v>
      </x:c>
      <x:c r="G135" s="31" t="n">
        <x:v>80.7248375519932</x:v>
      </x:c>
      <x:c r="H135" s="31" t="n">
        <x:v>77.17254592084613</x:v>
      </x:c>
      <x:c r="I135" s="31" t="n">
        <x:v>76.13377505048331</x:v>
      </x:c>
      <x:c r="J135" s="31" t="n">
        <x:v>72.81053916589417</x:v>
      </x:c>
      <x:c r="K135" s="31" t="n">
        <x:v>68.19480902172297</x:v>
      </x:c>
      <x:c r="L135" s="31" t="n">
        <x:v>78.72564560913858</x:v>
      </x:c>
      <x:c r="M135" s="31" t="n">
        <x:v>78.52752466866559</x:v>
      </x:c>
      <x:c r="N135" s="31" t="n">
        <x:v>91.22899664319911</x:v>
      </x:c>
      <x:c r="O135" s="31" t="n">
        <x:v>78.67580426612919</x:v>
      </x:c>
      <x:c r="P135" s="31" t="n">
        <x:v>69.22603772236144</x:v>
      </x:c>
      <x:c r="Q135" s="31" t="n">
        <x:v>67.96686174467007</x:v>
      </x:c>
      <x:c r="R135" s="31" t="n">
        <x:v>50</x:v>
      </x:c>
      <x:c r="S135" s="31" t="n">
        <x:v>90.8773319680997</x:v>
      </x:c>
      <x:c r="T135" s="31" t="n">
        <x:v>79.64930398078565</x:v>
      </x:c>
      <x:c r="U135" s="31" t="n">
        <x:v>74.6724991663898</x:v>
      </x:c>
    </x:row>
    <x:row r="136">
      <x:c r="A136" s="31" t="n">
        <x:v>13.4</x:v>
      </x:c>
      <x:c r="B136" s="31" t="n">
        <x:v>75.0686099539096</x:v>
      </x:c>
      <x:c r="C136" s="31" t="n">
        <x:v>52.72621618560811</x:v>
      </x:c>
      <x:c r="D136" s="31" t="n">
        <x:v>50</x:v>
      </x:c>
      <x:c r="E136" s="31" t="n">
        <x:v>71.59094370010902</x:v>
      </x:c>
      <x:c r="F136" s="31" t="n">
        <x:v>50</x:v>
      </x:c>
      <x:c r="G136" s="31" t="n">
        <x:v>72.80772174813474</x:v>
      </x:c>
      <x:c r="H136" s="31" t="n">
        <x:v>77.17254592084613</x:v>
      </x:c>
      <x:c r="I136" s="31" t="n">
        <x:v>67.74408252663002</x:v>
      </x:c>
      <x:c r="J136" s="31" t="n">
        <x:v>72.81053916589417</x:v>
      </x:c>
      <x:c r="K136" s="31" t="n">
        <x:v>66.50599487886623</x:v>
      </x:c>
      <x:c r="L136" s="31" t="n">
        <x:v>76.60825188672604</x:v>
      </x:c>
      <x:c r="M136" s="31" t="n">
        <x:v>89.30557844200014</x:v>
      </x:c>
      <x:c r="N136" s="31" t="n">
        <x:v>91.60733103191866</x:v>
      </x:c>
      <x:c r="O136" s="31" t="n">
        <x:v>78.45001598722462</x:v>
      </x:c>
      <x:c r="P136" s="31" t="n">
        <x:v>69.93415350130851</x:v>
      </x:c>
      <x:c r="Q136" s="31" t="n">
        <x:v>66.92253657304882</x:v>
      </x:c>
      <x:c r="R136" s="31" t="n">
        <x:v>50</x:v>
      </x:c>
      <x:c r="S136" s="31" t="n">
        <x:v>87.15973918429904</x:v>
      </x:c>
      <x:c r="T136" s="31" t="n">
        <x:v>83.15245115743367</x:v>
      </x:c>
      <x:c r="U136" s="31" t="n">
        <x:v>76.99400841287479</x:v>
      </x:c>
    </x:row>
    <x:row r="137">
      <x:c r="A137" s="31" t="n">
        <x:v>13.5</x:v>
      </x:c>
      <x:c r="B137" s="31" t="n">
        <x:v>70.53631186352675</x:v>
      </x:c>
      <x:c r="C137" s="31" t="n">
        <x:v>59.652253568992926</x:v>
      </x:c>
      <x:c r="D137" s="31" t="n">
        <x:v>50</x:v>
      </x:c>
      <x:c r="E137" s="31" t="n">
        <x:v>61.269928858461</x:v>
      </x:c>
      <x:c r="F137" s="31" t="n">
        <x:v>50</x:v>
      </x:c>
      <x:c r="G137" s="31" t="n">
        <x:v>50.334775408729726</x:v>
      </x:c>
      <x:c r="H137" s="31" t="n">
        <x:v>72.78772951210979</x:v>
      </x:c>
      <x:c r="I137" s="31" t="n">
        <x:v>50</x:v>
      </x:c>
      <x:c r="J137" s="31" t="n">
        <x:v>63.82529713109307</x:v>
      </x:c>
      <x:c r="K137" s="31" t="n">
        <x:v>54.69904074075929</x:v>
      </x:c>
      <x:c r="L137" s="31" t="n">
        <x:v>75.15423122380199</x:v>
      </x:c>
      <x:c r="M137" s="31" t="n">
        <x:v>89.30557844200014</x:v>
      </x:c>
      <x:c r="N137" s="31" t="n">
        <x:v>90.44475811879255</x:v>
      </x:c>
      <x:c r="O137" s="31" t="n">
        <x:v>79.36893217878624</x:v>
      </x:c>
      <x:c r="P137" s="31" t="n">
        <x:v>69.93415350130851</x:v>
      </x:c>
      <x:c r="Q137" s="31" t="n">
        <x:v>57.08666962731659</x:v>
      </x:c>
      <x:c r="R137" s="31" t="n">
        <x:v>50</x:v>
      </x:c>
      <x:c r="S137" s="31" t="n">
        <x:v>78.71526644467076</x:v>
      </x:c>
      <x:c r="T137" s="31" t="n">
        <x:v>83.85308059276326</x:v>
      </x:c>
      <x:c r="U137" s="31" t="n">
        <x:v>76.99400841287479</x:v>
      </x:c>
    </x:row>
    <x:row r="138">
      <x:c r="A138" s="31" t="n">
        <x:v>13.600000000000001</x:v>
      </x:c>
      <x:c r="B138" s="31" t="n">
        <x:v>65.90071438753978</x:v>
      </x:c>
      <x:c r="C138" s="31" t="n">
        <x:v>67.97599140510552</x:v>
      </x:c>
      <x:c r="D138" s="31" t="n">
        <x:v>50</x:v>
      </x:c>
      <x:c r="E138" s="31" t="n">
        <x:v>53.08182341593907</x:v>
      </x:c>
      <x:c r="F138" s="31" t="n">
        <x:v>61.99525199577727</x:v>
      </x:c>
      <x:c r="G138" s="31" t="n">
        <x:v>50</x:v>
      </x:c>
      <x:c r="H138" s="31" t="n">
        <x:v>65.88850107137138</x:v>
      </x:c>
      <x:c r="I138" s="31" t="n">
        <x:v>68.76782362935262</x:v>
      </x:c>
      <x:c r="J138" s="31" t="n">
        <x:v>69.64347998360365</x:v>
      </x:c>
      <x:c r="K138" s="31" t="n">
        <x:v>75.14147699489754</x:v>
      </x:c>
      <x:c r="L138" s="31" t="n">
        <x:v>75.39106283718894</x:v>
      </x:c>
      <x:c r="M138" s="31" t="n">
        <x:v>82.69925518523904</x:v>
      </x:c>
      <x:c r="N138" s="31" t="n">
        <x:v>84.27810020268032</x:v>
      </x:c>
      <x:c r="O138" s="31" t="n">
        <x:v>80.4108399425271</x:v>
      </x:c>
      <x:c r="P138" s="31" t="n">
        <x:v>69.38797973981643</x:v>
      </x:c>
      <x:c r="Q138" s="31" t="n">
        <x:v>57.43987105846911</x:v>
      </x:c>
      <x:c r="R138" s="31" t="n">
        <x:v>83.13171284907266</x:v>
      </x:c>
      <x:c r="S138" s="31" t="n">
        <x:v>72.64217076387061</x:v>
      </x:c>
      <x:c r="T138" s="31" t="n">
        <x:v>83.63626600846362</x:v>
      </x:c>
      <x:c r="U138" s="31" t="n">
        <x:v>74.13329343162745</x:v>
      </x:c>
    </x:row>
    <x:row r="139">
      <x:c r="A139" s="31" t="n">
        <x:v>13.700000000000001</x:v>
      </x:c>
      <x:c r="B139" s="31" t="n">
        <x:v>61.34558882692148</x:v>
      </x:c>
      <x:c r="C139" s="31" t="n">
        <x:v>73.20459199112048</x:v>
      </x:c>
      <x:c r="D139" s="31" t="n">
        <x:v>56.74704161689942</x:v>
      </x:c>
      <x:c r="E139" s="31" t="n">
        <x:v>53.08182341593879</x:v>
      </x:c>
      <x:c r="F139" s="31" t="n">
        <x:v>61.99525199577727</x:v>
      </x:c>
      <x:c r="G139" s="31" t="n">
        <x:v>59.39076691707393</x:v>
      </x:c>
      <x:c r="H139" s="31" t="n">
        <x:v>71.54890641680821</x:v>
      </x:c>
      <x:c r="I139" s="31" t="n">
        <x:v>71.29082471392178</x:v>
      </x:c>
      <x:c r="J139" s="31" t="n">
        <x:v>69.78984653965382</x:v>
      </x:c>
      <x:c r="K139" s="31" t="n">
        <x:v>75.14147699489754</x:v>
      </x:c>
      <x:c r="L139" s="31" t="n">
        <x:v>76.68908538841745</x:v>
      </x:c>
      <x:c r="M139" s="31" t="n">
        <x:v>66.43351227806077</x:v>
      </x:c>
      <x:c r="N139" s="31" t="n">
        <x:v>83.93158466006084</x:v>
      </x:c>
      <x:c r="O139" s="31" t="n">
        <x:v>80.41083994252706</x:v>
      </x:c>
      <x:c r="P139" s="31" t="n">
        <x:v>69.38797973981643</x:v>
      </x:c>
      <x:c r="Q139" s="31" t="n">
        <x:v>58.32627347202043</x:v>
      </x:c>
      <x:c r="R139" s="31" t="n">
        <x:v>84.61468066167818</x:v>
      </x:c>
      <x:c r="S139" s="31" t="n">
        <x:v>67.36282684278203</x:v>
      </x:c>
      <x:c r="T139" s="31" t="n">
        <x:v>75.5334555753503</x:v>
      </x:c>
      <x:c r="U139" s="31" t="n">
        <x:v>74.13329343162745</x:v>
      </x:c>
    </x:row>
    <x:row r="140">
      <x:c r="A140" s="31" t="n">
        <x:v>13.8</x:v>
      </x:c>
      <x:c r="B140" s="31" t="n">
        <x:v>61.66474648872848</x:v>
      </x:c>
      <x:c r="C140" s="31" t="n">
        <x:v>73.20459199112048</x:v>
      </x:c>
      <x:c r="D140" s="31" t="n">
        <x:v>63.49408323379865</x:v>
      </x:c>
      <x:c r="E140" s="31" t="n">
        <x:v>50</x:v>
      </x:c>
      <x:c r="F140" s="31" t="n">
        <x:v>69.50611890610642</x:v>
      </x:c>
      <x:c r="G140" s="31" t="n">
        <x:v>65.10672146971162</x:v>
      </x:c>
      <x:c r="H140" s="31" t="n">
        <x:v>72.86756322652242</x:v>
      </x:c>
      <x:c r="I140" s="31" t="n">
        <x:v>71.29082471392178</x:v>
      </x:c>
      <x:c r="J140" s="31" t="n">
        <x:v>69.78984653965382</x:v>
      </x:c>
      <x:c r="K140" s="31" t="n">
        <x:v>67.68790470773266</x:v>
      </x:c>
      <x:c r="L140" s="31" t="n">
        <x:v>77.04248436742026</x:v>
      </x:c>
      <x:c r="M140" s="31" t="n">
        <x:v>50</x:v>
      </x:c>
      <x:c r="N140" s="31" t="n">
        <x:v>81.0137306648484</x:v>
      </x:c>
      <x:c r="O140" s="31" t="n">
        <x:v>79.28772543674671</x:v>
      </x:c>
      <x:c r="P140" s="31" t="n">
        <x:v>69.36133679854379</x:v>
      </x:c>
      <x:c r="Q140" s="31" t="n">
        <x:v>62.758285539776715</x:v>
      </x:c>
      <x:c r="R140" s="31" t="n">
        <x:v>87.47382669414648</x:v>
      </x:c>
      <x:c r="S140" s="31" t="n">
        <x:v>68.3263489364518</x:v>
      </x:c>
      <x:c r="T140" s="31" t="n">
        <x:v>70.4265485906846</x:v>
      </x:c>
      <x:c r="U140" s="31" t="n">
        <x:v>73.73637356924415</x:v>
      </x:c>
    </x:row>
    <x:row r="141">
      <x:c r="A141" s="31" t="n">
        <x:v>13.9</x:v>
      </x:c>
      <x:c r="B141" s="31" t="n">
        <x:v>65.00154998917313</x:v>
      </x:c>
      <x:c r="C141" s="31" t="n">
        <x:v>68.42731082970387</x:v>
      </x:c>
      <x:c r="D141" s="31" t="n">
        <x:v>63.49408323379865</x:v>
      </x:c>
      <x:c r="E141" s="31" t="n">
        <x:v>69.71710116624145</x:v>
      </x:c>
      <x:c r="F141" s="31" t="n">
        <x:v>69.50611890610642</x:v>
      </x:c>
      <x:c r="G141" s="31" t="n">
        <x:v>65.10672146971162</x:v>
      </x:c>
      <x:c r="H141" s="31" t="n">
        <x:v>73.19668752286223</x:v>
      </x:c>
      <x:c r="I141" s="31" t="n">
        <x:v>67.56832573222187</x:v>
      </x:c>
      <x:c r="J141" s="31" t="n">
        <x:v>69.66275353058474</x:v>
      </x:c>
      <x:c r="K141" s="31" t="n">
        <x:v>62.10017560500503</x:v>
      </x:c>
      <x:c r="L141" s="31" t="n">
        <x:v>77.1899536034334</x:v>
      </x:c>
      <x:c r="M141" s="31" t="n">
        <x:v>50</x:v>
      </x:c>
      <x:c r="N141" s="31" t="n">
        <x:v>81.19418246745826</x:v>
      </x:c>
      <x:c r="O141" s="31" t="n">
        <x:v>77.53417321094832</x:v>
      </x:c>
      <x:c r="P141" s="31" t="n">
        <x:v>69.16733458758898</x:v>
      </x:c>
      <x:c r="Q141" s="31" t="n">
        <x:v>64.5310903668792</x:v>
      </x:c>
      <x:c r="R141" s="31" t="n">
        <x:v>87.47382669414648</x:v>
      </x:c>
      <x:c r="S141" s="31" t="n">
        <x:v>72.79143985423835</x:v>
      </x:c>
      <x:c r="T141" s="31" t="n">
        <x:v>67.75852549146092</x:v>
      </x:c>
      <x:c r="U141" s="31" t="n">
        <x:v>74.49076074493965</x:v>
      </x:c>
    </x:row>
    <x:row r="142">
      <x:c r="A142" s="31" t="n">
        <x:v>14</x:v>
      </x:c>
      <x:c r="B142" s="31" t="n">
        <x:v>65.35450980736232</x:v>
      </x:c>
      <x:c r="C142" s="31" t="n">
        <x:v>61.09579660221812</x:v>
      </x:c>
      <x:c r="D142" s="31" t="n">
        <x:v>72.21196597015333</x:v>
      </x:c>
      <x:c r="E142" s="31" t="n">
        <x:v>69.90405253077338</x:v>
      </x:c>
      <x:c r="F142" s="31" t="n">
        <x:v>67.156506193821</x:v>
      </x:c>
      <x:c r="G142" s="31" t="n">
        <x:v>68.94591287143434</x:v>
      </x:c>
      <x:c r="H142" s="31" t="n">
        <x:v>74.00692784174164</x:v>
      </x:c>
      <x:c r="I142" s="31" t="n">
        <x:v>69.20385123371136</x:v>
      </x:c>
      <x:c r="J142" s="31" t="n">
        <x:v>69.66275353058474</x:v>
      </x:c>
      <x:c r="K142" s="31" t="n">
        <x:v>64.77628907443938</x:v>
      </x:c>
      <x:c r="L142" s="31" t="n">
        <x:v>77.1899536034334</x:v>
      </x:c>
      <x:c r="M142" s="31" t="n">
        <x:v>50</x:v>
      </x:c>
      <x:c r="N142" s="31" t="n">
        <x:v>81.19418246745826</x:v>
      </x:c>
      <x:c r="O142" s="31" t="n">
        <x:v>80.61316951428822</x:v>
      </x:c>
      <x:c r="P142" s="31" t="n">
        <x:v>67.00660136436778</x:v>
      </x:c>
      <x:c r="Q142" s="31" t="n">
        <x:v>64.5310903668792</x:v>
      </x:c>
      <x:c r="R142" s="31" t="n">
        <x:v>81.40252548429623</x:v>
      </x:c>
      <x:c r="S142" s="31" t="n">
        <x:v>92.91139371634861</x:v>
      </x:c>
      <x:c r="T142" s="31" t="n">
        <x:v>68.21454500633176</x:v>
      </x:c>
      <x:c r="U142" s="31" t="n">
        <x:v>76.4993849488304</x:v>
      </x:c>
    </x:row>
    <x:row r="143">
      <x:c r="A143" s="31" t="n">
        <x:v>14.100000000000001</x:v>
      </x:c>
      <x:c r="B143" s="31" t="n">
        <x:v>64.96896091557741</x:v>
      </x:c>
      <x:c r="C143" s="31" t="n">
        <x:v>54.10393615236056</x:v>
      </x:c>
      <x:c r="D143" s="31" t="n">
        <x:v>73.95554251742423</x:v>
      </x:c>
      <x:c r="E143" s="31" t="n">
        <x:v>75.41282208012002</x:v>
      </x:c>
      <x:c r="F143" s="31" t="n">
        <x:v>60.65898696439625</x:v>
      </x:c>
      <x:c r="G143" s="31" t="n">
        <x:v>69.09208689713921</x:v>
      </x:c>
      <x:c r="H143" s="31" t="n">
        <x:v>74.00692784174164</x:v>
      </x:c>
      <x:c r="I143" s="31" t="n">
        <x:v>69.20385123371152</x:v>
      </x:c>
      <x:c r="J143" s="31" t="n">
        <x:v>83.21764463294889</x:v>
      </x:c>
      <x:c r="K143" s="31" t="n">
        <x:v>64.7762890744393</x:v>
      </x:c>
      <x:c r="L143" s="31" t="n">
        <x:v>76.40885719240167</x:v>
      </x:c>
      <x:c r="M143" s="31" t="n">
        <x:v>50</x:v>
      </x:c>
      <x:c r="N143" s="31" t="n">
        <x:v>80.84667584256276</x:v>
      </x:c>
      <x:c r="O143" s="31" t="n">
        <x:v>88.95946585395518</x:v>
      </x:c>
      <x:c r="P143" s="31" t="n">
        <x:v>64.71544188280674</x:v>
      </x:c>
      <x:c r="Q143" s="31" t="n">
        <x:v>64.32708814620389</x:v>
      </x:c>
      <x:c r="R143" s="31" t="n">
        <x:v>72.72079950020348</x:v>
      </x:c>
      <x:c r="S143" s="31" t="n">
        <x:v>95.14532766412745</x:v>
      </x:c>
      <x:c r="T143" s="31" t="n">
        <x:v>73.66132462404939</x:v>
      </x:c>
      <x:c r="U143" s="31" t="n">
        <x:v>82.98493239092386</x:v>
      </x:c>
    </x:row>
    <x:row r="144">
      <x:c r="A144" s="31" t="n">
        <x:v>14.200000000000001</x:v>
      </x:c>
      <x:c r="B144" s="31" t="n">
        <x:v>64.8346893372566</x:v>
      </x:c>
      <x:c r="C144" s="31" t="n">
        <x:v>55.44003952038317</x:v>
      </x:c>
      <x:c r="D144" s="31" t="n">
        <x:v>71.46775174858395</x:v>
      </x:c>
      <x:c r="E144" s="31" t="n">
        <x:v>75.93735517608627</x:v>
      </x:c>
      <x:c r="F144" s="31" t="n">
        <x:v>62.85451112440193</x:v>
      </x:c>
      <x:c r="G144" s="31" t="n">
        <x:v>68.83729566789685</x:v>
      </x:c>
      <x:c r="H144" s="31" t="n">
        <x:v>75.16763774748405</x:v>
      </x:c>
      <x:c r="I144" s="31" t="n">
        <x:v>70.90492893852726</x:v>
      </x:c>
      <x:c r="J144" s="31" t="n">
        <x:v>85.63485165391802</x:v>
      </x:c>
      <x:c r="K144" s="31" t="n">
        <x:v>59.91341759315296</x:v>
      </x:c>
      <x:c r="L144" s="31" t="n">
        <x:v>74.8676782413014</x:v>
      </x:c>
      <x:c r="M144" s="31" t="n">
        <x:v>87.56086940121308</x:v>
      </x:c>
      <x:c r="N144" s="31" t="n">
        <x:v>81.87268951537587</x:v>
      </x:c>
      <x:c r="O144" s="31" t="n">
        <x:v>88.95946585395518</x:v>
      </x:c>
      <x:c r="P144" s="31" t="n">
        <x:v>76.81237926027995</x:v>
      </x:c>
      <x:c r="Q144" s="31" t="n">
        <x:v>70.55278118316602</x:v>
      </x:c>
      <x:c r="R144" s="31" t="n">
        <x:v>71.43200626578665</x:v>
      </x:c>
      <x:c r="S144" s="31" t="n">
        <x:v>95.14532766412734</x:v>
      </x:c>
      <x:c r="T144" s="31" t="n">
        <x:v>78.46779676061324</x:v>
      </x:c>
      <x:c r="U144" s="31" t="n">
        <x:v>87.84909297249375</x:v>
      </x:c>
    </x:row>
    <x:row r="145">
      <x:c r="A145" s="31" t="n">
        <x:v>14.3</x:v>
      </x:c>
      <x:c r="B145" s="31" t="n">
        <x:v>64.8346893372566</x:v>
      </x:c>
      <x:c r="C145" s="31" t="n">
        <x:v>54.53336626698592</x:v>
      </x:c>
      <x:c r="D145" s="31" t="n">
        <x:v>68.02390100500286</x:v>
      </x:c>
      <x:c r="E145" s="31" t="n">
        <x:v>74.85419021818046</x:v>
      </x:c>
      <x:c r="F145" s="31" t="n">
        <x:v>64.74997843176808</x:v>
      </x:c>
      <x:c r="G145" s="31" t="n">
        <x:v>57.7202657239051</x:v>
      </x:c>
      <x:c r="H145" s="31" t="n">
        <x:v>76.02656883335771</x:v>
      </x:c>
      <x:c r="I145" s="31" t="n">
        <x:v>84.50223246785224</x:v>
      </x:c>
      <x:c r="J145" s="31" t="n">
        <x:v>85.63485165391802</x:v>
      </x:c>
      <x:c r="K145" s="31" t="n">
        <x:v>63.03178270338439</x:v>
      </x:c>
      <x:c r="L145" s="31" t="n">
        <x:v>73.7715682499099</x:v>
      </x:c>
      <x:c r="M145" s="31" t="n">
        <x:v>89.87791636071637</x:v>
      </x:c>
      <x:c r="N145" s="31" t="n">
        <x:v>82.31145819803542</x:v>
      </x:c>
      <x:c r="O145" s="31" t="n">
        <x:v>80.62600482087511</x:v>
      </x:c>
      <x:c r="P145" s="31" t="n">
        <x:v>76.81237926027995</x:v>
      </x:c>
      <x:c r="Q145" s="31" t="n">
        <x:v>70.55278118316602</x:v>
      </x:c>
      <x:c r="R145" s="31" t="n">
        <x:v>72.70057752918628</x:v>
      </x:c>
      <x:c r="S145" s="31" t="n">
        <x:v>86.7215946316826</x:v>
      </x:c>
      <x:c r="T145" s="31" t="n">
        <x:v>80.08895973773974</x:v>
      </x:c>
      <x:c r="U145" s="31" t="n">
        <x:v>87.84909297249375</x:v>
      </x:c>
    </x:row>
    <x:row r="146">
      <x:c r="A146" s="31" t="n">
        <x:v>14.4</x:v>
      </x:c>
      <x:c r="B146" s="31" t="n">
        <x:v>62.13330210508489</x:v>
      </x:c>
      <x:c r="C146" s="31" t="n">
        <x:v>50</x:v>
      </x:c>
      <x:c r="D146" s="31" t="n">
        <x:v>63.8355476301081</x:v>
      </x:c>
      <x:c r="E146" s="31" t="n">
        <x:v>65.89767503917481</x:v>
      </x:c>
      <x:c r="F146" s="31" t="n">
        <x:v>67.339798247604</x:v>
      </x:c>
      <x:c r="G146" s="31" t="n">
        <x:v>60.71381919278505</x:v>
      </x:c>
      <x:c r="H146" s="31" t="n">
        <x:v>76.02656883335771</x:v>
      </x:c>
      <x:c r="I146" s="31" t="n">
        <x:v>87.38607099399675</x:v>
      </x:c>
      <x:c r="J146" s="31" t="n">
        <x:v>78.99919926163057</x:v>
      </x:c>
      <x:c r="K146" s="31" t="n">
        <x:v>86.92339449804642</x:v>
      </x:c>
      <x:c r="L146" s="31" t="n">
        <x:v>69.31101336352523</x:v>
      </x:c>
      <x:c r="M146" s="31" t="n">
        <x:v>89.87791636071637</x:v>
      </x:c>
      <x:c r="N146" s="31" t="n">
        <x:v>82.31145819803542</x:v>
      </x:c>
      <x:c r="O146" s="31" t="n">
        <x:v>50</x:v>
      </x:c>
      <x:c r="P146" s="31" t="n">
        <x:v>72.77913902566021</x:v>
      </x:c>
      <x:c r="Q146" s="31" t="n">
        <x:v>70.53526252063165</x:v>
      </x:c>
      <x:c r="R146" s="31" t="n">
        <x:v>72.70057752918628</x:v>
      </x:c>
      <x:c r="S146" s="31" t="n">
        <x:v>85.04695234600123</x:v>
      </x:c>
      <x:c r="T146" s="31" t="n">
        <x:v>80.11181083944982</x:v>
      </x:c>
      <x:c r="U146" s="31" t="n">
        <x:v>83.62587821232822</x:v>
      </x:c>
    </x:row>
    <x:row r="147">
      <x:c r="A147" s="31" t="n">
        <x:v>14.5</x:v>
      </x:c>
      <x:c r="B147" s="31" t="n">
        <x:v>64.76245419398788</x:v>
      </x:c>
      <x:c r="C147" s="31" t="n">
        <x:v>57.09379099636433</x:v>
      </x:c>
      <x:c r="D147" s="31" t="n">
        <x:v>63.94032030089487</x:v>
      </x:c>
      <x:c r="E147" s="31" t="n">
        <x:v>59.59439127065838</x:v>
      </x:c>
      <x:c r="F147" s="31" t="n">
        <x:v>68.80282782761876</x:v>
      </x:c>
      <x:c r="G147" s="31" t="n">
        <x:v>61.66966367116182</x:v>
      </x:c>
      <x:c r="H147" s="31" t="n">
        <x:v>76.4091564952557</x:v>
      </x:c>
      <x:c r="I147" s="31" t="n">
        <x:v>87.38607099399675</x:v>
      </x:c>
      <x:c r="J147" s="31" t="n">
        <x:v>69.37583144122716</x:v>
      </x:c>
      <x:c r="K147" s="31" t="n">
        <x:v>88.43226286316411</x:v>
      </x:c>
      <x:c r="L147" s="31" t="n">
        <x:v>89.18775243772764</x:v>
      </x:c>
      <x:c r="M147" s="31" t="n">
        <x:v>82.66651556561908</x:v>
      </x:c>
      <x:c r="N147" s="31" t="n">
        <x:v>80.62088979600537</x:v>
      </x:c>
      <x:c r="O147" s="31" t="n">
        <x:v>50</x:v>
      </x:c>
      <x:c r="P147" s="31" t="n">
        <x:v>64.78984007155644</x:v>
      </x:c>
      <x:c r="Q147" s="31" t="n">
        <x:v>71.63246536502268</x:v>
      </x:c>
      <x:c r="R147" s="31" t="n">
        <x:v>72.33821746384936</x:v>
      </x:c>
      <x:c r="S147" s="31" t="n">
        <x:v>79.89746031980567</x:v>
      </x:c>
      <x:c r="T147" s="31" t="n">
        <x:v>85.15213596944182</x:v>
      </x:c>
      <x:c r="U147" s="31" t="n">
        <x:v>77.98438438096514</x:v>
      </x:c>
    </x:row>
    <x:row r="148">
      <x:c r="A148" s="31" t="n">
        <x:v>14.600000000000001</x:v>
      </x:c>
      <x:c r="B148" s="31" t="n">
        <x:v>64.76245419398788</x:v>
      </x:c>
      <x:c r="C148" s="31" t="n">
        <x:v>57.09379099636433</x:v>
      </x:c>
      <x:c r="D148" s="31" t="n">
        <x:v>65.57428094563825</x:v>
      </x:c>
      <x:c r="E148" s="31" t="n">
        <x:v>65.89024827891903</x:v>
      </x:c>
      <x:c r="F148" s="31" t="n">
        <x:v>69.1958560111152</x:v>
      </x:c>
      <x:c r="G148" s="31" t="n">
        <x:v>61.925947824250045</x:v>
      </x:c>
      <x:c r="H148" s="31" t="n">
        <x:v>76.00312289997171</x:v>
      </x:c>
      <x:c r="I148" s="31" t="n">
        <x:v>77.78222129526351</x:v>
      </x:c>
      <x:c r="J148" s="31" t="n">
        <x:v>67.75341190652667</x:v>
      </x:c>
      <x:c r="K148" s="31" t="n">
        <x:v>88.43226286316396</x:v>
      </x:c>
      <x:c r="L148" s="31" t="n">
        <x:v>89.18775243772764</x:v>
      </x:c>
      <x:c r="M148" s="31" t="n">
        <x:v>82.66651556561905</x:v>
      </x:c>
      <x:c r="N148" s="31" t="n">
        <x:v>76.60094530746433</x:v>
      </x:c>
      <x:c r="O148" s="31" t="n">
        <x:v>69.75789732748575</x:v>
      </x:c>
      <x:c r="P148" s="31" t="n">
        <x:v>50</x:v>
      </x:c>
      <x:c r="Q148" s="31" t="n">
        <x:v>71.63246536502265</x:v>
      </x:c>
      <x:c r="R148" s="31" t="n">
        <x:v>71.90058413695195</x:v>
      </x:c>
      <x:c r="S148" s="31" t="n">
        <x:v>77.12576045569116</x:v>
      </x:c>
      <x:c r="T148" s="31" t="n">
        <x:v>93.06210986531778</x:v>
      </x:c>
      <x:c r="U148" s="31" t="n">
        <x:v>64.99581093212294</x:v>
      </x:c>
    </x:row>
    <x:row r="149">
      <x:c r="A149" s="31" t="n">
        <x:v>14.700000000000001</x:v>
      </x:c>
      <x:c r="B149" s="31" t="n">
        <x:v>62.70118231535599</x:v>
      </x:c>
      <x:c r="C149" s="31" t="n">
        <x:v>52.8800094120073</x:v>
      </x:c>
      <x:c r="D149" s="31" t="n">
        <x:v>65.57428094563825</x:v>
      </x:c>
      <x:c r="E149" s="31" t="n">
        <x:v>68.28455321631974</x:v>
      </x:c>
      <x:c r="F149" s="31" t="n">
        <x:v>68.83057509961802</x:v>
      </x:c>
      <x:c r="G149" s="31" t="n">
        <x:v>61.92594782425002</x:v>
      </x:c>
      <x:c r="H149" s="31" t="n">
        <x:v>72.67186765963434</x:v>
      </x:c>
      <x:c r="I149" s="31" t="n">
        <x:v>71.31480928957939</x:v>
      </x:c>
      <x:c r="J149" s="31" t="n">
        <x:v>67.75341190652667</x:v>
      </x:c>
      <x:c r="K149" s="31" t="n">
        <x:v>80.8768896761385</x:v>
      </x:c>
      <x:c r="L149" s="31" t="n">
        <x:v>85.5520714659352</x:v>
      </x:c>
      <x:c r="M149" s="31" t="n">
        <x:v>80.83443622193795</x:v>
      </x:c>
      <x:c r="N149" s="31" t="n">
        <x:v>69.51899665340765</x:v>
      </x:c>
      <x:c r="O149" s="31" t="n">
        <x:v>91.16644499667633</x:v>
      </x:c>
      <x:c r="P149" s="31" t="n">
        <x:v>50</x:v>
      </x:c>
      <x:c r="Q149" s="31" t="n">
        <x:v>72.04547076685984</x:v>
      </x:c>
      <x:c r="R149" s="31" t="n">
        <x:v>83.80315994665992</x:v>
      </x:c>
      <x:c r="S149" s="31" t="n">
        <x:v>75.0497194869622</x:v>
      </x:c>
      <x:c r="T149" s="31" t="n">
        <x:v>93.06210986531778</x:v>
      </x:c>
      <x:c r="U149" s="31" t="n">
        <x:v>58.81461795272287</x:v>
      </x:c>
    </x:row>
    <x:row r="150">
      <x:c r="A150" s="31" t="n">
        <x:v>14.8</x:v>
      </x:c>
      <x:c r="B150" s="31" t="n">
        <x:v>64.65780450180169</x:v>
      </x:c>
      <x:c r="C150" s="31" t="n">
        <x:v>51.32462275518749</x:v>
      </x:c>
      <x:c r="D150" s="31" t="n">
        <x:v>64.75502604007909</x:v>
      </x:c>
      <x:c r="E150" s="31" t="n">
        <x:v>68.28455321631974</x:v>
      </x:c>
      <x:c r="F150" s="31" t="n">
        <x:v>66.37176588623369</x:v>
      </x:c>
      <x:c r="G150" s="31" t="n">
        <x:v>62.57539160210221</x:v>
      </x:c>
      <x:c r="H150" s="31" t="n">
        <x:v>76.24153907676535</x:v>
      </x:c>
      <x:c r="I150" s="31" t="n">
        <x:v>58.55922211458085</x:v>
      </x:c>
      <x:c r="J150" s="31" t="n">
        <x:v>50</x:v>
      </x:c>
      <x:c r="K150" s="31" t="n">
        <x:v>73.9506791399914</x:v>
      </x:c>
      <x:c r="L150" s="31" t="n">
        <x:v>76.99228734816887</x:v>
      </x:c>
      <x:c r="M150" s="31" t="n">
        <x:v>81.21117797498054</x:v>
      </x:c>
      <x:c r="N150" s="31" t="n">
        <x:v>86.27290932529387</x:v>
      </x:c>
      <x:c r="O150" s="31" t="n">
        <x:v>91.76127786527144</x:v>
      </x:c>
      <x:c r="P150" s="31" t="n">
        <x:v>50.31847363837589</x:v>
      </x:c>
      <x:c r="Q150" s="31" t="n">
        <x:v>72.04547076685984</x:v>
      </x:c>
      <x:c r="R150" s="31" t="n">
        <x:v>84.74201657331722</x:v>
      </x:c>
      <x:c r="S150" s="31" t="n">
        <x:v>73.19405561620775</x:v>
      </x:c>
      <x:c r="T150" s="31" t="n">
        <x:v>87.64488205927626</x:v>
      </x:c>
      <x:c r="U150" s="31" t="n">
        <x:v>68.64528117170155</x:v>
      </x:c>
    </x:row>
    <x:row r="151">
      <x:c r="A151" s="31" t="n">
        <x:v>14.9</x:v>
      </x:c>
      <x:c r="B151" s="31" t="n">
        <x:v>64.65780450180169</x:v>
      </x:c>
      <x:c r="C151" s="31" t="n">
        <x:v>52.15805656456561</x:v>
      </x:c>
      <x:c r="D151" s="31" t="n">
        <x:v>64.72804335637306</x:v>
      </x:c>
      <x:c r="E151" s="31" t="n">
        <x:v>68.53837573937197</x:v>
      </x:c>
      <x:c r="F151" s="31" t="n">
        <x:v>66.37176588623369</x:v>
      </x:c>
      <x:c r="G151" s="31" t="n">
        <x:v>63.16358918082014</x:v>
      </x:c>
      <x:c r="H151" s="31" t="n">
        <x:v>83.17365884808845</x:v>
      </x:c>
      <x:c r="I151" s="31" t="n">
        <x:v>64.80750467054922</x:v>
      </x:c>
      <x:c r="J151" s="31" t="n">
        <x:v>72.37383705232916</x:v>
      </x:c>
      <x:c r="K151" s="31" t="n">
        <x:v>72.75519312888719</x:v>
      </x:c>
      <x:c r="L151" s="31" t="n">
        <x:v>61.94956274386716</x:v>
      </x:c>
      <x:c r="M151" s="31" t="n">
        <x:v>81.29704074268221</x:v>
      </x:c>
      <x:c r="N151" s="31" t="n">
        <x:v>89.62369185967106</x:v>
      </x:c>
      <x:c r="O151" s="31" t="n">
        <x:v>91.75372787823379</x:v>
      </x:c>
      <x:c r="P151" s="31" t="n">
        <x:v>50.84926303566905</x:v>
      </x:c>
      <x:c r="Q151" s="31" t="n">
        <x:v>71.93717897824261</x:v>
      </x:c>
      <x:c r="R151" s="31" t="n">
        <x:v>84.34229034891734</x:v>
      </x:c>
      <x:c r="S151" s="31" t="n">
        <x:v>80.16575019644009</x:v>
      </x:c>
      <x:c r="T151" s="31" t="n">
        <x:v>82.20640017861838</x:v>
      </x:c>
      <x:c r="U151" s="31" t="n">
        <x:v>68.64528117170155</x:v>
      </x:c>
    </x:row>
    <x:row r="152">
      <x:c r="A152" s="31" t="n">
        <x:v>15</x:v>
      </x:c>
      <x:c r="B152" s="31" t="n">
        <x:v>64.72499903980824</x:v>
      </x:c>
      <x:c r="C152" s="31" t="n">
        <x:v>73.67080865096426</x:v>
      </x:c>
      <x:c r="D152" s="31" t="n">
        <x:v>65.7762967070264</x:v>
      </x:c>
      <x:c r="E152" s="31" t="n">
        <x:v>68.53837573937197</x:v>
      </x:c>
      <x:c r="F152" s="31" t="n">
        <x:v>66.47375407845217</x:v>
      </x:c>
      <x:c r="G152" s="31" t="n">
        <x:v>63.011053921622704</x:v>
      </x:c>
      <x:c r="H152" s="31" t="n">
        <x:v>83.17365884808845</x:v>
      </x:c>
      <x:c r="I152" s="31" t="n">
        <x:v>67.30681769293652</x:v>
      </x:c>
      <x:c r="J152" s="31" t="n">
        <x:v>72.37383705232916</x:v>
      </x:c>
      <x:c r="K152" s="31" t="n">
        <x:v>72.34651741241424</x:v>
      </x:c>
      <x:c r="L152" s="31" t="n">
        <x:v>51.29464929020044</x:v>
      </x:c>
      <x:c r="M152" s="31" t="n">
        <x:v>81.32158458468014</x:v>
      </x:c>
      <x:c r="N152" s="31" t="n">
        <x:v>85.578795337366</x:v>
      </x:c>
      <x:c r="O152" s="31" t="n">
        <x:v>83.85943606337102</x:v>
      </x:c>
      <x:c r="P152" s="31" t="n">
        <x:v>75.68192298506472</x:v>
      </x:c>
      <x:c r="Q152" s="31" t="n">
        <x:v>71.93717897824261</x:v>
      </x:c>
      <x:c r="R152" s="31" t="n">
        <x:v>76.9381111966914</x:v>
      </x:c>
      <x:c r="S152" s="31" t="n">
        <x:v>86.92523546220406</x:v>
      </x:c>
      <x:c r="T152" s="31" t="n">
        <x:v>74.41965743050731</x:v>
      </x:c>
      <x:c r="U152" s="31" t="n">
        <x:v>62.674977318336836</x:v>
      </x:c>
    </x:row>
    <x:row r="153">
      <x:c r="A153" s="31" t="n">
        <x:v>15.100000000000001</x:v>
      </x:c>
      <x:c r="B153" s="31" t="n">
        <x:v>65.37555901626811</x:v>
      </x:c>
      <x:c r="C153" s="31" t="n">
        <x:v>73.67080865096426</x:v>
      </x:c>
      <x:c r="D153" s="31" t="n">
        <x:v>65.7762967070264</x:v>
      </x:c>
      <x:c r="E153" s="31" t="n">
        <x:v>68.3854839181505</x:v>
      </x:c>
      <x:c r="F153" s="31" t="n">
        <x:v>82.40268043700058</x:v>
      </x:c>
      <x:c r="G153" s="31" t="n">
        <x:v>63.011053921622796</x:v>
      </x:c>
      <x:c r="H153" s="31" t="n">
        <x:v>76.37129311703792</x:v>
      </x:c>
      <x:c r="I153" s="31" t="n">
        <x:v>70.97615439635426</x:v>
      </x:c>
      <x:c r="J153" s="31" t="n">
        <x:v>66.75871872212876</x:v>
      </x:c>
      <x:c r="K153" s="31" t="n">
        <x:v>76.31388206117731</x:v>
      </x:c>
      <x:c r="L153" s="31" t="n">
        <x:v>50</x:v>
      </x:c>
      <x:c r="M153" s="31" t="n">
        <x:v>81.32158458468008</x:v>
      </x:c>
      <x:c r="N153" s="31" t="n">
        <x:v>75.41583509805189</x:v>
      </x:c>
      <x:c r="O153" s="31" t="n">
        <x:v>80.33796783437302</x:v>
      </x:c>
      <x:c r="P153" s="31" t="n">
        <x:v>78.41302405500397</x:v>
      </x:c>
      <x:c r="Q153" s="31" t="n">
        <x:v>87.06958322826117</x:v>
      </x:c>
      <x:c r="R153" s="31" t="n">
        <x:v>71.78072957554673</x:v>
      </x:c>
      <x:c r="S153" s="31" t="n">
        <x:v>86.92523546220406</x:v>
      </x:c>
      <x:c r="T153" s="31" t="n">
        <x:v>69.52857501323854</x:v>
      </x:c>
      <x:c r="U153" s="31" t="n">
        <x:v>75.23918779060966</x:v>
      </x:c>
    </x:row>
    <x:row r="154">
      <x:c r="A154" s="31" t="n">
        <x:v>15.200000000000001</x:v>
      </x:c>
      <x:c r="B154" s="31" t="n">
        <x:v>65.37555901626799</x:v>
      </x:c>
      <x:c r="C154" s="31" t="n">
        <x:v>72.36124214682208</x:v>
      </x:c>
      <x:c r="D154" s="31" t="n">
        <x:v>65.17440571289858</x:v>
      </x:c>
      <x:c r="E154" s="31" t="n">
        <x:v>68.83646709822655</x:v>
      </x:c>
      <x:c r="F154" s="31" t="n">
        <x:v>88.2037434424978</x:v>
      </x:c>
      <x:c r="G154" s="31" t="n">
        <x:v>68.18664625109423</x:v>
      </x:c>
      <x:c r="H154" s="31" t="n">
        <x:v>68.4112500663392</x:v>
      </x:c>
      <x:c r="I154" s="31" t="n">
        <x:v>75.56282527562632</x:v>
      </x:c>
      <x:c r="J154" s="31" t="n">
        <x:v>67.69865458248948</x:v>
      </x:c>
      <x:c r="K154" s="31" t="n">
        <x:v>76.31388206117731</x:v>
      </x:c>
      <x:c r="L154" s="31" t="n">
        <x:v>50</x:v>
      </x:c>
      <x:c r="M154" s="31" t="n">
        <x:v>80.47920880743858</x:v>
      </x:c>
      <x:c r="N154" s="31" t="n">
        <x:v>51.49047409817359</x:v>
      </x:c>
      <x:c r="O154" s="31" t="n">
        <x:v>78.03437509980495</x:v>
      </x:c>
      <x:c r="P154" s="31" t="n">
        <x:v>78.41302405500397</x:v>
      </x:c>
      <x:c r="Q154" s="31" t="n">
        <x:v>87.06958322826117</x:v>
      </x:c>
      <x:c r="R154" s="31" t="n">
        <x:v>67.85896743998015</x:v>
      </x:c>
      <x:c r="S154" s="31" t="n">
        <x:v>83.40075728288323</x:v>
      </x:c>
      <x:c r="T154" s="31" t="n">
        <x:v>73.21950402174517</x:v>
      </x:c>
      <x:c r="U154" s="31" t="n">
        <x:v>83.42089858981937</x:v>
      </x:c>
    </x:row>
    <x:row r="155">
      <x:c r="A155" s="31" t="n">
        <x:v>15.3</x:v>
      </x:c>
      <x:c r="B155" s="31" t="n">
        <x:v>66.53764896512324</x:v>
      </x:c>
      <x:c r="C155" s="31" t="n">
        <x:v>67.30672510826463</x:v>
      </x:c>
      <x:c r="D155" s="31" t="n">
        <x:v>65.93682789950793</x:v>
      </x:c>
      <x:c r="E155" s="31" t="n">
        <x:v>68.83646709822655</x:v>
      </x:c>
      <x:c r="F155" s="31" t="n">
        <x:v>88.2037434424978</x:v>
      </x:c>
      <x:c r="G155" s="31" t="n">
        <x:v>79.21069407093786</x:v>
      </x:c>
      <x:c r="H155" s="31" t="n">
        <x:v>62.96740700436141</x:v>
      </x:c>
      <x:c r="I155" s="31" t="n">
        <x:v>76.48015945148072</x:v>
      </x:c>
      <x:c r="J155" s="31" t="n">
        <x:v>67.76143062062252</x:v>
      </x:c>
      <x:c r="K155" s="31" t="n">
        <x:v>70.21964876689991</x:v>
      </x:c>
      <x:c r="L155" s="31" t="n">
        <x:v>50</x:v>
      </x:c>
      <x:c r="M155" s="31" t="n">
        <x:v>81.20876639575201</x:v>
      </x:c>
      <x:c r="N155" s="31" t="n">
        <x:v>58.942844589041044</x:v>
      </x:c>
      <x:c r="O155" s="31" t="n">
        <x:v>77.71984093442549</x:v>
      </x:c>
      <x:c r="P155" s="31" t="n">
        <x:v>73.05538480046602</x:v>
      </x:c>
      <x:c r="Q155" s="31" t="n">
        <x:v>83.7540992165206</x:v>
      </x:c>
      <x:c r="R155" s="31" t="n">
        <x:v>67.46979305514701</x:v>
      </x:c>
      <x:c r="S155" s="31" t="n">
        <x:v>73.47245925984842</x:v>
      </x:c>
      <x:c r="T155" s="31" t="n">
        <x:v>73.21950402174517</x:v>
      </x:c>
      <x:c r="U155" s="31" t="n">
        <x:v>84.81750317744257</x:v>
      </x:c>
    </x:row>
    <x:row r="156">
      <x:c r="A156" s="31" t="n">
        <x:v>15.4</x:v>
      </x:c>
      <x:c r="B156" s="31" t="n">
        <x:v>82.11862085865387</x:v>
      </x:c>
      <x:c r="C156" s="31" t="n">
        <x:v>60.92792188930538</x:v>
      </x:c>
      <x:c r="D156" s="31" t="n">
        <x:v>65.93682789950793</x:v>
      </x:c>
      <x:c r="E156" s="31" t="n">
        <x:v>70.50735392924514</x:v>
      </x:c>
      <x:c r="F156" s="31" t="n">
        <x:v>81.55751859913595</x:v>
      </x:c>
      <x:c r="G156" s="31" t="n">
        <x:v>79.21069407093786</x:v>
      </x:c>
      <x:c r="H156" s="31" t="n">
        <x:v>65.00707081130808</x:v>
      </x:c>
      <x:c r="I156" s="31" t="n">
        <x:v>74.80080703160101</x:v>
      </x:c>
      <x:c r="J156" s="31" t="n">
        <x:v>67.17812380971915</x:v>
      </x:c>
      <x:c r="K156" s="31" t="n">
        <x:v>61.945977101214815</x:v>
      </x:c>
      <x:c r="L156" s="31" t="n">
        <x:v>87.28054832740283</x:v>
      </x:c>
      <x:c r="M156" s="31" t="n">
        <x:v>81.20876639575201</x:v>
      </x:c>
      <x:c r="N156" s="31" t="n">
        <x:v>66.39521507990848</x:v>
      </x:c>
      <x:c r="O156" s="31" t="n">
        <x:v>79.63136655888744</x:v>
      </x:c>
      <x:c r="P156" s="31" t="n">
        <x:v>73.05538480046602</x:v>
      </x:c>
      <x:c r="Q156" s="31" t="n">
        <x:v>78.00515403063919</x:v>
      </x:c>
      <x:c r="R156" s="31" t="n">
        <x:v>67.04249578532436</x:v>
      </x:c>
      <x:c r="S156" s="31" t="n">
        <x:v>61.872878511067285</x:v>
      </x:c>
      <x:c r="T156" s="31" t="n">
        <x:v>88.73734164481323</x:v>
      </x:c>
      <x:c r="U156" s="31" t="n">
        <x:v>84.81750317744257</x:v>
      </x:c>
    </x:row>
    <x:row r="157">
      <x:c r="A157" s="31" t="n">
        <x:v>15.5</x:v>
      </x:c>
      <x:c r="B157" s="31" t="n">
        <x:v>82.11862085865387</x:v>
      </x:c>
      <x:c r="C157" s="31" t="n">
        <x:v>64.28104259297425</x:v>
      </x:c>
      <x:c r="D157" s="31" t="n">
        <x:v>66.13140712710367</x:v>
      </x:c>
      <x:c r="E157" s="31" t="n">
        <x:v>70.50735392924514</x:v>
      </x:c>
      <x:c r="F157" s="31" t="n">
        <x:v>73.77781886946624</x:v>
      </x:c>
      <x:c r="G157" s="31" t="n">
        <x:v>73.2169463407883</x:v>
      </x:c>
      <x:c r="H157" s="31" t="n">
        <x:v>67.04673461825476</x:v>
      </x:c>
      <x:c r="I157" s="31" t="n">
        <x:v>66.59706946206465</x:v>
      </x:c>
      <x:c r="J157" s="31" t="n">
        <x:v>66.66379050042991</x:v>
      </x:c>
      <x:c r="K157" s="31" t="n">
        <x:v>67.27281119593314</x:v>
      </x:c>
      <x:c r="L157" s="31" t="n">
        <x:v>90.16071990406223</x:v>
      </x:c>
      <x:c r="M157" s="31" t="n">
        <x:v>80.55731253018061</x:v>
      </x:c>
      <x:c r="N157" s="31" t="n">
        <x:v>72.35711147260247</x:v>
      </x:c>
      <x:c r="O157" s="31" t="n">
        <x:v>79.23234061486805</x:v>
      </x:c>
      <x:c r="P157" s="31" t="n">
        <x:v>70.65615551331082</x:v>
      </x:c>
      <x:c r="Q157" s="31" t="n">
        <x:v>66.3767137001457</x:v>
      </x:c>
      <x:c r="R157" s="31" t="n">
        <x:v>69.0159456883023</x:v>
      </x:c>
      <x:c r="S157" s="31" t="n">
        <x:v>50</x:v>
      </x:c>
      <x:c r="T157" s="31" t="n">
        <x:v>89.44663234204945</x:v>
      </x:c>
      <x:c r="U157" s="31" t="n">
        <x:v>76.56694837470826</x:v>
      </x:c>
    </x:row>
    <x:row r="158">
      <x:c r="A158" s="31" t="n">
        <x:v>15.600000000000001</x:v>
      </x:c>
      <x:c r="B158" s="31" t="n">
        <x:v>78.70169669249398</x:v>
      </x:c>
      <x:c r="C158" s="31" t="n">
        <x:v>64.70338667160838</x:v>
      </x:c>
      <x:c r="D158" s="31" t="n">
        <x:v>66.13140712710367</x:v>
      </x:c>
      <x:c r="E158" s="31" t="n">
        <x:v>70.97027591782118</x:v>
      </x:c>
      <x:c r="F158" s="31" t="n">
        <x:v>72.75088144391871</x:v>
      </x:c>
      <x:c r="G158" s="31" t="n">
        <x:v>60.71820558775992</x:v>
      </x:c>
      <x:c r="H158" s="31" t="n">
        <x:v>68.27053290242277</x:v>
      </x:c>
      <x:c r="I158" s="31" t="n">
        <x:v>70.55074241058449</x:v>
      </x:c>
      <x:c r="J158" s="31" t="n">
        <x:v>67.70510844647603</x:v>
      </x:c>
      <x:c r="K158" s="31" t="n">
        <x:v>68.288040845449</x:v>
      </x:c>
      <x:c r="L158" s="31" t="n">
        <x:v>90.16071990406222</x:v>
      </x:c>
      <x:c r="M158" s="31" t="n">
        <x:v>89.96922196619866</x:v>
      </x:c>
      <x:c r="N158" s="31" t="n">
        <x:v>89.15218471704394</x:v>
      </x:c>
      <x:c r="O158" s="31" t="n">
        <x:v>80.3790221231384</x:v>
      </x:c>
      <x:c r="P158" s="31" t="n">
        <x:v>70.49490144682852</x:v>
      </x:c>
      <x:c r="Q158" s="31" t="n">
        <x:v>50</x:v>
      </x:c>
      <x:c r="R158" s="31" t="n">
        <x:v>70.50442472265513</x:v>
      </x:c>
      <x:c r="S158" s="31" t="n">
        <x:v>50</x:v>
      </x:c>
      <x:c r="T158" s="31" t="n">
        <x:v>88.59879950375199</x:v>
      </x:c>
      <x:c r="U158" s="31" t="n">
        <x:v>73.33367014147609</x:v>
      </x:c>
    </x:row>
    <x:row r="159">
      <x:c r="A159" s="31" t="n">
        <x:v>15.700000000000001</x:v>
      </x:c>
      <x:c r="B159" s="31" t="n">
        <x:v>68.47139659243734</x:v>
      </x:c>
      <x:c r="C159" s="31" t="n">
        <x:v>66.16925802819819</x:v>
      </x:c>
      <x:c r="D159" s="31" t="n">
        <x:v>64.21017828615382</x:v>
      </x:c>
      <x:c r="E159" s="31" t="n">
        <x:v>77.24527460740259</x:v>
      </x:c>
      <x:c r="F159" s="31" t="n">
        <x:v>71.2999145468538</x:v>
      </x:c>
      <x:c r="G159" s="31" t="n">
        <x:v>50</x:v>
      </x:c>
      <x:c r="H159" s="31" t="n">
        <x:v>74.2822898849034</x:v>
      </x:c>
      <x:c r="I159" s="31" t="n">
        <x:v>71.54288827412842</x:v>
      </x:c>
      <x:c r="J159" s="31" t="n">
        <x:v>81.24377337340039</x:v>
      </x:c>
      <x:c r="K159" s="31" t="n">
        <x:v>68.288040845449</x:v>
      </x:c>
      <x:c r="L159" s="31" t="n">
        <x:v>84.48010612296918</x:v>
      </x:c>
      <x:c r="M159" s="31" t="n">
        <x:v>89.96922196619866</x:v>
      </x:c>
      <x:c r="N159" s="31" t="n">
        <x:v>93.05320796716049</x:v>
      </x:c>
      <x:c r="O159" s="31" t="n">
        <x:v>80.3790221231384</x:v>
      </x:c>
      <x:c r="P159" s="31" t="n">
        <x:v>70.49490144682852</x:v>
      </x:c>
      <x:c r="Q159" s="31" t="n">
        <x:v>50</x:v>
      </x:c>
      <x:c r="R159" s="31" t="n">
        <x:v>70.50442472265513</x:v>
      </x:c>
      <x:c r="S159" s="31" t="n">
        <x:v>68.27434765458716</x:v>
      </x:c>
      <x:c r="T159" s="31" t="n">
        <x:v>80.7099006339324</x:v>
      </x:c>
      <x:c r="U159" s="31" t="n">
        <x:v>65.09618089647859</x:v>
      </x:c>
    </x:row>
    <x:row r="160">
      <x:c r="A160" s="31" t="n">
        <x:v>15.8</x:v>
      </x:c>
      <x:c r="B160" s="31" t="n">
        <x:v>61.72092355097316</x:v>
      </x:c>
      <x:c r="C160" s="31" t="n">
        <x:v>66.16925802819819</x:v>
      </x:c>
      <x:c r="D160" s="31" t="n">
        <x:v>61.97425745370711</x:v>
      </x:c>
      <x:c r="E160" s="31" t="n">
        <x:v>77.24527460740259</x:v>
      </x:c>
      <x:c r="F160" s="31" t="n">
        <x:v>68.31620836784421</x:v>
      </x:c>
      <x:c r="G160" s="31" t="n">
        <x:v>56.26741855285611</x:v>
      </x:c>
      <x:c r="H160" s="31" t="n">
        <x:v>75.07246745284525</x:v>
      </x:c>
      <x:c r="I160" s="31" t="n">
        <x:v>71.54288827412842</x:v>
      </x:c>
      <x:c r="J160" s="31" t="n">
        <x:v>85.63653557366047</x:v>
      </x:c>
      <x:c r="K160" s="31" t="n">
        <x:v>67.32394550216333</x:v>
      </x:c>
      <x:c r="L160" s="31" t="n">
        <x:v>81.08535879221438</x:v>
      </x:c>
      <x:c r="M160" s="31" t="n">
        <x:v>88.6263462233178</x:v>
      </x:c>
      <x:c r="N160" s="31" t="n">
        <x:v>95.56886540586208</x:v>
      </x:c>
      <x:c r="O160" s="31" t="n">
        <x:v>91.37092768467909</x:v>
      </x:c>
      <x:c r="P160" s="31" t="n">
        <x:v>70.32824710067337</x:v>
      </x:c>
      <x:c r="Q160" s="31" t="n">
        <x:v>50</x:v>
      </x:c>
      <x:c r="R160" s="31" t="n">
        <x:v>66.60050937489576</x:v>
      </x:c>
      <x:c r="S160" s="31" t="n">
        <x:v>91.80814839039223</x:v>
      </x:c>
      <x:c r="T160" s="31" t="n">
        <x:v>71.13860949971655</x:v>
      </x:c>
      <x:c r="U160" s="31" t="n">
        <x:v>64.76280091438974</x:v>
      </x:c>
    </x:row>
    <x:row r="161">
      <x:c r="A161" s="31" t="n">
        <x:v>15.9</x:v>
      </x:c>
      <x:c r="B161" s="31" t="n">
        <x:v>61.72092355097316</x:v>
      </x:c>
      <x:c r="C161" s="31" t="n">
        <x:v>65.8024921274056</x:v>
      </x:c>
      <x:c r="D161" s="31" t="n">
        <x:v>75.92855416932932</x:v>
      </x:c>
      <x:c r="E161" s="31" t="n">
        <x:v>68.95382897735416</x:v>
      </x:c>
      <x:c r="F161" s="31" t="n">
        <x:v>63.384087881025444</x:v>
      </x:c>
      <x:c r="G161" s="31" t="n">
        <x:v>64.10169174392621</x:v>
      </x:c>
      <x:c r="H161" s="31" t="n">
        <x:v>72.62494773334322</x:v>
      </x:c>
      <x:c r="I161" s="31" t="n">
        <x:v>68.78998024909595</x:v>
      </x:c>
      <x:c r="J161" s="31" t="n">
        <x:v>85.63653557366047</x:v>
      </x:c>
      <x:c r="K161" s="31" t="n">
        <x:v>85.55400050988192</x:v>
      </x:c>
      <x:c r="L161" s="31" t="n">
        <x:v>76.92194790207735</x:v>
      </x:c>
      <x:c r="M161" s="31" t="n">
        <x:v>77.79851559702072</x:v>
      </x:c>
      <x:c r="N161" s="31" t="n">
        <x:v>95.56886540586208</x:v>
      </x:c>
      <x:c r="O161" s="31" t="n">
        <x:v>91.37092768467909</x:v>
      </x:c>
      <x:c r="P161" s="31" t="n">
        <x:v>71.82143825558555</x:v>
      </x:c>
      <x:c r="Q161" s="31" t="n">
        <x:v>82.33748015750203</x:v>
      </x:c>
      <x:c r="R161" s="31" t="n">
        <x:v>83.8485365450081</x:v>
      </x:c>
      <x:c r="S161" s="31" t="n">
        <x:v>94.72309532164243</x:v>
      </x:c>
      <x:c r="T161" s="31" t="n">
        <x:v>50</x:v>
      </x:c>
      <x:c r="U161" s="31" t="n">
        <x:v>75.31383319300784</x:v>
      </x:c>
    </x:row>
    <x:row r="162">
      <x:c r="A162" s="31" t="n">
        <x:v>16</x:v>
      </x:c>
      <x:c r="B162" s="31" t="n">
        <x:v>59.52503788969797</x:v>
      </x:c>
      <x:c r="C162" s="31" t="n">
        <x:v>65.96600053891618</x:v>
      </x:c>
      <x:c r="D162" s="31" t="n">
        <x:v>78.71002540730528</x:v>
      </x:c>
      <x:c r="E162" s="31" t="n">
        <x:v>55.63213235133087</x:v>
      </x:c>
      <x:c r="F162" s="31" t="n">
        <x:v>63.384087881025444</x:v>
      </x:c>
      <x:c r="G162" s="31" t="n">
        <x:v>64.10169174392621</x:v>
      </x:c>
      <x:c r="H162" s="31" t="n">
        <x:v>65.40597373883544</x:v>
      </x:c>
      <x:c r="I162" s="31" t="n">
        <x:v>68.78998024909595</x:v>
      </x:c>
      <x:c r="J162" s="31" t="n">
        <x:v>80.26317453275746</x:v>
      </x:c>
      <x:c r="K162" s="31" t="n">
        <x:v>88.70774813158042</x:v>
      </x:c>
      <x:c r="L162" s="31" t="n">
        <x:v>76.68077555384073</x:v>
      </x:c>
      <x:c r="M162" s="31" t="n">
        <x:v>50</x:v>
      </x:c>
      <x:c r="N162" s="31" t="n">
        <x:v>93.70274998995387</x:v>
      </x:c>
      <x:c r="O162" s="31" t="n">
        <x:v>88.8676879576798</x:v>
      </x:c>
      <x:c r="P162" s="31" t="n">
        <x:v>71.82143825558555</x:v>
      </x:c>
      <x:c r="Q162" s="31" t="n">
        <x:v>83.44946667381814</x:v>
      </x:c>
      <x:c r="R162" s="31" t="n">
        <x:v>83.8485365450081</x:v>
      </x:c>
      <x:c r="S162" s="31" t="n">
        <x:v>94.72309532164243</x:v>
      </x:c>
      <x:c r="T162" s="31" t="n">
        <x:v>55.870505142850895</x:v>
      </x:c>
      <x:c r="U162" s="31" t="n">
        <x:v>75.31383319300784</x:v>
      </x:c>
    </x:row>
    <x:row r="163">
      <x:c r="A163" s="31" t="n">
        <x:v>16.1</x:v>
      </x:c>
      <x:c r="B163" s="31" t="n">
        <x:v>50.59154100911504</x:v>
      </x:c>
      <x:c r="C163" s="31" t="n">
        <x:v>65.96600053891618</x:v>
      </x:c>
      <x:c r="D163" s="31" t="n">
        <x:v>78.71002540730528</x:v>
      </x:c>
      <x:c r="E163" s="31" t="n">
        <x:v>57.99139903389808</x:v>
      </x:c>
      <x:c r="F163" s="31" t="n">
        <x:v>69.57915353719706</x:v>
      </x:c>
      <x:c r="G163" s="31" t="n">
        <x:v>68.09524963240801</x:v>
      </x:c>
      <x:c r="H163" s="31" t="n">
        <x:v>74.06230690281893</x:v>
      </x:c>
      <x:c r="I163" s="31" t="n">
        <x:v>68.97901638809236</x:v>
      </x:c>
      <x:c r="J163" s="31" t="n">
        <x:v>70.93846397253137</x:v>
      </x:c>
      <x:c r="K163" s="31" t="n">
        <x:v>88.70774813158042</x:v>
      </x:c>
      <x:c r="L163" s="31" t="n">
        <x:v>75.62719415296758</x:v>
      </x:c>
      <x:c r="M163" s="31" t="n">
        <x:v>50</x:v>
      </x:c>
      <x:c r="N163" s="31" t="n">
        <x:v>84.96351405761332</x:v>
      </x:c>
      <x:c r="O163" s="31" t="n">
        <x:v>77.13609810864028</x:v>
      </x:c>
      <x:c r="P163" s="31" t="n">
        <x:v>71.62203499018095</x:v>
      </x:c>
      <x:c r="Q163" s="31" t="n">
        <x:v>83.44946667381814</x:v>
      </x:c>
      <x:c r="R163" s="31" t="n">
        <x:v>78.76332748426583</x:v>
      </x:c>
      <x:c r="S163" s="31" t="n">
        <x:v>89.03528094189845</x:v>
      </x:c>
      <x:c r="T163" s="31" t="n">
        <x:v>70.54676799997866</x:v>
      </x:c>
      <x:c r="U163" s="31" t="n">
        <x:v>74.68359587331159</x:v>
      </x:c>
    </x:row>
    <x:row r="164">
      <x:c r="A164" s="31" t="n">
        <x:v>16.2</x:v>
      </x:c>
      <x:c r="B164" s="31" t="n">
        <x:v>50</x:v>
      </x:c>
      <x:c r="C164" s="31" t="n">
        <x:v>66.16559527066333</x:v>
      </x:c>
      <x:c r="D164" s="31" t="n">
        <x:v>69.62754883189977</x:v>
      </x:c>
      <x:c r="E164" s="31" t="n">
        <x:v>60.94048238710696</x:v>
      </x:c>
      <x:c r="F164" s="31" t="n">
        <x:v>71.57114976151556</x:v>
      </x:c>
      <x:c r="G164" s="31" t="n">
        <x:v>70.20122081118257</x:v>
      </x:c>
      <x:c r="H164" s="31" t="n">
        <x:v>74.30275066070995</x:v>
      </x:c>
      <x:c r="I164" s="31" t="n">
        <x:v>71.4198961393796</x:v>
      </x:c>
      <x:c r="J164" s="31" t="n">
        <x:v>65.01146190342827</x:v>
      </x:c>
      <x:c r="K164" s="31" t="n">
        <x:v>80.96066270964215</x:v>
      </x:c>
      <x:c r="L164" s="31" t="n">
        <x:v>75.37653425499386</x:v>
      </x:c>
      <x:c r="M164" s="31" t="n">
        <x:v>54.26916608006876</x:v>
      </x:c>
      <x:c r="N164" s="31" t="n">
        <x:v>82.50355616756303</x:v>
      </x:c>
      <x:c r="O164" s="31" t="n">
        <x:v>50</x:v>
      </x:c>
      <x:c r="P164" s="31" t="n">
        <x:v>71.62203499018095</x:v>
      </x:c>
      <x:c r="Q164" s="31" t="n">
        <x:v>74.33993433111472</x:v>
      </x:c>
      <x:c r="R164" s="31" t="n">
        <x:v>63.56759071896395</x:v>
      </x:c>
      <x:c r="S164" s="31" t="n">
        <x:v>84.48829971917311</x:v>
      </x:c>
      <x:c r="T164" s="31" t="n">
        <x:v>77.91442233284701</x:v>
      </x:c>
      <x:c r="U164" s="31" t="n">
        <x:v>72.67231012965254</x:v>
      </x:c>
    </x:row>
    <x:row r="165">
      <x:c r="A165" s="31" t="n">
        <x:v>16.3</x:v>
      </x:c>
      <x:c r="B165" s="31" t="n">
        <x:v>55.546652503190145</x:v>
      </x:c>
      <x:c r="C165" s="31" t="n">
        <x:v>66.96653165417993</x:v>
      </x:c>
      <x:c r="D165" s="31" t="n">
        <x:v>61.46363753242231</x:v>
      </x:c>
      <x:c r="E165" s="31" t="n">
        <x:v>63.88956574031595</x:v>
      </x:c>
      <x:c r="F165" s="31" t="n">
        <x:v>71.57114976151556</x:v>
      </x:c>
      <x:c r="G165" s="31" t="n">
        <x:v>70.19012361041473</x:v>
      </x:c>
      <x:c r="H165" s="31" t="n">
        <x:v>74.32611171228946</x:v>
      </x:c>
      <x:c r="I165" s="31" t="n">
        <x:v>71.4198961393796</x:v>
      </x:c>
      <x:c r="J165" s="31" t="n">
        <x:v>63.935733783734946</x:v>
      </x:c>
      <x:c r="K165" s="31" t="n">
        <x:v>70.35324123187283</x:v>
      </x:c>
      <x:c r="L165" s="31" t="n">
        <x:v>75.55069888768716</x:v>
      </x:c>
      <x:c r="M165" s="31" t="n">
        <x:v>59.60562368015489</x:v>
      </x:c>
      <x:c r="N165" s="31" t="n">
        <x:v>82.28005424142671</x:v>
      </x:c>
      <x:c r="O165" s="31" t="n">
        <x:v>50</x:v>
      </x:c>
      <x:c r="P165" s="31" t="n">
        <x:v>69.88685743814874</x:v>
      </x:c>
      <x:c r="Q165" s="31" t="n">
        <x:v>73.50434170477331</x:v>
      </x:c>
      <x:c r="R165" s="31" t="n">
        <x:v>53.02602080677342</x:v>
      </x:c>
      <x:c r="S165" s="31" t="n">
        <x:v>81.09051985048316</x:v>
      </x:c>
      <x:c r="T165" s="31" t="n">
        <x:v>80.47325886412679</x:v>
      </x:c>
      <x:c r="U165" s="31" t="n">
        <x:v>72.39056135458463</x:v>
      </x:c>
    </x:row>
    <x:row r="166">
      <x:c r="A166" s="31" t="n">
        <x:v>16.400000000000002</x:v>
      </x:c>
      <x:c r="B166" s="31" t="n">
        <x:v>66.47933359506821</x:v>
      </x:c>
      <x:c r="C166" s="31" t="n">
        <x:v>66.96653165417992</x:v>
      </x:c>
      <x:c r="D166" s="31" t="n">
        <x:v>54.527357156881536</x:v>
      </x:c>
      <x:c r="E166" s="31" t="n">
        <x:v>66.83864909352494</x:v>
      </x:c>
      <x:c r="F166" s="31" t="n">
        <x:v>56.2221684958758</x:v>
      </x:c>
      <x:c r="G166" s="31" t="n">
        <x:v>62.45340073902029</x:v>
      </x:c>
      <x:c r="H166" s="31" t="n">
        <x:v>75.56150525679921</x:v>
      </x:c>
      <x:c r="I166" s="31" t="n">
        <x:v>87.2290392307681</x:v>
      </x:c>
      <x:c r="J166" s="31" t="n">
        <x:v>70.8371337795558</x:v>
      </x:c>
      <x:c r="K166" s="31" t="n">
        <x:v>63.8814521507666</x:v>
      </x:c>
      <x:c r="L166" s="31" t="n">
        <x:v>76.1455451031058</x:v>
      </x:c>
      <x:c r="M166" s="31" t="n">
        <x:v>60.67291520017208</x:v>
      </x:c>
      <x:c r="N166" s="31" t="n">
        <x:v>82.73897995803586</x:v>
      </x:c>
      <x:c r="O166" s="31" t="n">
        <x:v>50</x:v>
      </x:c>
      <x:c r="P166" s="31" t="n">
        <x:v>68.64339941208382</x:v>
      </x:c>
      <x:c r="Q166" s="31" t="n">
        <x:v>70.8855897661414</x:v>
      </x:c>
      <x:c r="R166" s="31" t="n">
        <x:v>50</x:v>
      </x:c>
      <x:c r="S166" s="31" t="n">
        <x:v>76.20508959157836</x:v>
      </x:c>
      <x:c r="T166" s="31" t="n">
        <x:v>80.47325886412679</x:v>
      </x:c>
      <x:c r="U166" s="31" t="n">
        <x:v>75.16380952684759</x:v>
      </x:c>
    </x:row>
    <x:row r="167">
      <x:c r="A167" s="31" t="n">
        <x:v>16.5</x:v>
      </x:c>
      <x:c r="B167" s="31" t="n">
        <x:v>66.47933359506821</x:v>
      </x:c>
      <x:c r="C167" s="31" t="n">
        <x:v>66.40870381677051</x:v>
      </x:c>
      <x:c r="D167" s="31" t="n">
        <x:v>56.178385118699964</x:v>
      </x:c>
      <x:c r="E167" s="31" t="n">
        <x:v>67.42846576416672</x:v>
      </x:c>
      <x:c r="F167" s="31" t="n">
        <x:v>50</x:v>
      </x:c>
      <x:c r="G167" s="31" t="n">
        <x:v>61.51134732592067</x:v>
      </x:c>
      <x:c r="H167" s="31" t="n">
        <x:v>75.66374945744006</x:v>
      </x:c>
      <x:c r="I167" s="31" t="n">
        <x:v>87.2290392307681</x:v>
      </x:c>
      <x:c r="J167" s="31" t="n">
        <x:v>72.21741377871992</x:v>
      </x:c>
      <x:c r="K167" s="31" t="n">
        <x:v>65.64375948362832</x:v>
      </x:c>
      <x:c r="L167" s="31" t="n">
        <x:v>76.94923303027554</x:v>
      </x:c>
      <x:c r="M167" s="31" t="n">
        <x:v>82.85498146618136</x:v>
      </x:c>
      <x:c r="N167" s="31" t="n">
        <x:v>82.73897995803586</x:v>
      </x:c>
      <x:c r="O167" s="31" t="n">
        <x:v>86.70340767296409</x:v>
      </x:c>
      <x:c r="P167" s="31" t="n">
        <x:v>76.21226615653897</x:v>
      </x:c>
      <x:c r="Q167" s="31" t="n">
        <x:v>70.33242991998901</x:v>
      </x:c>
      <x:c r="R167" s="31" t="n">
        <x:v>52.711565248129276</x:v>
      </x:c>
      <x:c r="S167" s="31" t="n">
        <x:v>72.66680689780713</x:v>
      </x:c>
      <x:c r="T167" s="31" t="n">
        <x:v>79.92565373501591</x:v>
      </x:c>
      <x:c r="U167" s="31" t="n">
        <x:v>75.16380952684759</x:v>
      </x:c>
    </x:row>
    <x:row r="168">
      <x:c r="A168" s="31" t="n">
        <x:v>16.6</x:v>
      </x:c>
      <x:c r="B168" s="31" t="n">
        <x:v>61.63403458687824</x:v>
      </x:c>
      <x:c r="C168" s="31" t="n">
        <x:v>78.55512848885292</x:v>
      </x:c>
      <x:c r="D168" s="31" t="n">
        <x:v>57.82941308051845</x:v>
      </x:c>
      <x:c r="E168" s="31" t="n">
        <x:v>70.93645608236177</x:v>
      </x:c>
      <x:c r="F168" s="31" t="n">
        <x:v>66.20252938475709</x:v>
      </x:c>
      <x:c r="G168" s="31" t="n">
        <x:v>61.902793100014</x:v>
      </x:c>
      <x:c r="H168" s="31" t="n">
        <x:v>75.64444398441675</x:v>
      </x:c>
      <x:c r="I168" s="31" t="n">
        <x:v>81.73481295916305</x:v>
      </x:c>
      <x:c r="J168" s="31" t="n">
        <x:v>70.60576439415614</x:v>
      </x:c>
      <x:c r="K168" s="31" t="n">
        <x:v>66.77934378930303</x:v>
      </x:c>
      <x:c r="L168" s="31" t="n">
        <x:v>76.89590014193541</x:v>
      </x:c>
      <x:c r="M168" s="31" t="n">
        <x:v>88.46070732314607</x:v>
      </x:c>
      <x:c r="N168" s="31" t="n">
        <x:v>81.76441899347611</x:v>
      </x:c>
      <x:c r="O168" s="31" t="n">
        <x:v>89.09342542110454</x:v>
      </x:c>
      <x:c r="P168" s="31" t="n">
        <x:v>77.18903065185623</x:v>
      </x:c>
      <x:c r="Q168" s="31" t="n">
        <x:v>70.31303784741452</x:v>
      </x:c>
      <x:c r="R168" s="31" t="n">
        <x:v>59.4904783684527</x:v>
      </x:c>
      <x:c r="S168" s="31" t="n">
        <x:v>72.66680689780713</x:v>
      </x:c>
      <x:c r="T168" s="31" t="n">
        <x:v>80.09760593068752</x:v>
      </x:c>
      <x:c r="U168" s="31" t="n">
        <x:v>89.372543952108</x:v>
      </x:c>
    </x:row>
    <x:row r="169">
      <x:c r="A169" s="31" t="n">
        <x:v>16.7</x:v>
      </x:c>
      <x:c r="B169" s="31" t="n">
        <x:v>59.271149635023264</x:v>
      </x:c>
      <x:c r="C169" s="31" t="n">
        <x:v>79.22030999645517</x:v>
      </x:c>
      <x:c r="D169" s="31" t="n">
        <x:v>59.48044104233688</x:v>
      </x:c>
      <x:c r="E169" s="31" t="n">
        <x:v>75.61377650662156</x:v>
      </x:c>
      <x:c r="F169" s="31" t="n">
        <x:v>67.33344412842837</x:v>
      </x:c>
      <x:c r="G169" s="31" t="n">
        <x:v>63.58759434569432</x:v>
      </x:c>
      <x:c r="H169" s="31" t="n">
        <x:v>75.98973381748428</x:v>
      </x:c>
      <x:c r="I169" s="31" t="n">
        <x:v>74.39918782142823</x:v>
      </x:c>
      <x:c r="J169" s="31" t="n">
        <x:v>69.56221703442284</x:v>
      </x:c>
      <x:c r="K169" s="31" t="n">
        <x:v>72.45726531767559</x:v>
      </x:c>
      <x:c r="L169" s="31" t="n">
        <x:v>76.89590014193541</x:v>
      </x:c>
      <x:c r="M169" s="31" t="n">
        <x:v>88.46070732314607</x:v>
      </x:c>
      <x:c r="N169" s="31" t="n">
        <x:v>85.72635050045758</x:v>
      </x:c>
      <x:c r="O169" s="31" t="n">
        <x:v>89.09342542110454</x:v>
      </x:c>
      <x:c r="P169" s="31" t="n">
        <x:v>77.18903065185623</x:v>
      </x:c>
      <x:c r="Q169" s="31" t="n">
        <x:v>71.09776670871085</x:v>
      </x:c>
      <x:c r="R169" s="31" t="n">
        <x:v>66.26939148877588</x:v>
      </x:c>
      <x:c r="S169" s="31" t="n">
        <x:v>88.15333917796045</x:v>
      </x:c>
      <x:c r="T169" s="31" t="n">
        <x:v>94.85965462037024</x:v>
      </x:c>
      <x:c r="U169" s="31" t="n">
        <x:v>89.372543952108</x:v>
      </x:c>
    </x:row>
    <x:row r="170">
      <x:c r="A170" s="31" t="n">
        <x:v>16.8</x:v>
      </x:c>
      <x:c r="B170" s="31" t="n">
        <x:v>57.60121517879709</x:v>
      </x:c>
      <x:c r="C170" s="31" t="n">
        <x:v>77.93858477304718</x:v>
      </x:c>
      <x:c r="D170" s="31" t="n">
        <x:v>61.13146900415537</x:v>
      </x:c>
      <x:c r="E170" s="31" t="n">
        <x:v>75.61377650662156</x:v>
      </x:c>
      <x:c r="F170" s="31" t="n">
        <x:v>67.33344412842837</x:v>
      </x:c>
      <x:c r="G170" s="31" t="n">
        <x:v>63.58759434569432</x:v>
      </x:c>
      <x:c r="H170" s="31" t="n">
        <x:v>75.98973381748428</x:v>
      </x:c>
      <x:c r="I170" s="31" t="n">
        <x:v>67.8984519620988</x:v>
      </x:c>
      <x:c r="J170" s="31" t="n">
        <x:v>71.19140771274873</x:v>
      </x:c>
      <x:c r="K170" s="31" t="n">
        <x:v>73.5928496233501</x:v>
      </x:c>
      <x:c r="L170" s="31" t="n">
        <x:v>75.60987432860496</x:v>
      </x:c>
      <x:c r="M170" s="31" t="n">
        <x:v>85.26209095931314</x:v>
      </x:c>
      <x:c r="N170" s="31" t="n">
        <x:v>90.06033250345492</x:v>
      </x:c>
      <x:c r="O170" s="31" t="n">
        <x:v>86.49999724889003</x:v>
      </x:c>
      <x:c r="P170" s="31" t="n">
        <x:v>67.34015575223523</x:v>
      </x:c>
      <x:c r="Q170" s="31" t="n">
        <x:v>71.47720645794975</x:v>
      </x:c>
      <x:c r="R170" s="31" t="n">
        <x:v>66.26939148877588</x:v>
      </x:c>
      <x:c r="S170" s="31" t="n">
        <x:v>88.81189991284225</x:v>
      </x:c>
      <x:c r="T170" s="31" t="n">
        <x:v>94.85965462037024</x:v>
      </x:c>
      <x:c r="U170" s="31" t="n">
        <x:v>84.53213068107607</x:v>
      </x:c>
    </x:row>
    <x:row r="171">
      <x:c r="A171" s="31" t="n">
        <x:v>16.900000000000002</x:v>
      </x:c>
      <x:c r="B171" s="31" t="n">
        <x:v>76.56353279743193</x:v>
      </x:c>
      <x:c r="C171" s="31" t="n">
        <x:v>64.95616214490695</x:v>
      </x:c>
      <x:c r="D171" s="31" t="n">
        <x:v>61.46167459651905</x:v>
      </x:c>
      <x:c r="E171" s="31" t="n">
        <x:v>70.89000773908177</x:v>
      </x:c>
      <x:c r="F171" s="31" t="n">
        <x:v>65.9813016647914</x:v>
      </x:c>
      <x:c r="G171" s="31" t="n">
        <x:v>62.55109168018957</x:v>
      </x:c>
      <x:c r="H171" s="31" t="n">
        <x:v>76.23923196929474</x:v>
      </x:c>
      <x:c r="I171" s="31" t="n">
        <x:v>63.01490902278675</x:v>
      </x:c>
      <x:c r="J171" s="31" t="n">
        <x:v>71.46660896177767</x:v>
      </x:c>
      <x:c r="K171" s="31" t="n">
        <x:v>71.53278843424111</x:v>
      </x:c>
      <x:c r="L171" s="31" t="n">
        <x:v>73.89700244343726</x:v>
      </x:c>
      <x:c r="M171" s="31" t="n">
        <x:v>82.24592208573587</x:v>
      </x:c>
      <x:c r="N171" s="31" t="n">
        <x:v>90.06033250345492</x:v>
      </x:c>
      <x:c r="O171" s="31" t="n">
        <x:v>84.19961253081088</x:v>
      </x:c>
      <x:c r="P171" s="31" t="n">
        <x:v>50.49766017673821</x:v>
      </x:c>
      <x:c r="Q171" s="31" t="n">
        <x:v>71.63424169964516</x:v>
      </x:c>
      <x:c r="R171" s="31" t="n">
        <x:v>63.48629460575167</x:v>
      </x:c>
      <x:c r="S171" s="31" t="n">
        <x:v>88.27463226824256</x:v>
      </x:c>
      <x:c r="T171" s="31" t="n">
        <x:v>92.83908205708812</x:v>
      </x:c>
      <x:c r="U171" s="31" t="n">
        <x:v>77.24598305819258</x:v>
      </x:c>
    </x:row>
    <x:row r="172">
      <x:c r="A172" s="31" t="n">
        <x:v>17</x:v>
      </x:c>
      <x:c r="B172" s="31" t="n">
        <x:v>76.56353279743193</x:v>
      </x:c>
      <x:c r="C172" s="31" t="n">
        <x:v>56.87417890214241</x:v>
      </x:c>
      <x:c r="D172" s="31" t="n">
        <x:v>54.04848858700299</x:v>
      </x:c>
      <x:c r="E172" s="31" t="n">
        <x:v>65.29932974241952</x:v>
      </x:c>
      <x:c r="F172" s="31" t="n">
        <x:v>67.36646942260708</x:v>
      </x:c>
      <x:c r="G172" s="31" t="n">
        <x:v>65.6663798525212</x:v>
      </x:c>
      <x:c r="H172" s="31" t="n">
        <x:v>76.23923196929474</x:v>
      </x:c>
      <x:c r="I172" s="31" t="n">
        <x:v>63.14123828504109</x:v>
      </x:c>
      <x:c r="J172" s="31" t="n">
        <x:v>71.46660896177767</x:v>
      </x:c>
      <x:c r="K172" s="31" t="n">
        <x:v>53.7911211292993</x:v>
      </x:c>
      <x:c r="L172" s="31" t="n">
        <x:v>88.27647279857266</x:v>
      </x:c>
      <x:c r="M172" s="31" t="n">
        <x:v>80.20400994087282</x:v>
      </x:c>
      <x:c r="N172" s="31" t="n">
        <x:v>88.0634824491755</x:v>
      </x:c>
      <x:c r="O172" s="31" t="n">
        <x:v>82.44530821093406</x:v>
      </x:c>
      <x:c r="P172" s="31" t="n">
        <x:v>50</x:v>
      </x:c>
      <x:c r="Q172" s="31" t="n">
        <x:v>72.94340546637854</x:v>
      </x:c>
      <x:c r="R172" s="31" t="n">
        <x:v>66.88575005539548</x:v>
      </x:c>
      <x:c r="S172" s="31" t="n">
        <x:v>81.04731493139526</x:v>
      </x:c>
      <x:c r="T172" s="31" t="n">
        <x:v>86.21420499947982</x:v>
      </x:c>
      <x:c r="U172" s="31" t="n">
        <x:v>69.56104032077076</x:v>
      </x:c>
    </x:row>
    <x:row r="173">
      <x:c r="A173" s="31" t="n">
        <x:v>17.1</x:v>
      </x:c>
      <x:c r="B173" s="31" t="n">
        <x:v>74.7078562087209</x:v>
      </x:c>
      <x:c r="C173" s="31" t="n">
        <x:v>52.522990877952246</x:v>
      </x:c>
      <x:c r="D173" s="31" t="n">
        <x:v>66.4704078702974</x:v>
      </x:c>
      <x:c r="E173" s="31" t="n">
        <x:v>63.745614613129064</x:v>
      </x:c>
      <x:c r="F173" s="31" t="n">
        <x:v>67.54653961352439</x:v>
      </x:c>
      <x:c r="G173" s="31" t="n">
        <x:v>65.6663798525212</x:v>
      </x:c>
      <x:c r="H173" s="31" t="n">
        <x:v>75.26025562590608</x:v>
      </x:c>
      <x:c r="I173" s="31" t="n">
        <x:v>66.74320045336079</x:v>
      </x:c>
      <x:c r="J173" s="31" t="n">
        <x:v>70.06477021443447</x:v>
      </x:c>
      <x:c r="K173" s="31" t="n">
        <x:v>64.40435492002564</x:v>
      </x:c>
      <x:c r="L173" s="31" t="n">
        <x:v>89.12380511643458</x:v>
      </x:c>
      <x:c r="M173" s="31" t="n">
        <x:v>81.2429325323755</x:v>
      </x:c>
      <x:c r="N173" s="31" t="n">
        <x:v>83.96695750032566</x:v>
      </x:c>
      <x:c r="O173" s="31" t="n">
        <x:v>77.83238373056531</x:v>
      </x:c>
      <x:c r="P173" s="31" t="n">
        <x:v>50</x:v>
      </x:c>
      <x:c r="Q173" s="31" t="n">
        <x:v>72.94340546637854</x:v>
      </x:c>
      <x:c r="R173" s="31" t="n">
        <x:v>68.19140616380533</x:v>
      </x:c>
      <x:c r="S173" s="31" t="n">
        <x:v>73.45867751077242</x:v>
      </x:c>
      <x:c r="T173" s="31" t="n">
        <x:v>84.18071581197503</x:v>
      </x:c>
      <x:c r="U173" s="31" t="n">
        <x:v>68.36292771482431</x:v>
      </x:c>
    </x:row>
    <x:row r="174">
      <x:c r="A174" s="31" t="n">
        <x:v>17.2</x:v>
      </x:c>
      <x:c r="B174" s="31" t="n">
        <x:v>69.73222858736159</x:v>
      </x:c>
      <x:c r="C174" s="31" t="n">
        <x:v>53.2058785700153</x:v>
      </x:c>
      <x:c r="D174" s="31" t="n">
        <x:v>71.43917558361497</x:v>
      </x:c>
      <x:c r="E174" s="31" t="n">
        <x:v>66.1773605668973</x:v>
      </x:c>
      <x:c r="F174" s="31" t="n">
        <x:v>67.54653961352439</x:v>
      </x:c>
      <x:c r="G174" s="31" t="n">
        <x:v>64.94035299067009</x:v>
      </x:c>
      <x:c r="H174" s="31" t="n">
        <x:v>73.32330132208492</x:v>
      </x:c>
      <x:c r="I174" s="31" t="n">
        <x:v>72.74647073389328</x:v>
      </x:c>
      <x:c r="J174" s="31" t="n">
        <x:v>69.51425041297414</x:v>
      </x:c>
      <x:c r="K174" s="31" t="n">
        <x:v>65.30342059775647</x:v>
      </x:c>
      <x:c r="L174" s="31" t="n">
        <x:v>88.38981862411813</x:v>
      </x:c>
      <x:c r="M174" s="31" t="n">
        <x:v>81.2429325323755</x:v>
      </x:c>
      <x:c r="N174" s="31" t="n">
        <x:v>76.96833760112753</x:v>
      </x:c>
      <x:c r="O174" s="31" t="n">
        <x:v>77.11418871561224</x:v>
      </x:c>
      <x:c r="P174" s="31" t="n">
        <x:v>55.864080183769914</x:v>
      </x:c>
      <x:c r="Q174" s="31" t="n">
        <x:v>81.57425092112476</x:v>
      </x:c>
      <x:c r="R174" s="31" t="n">
        <x:v>67.91548060788</x:v>
      </x:c>
      <x:c r="S174" s="31" t="n">
        <x:v>50</x:v>
      </x:c>
      <x:c r="T174" s="31" t="n">
        <x:v>80.64716153734707</x:v>
      </x:c>
      <x:c r="U174" s="31" t="n">
        <x:v>68.62552850241687</x:v>
      </x:c>
    </x:row>
    <x:row r="175">
      <x:c r="A175" s="31" t="n">
        <x:v>17.3</x:v>
      </x:c>
      <x:c r="B175" s="31" t="n">
        <x:v>66.61432252963053</x:v>
      </x:c>
      <x:c r="C175" s="31" t="n">
        <x:v>53.88876626207837</x:v>
      </x:c>
      <x:c r="D175" s="31" t="n">
        <x:v>71.43917558361497</x:v>
      </x:c>
      <x:c r="E175" s="31" t="n">
        <x:v>66.87185635311964</x:v>
      </x:c>
      <x:c r="F175" s="31" t="n">
        <x:v>65.41120368909704</x:v>
      </x:c>
      <x:c r="G175" s="31" t="n">
        <x:v>64.19680004530656</x:v>
      </x:c>
      <x:c r="H175" s="31" t="n">
        <x:v>83.55418460091752</x:v>
      </x:c>
      <x:c r="I175" s="31" t="n">
        <x:v>75.14777884610626</x:v>
      </x:c>
      <x:c r="J175" s="31" t="n">
        <x:v>67.96145447405087</x:v>
      </x:c>
      <x:c r="K175" s="31" t="n">
        <x:v>68.06920583122216</x:v>
      </x:c>
      <x:c r="L175" s="31" t="n">
        <x:v>79.21187414008448</x:v>
      </x:c>
      <x:c r="M175" s="31" t="n">
        <x:v>80.65029331952064</x:v>
      </x:c>
      <x:c r="N175" s="31" t="n">
        <x:v>76.20110133129307</x:v>
      </x:c>
      <x:c r="O175" s="31" t="n">
        <x:v>77.24626017417538</x:v>
      </x:c>
      <x:c r="P175" s="31" t="n">
        <x:v>59.38252829403207</x:v>
      </x:c>
      <x:c r="Q175" s="31" t="n">
        <x:v>81.84628994936698</x:v>
      </x:c>
      <x:c r="R175" s="31" t="n">
        <x:v>67.81188400791702</x:v>
      </x:c>
      <x:c r="S175" s="31" t="n">
        <x:v>50</x:v>
      </x:c>
      <x:c r="T175" s="31" t="n">
        <x:v>79.74245266251714</x:v>
      </x:c>
      <x:c r="U175" s="31" t="n">
        <x:v>67.04144208617736</x:v>
      </x:c>
    </x:row>
    <x:row r="176">
      <x:c r="A176" s="31" t="n">
        <x:v>17.400000000000002</x:v>
      </x:c>
      <x:c r="B176" s="31" t="n">
        <x:v>62.96774733774768</x:v>
      </x:c>
      <x:c r="C176" s="31" t="n">
        <x:v>59.24526113877466</x:v>
      </x:c>
      <x:c r="D176" s="31" t="n">
        <x:v>65.98878082222457</x:v>
      </x:c>
      <x:c r="E176" s="31" t="n">
        <x:v>67.05080266353924</x:v>
      </x:c>
      <x:c r="F176" s="31" t="n">
        <x:v>70.9058590927699</x:v>
      </x:c>
      <x:c r="G176" s="31" t="n">
        <x:v>63.518465235693455</x:v>
      </x:c>
      <x:c r="H176" s="31" t="n">
        <x:v>83.55418460091752</x:v>
      </x:c>
      <x:c r="I176" s="31" t="n">
        <x:v>75.1477788461061</x:v>
      </x:c>
      <x:c r="J176" s="31" t="n">
        <x:v>81.18555468784476</x:v>
      </x:c>
      <x:c r="K176" s="31" t="n">
        <x:v>69.01121590168512</x:v>
      </x:c>
      <x:c r="L176" s="31" t="n">
        <x:v>65.43033780389946</x:v>
      </x:c>
      <x:c r="M176" s="31" t="n">
        <x:v>80.46649412734463</x:v>
      </x:c>
      <x:c r="N176" s="31" t="n">
        <x:v>76.20110133129307</x:v>
      </x:c>
      <x:c r="O176" s="31" t="n">
        <x:v>78.86526924367578</x:v>
      </x:c>
      <x:c r="P176" s="31" t="n">
        <x:v>59.38252829403401</x:v>
      </x:c>
      <x:c r="Q176" s="31" t="n">
        <x:v>81.51415308638023</x:v>
      </x:c>
      <x:c r="R176" s="31" t="n">
        <x:v>67.66380772600918</x:v>
      </x:c>
      <x:c r="S176" s="31" t="n">
        <x:v>58.823568176194414</x:v>
      </x:c>
      <x:c r="T176" s="31" t="n">
        <x:v>86.23246174258898</x:v>
      </x:c>
      <x:c r="U176" s="31" t="n">
        <x:v>50</x:v>
      </x:c>
    </x:row>
    <x:row r="177">
      <x:c r="A177" s="31" t="n">
        <x:v>17.5</x:v>
      </x:c>
      <x:c r="B177" s="31" t="n">
        <x:v>63.26145729696867</x:v>
      </x:c>
      <x:c r="C177" s="31" t="n">
        <x:v>59.224660701945986</x:v>
      </x:c>
      <x:c r="D177" s="31" t="n">
        <x:v>63.6835420161525</x:v>
      </x:c>
      <x:c r="E177" s="31" t="n">
        <x:v>67.87683216396974</x:v>
      </x:c>
      <x:c r="F177" s="31" t="n">
        <x:v>70.9058590927699</x:v>
      </x:c>
      <x:c r="G177" s="31" t="n">
        <x:v>74.77136546619259</x:v>
      </x:c>
      <x:c r="H177" s="31" t="n">
        <x:v>80.2292708179973</x:v>
      </x:c>
      <x:c r="I177" s="31" t="n">
        <x:v>72.54387099823322</x:v>
      </x:c>
      <x:c r="J177" s="31" t="n">
        <x:v>81.18555468784476</x:v>
      </x:c>
      <x:c r="K177" s="31" t="n">
        <x:v>70.96348012746874</x:v>
      </x:c>
      <x:c r="L177" s="31" t="n">
        <x:v>50</x:v>
      </x:c>
      <x:c r="M177" s="31" t="n">
        <x:v>81.16994587234223</x:v>
      </x:c>
      <x:c r="N177" s="31" t="n">
        <x:v>76.98556259555627</x:v>
      </x:c>
      <x:c r="O177" s="31" t="n">
        <x:v>80.45157558168161</x:v>
      </x:c>
      <x:c r="P177" s="31" t="n">
        <x:v>80.2025495440534</x:v>
      </x:c>
      <x:c r="Q177" s="31" t="n">
        <x:v>71.77171734316354</x:v>
      </x:c>
      <x:c r="R177" s="31" t="n">
        <x:v>69.20332548988897</x:v>
      </x:c>
      <x:c r="S177" s="31" t="n">
        <x:v>73.11804300268612</x:v>
      </x:c>
      <x:c r="T177" s="31" t="n">
        <x:v>89.07405804440117</x:v>
      </x:c>
      <x:c r="U177" s="31" t="n">
        <x:v>69.1675292640232</x:v>
      </x:c>
    </x:row>
    <x:row r="178">
      <x:c r="A178" s="31" t="n">
        <x:v>17.6</x:v>
      </x:c>
      <x:c r="B178" s="31" t="n">
        <x:v>66.03141734935754</x:v>
      </x:c>
      <x:c r="C178" s="31" t="n">
        <x:v>50</x:v>
      </x:c>
      <x:c r="D178" s="31" t="n">
        <x:v>63.74347982582015</x:v>
      </x:c>
      <x:c r="E178" s="31" t="n">
        <x:v>67.87683216396974</x:v>
      </x:c>
      <x:c r="F178" s="31" t="n">
        <x:v>85.360850276366</x:v>
      </x:c>
      <x:c r="G178" s="31" t="n">
        <x:v>74.77136546619259</x:v>
      </x:c>
      <x:c r="H178" s="31" t="n">
        <x:v>70.49125553196136</x:v>
      </x:c>
      <x:c r="I178" s="31" t="n">
        <x:v>70.39490938901328</x:v>
      </x:c>
      <x:c r="J178" s="31" t="n">
        <x:v>76.27424730784216</x:v>
      </x:c>
      <x:c r="K178" s="31" t="n">
        <x:v>89.07863176400876</x:v>
      </x:c>
      <x:c r="L178" s="31" t="n">
        <x:v>50.28117265625947</x:v>
      </x:c>
      <x:c r="M178" s="31" t="n">
        <x:v>81.16994587234223</x:v>
      </x:c>
      <x:c r="N178" s="31" t="n">
        <x:v>78.80900681085647</x:v>
      </x:c>
      <x:c r="O178" s="31" t="n">
        <x:v>91.31300780545655</x:v>
      </x:c>
      <x:c r="P178" s="31" t="n">
        <x:v>80.2025495440534</x:v>
      </x:c>
      <x:c r="Q178" s="31" t="n">
        <x:v>65.40473683479453</x:v>
      </x:c>
      <x:c r="R178" s="31" t="n">
        <x:v>69.20332548988897</x:v>
      </x:c>
      <x:c r="S178" s="31" t="n">
        <x:v>94.82757429625264</x:v>
      </x:c>
      <x:c r="T178" s="31" t="n">
        <x:v>89.07405804440117</x:v>
      </x:c>
      <x:c r="U178" s="31" t="n">
        <x:v>77.36610509865284</x:v>
      </x:c>
    </x:row>
    <x:row r="179">
      <x:c r="A179" s="31" t="n">
        <x:v>17.7</x:v>
      </x:c>
      <x:c r="B179" s="31" t="n">
        <x:v>66.65144768453679</x:v>
      </x:c>
      <x:c r="C179" s="31" t="n">
        <x:v>50</x:v>
      </x:c>
      <x:c r="D179" s="31" t="n">
        <x:v>65.00506077243729</x:v>
      </x:c>
      <x:c r="E179" s="31" t="n">
        <x:v>67.40557368077623</x:v>
      </x:c>
      <x:c r="F179" s="31" t="n">
        <x:v>85.360850276366</x:v>
      </x:c>
      <x:c r="G179" s="31" t="n">
        <x:v>72.45022328350004</x:v>
      </x:c>
      <x:c r="H179" s="31" t="n">
        <x:v>53.94208390664677</x:v>
      </x:c>
      <x:c r="I179" s="31" t="n">
        <x:v>69.53532474532534</x:v>
      </x:c>
      <x:c r="J179" s="31" t="n">
        <x:v>72.27569062856693</x:v>
      </x:c>
      <x:c r="K179" s="31" t="n">
        <x:v>89.07863176400876</x:v>
      </x:c>
      <x:c r="L179" s="31" t="n">
        <x:v>51.68703593755659</x:v>
      </x:c>
      <x:c r="M179" s="31" t="n">
        <x:v>81.12965671654379</x:v>
      </x:c>
      <x:c r="N179" s="31" t="n">
        <x:v>78.80900681085647</x:v>
      </x:c>
      <x:c r="O179" s="31" t="n">
        <x:v>91.80620522310679</x:v>
      </x:c>
      <x:c r="P179" s="31" t="n">
        <x:v>74.99865656072383</x:v>
      </x:c>
      <x:c r="Q179" s="31" t="n">
        <x:v>58.98697055347587</x:v>
      </x:c>
      <x:c r="R179" s="31" t="n">
        <x:v>69.82930553572595</x:v>
      </x:c>
      <x:c r="S179" s="31" t="n">
        <x:v>94.82757429625264</x:v>
      </x:c>
      <x:c r="T179" s="31" t="n">
        <x:v>80.76046700873886</x:v>
      </x:c>
      <x:c r="U179" s="31" t="n">
        <x:v>84.87272639833304</x:v>
      </x:c>
    </x:row>
    <x:row r="180">
      <x:c r="A180" s="31" t="n">
        <x:v>17.8</x:v>
      </x:c>
      <x:c r="B180" s="31" t="n">
        <x:v>66.37074287940521</x:v>
      </x:c>
      <x:c r="C180" s="31" t="n">
        <x:v>73.10451860117277</x:v>
      </x:c>
      <x:c r="D180" s="31" t="n">
        <x:v>65.23744405405927</x:v>
      </x:c>
      <x:c r="E180" s="31" t="n">
        <x:v>67.58608195748008</x:v>
      </x:c>
      <x:c r="F180" s="31" t="n">
        <x:v>80.78166750144528</x:v>
      </x:c>
      <x:c r="G180" s="31" t="n">
        <x:v>58.21067801830182</x:v>
      </x:c>
      <x:c r="H180" s="31" t="n">
        <x:v>50</x:v>
      </x:c>
      <x:c r="I180" s="31" t="n">
        <x:v>69.52913037023791</x:v>
      </x:c>
      <x:c r="J180" s="31" t="n">
        <x:v>69.95928155266647</x:v>
      </x:c>
      <x:c r="K180" s="31" t="n">
        <x:v>84.36642360768204</x:v>
      </x:c>
      <x:c r="L180" s="31" t="n">
        <x:v>53.09289921885375</x:v>
      </x:c>
      <x:c r="M180" s="31" t="n">
        <x:v>80.10795722993291</x:v>
      </x:c>
      <x:c r="N180" s="31" t="n">
        <x:v>78.35291686529766</x:v>
      </x:c>
      <x:c r="O180" s="31" t="n">
        <x:v>91.10561464728234</x:v>
      </x:c>
      <x:c r="P180" s="31" t="n">
        <x:v>73.67969752380418</x:v>
      </x:c>
      <x:c r="Q180" s="31" t="n">
        <x:v>56.979382691508214</x:v>
      </x:c>
      <x:c r="R180" s="31" t="n">
        <x:v>86.73113157163696</x:v>
      </x:c>
      <x:c r="S180" s="31" t="n">
        <x:v>92.45533469072501</x:v>
      </x:c>
      <x:c r="T180" s="31" t="n">
        <x:v>67.74253439369451</x:v>
      </x:c>
      <x:c r="U180" s="31" t="n">
        <x:v>84.87272639833304</x:v>
      </x:c>
    </x:row>
    <x:row r="181">
      <x:c r="A181" s="31" t="n">
        <x:v>17.900000000000002</x:v>
      </x:c>
      <x:c r="B181" s="31" t="n">
        <x:v>65.53241754448607</x:v>
      </x:c>
      <x:c r="C181" s="31" t="n">
        <x:v>73.8713036549877</x:v>
      </x:c>
      <x:c r="D181" s="31" t="n">
        <x:v>64.81561166098157</x:v>
      </x:c>
      <x:c r="E181" s="31" t="n">
        <x:v>90.95402813590081</x:v>
      </x:c>
      <x:c r="F181" s="31" t="n">
        <x:v>72.71360083580679</x:v>
      </x:c>
      <x:c r="G181" s="31" t="n">
        <x:v>52.379378633099186</x:v>
      </x:c>
      <x:c r="H181" s="31" t="n">
        <x:v>59.34816520051684</x:v>
      </x:c>
      <x:c r="I181" s="31" t="n">
        <x:v>69.52913037023791</x:v>
      </x:c>
      <x:c r="J181" s="31" t="n">
        <x:v>67.64287247676607</x:v>
      </x:c>
      <x:c r="K181" s="31" t="n">
        <x:v>77.62608088734726</x:v>
      </x:c>
      <x:c r="L181" s="31" t="n">
        <x:v>70.9387318005113</x:v>
      </x:c>
      <x:c r="M181" s="31" t="n">
        <x:v>75.91411695823027</x:v>
      </x:c>
      <x:c r="N181" s="31" t="n">
        <x:v>87.92690165443257</x:v>
      </x:c>
      <x:c r="O181" s="31" t="n">
        <x:v>79.23730666418074</x:v>
      </x:c>
      <x:c r="P181" s="31" t="n">
        <x:v>70.72939773133452</x:v>
      </x:c>
      <x:c r="Q181" s="31" t="n">
        <x:v>59.265862181915374</x:v>
      </x:c>
      <x:c r="R181" s="31" t="n">
        <x:v>86.84694166204386</x:v>
      </x:c>
      <x:c r="S181" s="31" t="n">
        <x:v>85.64699077474064</x:v>
      </x:c>
      <x:c r="T181" s="31" t="n">
        <x:v>50</x:v>
      </x:c>
      <x:c r="U181" s="31" t="n">
        <x:v>82.08083259969742</x:v>
      </x:c>
    </x:row>
    <x:row r="182">
      <x:c r="A182" s="31" t="n">
        <x:v>18</x:v>
      </x:c>
      <x:c r="B182" s="31" t="n">
        <x:v>65.53241754448607</x:v>
      </x:c>
      <x:c r="C182" s="31" t="n">
        <x:v>72.87716810009958</x:v>
      </x:c>
      <x:c r="D182" s="31" t="n">
        <x:v>65.79222826808738</x:v>
      </x:c>
      <x:c r="E182" s="31" t="n">
        <x:v>90.95402813590081</x:v>
      </x:c>
      <x:c r="F182" s="31" t="n">
        <x:v>66.61910408506411</x:v>
      </x:c>
      <x:c r="G182" s="31" t="n">
        <x:v>56.345009688264255</x:v>
      </x:c>
      <x:c r="H182" s="31" t="n">
        <x:v>66.82669736093004</x:v>
      </x:c>
      <x:c r="I182" s="31" t="n">
        <x:v>68.57177390453568</x:v>
      </x:c>
      <x:c r="J182" s="31" t="n">
        <x:v>71.98425029812759</x:v>
      </x:c>
      <x:c r="K182" s="31" t="n">
        <x:v>74.14422287730486</x:v>
      </x:c>
      <x:c r="L182" s="31" t="n">
        <x:v>90.72656334570904</x:v>
      </x:c>
      <x:c r="M182" s="31" t="n">
        <x:v>87.57061311152013</x:v>
      </x:c>
      <x:c r="N182" s="31" t="n">
        <x:v>88.89271352493328</x:v>
      </x:c>
      <x:c r="O182" s="31" t="n">
        <x:v>50</x:v>
      </x:c>
      <x:c r="P182" s="31" t="n">
        <x:v>70.72041088158439</x:v>
      </x:c>
      <x:c r="Q182" s="31" t="n">
        <x:v>59.69026447319669</x:v>
      </x:c>
      <x:c r="R182" s="31" t="n">
        <x:v>85.19215061849266</x:v>
      </x:c>
      <x:c r="S182" s="31" t="n">
        <x:v>80.97780711588423</x:v>
      </x:c>
      <x:c r="T182" s="31" t="n">
        <x:v>50</x:v>
      </x:c>
      <x:c r="U182" s="31" t="n">
        <x:v>65.82343649737783</x:v>
      </x:c>
    </x:row>
    <x:row r="183">
      <x:c r="A183" s="31" t="n">
        <x:v>18.1</x:v>
      </x:c>
      <x:c r="B183" s="31" t="n">
        <x:v>65.11447584207502</x:v>
      </x:c>
      <x:c r="C183" s="31" t="n">
        <x:v>67.24540475719962</x:v>
      </x:c>
      <x:c r="D183" s="31" t="n">
        <x:v>65.79222826808738</x:v>
      </x:c>
      <x:c r="E183" s="31" t="n">
        <x:v>85.84165282388952</x:v>
      </x:c>
      <x:c r="F183" s="31" t="n">
        <x:v>62.615162469342174</x:v>
      </x:c>
      <x:c r="G183" s="31" t="n">
        <x:v>60.310640743429474</x:v>
      </x:c>
      <x:c r="H183" s="31" t="n">
        <x:v>73.06646848105106</x:v>
      </x:c>
      <x:c r="I183" s="31" t="n">
        <x:v>68.10488420374607</x:v>
      </x:c>
      <x:c r="J183" s="31" t="n">
        <x:v>72.89409089412976</x:v>
      </x:c>
      <x:c r="K183" s="31" t="n">
        <x:v>70.80379033538024</x:v>
      </x:c>
      <x:c r="L183" s="31" t="n">
        <x:v>90.72656334570904</x:v>
      </x:c>
      <x:c r="M183" s="31" t="n">
        <x:v>88.6058928230095</x:v>
      </x:c>
      <x:c r="N183" s="31" t="n">
        <x:v>88.89271352493328</x:v>
      </x:c>
      <x:c r="O183" s="31" t="n">
        <x:v>50</x:v>
      </x:c>
      <x:c r="P183" s="31" t="n">
        <x:v>70.63472720307277</x:v>
      </x:c>
      <x:c r="Q183" s="31" t="n">
        <x:v>58.67689404366523</x:v>
      </x:c>
      <x:c r="R183" s="31" t="n">
        <x:v>74.52086386284414</x:v>
      </x:c>
      <x:c r="S183" s="31" t="n">
        <x:v>76.78835508485736</x:v>
      </x:c>
      <x:c r="T183" s="31" t="n">
        <x:v>69.52516529688022</x:v>
      </x:c>
      <x:c r="U183" s="31" t="n">
        <x:v>50</x:v>
      </x:c>
    </x:row>
    <x:row r="184">
      <x:c r="A184" s="31" t="n">
        <x:v>18.2</x:v>
      </x:c>
      <x:c r="B184" s="31" t="n">
        <x:v>64.96656544832825</x:v>
      </x:c>
      <x:c r="C184" s="31" t="n">
        <x:v>60.88678946826682</x:v>
      </x:c>
      <x:c r="D184" s="31" t="n">
        <x:v>65.59839360963383</x:v>
      </x:c>
      <x:c r="E184" s="31" t="n">
        <x:v>77.82774491776513</x:v>
      </x:c>
      <x:c r="F184" s="31" t="n">
        <x:v>50</x:v>
      </x:c>
      <x:c r="G184" s="31" t="n">
        <x:v>62.69001937652852</x:v>
      </x:c>
      <x:c r="H184" s="31" t="n">
        <x:v>76.23006970383243</x:v>
      </x:c>
      <x:c r="I184" s="31" t="n">
        <x:v>70.25247901965372</x:v>
      </x:c>
      <x:c r="J184" s="31" t="n">
        <x:v>72.18486051491848</x:v>
      </x:c>
      <x:c r="K184" s="31" t="n">
        <x:v>75.57614458908239</x:v>
      </x:c>
      <x:c r="L184" s="31" t="n">
        <x:v>88.10286459647409</x:v>
      </x:c>
      <x:c r="M184" s="31" t="n">
        <x:v>88.6058928230095</x:v>
      </x:c>
      <x:c r="N184" s="31" t="n">
        <x:v>78.17502786120733</x:v>
      </x:c>
      <x:c r="O184" s="31" t="n">
        <x:v>50</x:v>
      </x:c>
      <x:c r="P184" s="31" t="n">
        <x:v>70.61976431199346</x:v>
      </x:c>
      <x:c r="Q184" s="31" t="n">
        <x:v>55.784611279696804</x:v>
      </x:c>
      <x:c r="R184" s="31" t="n">
        <x:v>68.16850993063524</x:v>
      </x:c>
      <x:c r="S184" s="31" t="n">
        <x:v>73.61159642237635</x:v>
      </x:c>
      <x:c r="T184" s="31" t="n">
        <x:v>77.39784770982989</x:v>
      </x:c>
      <x:c r="U184" s="31" t="n">
        <x:v>74.13798039336663</x:v>
      </x:c>
    </x:row>
    <x:row r="185">
      <x:c r="A185" s="31" t="n">
        <x:v>18.3</x:v>
      </x:c>
      <x:c r="B185" s="31" t="n">
        <x:v>64.96656544832825</x:v>
      </x:c>
      <x:c r="C185" s="31" t="n">
        <x:v>64.51661208583054</x:v>
      </x:c>
      <x:c r="D185" s="31" t="n">
        <x:v>65.59839360963383</x:v>
      </x:c>
      <x:c r="E185" s="31" t="n">
        <x:v>73.21907240002636</x:v>
      </x:c>
      <x:c r="F185" s="31" t="n">
        <x:v>60.72475472968576</x:v>
      </x:c>
      <x:c r="G185" s="31" t="n">
        <x:v>62.69001937652852</x:v>
      </x:c>
      <x:c r="H185" s="31" t="n">
        <x:v>76.23006970383243</x:v>
      </x:c>
      <x:c r="I185" s="31" t="n">
        <x:v>70.25247901965372</x:v>
      </x:c>
      <x:c r="J185" s="31" t="n">
        <x:v>72.53813041826484</x:v>
      </x:c>
      <x:c r="K185" s="31" t="n">
        <x:v>76.06759201310558</x:v>
      </x:c>
      <x:c r="L185" s="31" t="n">
        <x:v>80.55229804266044</x:v>
      </x:c>
      <x:c r="M185" s="31" t="n">
        <x:v>76.83899640466191</x:v>
      </x:c>
      <x:c r="N185" s="31" t="n">
        <x:v>50</x:v>
      </x:c>
      <x:c r="O185" s="31" t="n">
        <x:v>78.29452894011551</x:v>
      </x:c>
      <x:c r="P185" s="31" t="n">
        <x:v>71.05741412030879</x:v>
      </x:c>
      <x:c r="Q185" s="31" t="n">
        <x:v>55.94297306002061</x:v>
      </x:c>
      <x:c r="R185" s="31" t="n">
        <x:v>50</x:v>
      </x:c>
      <x:c r="S185" s="31" t="n">
        <x:v>73.80241588149323</x:v>
      </x:c>
      <x:c r="T185" s="31" t="n">
        <x:v>80.40761058368037</x:v>
      </x:c>
      <x:c r="U185" s="31" t="n">
        <x:v>77.12993054016889</x:v>
      </x:c>
    </x:row>
    <x:row r="186">
      <x:c r="A186" s="31" t="n">
        <x:v>18.400000000000002</x:v>
      </x:c>
      <x:c r="B186" s="31" t="n">
        <x:v>65.54283805082096</x:v>
      </x:c>
      <x:c r="C186" s="31" t="n">
        <x:v>64.51661208583056</x:v>
      </x:c>
      <x:c r="D186" s="31" t="n">
        <x:v>65.090649783186</x:v>
      </x:c>
      <x:c r="E186" s="31" t="n">
        <x:v>68.6075818218629</x:v>
      </x:c>
      <x:c r="F186" s="31" t="n">
        <x:v>60.72475472968576</x:v>
      </x:c>
      <x:c r="G186" s="31" t="n">
        <x:v>68.92259187439613</x:v>
      </x:c>
      <x:c r="H186" s="31" t="n">
        <x:v>70.59884496249488</x:v>
      </x:c>
      <x:c r="I186" s="31" t="n">
        <x:v>69.00848024393815</x:v>
      </x:c>
      <x:c r="J186" s="31" t="n">
        <x:v>74.19523709471265</x:v>
      </x:c>
      <x:c r="K186" s="31" t="n">
        <x:v>75.98133782882937</x:v>
      </x:c>
      <x:c r="L186" s="31" t="n">
        <x:v>77.55260098604158</x:v>
      </x:c>
      <x:c r="M186" s="31" t="n">
        <x:v>50</x:v>
      </x:c>
      <x:c r="N186" s="31" t="n">
        <x:v>50</x:v>
      </x:c>
      <x:c r="O186" s="31" t="n">
        <x:v>92.20238272011571</x:v>
      </x:c>
      <x:c r="P186" s="31" t="n">
        <x:v>71.31829391028113</x:v>
      </x:c>
      <x:c r="Q186" s="31" t="n">
        <x:v>56.645051306038155</x:v>
      </x:c>
      <x:c r="R186" s="31" t="n">
        <x:v>50</x:v>
      </x:c>
      <x:c r="S186" s="31" t="n">
        <x:v>86.80954517273462</x:v>
      </x:c>
      <x:c r="T186" s="31" t="n">
        <x:v>80.52638201642195</x:v>
      </x:c>
      <x:c r="U186" s="31" t="n">
        <x:v>77.12993054016889</x:v>
      </x:c>
    </x:row>
    <x:row r="187">
      <x:c r="A187" s="31" t="n">
        <x:v>18.5</x:v>
      </x:c>
      <x:c r="B187" s="31" t="n">
        <x:v>66.21418087411934</x:v>
      </x:c>
      <x:c r="C187" s="31" t="n">
        <x:v>65.84699034238213</x:v>
      </x:c>
      <x:c r="D187" s="31" t="n">
        <x:v>65.11985801516781</x:v>
      </x:c>
      <x:c r="E187" s="31" t="n">
        <x:v>68.25691692168188</x:v>
      </x:c>
      <x:c r="F187" s="31" t="n">
        <x:v>67.56724107104503</x:v>
      </x:c>
      <x:c r="G187" s="31" t="n">
        <x:v>68.92259187439613</x:v>
      </x:c>
      <x:c r="H187" s="31" t="n">
        <x:v>70.79431527187863</x:v>
      </x:c>
      <x:c r="I187" s="31" t="n">
        <x:v>81.62205618760183</x:v>
      </x:c>
      <x:c r="J187" s="31" t="n">
        <x:v>74.19523709471265</x:v>
      </x:c>
      <x:c r="K187" s="31" t="n">
        <x:v>66.19913605144971</x:v>
      </x:c>
      <x:c r="L187" s="31" t="n">
        <x:v>74.24960407811483</x:v>
      </x:c>
      <x:c r="M187" s="31" t="n">
        <x:v>50</x:v>
      </x:c>
      <x:c r="N187" s="31" t="n">
        <x:v>50</x:v>
      </x:c>
      <x:c r="O187" s="31" t="n">
        <x:v>94.26857867319207</x:v>
      </x:c>
      <x:c r="P187" s="31" t="n">
        <x:v>71.31829391028113</x:v>
      </x:c>
      <x:c r="Q187" s="31" t="n">
        <x:v>56.645051306038155</x:v>
      </x:c>
      <x:c r="R187" s="31" t="n">
        <x:v>50</x:v>
      </x:c>
      <x:c r="S187" s="31" t="n">
        <x:v>89.26520492172894</x:v>
      </x:c>
      <x:c r="T187" s="31" t="n">
        <x:v>79.99357757991777</x:v>
      </x:c>
      <x:c r="U187" s="31" t="n">
        <x:v>73.49190947812045</x:v>
      </x:c>
    </x:row>
    <x:row r="188">
      <x:c r="A188" s="31" t="n">
        <x:v>18.6</x:v>
      </x:c>
      <x:c r="B188" s="31" t="n">
        <x:v>66.44401528629362</x:v>
      </x:c>
      <x:c r="C188" s="31" t="n">
        <x:v>66.30111347593996</x:v>
      </x:c>
      <x:c r="D188" s="31" t="n">
        <x:v>66.34719326980701</x:v>
      </x:c>
      <x:c r="E188" s="31" t="n">
        <x:v>67.61991547960014</x:v>
      </x:c>
      <x:c r="F188" s="31" t="n">
        <x:v>70.50829208669103</x:v>
      </x:c>
      <x:c r="G188" s="31" t="n">
        <x:v>64.75341711694787</x:v>
      </x:c>
      <x:c r="H188" s="31" t="n">
        <x:v>76.67435347233123</x:v>
      </x:c>
      <x:c r="I188" s="31" t="n">
        <x:v>81.90000619807427</x:v>
      </x:c>
      <x:c r="J188" s="31" t="n">
        <x:v>72.18547550819832</x:v>
      </x:c>
      <x:c r="K188" s="31" t="n">
        <x:v>65.725179070721</x:v>
      </x:c>
      <x:c r="L188" s="31" t="n">
        <x:v>75.17633331459086</x:v>
      </x:c>
      <x:c r="M188" s="31" t="n">
        <x:v>50</x:v>
      </x:c>
      <x:c r="N188" s="31" t="n">
        <x:v>50</x:v>
      </x:c>
      <x:c r="O188" s="31" t="n">
        <x:v>95.09830242071216</x:v>
      </x:c>
      <x:c r="P188" s="31" t="n">
        <x:v>77.51106852906068</x:v>
      </x:c>
      <x:c r="Q188" s="31" t="n">
        <x:v>58.40923331175843</x:v>
      </x:c>
      <x:c r="R188" s="31" t="n">
        <x:v>75.65493795323978</x:v>
      </x:c>
      <x:c r="S188" s="31" t="n">
        <x:v>89.26520492172894</x:v>
      </x:c>
      <x:c r="T188" s="31" t="n">
        <x:v>77.93434150352111</x:v>
      </x:c>
      <x:c r="U188" s="31" t="n">
        <x:v>73.49190947812045</x:v>
      </x:c>
    </x:row>
    <x:row r="189">
      <x:c r="A189" s="31" t="n">
        <x:v>18.7</x:v>
      </x:c>
      <x:c r="B189" s="31" t="n">
        <x:v>66.99380573285282</x:v>
      </x:c>
      <x:c r="C189" s="31" t="n">
        <x:v>71.92856562700265</x:v>
      </x:c>
      <x:c r="D189" s="31" t="n">
        <x:v>66.34719326980701</x:v>
      </x:c>
      <x:c r="E189" s="31" t="n">
        <x:v>61.110203627487</x:v>
      </x:c>
      <x:c r="F189" s="31" t="n">
        <x:v>70.50829208669103</x:v>
      </x:c>
      <x:c r="G189" s="31" t="n">
        <x:v>61.4857374229668</x:v>
      </x:c>
      <x:c r="H189" s="31" t="n">
        <x:v>76.67435347233123</x:v>
      </x:c>
      <x:c r="I189" s="31" t="n">
        <x:v>78.66599170531082</x:v>
      </x:c>
      <x:c r="J189" s="31" t="n">
        <x:v>70.84083379746417</x:v>
      </x:c>
      <x:c r="K189" s="31" t="n">
        <x:v>69.63394488887104</x:v>
      </x:c>
      <x:c r="L189" s="31" t="n">
        <x:v>76.73678547582185</x:v>
      </x:c>
      <x:c r="M189" s="31" t="n">
        <x:v>50</x:v>
      </x:c>
      <x:c r="N189" s="31" t="n">
        <x:v>79.91350004321288</x:v>
      </x:c>
      <x:c r="O189" s="31" t="n">
        <x:v>94.34378839149407</x:v>
      </x:c>
      <x:c r="P189" s="31" t="n">
        <x:v>82.92455364891387</x:v>
      </x:c>
      <x:c r="Q189" s="31" t="n">
        <x:v>60.563123656818654</x:v>
      </x:c>
      <x:c r="R189" s="31" t="n">
        <x:v>83.6955565515132</x:v>
      </x:c>
      <x:c r="S189" s="31" t="n">
        <x:v>82.29501657923795</x:v>
      </x:c>
      <x:c r="T189" s="31" t="n">
        <x:v>77.0008100926089</x:v>
      </x:c>
      <x:c r="U189" s="31" t="n">
        <x:v>73.41449307348611</x:v>
      </x:c>
    </x:row>
    <x:row r="190">
      <x:c r="A190" s="31" t="n">
        <x:v>18.8</x:v>
      </x:c>
      <x:c r="B190" s="31" t="n">
        <x:v>66.80378001754562</x:v>
      </x:c>
      <x:c r="C190" s="31" t="n">
        <x:v>71.92856562700265</x:v>
      </x:c>
      <x:c r="D190" s="31" t="n">
        <x:v>63.08692136318448</x:v>
      </x:c>
      <x:c r="E190" s="31" t="n">
        <x:v>50</x:v>
      </x:c>
      <x:c r="F190" s="31" t="n">
        <x:v>62.04421762359107</x:v>
      </x:c>
      <x:c r="G190" s="31" t="n">
        <x:v>62.893768948073365</x:v>
      </x:c>
      <x:c r="H190" s="31" t="n">
        <x:v>75.98042605165337</x:v>
      </x:c>
      <x:c r="I190" s="31" t="n">
        <x:v>71.78625904911465</x:v>
      </x:c>
      <x:c r="J190" s="31" t="n">
        <x:v>72.20024314729491</x:v>
      </x:c>
      <x:c r="K190" s="31" t="n">
        <x:v>69.63394488887104</x:v>
      </x:c>
      <x:c r="L190" s="31" t="n">
        <x:v>76.80515827789954</x:v>
      </x:c>
      <x:c r="M190" s="31" t="n">
        <x:v>63.61899637298088</x:v>
      </x:c>
      <x:c r="N190" s="31" t="n">
        <x:v>80.27883961183636</x:v>
      </x:c>
      <x:c r="O190" s="31" t="n">
        <x:v>84.67203649459542</x:v>
      </x:c>
      <x:c r="P190" s="31" t="n">
        <x:v>82.92455364891387</x:v>
      </x:c>
      <x:c r="Q190" s="31" t="n">
        <x:v>60.563123656818654</x:v>
      </x:c>
      <x:c r="R190" s="31" t="n">
        <x:v>83.6955565515132</x:v>
      </x:c>
      <x:c r="S190" s="31" t="n">
        <x:v>74.06210795758474</x:v>
      </x:c>
      <x:c r="T190" s="31" t="n">
        <x:v>90.51612913553757</x:v>
      </x:c>
      <x:c r="U190" s="31" t="n">
        <x:v>73.99197710013051</x:v>
      </x:c>
    </x:row>
    <x:row r="191">
      <x:c r="A191" s="31" t="n">
        <x:v>18.900000000000002</x:v>
      </x:c>
      <x:c r="B191" s="31" t="n">
        <x:v>64.91382569781565</x:v>
      </x:c>
      <x:c r="C191" s="31" t="n">
        <x:v>67.94221355029987</x:v>
      </x:c>
      <x:c r="D191" s="31" t="n">
        <x:v>82.04443522362212</x:v>
      </x:c>
      <x:c r="E191" s="31" t="n">
        <x:v>62.99088360678443</x:v>
      </x:c>
      <x:c r="F191" s="31" t="n">
        <x:v>50.000000000002224</x:v>
      </x:c>
      <x:c r="G191" s="31" t="n">
        <x:v>62.893768948073365</x:v>
      </x:c>
      <x:c r="H191" s="31" t="n">
        <x:v>76.50395361503028</x:v>
      </x:c>
      <x:c r="I191" s="31" t="n">
        <x:v>69.82516217695222</x:v>
      </x:c>
      <x:c r="J191" s="31"/>
      <x:c r="K191" s="31" t="n">
        <x:v>69.04810961335868</x:v>
      </x:c>
      <x:c r="L191" s="31" t="n">
        <x:v>76.81198337940421</x:v>
      </x:c>
      <x:c r="M191" s="31" t="n">
        <x:v>90.35212988472718</x:v>
      </x:c>
      <x:c r="N191" s="31" t="n">
        <x:v>79.15338443042859</x:v>
      </x:c>
      <x:c r="O191" s="31" t="n">
        <x:v>82.62992539653226</x:v>
      </x:c>
      <x:c r="P191" s="31" t="n">
        <x:v>76.97287239233574</x:v>
      </x:c>
      <x:c r="Q191" s="31" t="n">
        <x:v>58.04654387549672</x:v>
      </x:c>
      <x:c r="R191" s="31" t="n">
        <x:v>78.68613937850034</x:v>
      </x:c>
      <x:c r="S191" s="31" t="n">
        <x:v>64.0098866331904</x:v>
      </x:c>
      <x:c r="T191" s="31" t="n">
        <x:v>91.44257495062404</x:v>
      </x:c>
      <x:c r="U191" s="31" t="n">
        <x:v>76.96864477570739</x:v>
      </x:c>
    </x:row>
    <x:row r="192">
      <x:c r="A192" s="31" t="n">
        <x:v>19</x:v>
      </x:c>
      <x:c r="B192" s="31" t="n">
        <x:v>60.9083027697439</x:v>
      </x:c>
      <x:c r="C192" s="31" t="n">
        <x:v>67.94221355029987</x:v>
      </x:c>
      <x:c r="D192" s="31" t="n">
        <x:v>82.04443522362212</x:v>
      </x:c>
      <x:c r="E192" s="31" t="n">
        <x:v>75.38306056355157</x:v>
      </x:c>
      <x:c r="F192" s="31" t="n">
        <x:v>66.11214381019207</x:v>
      </x:c>
      <x:c r="G192" s="31" t="n">
        <x:v>64.48959318803418</x:v>
      </x:c>
      <x:c r="H192" s="31" t="n">
        <x:v>77.34716449718408</x:v>
      </x:c>
      <x:c r="I192" s="31" t="n">
        <x:v>67.86406530478986</x:v>
      </x:c>
      <x:c r="J192" s="31"/>
      <x:c r="K192" s="31" t="n">
        <x:v>65.33272005243859</x:v>
      </x:c>
      <x:c r="L192" s="31" t="n">
        <x:v>76.85322200985541</x:v>
      </x:c>
      <x:c r="M192" s="31" t="n">
        <x:v>90.35212988472718</x:v>
      </x:c>
      <x:c r="N192" s="31" t="n">
        <x:v>77.38554913397854</x:v>
      </x:c>
      <x:c r="O192" s="31" t="n">
        <x:v>81.7125898555866</x:v>
      </x:c>
      <x:c r="P192" s="31" t="n">
        <x:v>68.24757387521842</x:v>
      </x:c>
      <x:c r="Q192" s="31" t="n">
        <x:v>56.632474785519726</x:v>
      </x:c>
      <x:c r="R192" s="31" t="n">
        <x:v>75.22006137226649</x:v>
      </x:c>
      <x:c r="S192" s="31" t="n">
        <x:v>50</x:v>
      </x:c>
      <x:c r="T192" s="31" t="n">
        <x:v>90.96941934085086</x:v>
      </x:c>
      <x:c r="U192" s="31" t="n">
        <x:v>85.68785998980673</x:v>
      </x:c>
    </x:row>
    <x:row r="193">
      <x:c r="A193" s="31" t="n">
        <x:v>19.1</x:v>
      </x:c>
      <x:c r="B193" s="31" t="n">
        <x:v>67.39261232365124</x:v>
      </x:c>
      <x:c r="C193" s="31" t="n">
        <x:v>68.3164013912239</x:v>
      </x:c>
      <x:c r="D193" s="31" t="n">
        <x:v>78.02055468649168</x:v>
      </x:c>
      <x:c r="E193" s="31" t="n">
        <x:v>75.38306056355157</x:v>
      </x:c>
      <x:c r="F193" s="31" t="n">
        <x:v>66.11214381019207</x:v>
      </x:c>
      <x:c r="G193" s="31" t="n">
        <x:v>64.65603297246649</x:v>
      </x:c>
      <x:c r="H193" s="31" t="n">
        <x:v>77.34716449718408</x:v>
      </x:c>
      <x:c r="I193" s="31" t="n">
        <x:v>65.90296843262743</x:v>
      </x:c>
      <x:c r="J193" s="31"/>
      <x:c r="K193" s="31" t="n">
        <x:v>88.31831230845938</x:v>
      </x:c>
      <x:c r="L193" s="31" t="n">
        <x:v>76.63477381499698</x:v>
      </x:c>
      <x:c r="M193" s="31" t="n">
        <x:v>85.92048387680893</x:v>
      </x:c>
      <x:c r="N193" s="31" t="n">
        <x:v>77.41590268261432</x:v>
      </x:c>
      <x:c r="O193" s="31" t="n">
        <x:v>81.32961153667944</x:v>
      </x:c>
      <x:c r="P193" s="31" t="n">
        <x:v>50</x:v>
      </x:c>
      <x:c r="Q193" s="31" t="n">
        <x:v>55.44026722482119</x:v>
      </x:c>
      <x:c r="R193" s="31" t="n">
        <x:v>69.49172386883336</x:v>
      </x:c>
      <x:c r="S193" s="31" t="n">
        <x:v>68.86508470500118</x:v>
      </x:c>
      <x:c r="T193" s="31" t="n">
        <x:v>81.02286937646105</x:v>
      </x:c>
      <x:c r="U193" s="31" t="n">
        <x:v>90.72284907608756</x:v>
      </x:c>
    </x:row>
    <x:row r="194">
      <x:c r="A194" s="31" t="n">
        <x:v>19.200000000000003</x:v>
      </x:c>
      <x:c r="B194" s="31" t="n">
        <x:v>81.09868249701765</x:v>
      </x:c>
      <x:c r="C194" s="31" t="n">
        <x:v>70.52733527271933</x:v>
      </x:c>
      <x:c r="D194" s="31" t="n">
        <x:v>69.36640367544132</x:v>
      </x:c>
      <x:c r="E194" s="31" t="n">
        <x:v>67.77456570772182</x:v>
      </x:c>
      <x:c r="F194" s="31" t="n">
        <x:v>67.21395266275817</x:v>
      </x:c>
      <x:c r="G194" s="31" t="n">
        <x:v>64.65603297246649</x:v>
      </x:c>
      <x:c r="H194" s="31" t="n">
        <x:v>76.57680847365752</x:v>
      </x:c>
      <x:c r="I194" s="31" t="n">
        <x:v>65.1185296837627</x:v>
      </x:c>
      <x:c r="J194" s="31"/>
      <x:c r="K194" s="31" t="n">
        <x:v>88.31831230845938</x:v>
      </x:c>
      <x:c r="L194" s="31" t="n">
        <x:v>75.86800195228918</x:v>
      </x:c>
      <x:c r="M194" s="31" t="n">
        <x:v>82.0879965182112</x:v>
      </x:c>
      <x:c r="N194" s="31" t="n">
        <x:v>77.79435085190003</x:v>
      </x:c>
      <x:c r="O194" s="31" t="n">
        <x:v>80.42966992311476</x:v>
      </x:c>
      <x:c r="P194" s="31" t="n">
        <x:v>50</x:v>
      </x:c>
      <x:c r="Q194" s="31" t="n">
        <x:v>57.57396474732256</x:v>
      </x:c>
      <x:c r="R194" s="31" t="n">
        <x:v>69.46313886989378</x:v>
      </x:c>
      <x:c r="S194" s="31" t="n">
        <x:v>73.68804334779398</x:v>
      </x:c>
      <x:c r="T194" s="31" t="n">
        <x:v>76.17862120348514</x:v>
      </x:c>
      <x:c r="U194" s="31" t="n">
        <x:v>90.07700612315438</x:v>
      </x:c>
    </x:row>
    <x:row r="195">
      <x:c r="A195" s="31" t="n">
        <x:v>19.3</x:v>
      </x:c>
      <x:c r="B195" s="31" t="n">
        <x:v>81.09868249701765</x:v>
      </x:c>
      <x:c r="C195" s="31" t="n">
        <x:v>70.52733527271933</x:v>
      </x:c>
      <x:c r="D195" s="31" t="n">
        <x:v>62.383112946441564</x:v>
      </x:c>
      <x:c r="E195" s="31" t="n">
        <x:v>50</x:v>
      </x:c>
      <x:c r="F195" s="31" t="n">
        <x:v>67.21395266275817</x:v>
      </x:c>
      <x:c r="G195" s="31" t="n">
        <x:v>63.97319924678517</x:v>
      </x:c>
      <x:c r="H195" s="31" t="n">
        <x:v>78.26506398902198</x:v>
      </x:c>
      <x:c r="I195" s="31" t="n">
        <x:v>71.0765039449844</x:v>
      </x:c>
      <x:c r="J195" s="31"/>
      <x:c r="K195" s="31" t="n">
        <x:v>85.10731153525359</x:v>
      </x:c>
      <x:c r="L195" s="31" t="n">
        <x:v>75.86800195228918</x:v>
      </x:c>
      <x:c r="M195" s="31" t="n">
        <x:v>80.92726596205739</x:v>
      </x:c>
      <x:c r="N195" s="31" t="n">
        <x:v>78.16206756606493</x:v>
      </x:c>
      <x:c r="O195" s="31" t="n">
        <x:v>80.54185444050489</x:v>
      </x:c>
      <x:c r="P195" s="31" t="n">
        <x:v>50</x:v>
      </x:c>
      <x:c r="Q195" s="31" t="n">
        <x:v>60.736816793510464</x:v>
      </x:c>
      <x:c r="R195" s="31" t="n">
        <x:v>69.46313886989378</x:v>
      </x:c>
      <x:c r="S195" s="31" t="n">
        <x:v>75.63597270845634</x:v>
      </x:c>
      <x:c r="T195" s="31" t="n">
        <x:v>71.66892066683215</x:v>
      </x:c>
      <x:c r="U195" s="31" t="n">
        <x:v>81.60418984198733</x:v>
      </x:c>
    </x:row>
    <x:row r="196">
      <x:c r="A196" s="31" t="n">
        <x:v>19.400000000000002</x:v>
      </x:c>
      <x:c r="B196" s="31" t="n">
        <x:v>70.85908830480616</x:v>
      </x:c>
      <x:c r="C196" s="31" t="n">
        <x:v>68.49112977864989</x:v>
      </x:c>
      <x:c r="D196" s="31" t="n">
        <x:v>50.43024722489365</x:v>
      </x:c>
      <x:c r="E196" s="31" t="n">
        <x:v>50.0000000000014</x:v>
      </x:c>
      <x:c r="F196" s="31" t="n">
        <x:v>65.30011705459205</x:v>
      </x:c>
      <x:c r="G196" s="31" t="n">
        <x:v>64.28761083906097</x:v>
      </x:c>
      <x:c r="H196" s="31" t="n">
        <x:v>78.26506398902198</x:v>
      </x:c>
      <x:c r="I196" s="31" t="n">
        <x:v>74.6512885017174</x:v>
      </x:c>
      <x:c r="J196" s="31"/>
      <x:c r="K196" s="31" t="n">
        <x:v>75.69914454454313</x:v>
      </x:c>
      <x:c r="L196" s="31" t="n">
        <x:v>67.77704393095976</x:v>
      </x:c>
      <x:c r="M196" s="31" t="n">
        <x:v>80.61555922969356</x:v>
      </x:c>
      <x:c r="N196" s="31" t="n">
        <x:v>79.31576162624532</x:v>
      </x:c>
      <x:c r="O196" s="31" t="n">
        <x:v>91.84789703660151</x:v>
      </x:c>
      <x:c r="P196" s="31" t="n">
        <x:v>50</x:v>
      </x:c>
      <x:c r="Q196" s="31" t="n">
        <x:v>60.7368167935104</x:v>
      </x:c>
      <x:c r="R196" s="31" t="n">
        <x:v>68.76756111479041</x:v>
      </x:c>
      <x:c r="S196" s="31" t="n">
        <x:v>78.85353981560957</x:v>
      </x:c>
      <x:c r="T196" s="31" t="n">
        <x:v>50.00000000000023</x:v>
      </x:c>
      <x:c r="U196" s="31" t="n">
        <x:v>79.98191923893178</x:v>
      </x:c>
    </x:row>
    <x:row r="197">
      <x:c r="A197" s="31" t="n">
        <x:v>19.5</x:v>
      </x:c>
      <x:c r="B197" s="31" t="n">
        <x:v>61.39878296736139</x:v>
      </x:c>
      <x:c r="C197" s="31" t="n">
        <x:v>70.35052457540641</x:v>
      </x:c>
      <x:c r="D197" s="31" t="n">
        <x:v>52.58148334936153</x:v>
      </x:c>
      <x:c r="E197" s="31" t="n">
        <x:v>64.26200861946283</x:v>
      </x:c>
      <x:c r="F197" s="31" t="n">
        <x:v>67.38917517693173</x:v>
      </x:c>
      <x:c r="G197" s="31" t="n">
        <x:v>65.72262316321343</x:v>
      </x:c>
      <x:c r="H197" s="31" t="n">
        <x:v>74.7768554910286</x:v>
      </x:c>
      <x:c r="I197" s="31" t="n">
        <x:v>74.6512885017174</x:v>
      </x:c>
      <x:c r="J197" s="31"/>
      <x:c r="K197" s="31" t="n">
        <x:v>69.37542986464335</x:v>
      </x:c>
      <x:c r="L197" s="31" t="n">
        <x:v>65.59777313201427</x:v>
      </x:c>
      <x:c r="M197" s="31" t="n">
        <x:v>80.68461662230823</x:v>
      </x:c>
      <x:c r="N197" s="31" t="n">
        <x:v>79.491359725498</x:v>
      </x:c>
      <x:c r="O197" s="31" t="n">
        <x:v>91.84789703660151</x:v>
      </x:c>
      <x:c r="P197" s="31" t="n">
        <x:v>50</x:v>
      </x:c>
      <x:c r="Q197" s="31" t="n">
        <x:v>58.96847004941529</x:v>
      </x:c>
      <x:c r="R197" s="31" t="n">
        <x:v>69.11624438410087</x:v>
      </x:c>
      <x:c r="S197" s="31" t="n">
        <x:v>78.85353981560957</x:v>
      </x:c>
      <x:c r="T197" s="31" t="n">
        <x:v>56.422202939009566</x:v>
      </x:c>
      <x:c r="U197" s="31" t="n">
        <x:v>74.2755216744467</x:v>
      </x:c>
    </x:row>
    <x:row r="198">
      <x:c r="A198" s="31" t="n">
        <x:v>19.6</x:v>
      </x:c>
      <x:c r="B198" s="31" t="n">
        <x:v>52.35949675334105</x:v>
      </x:c>
      <x:c r="C198" s="31" t="n">
        <x:v>73.01740332137462</x:v>
      </x:c>
      <x:c r="D198" s="31" t="n">
        <x:v>54.732719473829476</x:v>
      </x:c>
      <x:c r="E198" s="31" t="n">
        <x:v>65.43523096215607</x:v>
      </x:c>
      <x:c r="F198" s="31" t="n">
        <x:v>68.08500170732415</x:v>
      </x:c>
      <x:c r="G198" s="31" t="n">
        <x:v>65.72262316321343</x:v>
      </x:c>
      <x:c r="H198" s="31" t="n">
        <x:v>74.30003342880457</x:v>
      </x:c>
      <x:c r="I198" s="31" t="n">
        <x:v>72.8505850624527</x:v>
      </x:c>
      <x:c r="J198" s="31"/>
      <x:c r="K198" s="31" t="n">
        <x:v>69.01725402556157</x:v>
      </x:c>
      <x:c r="L198" s="31" t="n">
        <x:v>85.63753148626637</x:v>
      </x:c>
      <x:c r="M198" s="31" t="n">
        <x:v>80.68461662230823</x:v>
      </x:c>
      <x:c r="N198" s="31" t="n">
        <x:v>79.74297982073415</x:v>
      </x:c>
      <x:c r="O198" s="31" t="n">
        <x:v>90.56415941635893</x:v>
      </x:c>
      <x:c r="P198" s="31" t="n">
        <x:v>80.18211246218716</x:v>
      </x:c>
      <x:c r="Q198" s="31" t="n">
        <x:v>59.14704258817885</x:v>
      </x:c>
      <x:c r="R198" s="31" t="n">
        <x:v>69.28165349162708</x:v>
      </x:c>
      <x:c r="S198" s="31" t="n">
        <x:v>92.74575314103453</x:v>
      </x:c>
      <x:c r="T198" s="31" t="n">
        <x:v>61.559965290217036</x:v>
      </x:c>
      <x:c r="U198" s="31" t="n">
        <x:v>72.06903258977441</x:v>
      </x:c>
    </x:row>
    <x:row r="199">
      <x:c r="A199" s="31" t="n">
        <x:v>19.700000000000003</x:v>
      </x:c>
      <x:c r="B199" s="31" t="n">
        <x:v>56.659038151631435</x:v>
      </x:c>
      <x:c r="C199" s="31" t="n">
        <x:v>73.01740332137462</x:v>
      </x:c>
      <x:c r="D199" s="31" t="n">
        <x:v>56.88395559829743</x:v>
      </x:c>
      <x:c r="E199" s="31" t="n">
        <x:v>67.15038194981459</x:v>
      </x:c>
      <x:c r="F199" s="31" t="n">
        <x:v>68.08500170732401</x:v>
      </x:c>
      <x:c r="G199" s="31" t="n">
        <x:v>70.49069220242416</x:v>
      </x:c>
      <x:c r="H199" s="31" t="n">
        <x:v>70.76040424668292</x:v>
      </x:c>
      <x:c r="I199" s="31" t="n">
        <x:v>71.00853845995934</x:v>
      </x:c>
      <x:c r="J199" s="31"/>
      <x:c r="K199" s="31" t="n">
        <x:v>69.01725402556157</x:v>
      </x:c>
      <x:c r="L199" s="31" t="n">
        <x:v>89.21836078763896</x:v>
      </x:c>
      <x:c r="M199" s="31" t="n">
        <x:v>80.55747088061447</x:v>
      </x:c>
      <x:c r="N199" s="31" t="n">
        <x:v>80.30943094279958</x:v>
      </x:c>
      <x:c r="O199" s="31" t="n">
        <x:v>84.37061257472678</x:v>
      </x:c>
      <x:c r="P199" s="31" t="n">
        <x:v>80.92073777149382</x:v>
      </x:c>
      <x:c r="Q199" s="31" t="n">
        <x:v>59.32561512694241</x:v>
      </x:c>
      <x:c r="R199" s="31" t="n">
        <x:v>69.28165349162708</x:v>
      </x:c>
      <x:c r="S199" s="31" t="n">
        <x:v>93.39721713061647</x:v>
      </x:c>
      <x:c r="T199" s="31" t="n">
        <x:v>84.26564050729121</x:v>
      </x:c>
      <x:c r="U199" s="31" t="n">
        <x:v>50</x:v>
      </x:c>
    </x:row>
    <x:row r="200">
      <x:c r="A200" s="31" t="n">
        <x:v>19.8</x:v>
      </x:c>
      <x:c r="B200" s="31" t="n">
        <x:v>56.659038151631435</x:v>
      </x:c>
      <x:c r="C200" s="31" t="n">
        <x:v>65.97035465458393</x:v>
      </x:c>
      <x:c r="D200" s="31" t="n">
        <x:v>58.17469727297816</x:v>
      </x:c>
      <x:c r="E200" s="31" t="n">
        <x:v>67.96895682571822</x:v>
      </x:c>
      <x:c r="F200" s="31" t="n">
        <x:v>66.62897624735473</x:v>
      </x:c>
      <x:c r="G200" s="31" t="n">
        <x:v>73.5141788035654</x:v>
      </x:c>
      <x:c r="H200" s="31" t="n">
        <x:v>75.56671137591027</x:v>
      </x:c>
      <x:c r="I200" s="31" t="n">
        <x:v>70.33555000880767</x:v>
      </x:c>
      <x:c r="J200" s="31"/>
      <x:c r="K200" s="31" t="n">
        <x:v>68.75618819252307</x:v>
      </x:c>
      <x:c r="L200" s="31" t="n">
        <x:v>89.21836078763896</x:v>
      </x:c>
      <x:c r="M200" s="31" t="n">
        <x:v>80.929208160441</x:v>
      </x:c>
      <x:c r="N200" s="31" t="n">
        <x:v>80.30943094279958</x:v>
      </x:c>
      <x:c r="O200" s="31" t="n">
        <x:v>78.76360763410102</x:v>
      </x:c>
      <x:c r="P200" s="31" t="n">
        <x:v>84.99267730412598</x:v>
      </x:c>
      <x:c r="Q200" s="31" t="n">
        <x:v>59.504187665705956</x:v>
      </x:c>
      <x:c r="R200" s="31" t="n">
        <x:v>81.51764660575992</x:v>
      </x:c>
      <x:c r="S200" s="31" t="n">
        <x:v>93.17780675430168</x:v>
      </x:c>
      <x:c r="T200" s="31" t="n">
        <x:v>84.26564050729121</x:v>
      </x:c>
      <x:c r="U200" s="31" t="n">
        <x:v>50</x:v>
      </x:c>
    </x:row>
    <x:row r="201">
      <x:c r="A201" s="31" t="n">
        <x:v>19.900000000000002</x:v>
      </x:c>
      <x:c r="B201" s="31" t="n">
        <x:v>58.806348282085054</x:v>
      </x:c>
      <x:c r="C201" s="31" t="n">
        <x:v>56.60193639704261</x:v>
      </x:c>
      <x:c r="D201" s="31" t="n">
        <x:v>64.95683449387258</x:v>
      </x:c>
      <x:c r="E201" s="31" t="n">
        <x:v>69.04378133860064</x:v>
      </x:c>
      <x:c r="F201" s="31" t="n">
        <x:v>67.23924838649381</x:v>
      </x:c>
      <x:c r="G201" s="31" t="n">
        <x:v>73.51417880356522</x:v>
      </x:c>
      <x:c r="H201" s="31" t="n">
        <x:v>82.18927948380654</x:v>
      </x:c>
      <x:c r="I201" s="31" t="n">
        <x:v>70.33555000880767</x:v>
      </x:c>
      <x:c r="J201" s="31"/>
      <x:c r="K201" s="31" t="n">
        <x:v>74.49667367595389</x:v>
      </x:c>
      <x:c r="L201" s="31" t="n">
        <x:v>82.57046776027272</x:v>
      </x:c>
      <x:c r="M201" s="31" t="n">
        <x:v>81.35154931416064</x:v>
      </x:c>
      <x:c r="N201" s="31" t="n">
        <x:v>78.12935112801597</x:v>
      </x:c>
      <x:c r="O201" s="31" t="n">
        <x:v>77.11181676257254</x:v>
      </x:c>
      <x:c r="P201" s="31" t="n">
        <x:v>84.99267730412598</x:v>
      </x:c>
      <x:c r="Q201" s="31" t="n">
        <x:v>59.647045696716816</x:v>
      </x:c>
      <x:c r="R201" s="31" t="n">
        <x:v>82.83316892261269</x:v>
      </x:c>
      <x:c r="S201" s="31" t="n">
        <x:v>85.46111899538701</x:v>
      </x:c>
      <x:c r="T201" s="31" t="n">
        <x:v>84.0038295904604</x:v>
      </x:c>
      <x:c r="U201" s="31" t="n">
        <x:v>71.25176177998732</x:v>
      </x:c>
    </x:row>
    <x:row r="202">
      <x:c r="A202" s="31" t="n">
        <x:v>20</x:v>
      </x:c>
      <x:c r="B202" s="31" t="n">
        <x:v>58.806348282085054</x:v>
      </x:c>
      <x:c r="C202" s="31" t="n">
        <x:v>54.19338587168717</x:v>
      </x:c>
      <x:c r="D202" s="31" t="n">
        <x:v>71.73897171476669</x:v>
      </x:c>
      <x:c r="E202" s="31" t="n">
        <x:v>69.04378133860064</x:v>
      </x:c>
      <x:c r="F202" s="31" t="n">
        <x:v>83.09321126197767</x:v>
      </x:c>
      <x:c r="G202" s="31" t="n">
        <x:v>60.68600408358394</x:v>
      </x:c>
      <x:c r="H202" s="31" t="n">
        <x:v>81.78155405080187</x:v>
      </x:c>
      <x:c r="I202" s="31" t="n">
        <x:v>68.92251742007437</x:v>
      </x:c>
      <x:c r="J202" s="31"/>
      <x:c r="K202" s="31" t="n">
        <x:v>74.49667367595389</x:v>
      </x:c>
      <x:c r="L202" s="31" t="n">
        <x:v>74.67569036116564</x:v>
      </x:c>
      <x:c r="M202" s="31" t="n">
        <x:v>81.43159000078369</x:v>
      </x:c>
      <x:c r="N202" s="31" t="n">
        <x:v>84.82315134654269</x:v>
      </x:c>
      <x:c r="O202" s="31" t="n">
        <x:v>77.11181676257254</x:v>
      </x:c>
      <x:c r="P202" s="31" t="n">
        <x:v>80.6380943045703</x:v>
      </x:c>
      <x:c r="Q202" s="31" t="n">
        <x:v>59.71309955684014</x:v>
      </x:c>
      <x:c r="R202" s="31" t="n">
        <x:v>82.83316892261269</x:v>
      </x:c>
      <x:c r="S202" s="31" t="n">
        <x:v>78.80987483319899</x:v>
      </x:c>
      <x:c r="T202" s="31" t="n">
        <x:v>75.8327948213917</x:v>
      </x:c>
      <x:c r="U202" s="31" t="n">
        <x:v>73.29358941074877</x:v>
      </x:c>
    </x:row>
    <x:row r="203">
      <x:c r="A203" s="31" t="n">
        <x:v>20.1</x:v>
      </x:c>
      <x:c r="B203" s="31" t="n">
        <x:v>63.81725724179439</x:v>
      </x:c>
      <x:c r="C203" s="31" t="n">
        <x:v>54.19338587168717</x:v>
      </x:c>
      <x:c r="D203" s="31" t="n">
        <x:v>71.73897171476669</x:v>
      </x:c>
      <x:c r="E203" s="31" t="n">
        <x:v>69.36062586636774</x:v>
      </x:c>
      <x:c r="F203" s="31" t="n">
        <x:v>83.93537685965583</x:v>
      </x:c>
      <x:c r="G203" s="31" t="n">
        <x:v>51.87389228453825</x:v>
      </x:c>
      <x:c r="H203" s="31" t="n">
        <x:v>71.87917757217555</x:v>
      </x:c>
      <x:c r="I203" s="31" t="n">
        <x:v>69.57036366250426</x:v>
      </x:c>
      <x:c r="J203" s="31"/>
      <x:c r="K203" s="31" t="n">
        <x:v>59.59672189022156</x:v>
      </x:c>
      <x:c r="L203" s="31" t="n">
        <x:v>61.05795026301166</x:v>
      </x:c>
      <x:c r="M203" s="31" t="n">
        <x:v>81.43159000078369</x:v>
      </x:c>
      <x:c r="N203" s="31" t="n">
        <x:v>90.17819152136406</x:v>
      </x:c>
      <x:c r="O203" s="31" t="n">
        <x:v>74.54652549213313</x:v>
      </x:c>
      <x:c r="P203" s="31" t="n">
        <x:v>71.57854387055731</x:v>
      </x:c>
      <x:c r="Q203" s="31" t="n">
        <x:v>59.01653247286673</x:v>
      </x:c>
      <x:c r="R203" s="31" t="n">
        <x:v>72.96601096799932</x:v>
      </x:c>
      <x:c r="S203" s="31" t="n">
        <x:v>72.24789281896017</x:v>
      </x:c>
      <x:c r="T203" s="31" t="n">
        <x:v>71.42062208025267</x:v>
      </x:c>
      <x:c r="U203" s="31" t="n">
        <x:v>82.54486130924315</x:v>
      </x:c>
    </x:row>
    <x:row r="204">
      <x:c r="A204" s="31" t="n">
        <x:v>20.200000000000003</x:v>
      </x:c>
      <x:c r="B204" s="31" t="n">
        <x:v>64.0376806426886</x:v>
      </x:c>
      <x:c r="C204" s="31" t="n">
        <x:v>50</x:v>
      </x:c>
      <x:c r="D204" s="31" t="n">
        <x:v>69.51499167640206</x:v>
      </x:c>
      <x:c r="E204" s="31" t="n">
        <x:v>70.42332449207879</x:v>
      </x:c>
      <x:c r="F204" s="31" t="n">
        <x:v>83.8448997870702</x:v>
      </x:c>
      <x:c r="G204" s="31" t="n">
        <x:v>56.55862299588364</x:v>
      </x:c>
      <x:c r="H204" s="31" t="n">
        <x:v>63.42501217886608</x:v>
      </x:c>
      <x:c r="I204" s="31" t="n">
        <x:v>69.57036366250426</x:v>
      </x:c>
      <x:c r="J204" s="31"/>
      <x:c r="K204" s="31" t="n">
        <x:v>61.05169638961279</x:v>
      </x:c>
      <x:c r="L204" s="31" t="n">
        <x:v>50</x:v>
      </x:c>
      <x:c r="M204" s="31" t="n">
        <x:v>80.99104637062138</x:v>
      </x:c>
      <x:c r="N204" s="31" t="n">
        <x:v>90.17819152136406</x:v>
      </x:c>
      <x:c r="O204" s="31" t="n">
        <x:v>76.53274440770653</x:v>
      </x:c>
      <x:c r="P204" s="31" t="n">
        <x:v>71.02509640650165</x:v>
      </x:c>
      <x:c r="Q204" s="31"/>
      <x:c r="R204" s="31" t="n">
        <x:v>61.402354830409756</x:v>
      </x:c>
      <x:c r="S204" s="31" t="n">
        <x:v>69.55518337565549</x:v>
      </x:c>
      <x:c r="T204" s="31" t="n">
        <x:v>59.92034495646937</x:v>
      </x:c>
      <x:c r="U204" s="31" t="n">
        <x:v>82.54486130924315</x:v>
      </x:c>
    </x:row>
    <x:row r="205">
      <x:c r="A205" s="31" t="n">
        <x:v>20.3</x:v>
      </x:c>
      <x:c r="B205" s="31" t="n">
        <x:v>61.40868261462223</x:v>
      </x:c>
      <x:c r="C205" s="31" t="n">
        <x:v>50</x:v>
      </x:c>
      <x:c r="D205" s="31" t="n">
        <x:v>65.6380494493707</x:v>
      </x:c>
      <x:c r="E205" s="31" t="n">
        <x:v>85.38116241401153</x:v>
      </x:c>
      <x:c r="F205" s="31" t="n">
        <x:v>73.89351244522469</x:v>
      </x:c>
      <x:c r="G205" s="31" t="n">
        <x:v>61.243353707228856</x:v>
      </x:c>
      <x:c r="H205" s="31" t="n">
        <x:v>65.3735893206669</x:v>
      </x:c>
      <x:c r="I205" s="31" t="n">
        <x:v>69.30617561656702</x:v>
      </x:c>
      <x:c r="J205" s="31"/>
      <x:c r="K205" s="31" t="n">
        <x:v>65.39365138803902</x:v>
      </x:c>
      <x:c r="L205" s="31" t="n">
        <x:v>50</x:v>
      </x:c>
      <x:c r="M205" s="31" t="n">
        <x:v>78.1046339136636</x:v>
      </x:c>
      <x:c r="N205" s="31" t="n">
        <x:v>83.29989283477204</x:v>
      </x:c>
      <x:c r="O205" s="31" t="n">
        <x:v>76.56456161024285</x:v>
      </x:c>
      <x:c r="P205" s="31" t="n">
        <x:v>71.02509640650165</x:v>
      </x:c>
      <x:c r="Q205" s="31"/>
      <x:c r="R205" s="31" t="n">
        <x:v>50</x:v>
      </x:c>
      <x:c r="S205" s="31" t="n">
        <x:v>65.48683042864872</x:v>
      </x:c>
      <x:c r="T205" s="31" t="n">
        <x:v>71.20033657148822</x:v>
      </x:c>
      <x:c r="U205" s="31" t="n">
        <x:v>81.9794194690023</x:v>
      </x:c>
    </x:row>
    <x:row r="206">
      <x:c r="A206" s="31" t="n">
        <x:v>20.400000000000002</x:v>
      </x:c>
      <x:c r="B206" s="31" t="n">
        <x:v>54.49724400674921</x:v>
      </x:c>
      <x:c r="C206" s="31" t="n">
        <x:v>58.76534444231037</x:v>
      </x:c>
      <x:c r="D206" s="31" t="n">
        <x:v>60.68019031197881</x:v>
      </x:c>
      <x:c r="E206" s="31" t="n">
        <x:v>85.85747107565787</x:v>
      </x:c>
      <x:c r="F206" s="31" t="n">
        <x:v>67.0270408180973</x:v>
      </x:c>
      <x:c r="G206" s="31" t="n">
        <x:v>65.92808441857407</x:v>
      </x:c>
      <x:c r="H206" s="31" t="n">
        <x:v>67.32216646246778</x:v>
      </x:c>
      <x:c r="I206" s="31" t="n">
        <x:v>69.30617561656702</x:v>
      </x:c>
      <x:c r="J206" s="31"/>
      <x:c r="K206" s="31" t="n">
        <x:v>69.13522465196115</x:v>
      </x:c>
      <x:c r="L206" s="31" t="n">
        <x:v>50</x:v>
      </x:c>
      <x:c r="M206" s="31" t="n">
        <x:v>80.2246755811769</x:v>
      </x:c>
      <x:c r="N206" s="31" t="n">
        <x:v>68.25056332516817</x:v>
      </x:c>
      <x:c r="O206" s="31" t="n">
        <x:v>83.32591852370861</x:v>
      </x:c>
      <x:c r="P206" s="31" t="n">
        <x:v>70.43352991494442</x:v>
      </x:c>
      <x:c r="Q206" s="31"/>
      <x:c r="R206" s="31" t="n">
        <x:v>51.722222766505276</x:v>
      </x:c>
      <x:c r="S206" s="31" t="n">
        <x:v>54.05251646264447</x:v>
      </x:c>
      <x:c r="T206" s="31" t="n">
        <x:v>76.79945447106337</x:v>
      </x:c>
      <x:c r="U206" s="31" t="n">
        <x:v>69.8246167545496</x:v>
      </x:c>
    </x:row>
    <x:row r="207">
      <x:c r="A207" s="31" t="n">
        <x:v>20.5</x:v>
      </x:c>
      <x:c r="B207" s="31" t="n">
        <x:v>53.04647660382837</x:v>
      </x:c>
      <x:c r="C207" s="31" t="n">
        <x:v>58.76534444231037</x:v>
      </x:c>
      <x:c r="D207" s="31" t="n">
        <x:v>63.6238144450232</x:v>
      </x:c>
      <x:c r="E207" s="31" t="n">
        <x:v>85.4802152616722</x:v>
      </x:c>
      <x:c r="F207" s="31" t="n">
        <x:v>62.78683898436519</x:v>
      </x:c>
      <x:c r="G207" s="31" t="n">
        <x:v>65.92808441857407</x:v>
      </x:c>
      <x:c r="H207" s="31" t="n">
        <x:v>69.27074360426859</x:v>
      </x:c>
      <x:c r="I207" s="31" t="n">
        <x:v>69.28273488932913</x:v>
      </x:c>
      <x:c r="J207" s="31"/>
      <x:c r="K207" s="31" t="n">
        <x:v>69.13522465196115</x:v>
      </x:c>
      <x:c r="L207" s="31" t="n">
        <x:v>67.21354251758264</x:v>
      </x:c>
      <x:c r="M207" s="31" t="n">
        <x:v>89.07686604373481</x:v>
      </x:c>
      <x:c r="N207" s="31" t="n">
        <x:v>50</x:v>
      </x:c>
      <x:c r="O207" s="31" t="n">
        <x:v>88.26771280048115</x:v>
      </x:c>
      <x:c r="P207" s="31" t="n">
        <x:v>70.43352991494442</x:v>
      </x:c>
      <x:c r="Q207" s="31"/>
      <x:c r="R207" s="31" t="n">
        <x:v>56.02777968276808</x:v>
      </x:c>
      <x:c r="S207" s="31" t="n">
        <x:v>80.21646638568245</x:v>
      </x:c>
      <x:c r="T207" s="31" t="n">
        <x:v>79.31746722583614</x:v>
      </x:c>
      <x:c r="U207" s="31" t="n">
        <x:v>66.13766913450215</x:v>
      </x:c>
    </x:row>
    <x:row r="208">
      <x:c r="A208" s="31" t="n">
        <x:v>20.6</x:v>
      </x:c>
      <x:c r="B208" s="31" t="n">
        <x:v>53.04647660382837</x:v>
      </x:c>
      <x:c r="C208" s="31" t="n">
        <x:v>57.027183848660385</x:v>
      </x:c>
      <x:c r="D208" s="31" t="n">
        <x:v>64.21535274461773</x:v>
      </x:c>
      <x:c r="E208" s="31" t="n">
        <x:v>75.00999908877492</x:v>
      </x:c>
      <x:c r="F208" s="31" t="n">
        <x:v>52.434938766629415</x:v>
      </x:c>
      <x:c r="G208" s="31" t="n">
        <x:v>69.88671715147049</x:v>
      </x:c>
      <x:c r="H208" s="31" t="n">
        <x:v>70.05017446098891</x:v>
      </x:c>
      <x:c r="I208" s="31" t="n">
        <x:v>68.30340184487432</x:v>
      </x:c>
      <x:c r="J208" s="31"/>
      <x:c r="K208" s="31" t="n">
        <x:v>66.58399820671998</x:v>
      </x:c>
      <x:c r="L208" s="31" t="n">
        <x:v>88.73930217689949</x:v>
      </x:c>
      <x:c r="M208" s="31" t="n">
        <x:v>89.07686604373481</x:v>
      </x:c>
      <x:c r="N208" s="31" t="n">
        <x:v>50</x:v>
      </x:c>
      <x:c r="O208" s="31" t="n">
        <x:v>88.26771280048115</x:v>
      </x:c>
      <x:c r="P208" s="31" t="n">
        <x:v>69.75569220671385</x:v>
      </x:c>
      <x:c r="Q208" s="31"/>
      <x:c r="R208" s="31" t="n">
        <x:v>60.33333659903103</x:v>
      </x:c>
      <x:c r="S208" s="31" t="n">
        <x:v>85.58089184250534</x:v>
      </x:c>
      <x:c r="T208" s="31" t="n">
        <x:v>80.81288224861542</x:v>
      </x:c>
      <x:c r="U208" s="31" t="n">
        <x:v>63.941337216058585</x:v>
      </x:c>
    </x:row>
    <x:row r="209">
      <x:c r="A209" s="31" t="n">
        <x:v>20.700000000000003</x:v>
      </x:c>
      <x:c r="B209" s="31" t="n">
        <x:v>72.7971166579465</x:v>
      </x:c>
      <x:c r="C209" s="31" t="n">
        <x:v>57.02718384866076</x:v>
      </x:c>
      <x:c r="D209" s="31" t="n">
        <x:v>64.21535274461765</x:v>
      </x:c>
      <x:c r="E209" s="31" t="n">
        <x:v>68.33065429863296</x:v>
      </x:c>
      <x:c r="F209" s="31" t="n">
        <x:v>56.63705471478491</x:v>
      </x:c>
      <x:c r="G209" s="31" t="n">
        <x:v>70.4238225563828</x:v>
      </x:c>
      <x:c r="H209" s="31" t="n">
        <x:v>75.24380732902716</x:v>
      </x:c>
      <x:c r="I209" s="31" t="n">
        <x:v>80.37016543400492</x:v>
      </x:c>
      <x:c r="J209" s="31"/>
      <x:c r="K209" s="31" t="n">
        <x:v>87.46405668901083</x:v>
      </x:c>
      <x:c r="L209" s="31" t="n">
        <x:v>88.88264390267736</x:v>
      </x:c>
      <x:c r="M209" s="31" t="n">
        <x:v>81.30200115999808</x:v>
      </x:c>
      <x:c r="N209" s="31" t="n">
        <x:v>50</x:v>
      </x:c>
      <x:c r="O209" s="31" t="n">
        <x:v>78.92486725601081</x:v>
      </x:c>
      <x:c r="P209" s="31" t="n">
        <x:v>69.7556922067137</x:v>
      </x:c>
      <x:c r="Q209" s="31"/>
      <x:c r="R209" s="31" t="n">
        <x:v>64.63889351529399</x:v>
      </x:c>
      <x:c r="S209" s="31" t="n">
        <x:v>85.58089184250534</x:v>
      </x:c>
      <x:c r="T209" s="31" t="n">
        <x:v>80.94979176915491</x:v>
      </x:c>
      <x:c r="U209" s="31" t="n">
        <x:v>72.2260128729333</x:v>
      </x:c>
    </x:row>
    <x:row r="210">
      <x:c r="A210" s="31" t="n">
        <x:v>20.8</x:v>
      </x:c>
      <x:c r="B210" s="31" t="n">
        <x:v>76.7472446687693</x:v>
      </x:c>
      <x:c r="C210" s="31" t="n">
        <x:v>73.93228180607892</x:v>
      </x:c>
      <x:c r="D210" s="31" t="n">
        <x:v>62.98755721398582</x:v>
      </x:c>
      <x:c r="E210" s="31" t="n">
        <x:v>59.13415216911547</x:v>
      </x:c>
      <x:c r="F210" s="31" t="n">
        <x:v>61.21846802313986</x:v>
      </x:c>
      <x:c r="G210" s="31" t="n">
        <x:v>69.76280255192795</x:v>
      </x:c>
      <x:c r="H210" s="31" t="n">
        <x:v>75.24380732902716</x:v>
      </x:c>
      <x:c r="I210" s="31" t="n">
        <x:v>81.18112891741983</x:v>
      </x:c>
      <x:c r="J210" s="31"/>
      <x:c r="K210" s="31" t="n">
        <x:v>88.1903153252969</x:v>
      </x:c>
      <x:c r="L210" s="31" t="n">
        <x:v>88.24718261099476</x:v>
      </x:c>
      <x:c r="M210" s="31" t="n">
        <x:v>50</x:v>
      </x:c>
      <x:c r="N210" s="31" t="n">
        <x:v>73.50183840242646</x:v>
      </x:c>
      <x:c r="O210" s="31" t="n">
        <x:v>50</x:v>
      </x:c>
      <x:c r="P210" s="31" t="n">
        <x:v>80.18879294014128</x:v>
      </x:c>
      <x:c r="Q210" s="31"/>
      <x:c r="R210" s="31" t="n">
        <x:v>67.63322767224199</x:v>
      </x:c>
      <x:c r="S210" s="31" t="n">
        <x:v>81.02221290593462</x:v>
      </x:c>
      <x:c r="T210" s="31" t="n">
        <x:v>80.31834406642858</x:v>
      </x:c>
      <x:c r="U210" s="31" t="n">
        <x:v>72.49069270560048</x:v>
      </x:c>
    </x:row>
    <x:row r="211">
      <x:c r="A211" s="31" t="n">
        <x:v>20.900000000000002</x:v>
      </x:c>
      <x:c r="B211" s="31" t="n">
        <x:v>76.10963043890997</x:v>
      </x:c>
      <x:c r="C211" s="31" t="n">
        <x:v>73.93228180607892</x:v>
      </x:c>
      <x:c r="D211" s="31" t="n">
        <x:v>63.918176021866955</x:v>
      </x:c>
      <x:c r="E211" s="31" t="n">
        <x:v>63.74089647372792</x:v>
      </x:c>
      <x:c r="F211" s="31" t="n">
        <x:v>61.218468023139465</x:v>
      </x:c>
      <x:c r="G211" s="31" t="n">
        <x:v>57.825094261393</x:v>
      </x:c>
      <x:c r="H211" s="31" t="n">
        <x:v>73.12259402668117</x:v>
      </x:c>
      <x:c r="I211" s="31" t="n">
        <x:v>80.4906309308408</x:v>
      </x:c>
      <x:c r="J211" s="31"/>
      <x:c r="K211" s="31" t="n">
        <x:v>86.26715331939477</x:v>
      </x:c>
      <x:c r="L211" s="31" t="n">
        <x:v>83.02234056023339</x:v>
      </x:c>
      <x:c r="M211" s="31" t="n">
        <x:v>50</x:v>
      </x:c>
      <x:c r="N211" s="31" t="n">
        <x:v>77.25024187337456</x:v>
      </x:c>
      <x:c r="O211" s="31" t="n">
        <x:v>50</x:v>
      </x:c>
      <x:c r="P211" s="31" t="n">
        <x:v>81.7258864773641</x:v>
      </x:c>
      <x:c r="Q211" s="31"/>
      <x:c r="R211" s="31" t="n">
        <x:v>67.63322767224199</x:v>
      </x:c>
      <x:c r="S211" s="31" t="n">
        <x:v>72.37060060129164</x:v>
      </x:c>
      <x:c r="T211" s="31" t="n">
        <x:v>80.28738720389669</x:v>
      </x:c>
      <x:c r="U211" s="31" t="n">
        <x:v>74.23365569497257</x:v>
      </x:c>
    </x:row>
    <x:row r="212">
      <x:c r="A212" s="31" t="n">
        <x:v>21</x:v>
      </x:c>
      <x:c r="B212" s="31" t="n">
        <x:v>71.66633576165422</x:v>
      </x:c>
      <x:c r="C212" s="31" t="n">
        <x:v>72.574598435803</x:v>
      </x:c>
      <x:c r="D212" s="31" t="n">
        <x:v>63.918176021866955</x:v>
      </x:c>
      <x:c r="E212" s="31" t="n">
        <x:v>65.85627084085255</x:v>
      </x:c>
      <x:c r="F212" s="31" t="n">
        <x:v>50</x:v>
      </x:c>
      <x:c r="G212" s="31" t="n">
        <x:v>62.91873587164153</x:v>
      </x:c>
      <x:c r="H212" s="31" t="n">
        <x:v>65.93666429940231</x:v>
      </x:c>
      <x:c r="I212" s="31" t="n">
        <x:v>72.03693797807618</x:v>
      </x:c>
      <x:c r="J212" s="31"/>
      <x:c r="K212" s="31" t="n">
        <x:v>78.85134586177298</x:v>
      </x:c>
      <x:c r="L212" s="31" t="n">
        <x:v>78.7679210154318</x:v>
      </x:c>
      <x:c r="M212" s="31" t="n">
        <x:v>50</x:v>
      </x:c>
      <x:c r="N212" s="31" t="n">
        <x:v>77.25024187337456</x:v>
      </x:c>
      <x:c r="O212" s="31" t="n">
        <x:v>50</x:v>
      </x:c>
      <x:c r="P212" s="31" t="n">
        <x:v>81.7258864773641</x:v>
      </x:c>
      <x:c r="Q212" s="31"/>
      <x:c r="R212" s="31" t="n">
        <x:v>67.5900205950726</x:v>
      </x:c>
      <x:c r="S212" s="31" t="n">
        <x:v>65.71947076237639</x:v>
      </x:c>
      <x:c r="T212" s="31" t="n">
        <x:v>80.94269642445542</x:v>
      </x:c>
      <x:c r="U212" s="31" t="n">
        <x:v>75.15907143144966</x:v>
      </x:c>
    </x:row>
    <x:row r="213">
      <x:c r="A213" s="31" t="n">
        <x:v>21.1</x:v>
      </x:c>
      <x:c r="B213" s="31" t="n">
        <x:v>66.28270310233889</x:v>
      </x:c>
      <x:c r="C213" s="31" t="n">
        <x:v>67.23828234475614</x:v>
      </x:c>
      <x:c r="D213" s="31" t="n">
        <x:v>64.32429061158375</x:v>
      </x:c>
      <x:c r="E213" s="31" t="n">
        <x:v>65.85627084085255</x:v>
      </x:c>
      <x:c r="F213" s="31" t="n">
        <x:v>71.23838022175568</x:v>
      </x:c>
      <x:c r="G213" s="31" t="n">
        <x:v>63.107585152779905</x:v>
      </x:c>
      <x:c r="H213" s="31" t="n">
        <x:v>73.35773693890198</x:v>
      </x:c>
      <x:c r="I213" s="31" t="n">
        <x:v>70.45004732944585</x:v>
      </x:c>
      <x:c r="J213" s="31"/>
      <x:c r="K213" s="31" t="n">
        <x:v>71.39119718239691</x:v>
      </x:c>
      <x:c r="L213" s="31" t="n">
        <x:v>77.01079454358663</x:v>
      </x:c>
      <x:c r="M213" s="31" t="n">
        <x:v>55.70776700281637</x:v>
      </x:c>
      <x:c r="N213" s="31" t="n">
        <x:v>78.7534595611608</x:v>
      </x:c>
      <x:c r="O213" s="31" t="n">
        <x:v>50</x:v>
      </x:c>
      <x:c r="P213" s="31" t="n">
        <x:v>76.40427084631203</x:v>
      </x:c>
      <x:c r="Q213" s="31"/>
      <x:c r="R213" s="31" t="n">
        <x:v>68.22433077067203</x:v>
      </x:c>
      <x:c r="S213" s="31" t="n">
        <x:v>50</x:v>
      </x:c>
      <x:c r="T213" s="31" t="n">
        <x:v>92.05862200238116</x:v>
      </x:c>
      <x:c r="U213" s="31" t="n">
        <x:v>74.8852079581151</x:v>
      </x:c>
    </x:row>
    <x:row r="214">
      <x:c r="A214" s="31" t="n">
        <x:v>21.200000000000003</x:v>
      </x:c>
      <x:c r="B214" s="31" t="n">
        <x:v>65.01016794435779</x:v>
      </x:c>
      <x:c r="C214" s="31" t="n">
        <x:v>63.52059045060669</x:v>
      </x:c>
      <x:c r="D214" s="31" t="n">
        <x:v>64.88920371512924</x:v>
      </x:c>
      <x:c r="E214" s="31" t="n">
        <x:v>50</x:v>
      </x:c>
      <x:c r="F214" s="31" t="n">
        <x:v>71.23838022175568</x:v>
      </x:c>
      <x:c r="G214" s="31" t="n">
        <x:v>63.107585152779926</x:v>
      </x:c>
      <x:c r="H214" s="31" t="n">
        <x:v>75.45092401990203</x:v>
      </x:c>
      <x:c r="I214" s="31" t="n">
        <x:v>68.86315668081551</x:v>
      </x:c>
      <x:c r="J214" s="31"/>
      <x:c r="K214" s="31" t="n">
        <x:v>69.79967857409727</x:v>
      </x:c>
      <x:c r="L214" s="31" t="n">
        <x:v>76.02599316129188</x:v>
      </x:c>
      <x:c r="M214" s="31" t="n">
        <x:v>65.22071200751009</x:v>
      </x:c>
      <x:c r="N214" s="31" t="n">
        <x:v>79.34338159194422</x:v>
      </x:c>
      <x:c r="O214" s="31" t="n">
        <x:v>88.92833870821207</x:v>
      </x:c>
      <x:c r="P214" s="31" t="n">
        <x:v>70.21300494556226</x:v>
      </x:c>
      <x:c r="Q214" s="31"/>
      <x:c r="R214" s="31" t="n">
        <x:v>68.49293581758566</x:v>
      </x:c>
      <x:c r="S214" s="31" t="n">
        <x:v>69.79736915869783</x:v>
      </x:c>
      <x:c r="T214" s="31" t="n">
        <x:v>94.7790368541923</x:v>
      </x:c>
      <x:c r="U214" s="31" t="n">
        <x:v>74.8852079581151</x:v>
      </x:c>
    </x:row>
    <x:row r="215">
      <x:c r="A215" s="31" t="n">
        <x:v>21.3</x:v>
      </x:c>
      <x:c r="B215" s="31" t="n">
        <x:v>65.16821681891327</x:v>
      </x:c>
      <x:c r="C215" s="31" t="n">
        <x:v>64.32232466633252</x:v>
      </x:c>
      <x:c r="D215" s="31" t="n">
        <x:v>64.88920371512924</x:v>
      </x:c>
      <x:c r="E215" s="31" t="n">
        <x:v>74.9230474134032</x:v>
      </x:c>
      <x:c r="F215" s="31" t="n">
        <x:v>64.79706865367714</x:v>
      </x:c>
      <x:c r="G215" s="31" t="n">
        <x:v>63.818295650155584</x:v>
      </x:c>
      <x:c r="H215" s="31" t="n">
        <x:v>75.45092401990203</x:v>
      </x:c>
      <x:c r="I215" s="31" t="n">
        <x:v>67.27626603218522</x:v>
      </x:c>
      <x:c r="J215" s="31"/>
      <x:c r="K215" s="31" t="n">
        <x:v>69.56373401932791</x:v>
      </x:c>
      <x:c r="L215" s="31" t="n">
        <x:v>74.06256642529317</x:v>
      </x:c>
      <x:c r="M215" s="31" t="n">
        <x:v>89.21015891454317</x:v>
      </x:c>
      <x:c r="N215" s="31" t="n">
        <x:v>79.34338159194422</x:v>
      </x:c>
      <x:c r="O215" s="31" t="n">
        <x:v>88.92833870821207</x:v>
      </x:c>
      <x:c r="P215" s="31" t="n">
        <x:v>67.87334507585335</x:v>
      </x:c>
      <x:c r="Q215" s="31"/>
      <x:c r="R215" s="31" t="n">
        <x:v>68.59006714296751</x:v>
      </x:c>
      <x:c r="S215" s="31" t="n">
        <x:v>72.98463071659808</x:v>
      </x:c>
      <x:c r="T215" s="31" t="n">
        <x:v>94.7790368541923</x:v>
      </x:c>
      <x:c r="U215" s="31" t="n">
        <x:v>74.65099913500202</x:v>
      </x:c>
    </x:row>
    <x:row r="216">
      <x:c r="A216" s="31" t="n">
        <x:v>21.400000000000002</x:v>
      </x:c>
      <x:c r="B216" s="31" t="n">
        <x:v>66.5278058569782</x:v>
      </x:c>
      <x:c r="C216" s="31" t="n">
        <x:v>67.88696650356351</x:v>
      </x:c>
      <x:c r="D216" s="31" t="n">
        <x:v>64.52299065332437</x:v>
      </x:c>
      <x:c r="E216" s="31" t="n">
        <x:v>75.49082722146366</x:v>
      </x:c>
      <x:c r="F216" s="31" t="n">
        <x:v>54.43109555798162</x:v>
      </x:c>
      <x:c r="G216" s="31" t="n">
        <x:v>63.81829565015561</x:v>
      </x:c>
      <x:c r="H216" s="31" t="n">
        <x:v>75.87502103496794</x:v>
      </x:c>
      <x:c r="I216" s="31" t="n">
        <x:v>66.32413164300705</x:v>
      </x:c>
      <x:c r="J216" s="31"/>
      <x:c r="K216" s="31" t="n">
        <x:v>67.38906390877163</x:v>
      </x:c>
      <x:c r="L216" s="31" t="n">
        <x:v>75.04149481970508</x:v>
      </x:c>
      <x:c r="M216" s="31" t="n">
        <x:v>89.8443715618713</x:v>
      </x:c>
      <x:c r="N216" s="31" t="n">
        <x:v>79.99085132683228</x:v>
      </x:c>
      <x:c r="O216" s="31" t="n">
        <x:v>87.68447612090596</x:v>
      </x:c>
      <x:c r="P216" s="31" t="n">
        <x:v>66.211122556145</x:v>
      </x:c>
      <x:c r="Q216" s="31"/>
      <x:c r="R216" s="31" t="n">
        <x:v>68.59006714296751</x:v>
      </x:c>
      <x:c r="S216" s="31" t="n">
        <x:v>78.18594074561244</x:v>
      </x:c>
      <x:c r="T216" s="31" t="n">
        <x:v>89.37649864770977</x:v>
      </x:c>
      <x:c r="U216" s="31" t="n">
        <x:v>83.76070600418322</x:v>
      </x:c>
    </x:row>
    <x:row r="217">
      <x:c r="A217" s="31" t="n">
        <x:v>21.5</x:v>
      </x:c>
      <x:c r="B217" s="31" t="n">
        <x:v>66.79972366459118</x:v>
      </x:c>
      <x:c r="C217" s="31" t="n">
        <x:v>67.88696650356351</x:v>
      </x:c>
      <x:c r="D217" s="31" t="n">
        <x:v>64.52299065332437</x:v>
      </x:c>
      <x:c r="E217" s="31" t="n">
        <x:v>75.14000133066529</x:v>
      </x:c>
      <x:c r="F217" s="31" t="n">
        <x:v>64.33325010851442</x:v>
      </x:c>
      <x:c r="G217" s="31" t="n">
        <x:v>63.98025607125732</x:v>
      </x:c>
      <x:c r="H217" s="31" t="n">
        <x:v>77.27469675879794</x:v>
      </x:c>
      <x:c r="I217" s="31" t="n">
        <x:v>72.8951892839408</x:v>
      </x:c>
      <x:c r="J217" s="31"/>
      <x:c r="K217" s="31" t="n">
        <x:v>76.23224799183629</x:v>
      </x:c>
      <x:c r="L217" s="31" t="n">
        <x:v>76.67283034444955</x:v>
      </x:c>
      <x:c r="M217" s="31" t="n">
        <x:v>89.30901788982854</x:v>
      </x:c>
      <x:c r="N217" s="31" t="n">
        <x:v>79.99085132683228</x:v>
      </x:c>
      <x:c r="O217" s="31" t="n">
        <x:v>85.17698704316118</x:v>
      </x:c>
      <x:c r="P217" s="31" t="n">
        <x:v>68.69707496281478</x:v>
      </x:c>
      <x:c r="Q217" s="31"/>
      <x:c r="R217" s="31" t="n">
        <x:v>68.71903366661826</x:v>
      </x:c>
      <x:c r="S217" s="31" t="n">
        <x:v>78.18594074561244</x:v>
      </x:c>
      <x:c r="T217" s="31" t="n">
        <x:v>85.34055919856534</x:v>
      </x:c>
      <x:c r="U217" s="31" t="n">
        <x:v>89.22653012569174</x:v>
      </x:c>
    </x:row>
    <x:row r="218">
      <x:c r="A218" s="31" t="n">
        <x:v>21.6</x:v>
      </x:c>
      <x:c r="B218" s="31" t="n">
        <x:v>65.77886433800839</x:v>
      </x:c>
      <x:c r="C218" s="31" t="n">
        <x:v>67.58024171866154</x:v>
      </x:c>
      <x:c r="D218" s="31" t="n">
        <x:v>63.999969218504624</x:v>
      </x:c>
      <x:c r="E218" s="31" t="n">
        <x:v>56.588359774029605</x:v>
      </x:c>
      <x:c r="F218" s="31" t="n">
        <x:v>66.52624797767103</x:v>
      </x:c>
      <x:c r="G218" s="31" t="n">
        <x:v>63.3981327419232</x:v>
      </x:c>
      <x:c r="H218" s="31" t="n">
        <x:v>77.27469675879794</x:v>
      </x:c>
      <x:c r="I218" s="31" t="n">
        <x:v>72.8951892839408</x:v>
      </x:c>
      <x:c r="J218" s="31"/>
      <x:c r="K218" s="31" t="n">
        <x:v>76.23224799183629</x:v>
      </x:c>
      <x:c r="L218" s="31" t="n">
        <x:v>78.32467140648257</x:v>
      </x:c>
      <x:c r="M218" s="31" t="n">
        <x:v>81.5008135548579</x:v>
      </x:c>
      <x:c r="N218" s="31" t="n">
        <x:v>80.66333871305596</x:v>
      </x:c>
      <x:c r="O218" s="31" t="n">
        <x:v>79.11992032435617</x:v>
      </x:c>
      <x:c r="P218" s="31" t="n">
        <x:v>68.69707496281478</x:v>
      </x:c>
      <x:c r="Q218" s="31"/>
      <x:c r="R218" s="31" t="n">
        <x:v>68.71903366661826</x:v>
      </x:c>
      <x:c r="S218" s="31" t="n">
        <x:v>92.11323514892749</x:v>
      </x:c>
      <x:c r="T218" s="31" t="n">
        <x:v>82.65779850197114</x:v>
      </x:c>
      <x:c r="U218" s="31" t="n">
        <x:v>89.22653012569174</x:v>
      </x:c>
    </x:row>
    <x:row r="219">
      <x:c r="A219" s="31" t="n">
        <x:v>21.700000000000003</x:v>
      </x:c>
      <x:c r="B219" s="31" t="n">
        <x:v>67.49482041169335</x:v>
      </x:c>
      <x:c r="C219" s="31" t="n">
        <x:v>68.13715742703755</x:v>
      </x:c>
      <x:c r="D219" s="31" t="n">
        <x:v>63.36557864338507</x:v>
      </x:c>
      <x:c r="E219" s="31" t="n">
        <x:v>59.80330471345377</x:v>
      </x:c>
      <x:c r="F219" s="31" t="n">
        <x:v>66.52624797767103</x:v>
      </x:c>
      <x:c r="G219" s="31" t="n">
        <x:v>65.0129977341507</x:v>
      </x:c>
      <x:c r="H219" s="31" t="n">
        <x:v>75.34876992812343</x:v>
      </x:c>
      <x:c r="I219" s="31" t="n">
        <x:v>71.59874323374437</x:v>
      </x:c>
      <x:c r="J219" s="31"/>
      <x:c r="K219" s="31" t="n">
        <x:v>61.46207603033822</x:v>
      </x:c>
      <x:c r="L219" s="31" t="n">
        <x:v>78.32467140648257</x:v>
      </x:c>
      <x:c r="M219" s="31" t="n">
        <x:v>81.27129800368564</x:v>
      </x:c>
      <x:c r="N219" s="31" t="n">
        <x:v>80.45234632645345</x:v>
      </x:c>
      <x:c r="O219" s="31" t="n">
        <x:v>76.98248141814445</x:v>
      </x:c>
      <x:c r="P219" s="31" t="n">
        <x:v>67.345980862028</x:v>
      </x:c>
      <x:c r="Q219" s="31"/>
      <x:c r="R219" s="31" t="n">
        <x:v>70.30770347179586</x:v>
      </x:c>
      <x:c r="S219" s="31" t="n">
        <x:v>94.22019168596665</x:v>
      </x:c>
      <x:c r="T219" s="31" t="n">
        <x:v>81.45350748399912</x:v>
      </x:c>
      <x:c r="U219" s="31" t="n">
        <x:v>79.26210359676837</x:v>
      </x:c>
    </x:row>
    <x:row r="220">
      <x:c r="A220" s="31" t="n">
        <x:v>21.8</x:v>
      </x:c>
      <x:c r="B220" s="31" t="n">
        <x:v>67.49482041169335</x:v>
      </x:c>
      <x:c r="C220" s="31" t="n">
        <x:v>68.45738770831619</x:v>
      </x:c>
      <x:c r="D220" s="31" t="n">
        <x:v>58.25451719913262</x:v>
      </x:c>
      <x:c r="E220" s="31" t="n">
        <x:v>67.29054678136421</x:v>
      </x:c>
      <x:c r="F220" s="31" t="n">
        <x:v>65.77191832934258</x:v>
      </x:c>
      <x:c r="G220" s="31" t="n">
        <x:v>65.0129977341507</x:v>
      </x:c>
      <x:c r="H220" s="31" t="n">
        <x:v>75.34876992812343</x:v>
      </x:c>
      <x:c r="I220" s="31" t="n">
        <x:v>68.1372251265108</x:v>
      </x:c>
      <x:c r="J220" s="31"/>
      <x:c r="K220" s="31" t="n">
        <x:v>63.98422419994067</x:v>
      </x:c>
      <x:c r="L220" s="31" t="n">
        <x:v>78.24711301089323</x:v>
      </x:c>
      <x:c r="M220" s="31" t="n">
        <x:v>81.20488889569705</x:v>
      </x:c>
      <x:c r="N220" s="31" t="n">
        <x:v>80.45234632645345</x:v>
      </x:c>
      <x:c r="O220" s="31" t="n">
        <x:v>76.57324481675488</x:v>
      </x:c>
      <x:c r="P220" s="31" t="n">
        <x:v>68.29922846367676</x:v>
      </x:c>
      <x:c r="Q220" s="31"/>
      <x:c r="R220" s="31" t="n">
        <x:v>70.42290902775832</x:v>
      </x:c>
      <x:c r="S220" s="31" t="n">
        <x:v>94.22019168596665</x:v>
      </x:c>
      <x:c r="T220" s="31" t="n">
        <x:v>78.11946509980277</x:v>
      </x:c>
      <x:c r="U220" s="31" t="n">
        <x:v>76.9018418560835</x:v>
      </x:c>
    </x:row>
    <x:row r="221">
      <x:c r="A221" s="31" t="n">
        <x:v>21.900000000000002</x:v>
      </x:c>
      <x:c r="B221" s="31" t="n">
        <x:v>66.35451137128405</x:v>
      </x:c>
      <x:c r="C221" s="31" t="n">
        <x:v>68.3714150462289</x:v>
      </x:c>
      <x:c r="D221" s="31" t="n">
        <x:v>75.81812180214523</x:v>
      </x:c>
      <x:c r="E221" s="31" t="n">
        <x:v>67.63587586437883</x:v>
      </x:c>
      <x:c r="F221" s="31" t="n">
        <x:v>66.03845330445463</x:v>
      </x:c>
      <x:c r="G221" s="31" t="n">
        <x:v>66.49582174431858</x:v>
      </x:c>
      <x:c r="H221" s="31" t="n">
        <x:v>75.51643357307523</x:v>
      </x:c>
      <x:c r="I221" s="31" t="n">
        <x:v>66.91615590673808</x:v>
      </x:c>
      <x:c r="J221" s="31"/>
      <x:c r="K221" s="31" t="n">
        <x:v>67.6868762184779</x:v>
      </x:c>
      <x:c r="L221" s="31" t="n">
        <x:v>77.50470850163686</x:v>
      </x:c>
      <x:c r="M221" s="31" t="n">
        <x:v>81.03360255841216</x:v>
      </x:c>
      <x:c r="N221" s="31" t="n">
        <x:v>80.90675742431381</x:v>
      </x:c>
      <x:c r="O221" s="31" t="n">
        <x:v>76.57324481675471</x:v>
      </x:c>
      <x:c r="P221" s="31" t="n">
        <x:v>68.55813745357065</x:v>
      </x:c>
      <x:c r="Q221" s="31"/>
      <x:c r="R221" s="31" t="n">
        <x:v>78.37177265694045</x:v>
      </x:c>
      <x:c r="S221" s="31" t="n">
        <x:v>88.04281254356913</x:v>
      </x:c>
      <x:c r="T221" s="31" t="n">
        <x:v>88.32487797795865</x:v>
      </x:c>
      <x:c r="U221" s="31" t="n">
        <x:v>73.41129833799425</x:v>
      </x:c>
    </x:row>
    <x:row r="222">
      <x:c r="A222" s="31" t="n">
        <x:v>22</x:v>
      </x:c>
      <x:c r="B222" s="31" t="n">
        <x:v>66.30262520798827</x:v>
      </x:c>
      <x:c r="C222" s="31" t="n">
        <x:v>66.06964918772334</x:v>
      </x:c>
      <x:c r="D222" s="31" t="n">
        <x:v>76.91561935932825</x:v>
      </x:c>
      <x:c r="E222" s="31" t="n">
        <x:v>68.6364797238381</x:v>
      </x:c>
      <x:c r="F222" s="31" t="n">
        <x:v>66.03845330445463</x:v>
      </x:c>
      <x:c r="G222" s="31" t="n">
        <x:v>73.63493799223038</x:v>
      </x:c>
      <x:c r="H222" s="31" t="n">
        <x:v>74.67655398232168</x:v>
      </x:c>
      <x:c r="I222" s="31" t="n">
        <x:v>69.65096179869533</x:v>
      </x:c>
      <x:c r="J222" s="31"/>
      <x:c r="K222" s="31" t="n">
        <x:v>67.6868762184779</x:v>
      </x:c>
      <x:c r="L222" s="31" t="n">
        <x:v>74.89923680944227</x:v>
      </x:c>
      <x:c r="M222" s="31" t="n">
        <x:v>82.17453615091392</x:v>
      </x:c>
      <x:c r="N222" s="31" t="n">
        <x:v>81.4415961455749</x:v>
      </x:c>
      <x:c r="O222" s="31" t="n">
        <x:v>75.24199649084487</x:v>
      </x:c>
      <x:c r="P222" s="31" t="n">
        <x:v>67.54951644421304</x:v>
      </x:c>
      <x:c r="Q222" s="31"/>
      <x:c r="R222" s="31" t="n">
        <x:v>83.32089626339233</x:v>
      </x:c>
      <x:c r="S222" s="31" t="n">
        <x:v>84.54987951244614</x:v>
      </x:c>
      <x:c r="T222" s="31" t="n">
        <x:v>88.32487797795865</x:v>
      </x:c>
      <x:c r="U222" s="31" t="n">
        <x:v>73.41129833799425</x:v>
      </x:c>
    </x:row>
    <x:row r="223">
      <x:c r="A223" s="31" t="n">
        <x:v>22.1</x:v>
      </x:c>
      <x:c r="B223" s="31" t="n">
        <x:v>92.55785977325836</x:v>
      </x:c>
      <x:c r="C223" s="31" t="n">
        <x:v>89.96061334693073</x:v>
      </x:c>
      <x:c r="D223" s="31" t="n">
        <x:v>76.91561935932825</x:v>
      </x:c>
      <x:c r="E223" s="31" t="n">
        <x:v>68.6364797238381</x:v>
      </x:c>
      <x:c r="F223" s="31" t="n">
        <x:v>66.08776775174302</x:v>
      </x:c>
      <x:c r="G223" s="31" t="n">
        <x:v>73.63493799223038</x:v>
      </x:c>
      <x:c r="H223" s="31" t="n">
        <x:v>78.89564871591068</x:v>
      </x:c>
      <x:c r="I223" s="31" t="n">
        <x:v>69.65096179869533</x:v>
      </x:c>
      <x:c r="J223" s="31"/>
      <x:c r="K223" s="31" t="n">
        <x:v>65.46761069547162</x:v>
      </x:c>
      <x:c r="L223" s="31" t="n">
        <x:v>72.86616031395172</x:v>
      </x:c>
      <x:c r="M223" s="31" t="n">
        <x:v>82.17453615091392</x:v>
      </x:c>
      <x:c r="N223" s="31" t="n">
        <x:v>84.11578975188044</x:v>
      </x:c>
      <x:c r="O223" s="31" t="n">
        <x:v>77.13953324088047</x:v>
      </x:c>
      <x:c r="P223" s="31" t="n">
        <x:v>79.38726564291862</x:v>
      </x:c>
      <x:c r="Q223" s="31"/>
      <x:c r="R223" s="31" t="n">
        <x:v>83.32089626339233</x:v>
      </x:c>
      <x:c r="S223" s="31" t="n">
        <x:v>79.39363405018534</x:v>
      </x:c>
      <x:c r="T223" s="31" t="n">
        <x:v>85.79931410807987</x:v>
      </x:c>
      <x:c r="U223" s="31" t="n">
        <x:v>50</x:v>
      </x:c>
    </x:row>
    <x:row r="224">
      <x:c r="A224" s="31" t="n">
        <x:v>22.200000000000003</x:v>
      </x:c>
      <x:c r="B224" s="31" t="n">
        <x:v>92.55785977325836</x:v>
      </x:c>
      <x:c r="C224" s="31" t="n">
        <x:v>89.96061334693073</x:v>
      </x:c>
      <x:c r="D224" s="31" t="n">
        <x:v>68.18885767537674</x:v>
      </x:c>
      <x:c r="E224" s="31" t="n">
        <x:v>67.57547130688236</x:v>
      </x:c>
      <x:c r="F224" s="31" t="n">
        <x:v>67.88896359764045</x:v>
      </x:c>
      <x:c r="G224" s="31" t="n">
        <x:v>64.38927033050426</x:v>
      </x:c>
      <x:c r="H224" s="31" t="n">
        <x:v>85.25354145715954</x:v>
      </x:c>
      <x:c r="I224" s="31" t="n">
        <x:v>69.7413994251584</x:v>
      </x:c>
      <x:c r="J224" s="31"/>
      <x:c r="K224" s="31" t="n">
        <x:v>86.33327513400884</x:v>
      </x:c>
      <x:c r="L224" s="31" t="n">
        <x:v>68.40148748327404</x:v>
      </x:c>
      <x:c r="M224" s="31" t="n">
        <x:v>81.29069054281005</x:v>
      </x:c>
      <x:c r="N224" s="31" t="n">
        <x:v>86.78998335818599</x:v>
      </x:c>
      <x:c r="O224" s="31" t="n">
        <x:v>84.01260524892699</x:v>
      </x:c>
      <x:c r="P224" s="31" t="n">
        <x:v>79.38726564291862</x:v>
      </x:c>
      <x:c r="Q224" s="31"/>
      <x:c r="R224" s="31" t="n">
        <x:v>76.90191108943705</x:v>
      </x:c>
      <x:c r="S224" s="31" t="n">
        <x:v>77.71740472116352</x:v>
      </x:c>
      <x:c r="T224" s="31" t="n">
        <x:v>50</x:v>
      </x:c>
      <x:c r="U224" s="31" t="n">
        <x:v>50</x:v>
      </x:c>
    </x:row>
    <x:row r="225">
      <x:c r="A225" s="31" t="n">
        <x:v>22.3</x:v>
      </x:c>
      <x:c r="B225" s="31" t="n">
        <x:v>86.89453217348802</x:v>
      </x:c>
      <x:c r="C225" s="31" t="n">
        <x:v>84.94882942501914</x:v>
      </x:c>
      <x:c r="D225" s="31" t="n">
        <x:v>56.74123332374528</x:v>
      </x:c>
      <x:c r="E225" s="31" t="n">
        <x:v>69.32459722564305</x:v>
      </x:c>
      <x:c r="F225" s="31" t="n">
        <x:v>67.88896359764045</x:v>
      </x:c>
      <x:c r="G225" s="31" t="n">
        <x:v>50</x:v>
      </x:c>
      <x:c r="H225" s="31" t="n">
        <x:v>85.25354145715954</x:v>
      </x:c>
      <x:c r="I225" s="31" t="n">
        <x:v>69.44671206755098</x:v>
      </x:c>
      <x:c r="J225" s="31"/>
      <x:c r="K225" s="31" t="n">
        <x:v>88.22134993777617</x:v>
      </x:c>
      <x:c r="L225" s="31" t="n">
        <x:v>89.08234411670256</x:v>
      </x:c>
      <x:c r="M225" s="31" t="n">
        <x:v>81.55735203270442</x:v>
      </x:c>
      <x:c r="N225" s="31" t="n">
        <x:v>89.46417696449144</x:v>
      </x:c>
      <x:c r="O225" s="31" t="n">
        <x:v>90.296125863004</x:v>
      </x:c>
      <x:c r="P225" s="31" t="n">
        <x:v>77.0655007703491</x:v>
      </x:c>
      <x:c r="Q225" s="31"/>
      <x:c r="R225" s="31" t="n">
        <x:v>66.24537322693583</x:v>
      </x:c>
      <x:c r="S225" s="31" t="n">
        <x:v>75.28731686617469</x:v>
      </x:c>
      <x:c r="T225" s="31" t="n">
        <x:v>50</x:v>
      </x:c>
      <x:c r="U225" s="31" t="n">
        <x:v>50</x:v>
      </x:c>
    </x:row>
    <x:row r="226">
      <x:c r="A226" s="31" t="n">
        <x:v>22.400000000000002</x:v>
      </x:c>
      <x:c r="B226" s="31" t="n">
        <x:v>78.66257558779812</x:v>
      </x:c>
      <x:c r="C226" s="31" t="n">
        <x:v>76.31901016804001</x:v>
      </x:c>
      <x:c r="D226" s="31" t="n">
        <x:v>53.27974438829223</x:v>
      </x:c>
      <x:c r="E226" s="31" t="n">
        <x:v>69.32459722564305</x:v>
      </x:c>
      <x:c r="F226" s="31" t="n">
        <x:v>67.6447631934832</x:v>
      </x:c>
      <x:c r="G226" s="31" t="n">
        <x:v>50</x:v>
      </x:c>
      <x:c r="H226" s="31" t="n">
        <x:v>76.25026192404464</x:v>
      </x:c>
      <x:c r="I226" s="31" t="n">
        <x:v>69.69659441128927</x:v>
      </x:c>
      <x:c r="J226" s="31"/>
      <x:c r="K226" s="31" t="n">
        <x:v>88.22134993777576</x:v>
      </x:c>
      <x:c r="L226" s="31" t="n">
        <x:v>89.08234411670256</x:v>
      </x:c>
      <x:c r="M226" s="31" t="n">
        <x:v>81.48474034972509</x:v>
      </x:c>
      <x:c r="N226" s="31" t="n">
        <x:v>89.46417696449144</x:v>
      </x:c>
      <x:c r="O226" s="31" t="n">
        <x:v>90.296125863004</x:v>
      </x:c>
      <x:c r="P226" s="31" t="n">
        <x:v>65.46458796400884</x:v>
      </x:c>
      <x:c r="Q226" s="31"/>
      <x:c r="R226" s="31" t="n">
        <x:v>50</x:v>
      </x:c>
      <x:c r="S226" s="31" t="n">
        <x:v>75.24614396230584</x:v>
      </x:c>
      <x:c r="T226" s="31" t="n">
        <x:v>50</x:v>
      </x:c>
      <x:c r="U226" s="31" t="n">
        <x:v>71.04858741756804</x:v>
      </x:c>
    </x:row>
    <x:row r="227">
      <x:c r="A227" s="31" t="n">
        <x:v>22.5</x:v>
      </x:c>
      <x:c r="B227" s="31" t="n">
        <x:v>74.2180390796365</x:v>
      </x:c>
      <x:c r="C227" s="31" t="n">
        <x:v>73.32889482502111</x:v>
      </x:c>
      <x:c r="D227" s="31" t="n">
        <x:v>52.00948187965551</x:v>
      </x:c>
      <x:c r="E227" s="31" t="n">
        <x:v>69.28926785426876</x:v>
      </x:c>
      <x:c r="F227" s="31" t="n">
        <x:v>84.11706398640453</x:v>
      </x:c>
      <x:c r="G227" s="31" t="n">
        <x:v>50</x:v>
      </x:c>
      <x:c r="H227" s="31" t="n">
        <x:v>67.72502961449996</x:v>
      </x:c>
      <x:c r="I227" s="31" t="n">
        <x:v>70.66831725014465</x:v>
      </x:c>
      <x:c r="J227" s="31"/>
      <x:c r="K227" s="31" t="n">
        <x:v>78.336228554216</x:v>
      </x:c>
      <x:c r="L227" s="31" t="n">
        <x:v>84.4807987974628</x:v>
      </x:c>
      <x:c r="M227" s="31" t="n">
        <x:v>81.06508513963209</x:v>
      </x:c>
      <x:c r="N227" s="31" t="n">
        <x:v>84.9981045074987</x:v>
      </x:c>
      <x:c r="O227" s="31" t="n">
        <x:v>83.1878304676959</x:v>
      </x:c>
      <x:c r="P227" s="31" t="n">
        <x:v>50</x:v>
      </x:c>
      <x:c r="Q227" s="31"/>
      <x:c r="R227" s="31" t="n">
        <x:v>50</x:v>
      </x:c>
      <x:c r="S227" s="31" t="n">
        <x:v>89.40477651170482</x:v>
      </x:c>
      <x:c r="T227" s="31" t="n">
        <x:v>50</x:v>
      </x:c>
      <x:c r="U227" s="31" t="n">
        <x:v>82.53447250543303</x:v>
      </x:c>
    </x:row>
    <x:row r="228">
      <x:c r="A228" s="31" t="n">
        <x:v>22.6</x:v>
      </x:c>
      <x:c r="B228" s="31" t="n">
        <x:v>72.5862776234733</x:v>
      </x:c>
      <x:c r="C228" s="31" t="n">
        <x:v>72.75545645970786</x:v>
      </x:c>
      <x:c r="D228" s="31" t="n">
        <x:v>55.35861834574814</x:v>
      </x:c>
      <x:c r="E228" s="31" t="n">
        <x:v>72.3394680386157</x:v>
      </x:c>
      <x:c r="F228" s="31" t="n">
        <x:v>87.30851509488022</x:v>
      </x:c>
      <x:c r="G228" s="31" t="n">
        <x:v>58.8820941219373</x:v>
      </x:c>
      <x:c r="H228" s="31" t="n">
        <x:v>50</x:v>
      </x:c>
      <x:c r="I228" s="31" t="n">
        <x:v>70.53984870567</x:v>
      </x:c>
      <x:c r="J228" s="31"/>
      <x:c r="K228" s="31" t="n">
        <x:v>71.77785915494736</x:v>
      </x:c>
      <x:c r="L228" s="31" t="n">
        <x:v>75.9174913136067</x:v>
      </x:c>
      <x:c r="M228" s="31" t="n">
        <x:v>81.06508513963209</x:v>
      </x:c>
      <x:c r="N228" s="31" t="n">
        <x:v>72.72485771594444</x:v>
      </x:c>
      <x:c r="O228" s="31" t="n">
        <x:v>68.38546521871447</x:v>
      </x:c>
      <x:c r="P228" s="31" t="n">
        <x:v>50</x:v>
      </x:c>
      <x:c r="Q228" s="31"/>
      <x:c r="R228" s="31" t="n">
        <x:v>50</x:v>
      </x:c>
      <x:c r="S228" s="31" t="n">
        <x:v>89.40477651170482</x:v>
      </x:c>
      <x:c r="T228" s="31" t="n">
        <x:v>50</x:v>
      </x:c>
      <x:c r="U228" s="31" t="n">
        <x:v>84.50736971761407</x:v>
      </x:c>
    </x:row>
    <x:row r="229">
      <x:c r="A229" s="31" t="n">
        <x:v>22.700000000000003</x:v>
      </x:c>
      <x:c r="B229" s="31" t="n">
        <x:v>71.1367594633625</x:v>
      </x:c>
      <x:c r="C229" s="31" t="n">
        <x:v>64.6821486590956</x:v>
      </x:c>
      <x:c r="D229" s="31" t="n">
        <x:v>58.70775481184077</x:v>
      </x:c>
      <x:c r="E229" s="31" t="n">
        <x:v>73.92632406283744</x:v>
      </x:c>
      <x:c r="F229" s="31" t="n">
        <x:v>87.30851509488022</x:v>
      </x:c>
      <x:c r="G229" s="31" t="n">
        <x:v>62.43493177071209</x:v>
      </x:c>
      <x:c r="H229" s="31" t="n">
        <x:v>57.5106969892237</x:v>
      </x:c>
      <x:c r="I229" s="31" t="n">
        <x:v>70.30624598365691</x:v>
      </x:c>
      <x:c r="J229" s="31"/>
      <x:c r="K229" s="31" t="n">
        <x:v>68.63515884154444</x:v>
      </x:c>
      <x:c r="L229" s="31" t="n">
        <x:v>69.860834581827</x:v>
      </x:c>
      <x:c r="M229" s="31" t="n">
        <x:v>79.51389719707637</x:v>
      </x:c>
      <x:c r="N229" s="31" t="n">
        <x:v>50</x:v>
      </x:c>
      <x:c r="O229" s="31" t="n">
        <x:v>50</x:v>
      </x:c>
      <x:c r="P229" s="31" t="n">
        <x:v>50</x:v>
      </x:c>
      <x:c r="Q229" s="31"/>
      <x:c r="R229" s="31" t="n">
        <x:v>82.34061931348765</x:v>
      </x:c>
      <x:c r="S229" s="31" t="n">
        <x:v>85.98102661707324</x:v>
      </x:c>
      <x:c r="T229" s="31" t="n">
        <x:v>76.20876132997795</x:v>
      </x:c>
      <x:c r="U229" s="31" t="n">
        <x:v>84.50736971761386</x:v>
      </x:c>
    </x:row>
    <x:row r="230">
      <x:c r="A230" s="31" t="n">
        <x:v>22.8</x:v>
      </x:c>
      <x:c r="B230" s="31" t="n">
        <x:v>68.14361444710359</x:v>
      </x:c>
      <x:c r="C230" s="31" t="n">
        <x:v>64.6821486590956</x:v>
      </x:c>
      <x:c r="D230" s="31" t="n">
        <x:v>60.717236691496275</x:v>
      </x:c>
      <x:c r="E230" s="31" t="n">
        <x:v>81.07899574449812</x:v>
      </x:c>
      <x:c r="F230" s="31" t="n">
        <x:v>77.38007125840983</x:v>
      </x:c>
      <x:c r="G230" s="31" t="n">
        <x:v>67.19056714284184</x:v>
      </x:c>
      <x:c r="H230" s="31" t="n">
        <x:v>65.02139397844714</x:v>
      </x:c>
      <x:c r="I230" s="31" t="n">
        <x:v>67.0757879933964</x:v>
      </x:c>
      <x:c r="J230" s="31"/>
      <x:c r="K230" s="31" t="n">
        <x:v>67.90974449674759</x:v>
      </x:c>
      <x:c r="L230" s="31" t="n">
        <x:v>51.92228353876546</x:v>
      </x:c>
      <x:c r="M230" s="31" t="n">
        <x:v>76.83078230768224</x:v>
      </x:c>
      <x:c r="N230" s="31" t="n">
        <x:v>50</x:v>
      </x:c>
      <x:c r="O230" s="31" t="n">
        <x:v>50</x:v>
      </x:c>
      <x:c r="P230" s="31" t="n">
        <x:v>50</x:v>
      </x:c>
      <x:c r="Q230" s="31"/>
      <x:c r="R230" s="31" t="n">
        <x:v>82.57112288485762</x:v>
      </x:c>
      <x:c r="S230" s="31" t="n">
        <x:v>76.66382632577107</x:v>
      </x:c>
      <x:c r="T230" s="31" t="n">
        <x:v>77.36847300449024</x:v>
      </x:c>
      <x:c r="U230" s="31" t="n">
        <x:v>73.7693537144686</x:v>
      </x:c>
    </x:row>
    <x:row r="231">
      <x:c r="A231" s="31" t="n">
        <x:v>22.900000000000002</x:v>
      </x:c>
      <x:c r="B231" s="31" t="n">
        <x:v>64.75613738225312</x:v>
      </x:c>
      <x:c r="C231" s="31" t="n">
        <x:v>60.19864100028619</x:v>
      </x:c>
      <x:c r="D231" s="31" t="n">
        <x:v>60.7172366914966</x:v>
      </x:c>
      <x:c r="E231" s="31" t="n">
        <x:v>81.07899574449812</x:v>
      </x:c>
      <x:c r="F231" s="31" t="n">
        <x:v>71.4321920628014</x:v>
      </x:c>
      <x:c r="G231" s="31" t="n">
        <x:v>69.5269834975916</x:v>
      </x:c>
      <x:c r="H231" s="31" t="n">
        <x:v>68.02567277413651</x:v>
      </x:c>
      <x:c r="I231" s="31" t="n">
        <x:v>75.76363976808439</x:v>
      </x:c>
      <x:c r="J231" s="31"/>
      <x:c r="K231" s="31" t="n">
        <x:v>66.91860293975833</x:v>
      </x:c>
      <x:c r="L231" s="31" t="n">
        <x:v>56.7279923856793</x:v>
      </x:c>
      <x:c r="M231" s="31" t="n">
        <x:v>89.22417851846366</x:v>
      </x:c>
      <x:c r="N231" s="31" t="n">
        <x:v>50</x:v>
      </x:c>
      <x:c r="O231" s="31" t="n">
        <x:v>84.53820294489277</x:v>
      </x:c>
      <x:c r="P231" s="31" t="n">
        <x:v>75.59663116248018</x:v>
      </x:c>
      <x:c r="Q231" s="31"/>
      <x:c r="R231" s="31" t="n">
        <x:v>80.8580027346997</x:v>
      </x:c>
      <x:c r="S231" s="31" t="n">
        <x:v>68.76913952290694</x:v>
      </x:c>
      <x:c r="T231" s="31" t="n">
        <x:v>77.36847300449024</x:v>
      </x:c>
      <x:c r="U231" s="31" t="n">
        <x:v>72.08955288177089</x:v>
      </x:c>
    </x:row>
    <x:row r="232">
      <x:c r="A232" s="31" t="n">
        <x:v>23</x:v>
      </x:c>
      <x:c r="B232" s="31" t="n">
        <x:v>61.06618703922286</x:v>
      </x:c>
      <x:c r="C232" s="31" t="n">
        <x:v>60.19864100028619</x:v>
      </x:c>
      <x:c r="D232" s="31" t="n">
        <x:v>69.93859397221226</x:v>
      </x:c>
      <x:c r="E232" s="31" t="n">
        <x:v>72.54821428051878</x:v>
      </x:c>
      <x:c r="F232" s="31" t="n">
        <x:v>69.71203086500378</x:v>
      </x:c>
      <x:c r="G232" s="31" t="n">
        <x:v>69.5269834975916</x:v>
      </x:c>
      <x:c r="H232" s="31" t="n">
        <x:v>75.67397737577863</x:v>
      </x:c>
      <x:c r="I232" s="31" t="n">
        <x:v>78.75477710976449</x:v>
      </x:c>
      <x:c r="J232" s="31"/>
      <x:c r="K232" s="31" t="n">
        <x:v>73.62675764331661</x:v>
      </x:c>
      <x:c r="L232" s="31" t="n">
        <x:v>61.53370123259296</x:v>
      </x:c>
      <x:c r="M232" s="31" t="n">
        <x:v>89.22417851846366</x:v>
      </x:c>
      <x:c r="N232" s="31" t="n">
        <x:v>59.94217919073327</x:v>
      </x:c>
      <x:c r="O232" s="31" t="n">
        <x:v>85.93613308201832</x:v>
      </x:c>
      <x:c r="P232" s="31" t="n">
        <x:v>79.837709048803</x:v>
      </x:c>
      <x:c r="Q232" s="31"/>
      <x:c r="R232" s="31" t="n">
        <x:v>72.73152873598502</x:v>
      </x:c>
      <x:c r="S232" s="31" t="n">
        <x:v>50</x:v>
      </x:c>
      <x:c r="T232" s="31" t="n">
        <x:v>76.59229603935196</x:v>
      </x:c>
      <x:c r="U232" s="31" t="n">
        <x:v>72.08955288177089</x:v>
      </x:c>
    </x:row>
    <x:row r="233">
      <x:c r="A233" s="31" t="n">
        <x:v>23.1</x:v>
      </x:c>
      <x:c r="B233" s="31" t="n">
        <x:v>66.04879185844645</x:v>
      </x:c>
      <x:c r="C233" s="31" t="n">
        <x:v>50</x:v>
      </x:c>
      <x:c r="D233" s="31" t="n">
        <x:v>73.62713688449853</x:v>
      </x:c>
      <x:c r="E233" s="31" t="n">
        <x:v>66.46422276828167</x:v>
      </x:c>
      <x:c r="F233" s="31" t="n">
        <x:v>67.6471116138142</x:v>
      </x:c>
      <x:c r="G233" s="31" t="n">
        <x:v>60.63409703962841</x:v>
      </x:c>
      <x:c r="H233" s="31" t="n">
        <x:v>76.94467407804619</x:v>
      </x:c>
      <x:c r="I233" s="31" t="n">
        <x:v>78.75477710976449</x:v>
      </x:c>
      <x:c r="J233" s="31"/>
      <x:c r="K233" s="31" t="n">
        <x:v>74.96838858402826</x:v>
      </x:c>
      <x:c r="L233" s="31" t="n">
        <x:v>66.33941007950679</x:v>
      </x:c>
      <x:c r="M233" s="31" t="n">
        <x:v>85.74613856595704</x:v>
      </x:c>
      <x:c r="N233" s="31" t="n">
        <x:v>80.605842172898</x:v>
      </x:c>
      <x:c r="O233" s="31" t="n">
        <x:v>85.90998261925282</x:v>
      </x:c>
      <x:c r="P233" s="31" t="n">
        <x:v>79.837709048803</x:v>
      </x:c>
      <x:c r="Q233" s="31"/>
      <x:c r="R233" s="31" t="n">
        <x:v>72.73152873598502</x:v>
      </x:c>
      <x:c r="S233" s="31" t="n">
        <x:v>63.5337136537881</x:v>
      </x:c>
      <x:c r="T233" s="31" t="n">
        <x:v>78.22966922355286</x:v>
      </x:c>
      <x:c r="U233" s="31" t="n">
        <x:v>71.41852770540739</x:v>
      </x:c>
    </x:row>
    <x:row r="234">
      <x:c r="A234" s="31" t="n">
        <x:v>23.200000000000003</x:v>
      </x:c>
      <x:c r="B234" s="31" t="n">
        <x:v>66.04879185844636</x:v>
      </x:c>
      <x:c r="C234" s="31" t="n">
        <x:v>58.520996892570984</x:v>
      </x:c>
      <x:c r="D234" s="31" t="n">
        <x:v>73.47353916859691</x:v>
      </x:c>
      <x:c r="E234" s="31" t="n">
        <x:v>59.76033579725823</x:v>
      </x:c>
      <x:c r="F234" s="31" t="n">
        <x:v>63.13035774371649</x:v>
      </x:c>
      <x:c r="G234" s="31" t="n">
        <x:v>63.241254653221326</x:v>
      </x:c>
      <x:c r="H234" s="31" t="n">
        <x:v>75.35174219288794</x:v>
      </x:c>
      <x:c r="I234" s="31" t="n">
        <x:v>73.01337136119754</x:v>
      </x:c>
      <x:c r="J234" s="31"/>
      <x:c r="K234" s="31" t="n">
        <x:v>73.28183432436688</x:v>
      </x:c>
      <x:c r="L234" s="31" t="n">
        <x:v>67.30055184888953</x:v>
      </x:c>
      <x:c r="M234" s="31" t="n">
        <x:v>71.6147917378926</x:v>
      </x:c>
      <x:c r="N234" s="31" t="n">
        <x:v>80.605842172898</x:v>
      </x:c>
      <x:c r="O234" s="31" t="n">
        <x:v>80.75272483196332</x:v>
      </x:c>
      <x:c r="P234" s="31" t="n">
        <x:v>73.54727181625131</x:v>
      </x:c>
      <x:c r="Q234" s="31"/>
      <x:c r="R234" s="31" t="n">
        <x:v>69.0186580739894</x:v>
      </x:c>
      <x:c r="S234" s="31" t="n">
        <x:v>73.24346105418931</x:v>
      </x:c>
      <x:c r="T234" s="31" t="n">
        <x:v>78.22966922355286</x:v>
      </x:c>
      <x:c r="U234" s="31" t="n">
        <x:v>69.39193473480485</x:v>
      </x:c>
    </x:row>
    <x:row r="235">
      <x:c r="A235" s="31" t="n">
        <x:v>23.3</x:v>
      </x:c>
      <x:c r="B235" s="31" t="n">
        <x:v>61.96275436326558</x:v>
      </x:c>
      <x:c r="C235" s="31" t="n">
        <x:v>73.81939268400725</x:v>
      </x:c>
      <x:c r="D235" s="31" t="n">
        <x:v>68.62314619600568</x:v>
      </x:c>
      <x:c r="E235" s="31" t="n">
        <x:v>50</x:v>
      </x:c>
      <x:c r="F235" s="31" t="n">
        <x:v>64.6999163649453</x:v>
      </x:c>
      <x:c r="G235" s="31" t="n">
        <x:v>64.22930173669626</x:v>
      </x:c>
      <x:c r="H235" s="31" t="n">
        <x:v>67.81194765157717</x:v>
      </x:c>
      <x:c r="I235" s="31" t="n">
        <x:v>71.282497302334</x:v>
      </x:c>
      <x:c r="J235" s="31"/>
      <x:c r="K235" s="31" t="n">
        <x:v>69.1842710882425</x:v>
      </x:c>
      <x:c r="L235" s="31" t="n">
        <x:v>88.21352614140395</x:v>
      </x:c>
      <x:c r="M235" s="31" t="n">
        <x:v>52.321973693415906</x:v>
      </x:c>
      <x:c r="N235" s="31" t="n">
        <x:v>78.11159667296803</x:v>
      </x:c>
      <x:c r="O235" s="31" t="n">
        <x:v>79.71779255573668</x:v>
      </x:c>
      <x:c r="P235" s="31" t="n">
        <x:v>73.54727181625131</x:v>
      </x:c>
      <x:c r="Q235" s="31"/>
      <x:c r="R235" s="31" t="n">
        <x:v>67.44158862942598</x:v>
      </x:c>
      <x:c r="S235" s="31" t="n">
        <x:v>77.17945910823201</x:v>
      </x:c>
      <x:c r="T235" s="31" t="n">
        <x:v>77.67287802973269</x:v>
      </x:c>
      <x:c r="U235" s="31" t="n">
        <x:v>72.0623296605726</x:v>
      </x:c>
    </x:row>
    <x:row r="236">
      <x:c r="A236" s="31" t="n">
        <x:v>23.400000000000002</x:v>
      </x:c>
      <x:c r="B236" s="31" t="n">
        <x:v>52.53145206709111</x:v>
      </x:c>
      <x:c r="C236" s="31" t="n">
        <x:v>73.81939268400725</x:v>
      </x:c>
      <x:c r="D236" s="31" t="n">
        <x:v>61.18434451068428</x:v>
      </x:c>
      <x:c r="E236" s="31" t="n">
        <x:v>50.00000000000136</x:v>
      </x:c>
      <x:c r="F236" s="31" t="n">
        <x:v>62.5737278755053</x:v>
      </x:c>
      <x:c r="G236" s="31" t="n">
        <x:v>64.22930173669626</x:v>
      </x:c>
      <x:c r="H236" s="31" t="n">
        <x:v>72.93418134229373</x:v>
      </x:c>
      <x:c r="I236" s="31" t="n">
        <x:v>69.55162324347037</x:v>
      </x:c>
      <x:c r="J236" s="31"/>
      <x:c r="K236" s="31" t="n">
        <x:v>65.08670785211811</x:v>
      </x:c>
      <x:c r="L236" s="31" t="n">
        <x:v>90.80608052556602</x:v>
      </x:c>
      <x:c r="M236" s="31" t="n">
        <x:v>56.19192984910899</x:v>
      </x:c>
      <x:c r="N236" s="31" t="n">
        <x:v>80.2377542344968</x:v>
      </x:c>
      <x:c r="O236" s="31" t="n">
        <x:v>77.6376196836444</x:v>
      </x:c>
      <x:c r="P236" s="31" t="n">
        <x:v>70.66085768823395</x:v>
      </x:c>
      <x:c r="Q236" s="31"/>
      <x:c r="R236" s="31" t="n">
        <x:v>68.03142488889645</x:v>
      </x:c>
      <x:c r="S236" s="31" t="n">
        <x:v>77.50393366301074</x:v>
      </x:c>
      <x:c r="T236" s="31" t="n">
        <x:v>78.74955830375063</x:v>
      </x:c>
      <x:c r="U236" s="31" t="n">
        <x:v>72.0623296605726</x:v>
      </x:c>
    </x:row>
    <x:row r="237">
      <x:c r="A237" s="31" t="n">
        <x:v>23.5</x:v>
      </x:c>
      <x:c r="B237" s="31" t="n">
        <x:v>76.62997761267174</x:v>
      </x:c>
      <x:c r="C237" s="31" t="n">
        <x:v>70.60422876597116</x:v>
      </x:c>
      <x:c r="D237" s="31" t="n">
        <x:v>60.5075650818307</x:v>
      </x:c>
      <x:c r="E237" s="31" t="n">
        <x:v>65.28302145092184</x:v>
      </x:c>
      <x:c r="F237" s="31" t="n">
        <x:v>67.71876302979463</x:v>
      </x:c>
      <x:c r="G237" s="31" t="n">
        <x:v>63.70056323959953</x:v>
      </x:c>
      <x:c r="H237" s="31" t="n">
        <x:v>73.74576418199075</x:v>
      </x:c>
      <x:c r="I237" s="31" t="n">
        <x:v>67.82074918460683</x:v>
      </x:c>
      <x:c r="J237" s="31"/>
      <x:c r="K237" s="31" t="n">
        <x:v>65.08670785211811</x:v>
      </x:c>
      <x:c r="L237" s="31" t="n">
        <x:v>90.80608052556602</x:v>
      </x:c>
      <x:c r="M237" s="31" t="n">
        <x:v>60.06188600480193</x:v>
      </x:c>
      <x:c r="N237" s="31" t="n">
        <x:v>80.2377542344968</x:v>
      </x:c>
      <x:c r="O237" s="31" t="n">
        <x:v>75.20330112984993</x:v>
      </x:c>
      <x:c r="P237" s="31" t="n">
        <x:v>68.04694078428915</x:v>
      </x:c>
      <x:c r="Q237" s="31"/>
      <x:c r="R237" s="31" t="n">
        <x:v>68.03142488889645</x:v>
      </x:c>
      <x:c r="S237" s="31" t="n">
        <x:v>79.77440311723302</x:v>
      </x:c>
      <x:c r="T237" s="31" t="n">
        <x:v>94.63189913847452</x:v>
      </x:c>
      <x:c r="U237" s="31" t="n">
        <x:v>71.61786340298423</x:v>
      </x:c>
    </x:row>
    <x:row r="238">
      <x:c r="A238" s="31" t="n">
        <x:v>23.6</x:v>
      </x:c>
      <x:c r="B238" s="31" t="n">
        <x:v>76.62997761267174</x:v>
      </x:c>
      <x:c r="C238" s="31" t="n">
        <x:v>64.97146311133298</x:v>
      </x:c>
      <x:c r="D238" s="31" t="n">
        <x:v>62.98707106457741</x:v>
      </x:c>
      <x:c r="E238" s="31" t="n">
        <x:v>65.28302145092184</x:v>
      </x:c>
      <x:c r="F238" s="31" t="n">
        <x:v>68.24033881293863</x:v>
      </x:c>
      <x:c r="G238" s="31" t="n">
        <x:v>63.70056323959953</x:v>
      </x:c>
      <x:c r="H238" s="31" t="n">
        <x:v>75.48428374607555</x:v>
      </x:c>
      <x:c r="I238" s="31" t="n">
        <x:v>66.43604993751599</x:v>
      </x:c>
      <x:c r="J238" s="31"/>
      <x:c r="K238" s="31" t="n">
        <x:v>65.05796560629264</x:v>
      </x:c>
      <x:c r="L238" s="31" t="n">
        <x:v>85.62188463638701</x:v>
      </x:c>
      <x:c r="M238" s="31" t="n">
        <x:v>63.93184216049501</x:v>
      </x:c>
      <x:c r="N238" s="31" t="n">
        <x:v>80.53518526191544</x:v>
      </x:c>
      <x:c r="O238" s="31" t="n">
        <x:v>75.05359205756174</x:v>
      </x:c>
      <x:c r="P238" s="31" t="n">
        <x:v>68.04694078428915</x:v>
      </x:c>
      <x:c r="Q238" s="31"/>
      <x:c r="R238" s="31" t="n">
        <x:v>69.04105237927124</x:v>
      </x:c>
      <x:c r="S238" s="31" t="n">
        <x:v>79.77440311723302</x:v>
      </x:c>
      <x:c r="T238" s="31" t="n">
        <x:v>94.63189913847452</x:v>
      </x:c>
      <x:c r="U238" s="31" t="n">
        <x:v>72.4480012510955</x:v>
      </x:c>
    </x:row>
    <x:row r="239">
      <x:c r="A239" s="31" t="n">
        <x:v>23.700000000000003</x:v>
      </x:c>
      <x:c r="B239" s="31" t="n">
        <x:v>75.76153327152528</x:v>
      </x:c>
      <x:c r="C239" s="31" t="n">
        <x:v>61.807035690574246</x:v>
      </x:c>
      <x:c r="D239" s="31" t="n">
        <x:v>64.08085408299135</x:v>
      </x:c>
      <x:c r="E239" s="31" t="n">
        <x:v>71.92965017014302</x:v>
      </x:c>
      <x:c r="F239" s="31" t="n">
        <x:v>66.99389318869771</x:v>
      </x:c>
      <x:c r="G239" s="31" t="n">
        <x:v>65.46715922045789</x:v>
      </x:c>
      <x:c r="H239" s="31" t="n">
        <x:v>76.10034840376989</x:v>
      </x:c>
      <x:c r="I239" s="31" t="n">
        <x:v>72.46255323291466</x:v>
      </x:c>
      <x:c r="J239" s="31"/>
      <x:c r="K239" s="31" t="n">
        <x:v>66.9626935513567</x:v>
      </x:c>
      <x:c r="L239" s="31" t="n">
        <x:v>84.34443641621901</x:v>
      </x:c>
      <x:c r="M239" s="31" t="n">
        <x:v>85.04961581860279</x:v>
      </x:c>
      <x:c r="N239" s="31" t="n">
        <x:v>81.29811613017078</x:v>
      </x:c>
      <x:c r="O239" s="31" t="n">
        <x:v>76.04428014619327</x:v>
      </x:c>
      <x:c r="P239" s="31" t="n">
        <x:v>69.2367866861763</x:v>
      </x:c>
      <x:c r="Q239" s="31"/>
      <x:c r="R239" s="31" t="n">
        <x:v>69.46048295507038</x:v>
      </x:c>
      <x:c r="S239" s="31" t="n">
        <x:v>84.0728512605467</x:v>
      </x:c>
      <x:c r="T239" s="31" t="n">
        <x:v>91.56024448548767</x:v>
      </x:c>
      <x:c r="U239" s="31" t="n">
        <x:v>73.95413693244816</x:v>
      </x:c>
    </x:row>
    <x:row r="240">
      <x:c r="A240" s="31" t="n">
        <x:v>23.8</x:v>
      </x:c>
      <x:c r="B240" s="31" t="n">
        <x:v>68.97823721051618</x:v>
      </x:c>
      <x:c r="C240" s="31" t="n">
        <x:v>67.39510116569392</x:v>
      </x:c>
      <x:c r="D240" s="31" t="n">
        <x:v>64.08085408299135</x:v>
      </x:c>
      <x:c r="E240" s="31" t="n">
        <x:v>74.7128846153028</x:v>
      </x:c>
      <x:c r="F240" s="31" t="n">
        <x:v>59.7266777371177</x:v>
      </x:c>
      <x:c r="G240" s="31" t="n">
        <x:v>65.502743047632</x:v>
      </x:c>
      <x:c r="H240" s="31" t="n">
        <x:v>76.40012288858927</x:v>
      </x:c>
      <x:c r="I240" s="31" t="n">
        <x:v>73.53833766403176</x:v>
      </x:c>
      <x:c r="J240" s="31"/>
      <x:c r="K240" s="31" t="n">
        <x:v>84.62165926333947</x:v>
      </x:c>
      <x:c r="L240" s="31" t="n">
        <x:v>80.06229917742297</x:v>
      </x:c>
      <x:c r="M240" s="31" t="n">
        <x:v>90.11200725175726</x:v>
      </x:c>
      <x:c r="N240" s="31" t="n">
        <x:v>81.29811613017078</x:v>
      </x:c>
      <x:c r="O240" s="31" t="n">
        <x:v>77.10656434087636</x:v>
      </x:c>
      <x:c r="P240" s="31" t="n">
        <x:v>69.48356761437164</x:v>
      </x:c>
      <x:c r="Q240" s="31"/>
      <x:c r="R240" s="31" t="n">
        <x:v>69.08638227884416</x:v>
      </x:c>
      <x:c r="S240" s="31" t="n">
        <x:v>93.06577528263185</x:v>
      </x:c>
      <x:c r="T240" s="31" t="n">
        <x:v>86.57693435920133</x:v>
      </x:c>
      <x:c r="U240" s="31" t="n">
        <x:v>79.2264548361054</x:v>
      </x:c>
    </x:row>
    <x:row r="241">
      <x:c r="A241" s="31" t="n">
        <x:v>23.900000000000002</x:v>
      </x:c>
      <x:c r="B241" s="31" t="n">
        <x:v>64.4129061340034</x:v>
      </x:c>
      <x:c r="C241" s="31" t="n">
        <x:v>67.39510116569392</x:v>
      </x:c>
      <x:c r="D241" s="31" t="n">
        <x:v>64.64031924765737</x:v>
      </x:c>
      <x:c r="E241" s="31" t="n">
        <x:v>74.7128846153028</x:v>
      </x:c>
      <x:c r="F241" s="31" t="n">
        <x:v>50.00000000000137</x:v>
      </x:c>
      <x:c r="G241" s="31" t="n">
        <x:v>66.16313184502599</x:v>
      </x:c>
      <x:c r="H241" s="31" t="n">
        <x:v>76.68176006032178</x:v>
      </x:c>
      <x:c r="I241" s="31" t="n">
        <x:v>72.8441229612345</x:v>
      </x:c>
      <x:c r="J241" s="31"/>
      <x:c r="K241" s="31" t="n">
        <x:v>88.24886617845237</x:v>
      </x:c>
      <x:c r="L241" s="31" t="n">
        <x:v>78.30412391042779</x:v>
      </x:c>
      <x:c r="M241" s="31" t="n">
        <x:v>90.11200725175726</x:v>
      </x:c>
      <x:c r="N241" s="31" t="n">
        <x:v>82.40460962055793</x:v>
      </x:c>
      <x:c r="O241" s="31" t="n">
        <x:v>77.18769196451902</x:v>
      </x:c>
      <x:c r="P241" s="31" t="n">
        <x:v>69.48356761437164</x:v>
      </x:c>
      <x:c r="Q241" s="31"/>
      <x:c r="R241" s="31" t="n">
        <x:v>67.0581589369755</x:v>
      </x:c>
      <x:c r="S241" s="31" t="n">
        <x:v>93.06577528263185</x:v>
      </x:c>
      <x:c r="T241" s="31" t="n">
        <x:v>84.16436209966366</x:v>
      </x:c>
      <x:c r="U241" s="31" t="n">
        <x:v>88.01365134220029</x:v>
      </x:c>
    </x:row>
    <x:row r="242">
      <x:c r="A242" s="31" t="n">
        <x:v>24</x:v>
      </x:c>
      <x:c r="B242" s="31" t="n">
        <x:v>63.771164404556146</x:v>
      </x:c>
      <x:c r="C242" s="31" t="n">
        <x:v>67.37096712526386</x:v>
      </x:c>
      <x:c r="D242" s="31" t="n">
        <x:v>64.41325966364687</x:v>
      </x:c>
      <x:c r="E242" s="31" t="n">
        <x:v>68.92448228237802</x:v>
      </x:c>
      <x:c r="F242" s="31" t="n">
        <x:v>64.00261717581347</x:v>
      </x:c>
      <x:c r="G242" s="31" t="n">
        <x:v>66.66840017537666</x:v>
      </x:c>
      <x:c r="H242" s="31" t="n">
        <x:v>77.77419198633487</x:v>
      </x:c>
      <x:c r="I242" s="31" t="n">
        <x:v>54.22567436217335</x:v>
      </x:c>
      <x:c r="J242" s="31"/>
      <x:c r="K242" s="31" t="n">
        <x:v>88.24886617845237</x:v>
      </x:c>
      <x:c r="L242" s="31" t="n">
        <x:v>76.4182937694244</x:v>
      </x:c>
      <x:c r="M242" s="31" t="n">
        <x:v>84.83781051866032</x:v>
      </x:c>
      <x:c r="N242" s="31" t="n">
        <x:v>82.90643337374627</x:v>
      </x:c>
      <x:c r="O242" s="31" t="n">
        <x:v>76.82693728823287</x:v>
      </x:c>
      <x:c r="P242" s="31" t="n">
        <x:v>69.56253190934417</x:v>
      </x:c>
      <x:c r="Q242" s="31"/>
      <x:c r="R242" s="31" t="n">
        <x:v>65.38490236633446</x:v>
      </x:c>
      <x:c r="S242" s="31" t="n">
        <x:v>86.9815353496902</x:v>
      </x:c>
      <x:c r="T242" s="31" t="n">
        <x:v>81.72979842115468</x:v>
      </x:c>
      <x:c r="U242" s="31" t="n">
        <x:v>88.01365134220029</x:v>
      </x:c>
    </x:row>
    <x:row r="243">
      <x:c r="A243" s="31" t="n">
        <x:v>24.1</x:v>
      </x:c>
      <x:c r="B243" s="31" t="n">
        <x:v>63.771164404556146</x:v>
      </x:c>
      <x:c r="C243" s="31" t="n">
        <x:v>67.37096712526386</x:v>
      </x:c>
      <x:c r="D243" s="31" t="n">
        <x:v>65.34133006127001</x:v>
      </x:c>
      <x:c r="E243" s="31" t="n">
        <x:v>63.98721527155409</x:v>
      </x:c>
      <x:c r="F243" s="31" t="n">
        <x:v>65.02768553360367</x:v>
      </x:c>
      <x:c r="G243" s="31" t="n">
        <x:v>80.904080950841</x:v>
      </x:c>
      <x:c r="H243" s="31" t="n">
        <x:v>77.77419198633487</x:v>
      </x:c>
      <x:c r="I243" s="31" t="n">
        <x:v>69.95522725331287</x:v>
      </x:c>
      <x:c r="J243" s="31"/>
      <x:c r="K243" s="31" t="n">
        <x:v>82.33954386404052</x:v>
      </x:c>
      <x:c r="L243" s="31" t="n">
        <x:v>76.08797150016281</x:v>
      </x:c>
      <x:c r="M243" s="31" t="n">
        <x:v>83.13804406408443</x:v>
      </x:c>
      <x:c r="N243" s="31" t="n">
        <x:v>83.14592170376048</x:v>
      </x:c>
      <x:c r="O243" s="31" t="n">
        <x:v>89.58796756646544</x:v>
      </x:c>
      <x:c r="P243" s="31" t="n">
        <x:v>69.64936267549191</x:v>
      </x:c>
      <x:c r="Q243" s="31"/>
      <x:c r="R243" s="31" t="n">
        <x:v>80.08441770076479</x:v>
      </x:c>
      <x:c r="S243" s="31" t="n">
        <x:v>81.67015768816114</x:v>
      </x:c>
      <x:c r="T243" s="31" t="n">
        <x:v>80.33034640549575</x:v>
      </x:c>
      <x:c r="U243" s="31" t="n">
        <x:v>83.64169993398262</x:v>
      </x:c>
    </x:row>
    <x:row r="244">
      <x:c r="A244" s="31" t="n">
        <x:v>24.200000000000003</x:v>
      </x:c>
      <x:c r="B244" s="31" t="n">
        <x:v>58.78901371339323</x:v>
      </x:c>
      <x:c r="C244" s="31" t="n">
        <x:v>67.8455475113933</x:v>
      </x:c>
      <x:c r="D244" s="31" t="n">
        <x:v>65.34133006127001</x:v>
      </x:c>
      <x:c r="E244" s="31" t="n">
        <x:v>65.09261017370528</x:v>
      </x:c>
      <x:c r="F244" s="31" t="n">
        <x:v>66.29519917223175</x:v>
      </x:c>
      <x:c r="G244" s="31" t="n">
        <x:v>80.904080950841</x:v>
      </x:c>
      <x:c r="H244" s="31" t="n">
        <x:v>76.56794298671582</x:v>
      </x:c>
      <x:c r="I244" s="31" t="n">
        <x:v>71.2143667351641</x:v>
      </x:c>
      <x:c r="J244" s="31"/>
      <x:c r="K244" s="31" t="n">
        <x:v>73.38844069741087</x:v>
      </x:c>
      <x:c r="L244" s="31" t="n">
        <x:v>76.50038896411958</x:v>
      </x:c>
      <x:c r="M244" s="31" t="n">
        <x:v>82.21402570010463</x:v>
      </x:c>
      <x:c r="N244" s="31" t="n">
        <x:v>83.01217244420536</x:v>
      </x:c>
      <x:c r="O244" s="31" t="n">
        <x:v>89.58796756646544</x:v>
      </x:c>
      <x:c r="P244" s="31" t="n">
        <x:v>79.15394036436322</x:v>
      </x:c>
      <x:c r="Q244" s="31"/>
      <x:c r="R244" s="31" t="n">
        <x:v>80.08441770076479</x:v>
      </x:c>
      <x:c r="S244" s="31" t="n">
        <x:v>76.84330537879936</x:v>
      </x:c>
      <x:c r="T244" s="31" t="n">
        <x:v>87.21945198506253</x:v>
      </x:c>
      <x:c r="U244" s="31" t="n">
        <x:v>77.62710842919043</x:v>
      </x:c>
    </x:row>
    <x:row r="245">
      <x:c r="A245" s="31" t="n">
        <x:v>24.3</x:v>
      </x:c>
      <x:c r="B245" s="31" t="n">
        <x:v>64.2329066905575</x:v>
      </x:c>
      <x:c r="C245" s="31" t="n">
        <x:v>67.8455475113933</x:v>
      </x:c>
      <x:c r="D245" s="31" t="n">
        <x:v>64.9768552617297</x:v>
      </x:c>
      <x:c r="E245" s="31" t="n">
        <x:v>66.72317986232056</x:v>
      </x:c>
      <x:c r="F245" s="31" t="n">
        <x:v>68.21898100123909</x:v>
      </x:c>
      <x:c r="G245" s="31" t="n">
        <x:v>75.77613967600583</x:v>
      </x:c>
      <x:c r="H245" s="31" t="n">
        <x:v>76.12980614862936</x:v>
      </x:c>
      <x:c r="I245" s="31" t="n">
        <x:v>71.08766198957996</x:v>
      </x:c>
      <x:c r="J245" s="31"/>
      <x:c r="K245" s="31" t="n">
        <x:v>71.6542239649661</x:v>
      </x:c>
      <x:c r="L245" s="31" t="n">
        <x:v>77.70844105536406</x:v>
      </x:c>
      <x:c r="M245" s="31" t="n">
        <x:v>81.90035061701653</x:v>
      </x:c>
      <x:c r="N245" s="31" t="n">
        <x:v>80.98460609841956</x:v>
      </x:c>
      <x:c r="O245" s="31" t="n">
        <x:v>85.89128992303542</x:v>
      </x:c>
      <x:c r="P245" s="31" t="n">
        <x:v>80.84421654725887</x:v>
      </x:c>
      <x:c r="Q245" s="31"/>
      <x:c r="R245" s="31" t="n">
        <x:v>76.03159709846369</x:v>
      </x:c>
      <x:c r="S245" s="31" t="n">
        <x:v>74.37786875619594</x:v>
      </x:c>
      <x:c r="T245" s="31" t="n">
        <x:v>88.21481626788483</x:v>
      </x:c>
      <x:c r="U245" s="31" t="n">
        <x:v>73.97248855278434</x:v>
      </x:c>
    </x:row>
    <x:row r="246">
      <x:c r="A246" s="31" t="n">
        <x:v>24.400000000000002</x:v>
      </x:c>
      <x:c r="B246" s="31" t="n">
        <x:v>64.2329066905575</x:v>
      </x:c>
      <x:c r="C246" s="31" t="n">
        <x:v>67.69637811190509</x:v>
      </x:c>
      <x:c r="D246" s="31" t="n">
        <x:v>64.96381656215138</x:v>
      </x:c>
      <x:c r="E246" s="31" t="n">
        <x:v>69.52062994608455</x:v>
      </x:c>
      <x:c r="F246" s="31" t="n">
        <x:v>68.21898100123909</x:v>
      </x:c>
      <x:c r="G246" s="31" t="n">
        <x:v>67.1609454951853</x:v>
      </x:c>
      <x:c r="H246" s="31" t="n">
        <x:v>74.7501835499863</x:v>
      </x:c>
      <x:c r="I246" s="31" t="n">
        <x:v>69.23126207678197</x:v>
      </x:c>
      <x:c r="J246" s="31"/>
      <x:c r="K246" s="31" t="n">
        <x:v>71.65422396496605</x:v>
      </x:c>
      <x:c r="L246" s="31" t="n">
        <x:v>78.01602493490608</x:v>
      </x:c>
      <x:c r="M246" s="31" t="n">
        <x:v>81.19441640755058</x:v>
      </x:c>
      <x:c r="N246" s="31" t="n">
        <x:v>82.57712726754906</x:v>
      </x:c>
      <x:c r="O246" s="31" t="n">
        <x:v>76.11738403379915</x:v>
      </x:c>
      <x:c r="P246" s="31" t="n">
        <x:v>80.8442165472587</x:v>
      </x:c>
      <x:c r="Q246" s="31"/>
      <x:c r="R246" s="31" t="n">
        <x:v>63.65975979291909</x:v>
      </x:c>
      <x:c r="S246" s="31" t="n">
        <x:v>72.95981638893002</x:v>
      </x:c>
      <x:c r="T246" s="31" t="n">
        <x:v>88.21481626788469</x:v>
      </x:c>
      <x:c r="U246" s="31" t="n">
        <x:v>70.04173378063446</x:v>
      </x:c>
    </x:row>
    <x:row r="247">
      <x:c r="A247" s="31" t="n">
        <x:v>24.5</x:v>
      </x:c>
      <x:c r="B247" s="31" t="n">
        <x:v>61.902967100144295</x:v>
      </x:c>
      <x:c r="C247" s="31" t="n">
        <x:v>68.25947608984872</x:v>
      </x:c>
      <x:c r="D247" s="31" t="n">
        <x:v>66.02634221668296</x:v>
      </x:c>
      <x:c r="E247" s="31" t="n">
        <x:v>70.48760098688422</x:v>
      </x:c>
      <x:c r="F247" s="31" t="n">
        <x:v>68.13637880050543</x:v>
      </x:c>
      <x:c r="G247" s="31" t="n">
        <x:v>61.89622396000695</x:v>
      </x:c>
      <x:c r="H247" s="31" t="n">
        <x:v>73.21127764081658</x:v>
      </x:c>
      <x:c r="I247" s="31" t="n">
        <x:v>69.39024366540302</x:v>
      </x:c>
      <x:c r="J247" s="31"/>
      <x:c r="K247" s="31" t="n">
        <x:v>71.29544399002512</x:v>
      </x:c>
      <x:c r="L247" s="31" t="n">
        <x:v>78.06221709832508</x:v>
      </x:c>
      <x:c r="M247" s="31" t="n">
        <x:v>80.97856506486681</x:v>
      </x:c>
      <x:c r="N247" s="31" t="n">
        <x:v>89.61525551248943</x:v>
      </x:c>
      <x:c r="O247" s="31" t="n">
        <x:v>50</x:v>
      </x:c>
      <x:c r="P247" s="31" t="n">
        <x:v>72.86763177060521</x:v>
      </x:c>
      <x:c r="Q247" s="31"/>
      <x:c r="R247" s="31" t="n">
        <x:v>50.59138918140943</x:v>
      </x:c>
      <x:c r="S247" s="31"/>
      <x:c r="T247" s="31" t="n">
        <x:v>81.43973124071142</x:v>
      </x:c>
      <x:c r="U247" s="31" t="n">
        <x:v>50</x:v>
      </x:c>
    </x:row>
    <x:row r="248">
      <x:c r="A248" s="31" t="n">
        <x:v>24.6</x:v>
      </x:c>
      <x:c r="B248" s="31" t="n">
        <x:v>65.64786908081317</x:v>
      </x:c>
      <x:c r="C248" s="31" t="n">
        <x:v>68.62924475320344</x:v>
      </x:c>
      <x:c r="D248" s="31" t="n">
        <x:v>66.02634221668296</x:v>
      </x:c>
      <x:c r="E248" s="31" t="n">
        <x:v>70.67047984963203</x:v>
      </x:c>
      <x:c r="F248" s="31" t="n">
        <x:v>68.03805182054495</x:v>
      </x:c>
      <x:c r="G248" s="31"/>
      <x:c r="H248" s="31" t="n">
        <x:v>82.60889567825502</x:v>
      </x:c>
      <x:c r="I248" s="31" t="n">
        <x:v>69.56808824233586</x:v>
      </x:c>
      <x:c r="J248" s="31"/>
      <x:c r="K248" s="31" t="n">
        <x:v>73.78615451794516</x:v>
      </x:c>
      <x:c r="L248" s="31" t="n">
        <x:v>78.06221709832508</x:v>
      </x:c>
      <x:c r="M248" s="31" t="n">
        <x:v>80.97856506486681</x:v>
      </x:c>
      <x:c r="N248" s="31" t="n">
        <x:v>90.37618706737926</x:v>
      </x:c>
      <x:c r="O248" s="31" t="n">
        <x:v>50</x:v>
      </x:c>
      <x:c r="P248" s="31" t="n">
        <x:v>50</x:v>
      </x:c>
      <x:c r="Q248" s="31"/>
      <x:c r="R248" s="31" t="n">
        <x:v>52.069862134933075</x:v>
      </x:c>
      <x:c r="S248" s="31"/>
      <x:c r="T248" s="31" t="n">
        <x:v>77.96744599062431</x:v>
      </x:c>
      <x:c r="U248" s="31" t="n">
        <x:v>50</x:v>
      </x:c>
    </x:row>
    <x:row r="249">
      <x:c r="A249" s="31" t="n">
        <x:v>24.700000000000003</x:v>
      </x:c>
      <x:c r="B249" s="31" t="n">
        <x:v>65.64786908081317</x:v>
      </x:c>
      <x:c r="C249" s="31" t="n">
        <x:v>68.62924475320344</x:v>
      </x:c>
      <x:c r="D249" s="31" t="n">
        <x:v>63.91829233246694</x:v>
      </x:c>
      <x:c r="E249" s="31" t="n">
        <x:v>70.60197229424597</x:v>
      </x:c>
      <x:c r="F249" s="31" t="n">
        <x:v>68.57690456287821</x:v>
      </x:c>
      <x:c r="G249" s="31"/>
      <x:c r="H249" s="31" t="n">
        <x:v>82.60889567825502</x:v>
      </x:c>
      <x:c r="I249" s="31" t="n">
        <x:v>70.03216636389746</x:v>
      </x:c>
      <x:c r="J249" s="31"/>
      <x:c r="K249" s="31" t="n">
        <x:v>73.9019090512745</x:v>
      </x:c>
      <x:c r="L249" s="31" t="n">
        <x:v>74.6158258146703</x:v>
      </x:c>
      <x:c r="M249" s="31" t="n">
        <x:v>81.10779611951365</x:v>
      </x:c>
      <x:c r="N249" s="31" t="n">
        <x:v>89.86192914830698</x:v>
      </x:c>
      <x:c r="O249" s="31" t="n">
        <x:v>50</x:v>
      </x:c>
      <x:c r="P249" s="31" t="n">
        <x:v>50</x:v>
      </x:c>
      <x:c r="Q249" s="31"/>
      <x:c r="R249" s="31" t="n">
        <x:v>53.54833508845671</x:v>
      </x:c>
      <x:c r="S249" s="31"/>
      <x:c r="T249" s="31"/>
      <x:c r="U249" s="31" t="n">
        <x:v>50</x:v>
      </x:c>
    </x:row>
    <x:row r="250">
      <x:c r="A250" s="31" t="n">
        <x:v>24.8</x:v>
      </x:c>
      <x:c r="B250" s="31" t="n">
        <x:v>62.14501951544112</x:v>
      </x:c>
      <x:c r="C250" s="31" t="n">
        <x:v>82.87869252033114</x:v>
      </x:c>
      <x:c r="D250" s="31" t="n">
        <x:v>59.7481281919356</x:v>
      </x:c>
      <x:c r="E250" s="31" t="n">
        <x:v>69.47679478095947</x:v>
      </x:c>
      <x:c r="F250" s="31" t="n">
        <x:v>69.17764010657453</x:v>
      </x:c>
      <x:c r="G250" s="31"/>
      <x:c r="H250" s="31" t="n">
        <x:v>78.79558760668445</x:v>
      </x:c>
      <x:c r="I250" s="31" t="n">
        <x:v>70.7658334577863</x:v>
      </x:c>
      <x:c r="J250" s="31"/>
      <x:c r="K250" s="31" t="n">
        <x:v>72.55100961518096</x:v>
      </x:c>
      <x:c r="L250" s="31" t="n">
        <x:v>74.6158258146703</x:v>
      </x:c>
      <x:c r="M250" s="31" t="n">
        <x:v>82.302145233911</x:v>
      </x:c>
      <x:c r="N250" s="31" t="n">
        <x:v>78.8011185562877</x:v>
      </x:c>
      <x:c r="O250" s="31" t="n">
        <x:v>87.14186485837944</x:v>
      </x:c>
      <x:c r="P250" s="31" t="n">
        <x:v>50</x:v>
      </x:c>
      <x:c r="Q250" s="31"/>
      <x:c r="R250" s="31" t="n">
        <x:v>76.78263262180744</x:v>
      </x:c>
      <x:c r="S250" s="31"/>
      <x:c r="T250" s="31"/>
      <x:c r="U250" s="31" t="n">
        <x:v>70.3270419215097</x:v>
      </x:c>
    </x:row>
    <x:row r="251">
      <x:c r="A251" s="31" t="n">
        <x:v>24.900000000000002</x:v>
      </x:c>
      <x:c r="B251" s="31" t="n">
        <x:v>62.86286745308962</x:v>
      </x:c>
      <x:c r="C251" s="31" t="n">
        <x:v>83.25373069210231</x:v>
      </x:c>
      <x:c r="D251" s="31" t="n">
        <x:v>66.46424299246056</x:v>
      </x:c>
      <x:c r="E251" s="31" t="n">
        <x:v>69.77229093722109</x:v>
      </x:c>
      <x:c r="F251" s="31" t="n">
        <x:v>69.17764010657453</x:v>
      </x:c>
      <x:c r="G251" s="31"/>
      <x:c r="H251" s="31" t="n">
        <x:v>70.83790635093517</x:v>
      </x:c>
      <x:c r="I251" s="31" t="n">
        <x:v>69.8004554938519</x:v>
      </x:c>
      <x:c r="J251" s="31"/>
      <x:c r="K251" s="31" t="n">
        <x:v>67.59660809804167</x:v>
      </x:c>
      <x:c r="L251" s="31" t="n">
        <x:v>72.84217081163592</x:v>
      </x:c>
      <x:c r="M251" s="31" t="n">
        <x:v>82.302145233911</x:v>
      </x:c>
      <x:c r="N251" s="31" t="n">
        <x:v>50</x:v>
      </x:c>
      <x:c r="O251" s="31" t="n">
        <x:v>90.57103076364666</x:v>
      </x:c>
      <x:c r="P251" s="31" t="n">
        <x:v>50</x:v>
      </x:c>
      <x:c r="Q251" s="31"/>
      <x:c r="R251" s="31" t="n">
        <x:v>79.46354892741923</x:v>
      </x:c>
      <x:c r="S251" s="31"/>
      <x:c r="T251" s="31"/>
      <x:c r="U251" s="31" t="n">
        <x:v>76.85387891836582</x:v>
      </x:c>
    </x:row>
    <x:row r="252">
      <x:c r="A252" s="31" t="n">
        <x:v>25</x:v>
      </x:c>
      <x:c r="B252" s="31" t="n">
        <x:v>62.86286745308962</x:v>
      </x:c>
      <x:c r="C252" s="31" t="n">
        <x:v>82.45886914293098</x:v>
      </x:c>
      <x:c r="D252" s="31" t="n">
        <x:v>77.42239300542943</x:v>
      </x:c>
      <x:c r="E252" s="31" t="n">
        <x:v>69.77229093722109</x:v>
      </x:c>
      <x:c r="F252" s="31" t="n">
        <x:v>66.92809966397274</x:v>
      </x:c>
      <x:c r="G252" s="31"/>
      <x:c r="H252" s="31" t="n">
        <x:v>70.14044690783636</x:v>
      </x:c>
      <x:c r="I252" s="31" t="n">
        <x:v>66.31456781108614</x:v>
      </x:c>
      <x:c r="J252" s="31"/>
      <x:c r="K252" s="31" t="n">
        <x:v>70.577694547442</x:v>
      </x:c>
      <x:c r="L252" s="31" t="n">
        <x:v>72.84217081163592</x:v>
      </x:c>
      <x:c r="M252" s="31" t="n">
        <x:v>80.28853305338939</x:v>
      </x:c>
      <x:c r="N252" s="31" t="n">
        <x:v>50</x:v>
      </x:c>
      <x:c r="O252" s="31" t="n">
        <x:v>90.57103076364666</x:v>
      </x:c>
      <x:c r="P252" s="31" t="n">
        <x:v>50</x:v>
      </x:c>
      <x:c r="Q252" s="31"/>
      <x:c r="R252" s="31" t="n">
        <x:v>79.46354892741923</x:v>
      </x:c>
      <x:c r="S252" s="31"/>
      <x:c r="T252" s="31"/>
      <x:c r="U252" s="31" t="n">
        <x:v>83.82753246065018</x:v>
      </x:c>
    </x:row>
    <x:row r="253">
      <x:c r="A253" s="31" t="n">
        <x:v>25.1</x:v>
      </x:c>
      <x:c r="B253" s="31" t="n">
        <x:v>65.22209396660439</x:v>
      </x:c>
      <x:c r="C253" s="31" t="n">
        <x:v>70.61626037325539</x:v>
      </x:c>
      <x:c r="D253" s="31" t="n">
        <x:v>77.42239300542943</x:v>
      </x:c>
      <x:c r="E253" s="31" t="n">
        <x:v>69.3350650424692</x:v>
      </x:c>
      <x:c r="F253" s="31" t="n">
        <x:v>62.50257344365647</x:v>
      </x:c>
      <x:c r="G253" s="31"/>
      <x:c r="H253" s="31" t="n">
        <x:v>69.44298746473753</x:v>
      </x:c>
      <x:c r="I253" s="31" t="n">
        <x:v>65.26564959595024</x:v>
      </x:c>
      <x:c r="J253" s="31"/>
      <x:c r="K253" s="31" t="n">
        <x:v>70.577694547442</x:v>
      </x:c>
      <x:c r="L253" s="31" t="n">
        <x:v>86.64204580329265</x:v>
      </x:c>
      <x:c r="M253" s="31" t="n">
        <x:v>89.22711896072425</x:v>
      </x:c>
      <x:c r="N253" s="31" t="n">
        <x:v>50</x:v>
      </x:c>
      <x:c r="O253" s="31" t="n">
        <x:v>87.8633470263976</x:v>
      </x:c>
      <x:c r="P253" s="31" t="n">
        <x:v>79.6612749223719</x:v>
      </x:c>
      <x:c r="Q253" s="31"/>
      <x:c r="R253" s="31" t="n">
        <x:v>71.26044323114786</x:v>
      </x:c>
      <x:c r="S253" s="31"/>
      <x:c r="T253" s="31"/>
      <x:c r="U253" s="31" t="n">
        <x:v>83.82753246065018</x:v>
      </x:c>
    </x:row>
    <x:row r="254">
      <x:c r="A254" s="31" t="n">
        <x:v>25.200000000000003</x:v>
      </x:c>
      <x:c r="B254" s="31" t="n">
        <x:v>90.90684840375494</x:v>
      </x:c>
      <x:c r="C254" s="31" t="n">
        <x:v>65.82559431081093</x:v>
      </x:c>
      <x:c r="D254" s="31" t="n">
        <x:v>71.18991843939487</x:v>
      </x:c>
      <x:c r="E254" s="31" t="n">
        <x:v>69.77434498247638</x:v>
      </x:c>
      <x:c r="F254" s="31" t="n">
        <x:v>80.68111618283655</x:v>
      </x:c>
      <x:c r="G254" s="31"/>
      <x:c r="H254" s="31" t="n">
        <x:v>68.74552802163869</x:v>
      </x:c>
      <x:c r="I254" s="31" t="n">
        <x:v>64.13480668883727</x:v>
      </x:c>
      <x:c r="J254" s="31"/>
      <x:c r="K254" s="31" t="n">
        <x:v>71.85954001050976</x:v>
      </x:c>
      <x:c r="L254" s="31" t="n">
        <x:v>87.35243614336105</x:v>
      </x:c>
      <x:c r="M254" s="31" t="n">
        <x:v>90.23241543605326</x:v>
      </x:c>
      <x:c r="N254" s="31" t="n">
        <x:v>75.60904575554065</x:v>
      </x:c>
      <x:c r="O254" s="31" t="n">
        <x:v>85.32586177534415</x:v>
      </x:c>
      <x:c r="P254" s="31" t="n">
        <x:v>79.6612749223719</x:v>
      </x:c>
      <x:c r="Q254" s="31"/>
      <x:c r="R254" s="31" t="n">
        <x:v>71.26044323114786</x:v>
      </x:c>
      <x:c r="S254" s="31"/>
      <x:c r="T254" s="31"/>
      <x:c r="U254" s="31" t="n">
        <x:v>76.7277348344036</x:v>
      </x:c>
    </x:row>
    <x:row r="255">
      <x:c r="A255" s="31" t="n">
        <x:v>25.3</x:v>
      </x:c>
      <x:c r="B255" s="31" t="n">
        <x:v>92.16387690486954</x:v>
      </x:c>
      <x:c r="C255" s="31" t="n">
        <x:v>63.67657510460215</x:v>
      </x:c>
      <x:c r="D255" s="31" t="n">
        <x:v>62.27788885830638</x:v>
      </x:c>
      <x:c r="E255" s="31" t="n">
        <x:v>77.70395946218248</x:v>
      </x:c>
      <x:c r="F255" s="31" t="n">
        <x:v>80.68111618283655</x:v>
      </x:c>
      <x:c r="G255" s="31"/>
      <x:c r="H255" s="31" t="n">
        <x:v>68.18756046715964</x:v>
      </x:c>
      <x:c r="I255" s="31" t="n">
        <x:v>79.74179527667161</x:v>
      </x:c>
      <x:c r="J255" s="31"/>
      <x:c r="K255" s="31" t="n">
        <x:v>71.85954001050976</x:v>
      </x:c>
      <x:c r="L255" s="31" t="n">
        <x:v>87.13970270914707</x:v>
      </x:c>
      <x:c r="M255" s="31" t="n">
        <x:v>90.0762687059634</x:v>
      </x:c>
      <x:c r="N255" s="31" t="n">
        <x:v>90.49043725936717</x:v>
      </x:c>
      <x:c r="O255" s="31" t="n">
        <x:v>78.85475433994999</x:v>
      </x:c>
      <x:c r="P255" s="31" t="n">
        <x:v>73.7347681494785</x:v>
      </x:c>
      <x:c r="Q255" s="31"/>
      <x:c r="R255" s="31" t="n">
        <x:v>68.39392418497087</x:v>
      </x:c>
      <x:c r="S255" s="31"/>
      <x:c r="T255" s="31"/>
      <x:c r="U255" s="31" t="n">
        <x:v>70.48556714132152</x:v>
      </x:c>
    </x:row>
    <x:row r="256">
      <x:c r="A256" s="31" t="n">
        <x:v>25.400000000000002</x:v>
      </x:c>
      <x:c r="B256" s="31" t="n">
        <x:v>92.1638769048691</x:v>
      </x:c>
      <x:c r="C256" s="31" t="n">
        <x:v>50</x:v>
      </x:c>
      <x:c r="D256" s="31" t="n">
        <x:v>52.20528329243418</x:v>
      </x:c>
      <x:c r="E256" s="31" t="n">
        <x:v>77.70395946218248</x:v>
      </x:c>
      <x:c r="F256" s="31" t="n">
        <x:v>76.0313578326053</x:v>
      </x:c>
      <x:c r="G256" s="31"/>
      <x:c r="H256" s="31" t="n">
        <x:v>73.02017052471763</x:v>
      </x:c>
      <x:c r="I256" s="31" t="n">
        <x:v>79.74179527667161</x:v>
      </x:c>
      <x:c r="J256" s="31"/>
      <x:c r="K256" s="31" t="n">
        <x:v>88.08230965328812</x:v>
      </x:c>
      <x:c r="L256" s="31" t="n">
        <x:v>77.92150762261736</x:v>
      </x:c>
      <x:c r="M256" s="31" t="n">
        <x:v>79.5974648136057</x:v>
      </x:c>
      <x:c r="N256" s="31" t="n">
        <x:v>90.49043725936717</x:v>
      </x:c>
      <x:c r="O256" s="31" t="n">
        <x:v>78.32529145912437</x:v>
      </x:c>
      <x:c r="P256" s="31" t="n">
        <x:v>73.7347681494785</x:v>
      </x:c>
      <x:c r="Q256" s="31"/>
      <x:c r="R256" s="31" t="n">
        <x:v>68.45214609866488</x:v>
      </x:c>
      <x:c r="S256" s="31"/>
      <x:c r="T256" s="31"/>
      <x:c r="U256" s="31" t="n">
        <x:v>70.89724419361278</x:v>
      </x:c>
    </x:row>
    <x:row r="257">
      <x:c r="A257" s="31" t="n">
        <x:v>25.5</x:v>
      </x:c>
      <x:c r="B257" s="31" t="n">
        <x:v>81.60707747068517</x:v>
      </x:c>
      <x:c r="C257" s="31" t="n">
        <x:v>50</x:v>
      </x:c>
      <x:c r="D257" s="31" t="n">
        <x:v>52.34324467920925</x:v>
      </x:c>
      <x:c r="E257" s="31" t="n">
        <x:v>72.84831695377036</x:v>
      </x:c>
      <x:c r="F257" s="31" t="n">
        <x:v>66.22669284955364</x:v>
      </x:c>
      <x:c r="G257" s="31"/>
      <x:c r="H257" s="31" t="n">
        <x:v>75.50117285581968</x:v>
      </x:c>
      <x:c r="I257" s="31" t="n">
        <x:v>71.82035644597917</x:v>
      </x:c>
      <x:c r="J257" s="31"/>
      <x:c r="K257" s="31" t="n">
        <x:v>88.08230965328812</x:v>
      </x:c>
      <x:c r="L257" s="31" t="n">
        <x:v>56.147997965425866</x:v>
      </x:c>
      <x:c r="M257" s="31" t="n">
        <x:v>50</x:v>
      </x:c>
      <x:c r="N257" s="31" t="n">
        <x:v>86.10252425315761</x:v>
      </x:c>
      <x:c r="O257" s="31" t="n">
        <x:v>77.97019238831554</x:v>
      </x:c>
      <x:c r="P257" s="31" t="n">
        <x:v>71.95423780985342</x:v>
      </x:c>
      <x:c r="Q257" s="31"/>
      <x:c r="R257" s="31" t="n">
        <x:v>68.45214609866488</x:v>
      </x:c>
      <x:c r="S257" s="31"/>
      <x:c r="T257" s="31"/>
      <x:c r="U257" s="31" t="n">
        <x:v>70.89724419361278</x:v>
      </x:c>
    </x:row>
    <x:row r="258">
      <x:c r="A258" s="31" t="n">
        <x:v>25.6</x:v>
      </x:c>
      <x:c r="B258" s="31" t="n">
        <x:v>76.43765078426657</x:v>
      </x:c>
      <x:c r="C258" s="31" t="n">
        <x:v>50</x:v>
      </x:c>
      <x:c r="D258" s="31" t="n">
        <x:v>53.758910506307714</x:v>
      </x:c>
      <x:c r="E258" s="31" t="n">
        <x:v>64.16146769502336</x:v>
      </x:c>
      <x:c r="F258" s="31" t="n">
        <x:v>59.40055948288274</x:v>
      </x:c>
      <x:c r="G258" s="31"/>
      <x:c r="H258" s="31" t="n">
        <x:v>75.50117285581968</x:v>
      </x:c>
      <x:c r="I258" s="31" t="n">
        <x:v>57.98658907536599</x:v>
      </x:c>
      <x:c r="J258" s="31"/>
      <x:c r="K258" s="31" t="n">
        <x:v>83.75324600826923</x:v>
      </x:c>
      <x:c r="L258" s="31" t="n">
        <x:v>50.9673386621207</x:v>
      </x:c>
      <x:c r="M258" s="31" t="n">
        <x:v>50</x:v>
      </x:c>
      <x:c r="N258" s="31" t="n">
        <x:v>83.92344701279087</x:v>
      </x:c>
      <x:c r="O258" s="31" t="n">
        <x:v>77.31899935262294</x:v>
      </x:c>
      <x:c r="P258" s="31" t="n">
        <x:v>70.60936605715646</x:v>
      </x:c>
      <x:c r="Q258" s="31"/>
      <x:c r="R258" s="31" t="n">
        <x:v>68.53550543342061</x:v>
      </x:c>
      <x:c r="S258" s="31"/>
      <x:c r="T258" s="31"/>
      <x:c r="U258" s="31" t="n">
        <x:v>69.67134366967784</x:v>
      </x:c>
    </x:row>
    <x:row r="259">
      <x:c r="A259" s="31" t="n">
        <x:v>25.700000000000003</x:v>
      </x:c>
      <x:c r="B259" s="31" t="n">
        <x:v>72.63953681561128</x:v>
      </x:c>
      <x:c r="C259" s="31" t="n">
        <x:v>50</x:v>
      </x:c>
      <x:c r="D259" s="31" t="n">
        <x:v>56.11835355147177</x:v>
      </x:c>
      <x:c r="E259" s="31" t="n">
        <x:v>57.08073384751155</x:v>
      </x:c>
      <x:c r="F259" s="31" t="n">
        <x:v>50</x:v>
      </x:c>
      <x:c r="G259" s="31"/>
      <x:c r="H259" s="31" t="n">
        <x:v>67.39663679888525</x:v>
      </x:c>
      <x:c r="I259" s="31" t="n">
        <x:v>50</x:v>
      </x:c>
      <x:c r="J259" s="31"/>
      <x:c r="K259" s="31" t="n">
        <x:v>74.56825053114443</x:v>
      </x:c>
      <x:c r="L259" s="31" t="n">
        <x:v>55.80403197272354</x:v>
      </x:c>
      <x:c r="M259" s="31" t="n">
        <x:v>50</x:v>
      </x:c>
      <x:c r="N259" s="31" t="n">
        <x:v>81.86606979939756</x:v>
      </x:c>
      <x:c r="O259" s="31" t="n">
        <x:v>77.98750311422894</x:v>
      </x:c>
      <x:c r="P259" s="31" t="n">
        <x:v>70.58556731012791</x:v>
      </x:c>
      <x:c r="Q259" s="31"/>
      <x:c r="R259" s="31" t="n">
        <x:v>68.53550543342077</x:v>
      </x:c>
      <x:c r="S259" s="31"/>
      <x:c r="T259" s="31"/>
      <x:c r="U259" s="31" t="n">
        <x:v>71.16304747208333</x:v>
      </x:c>
    </x:row>
    <x:row r="260">
      <x:c r="A260" s="31" t="n">
        <x:v>25.8</x:v>
      </x:c>
      <x:c r="B260" s="31" t="n">
        <x:v>71.1152370517163</x:v>
      </x:c>
      <x:c r="C260" s="31" t="n">
        <x:v>50</x:v>
      </x:c>
      <x:c r="D260" s="31" t="n">
        <x:v>58.51775517359966</x:v>
      </x:c>
      <x:c r="E260" s="31" t="n">
        <x:v>50</x:v>
      </x:c>
      <x:c r="F260" s="31" t="n">
        <x:v>50</x:v>
      </x:c>
      <x:c r="G260" s="31"/>
      <x:c r="H260" s="31" t="n">
        <x:v>70.07406283704228</x:v>
      </x:c>
      <x:c r="I260" s="31" t="n">
        <x:v>50</x:v>
      </x:c>
      <x:c r="J260" s="31"/>
      <x:c r="K260" s="31" t="n">
        <x:v>72.25934462196768</x:v>
      </x:c>
      <x:c r="L260" s="31" t="n">
        <x:v>60.640725283326205</x:v>
      </x:c>
      <x:c r="M260" s="31" t="n">
        <x:v>50</x:v>
      </x:c>
      <x:c r="N260" s="31" t="n">
        <x:v>81.86606979939756</x:v>
      </x:c>
      <x:c r="O260" s="31" t="n">
        <x:v>78.68463591644235</x:v>
      </x:c>
      <x:c r="P260" s="31" t="n">
        <x:v>70.58556731012791</x:v>
      </x:c>
      <x:c r="Q260" s="31"/>
      <x:c r="R260" s="31" t="n">
        <x:v>70.57519234279852</x:v>
      </x:c>
      <x:c r="S260" s="31"/>
      <x:c r="T260" s="31"/>
      <x:c r="U260" s="31" t="n">
        <x:v>71.40264269216384</x:v>
      </x:c>
    </x:row>
    <x:row r="261">
      <x:c r="A261" s="31" t="n">
        <x:v>25.900000000000002</x:v>
      </x:c>
      <x:c r="B261" s="31" t="n">
        <x:v>69.69410907841194</x:v>
      </x:c>
      <x:c r="C261" s="31" t="n">
        <x:v>74.59125914025618</x:v>
      </x:c>
      <x:c r="D261" s="31" t="n">
        <x:v>59.54144954559307</x:v>
      </x:c>
      <x:c r="E261" s="31" t="n">
        <x:v>56.51240427722793</x:v>
      </x:c>
      <x:c r="F261" s="31" t="n">
        <x:v>62.53474457412554</x:v>
      </x:c>
      <x:c r="G261" s="31"/>
      <x:c r="H261" s="31" t="n">
        <x:v>73.95413740533678</x:v>
      </x:c>
      <x:c r="I261" s="31" t="n">
        <x:v>65.7696974542719</x:v>
      </x:c>
      <x:c r="J261" s="31"/>
      <x:c r="K261" s="31"/>
      <x:c r="L261" s="31" t="n">
        <x:v>65.47741859392904</x:v>
      </x:c>
      <x:c r="M261" s="31" t="n">
        <x:v>50.00000000000558</x:v>
      </x:c>
      <x:c r="N261" s="31" t="n">
        <x:v>82.40158011635745</x:v>
      </x:c>
      <x:c r="O261" s="31" t="n">
        <x:v>78.68463591644235</x:v>
      </x:c>
      <x:c r="P261" s="31" t="n">
        <x:v>70.99666916757207</x:v>
      </x:c>
      <x:c r="Q261" s="31"/>
      <x:c r="R261" s="31" t="n">
        <x:v>70.57519234279846</x:v>
      </x:c>
      <x:c r="S261" s="31"/>
      <x:c r="T261" s="31"/>
      <x:c r="U261" s="31" t="n">
        <x:v>71.590493446763</x:v>
      </x:c>
    </x:row>
    <x:row r="262">
      <x:c r="A262" s="31" t="n">
        <x:v>26</x:v>
      </x:c>
      <x:c r="B262" s="31" t="n">
        <x:v>67.6289486106053</x:v>
      </x:c>
      <x:c r="C262" s="31" t="n">
        <x:v>76.14544347383783</x:v>
      </x:c>
      <x:c r="D262" s="31" t="n">
        <x:v>62.0184505324624</x:v>
      </x:c>
      <x:c r="E262" s="31" t="n">
        <x:v>63.02480855445563</x:v>
      </x:c>
      <x:c r="F262" s="31" t="n">
        <x:v>62.70911816858319</x:v>
      </x:c>
      <x:c r="G262" s="31"/>
      <x:c r="H262" s="31" t="n">
        <x:v>75.27895992162335</x:v>
      </x:c>
      <x:c r="I262" s="31" t="n">
        <x:v>68.76103394451717</x:v>
      </x:c>
      <x:c r="J262" s="31"/>
      <x:c r="K262" s="31"/>
      <x:c r="L262" s="31" t="n">
        <x:v>69.34677324241117</x:v>
      </x:c>
      <x:c r="M262" s="31" t="n">
        <x:v>89.30469779746169</x:v>
      </x:c>
      <x:c r="N262" s="31" t="n">
        <x:v>82.40158011635745</x:v>
      </x:c>
      <x:c r="O262" s="31" t="n">
        <x:v>87.79074029777053</x:v>
      </x:c>
      <x:c r="P262" s="31" t="n">
        <x:v>71.34227825616996</x:v>
      </x:c>
      <x:c r="Q262" s="31"/>
      <x:c r="R262" s="31" t="n">
        <x:v>67.9821906874474</x:v>
      </x:c>
      <x:c r="S262" s="31"/>
      <x:c r="T262" s="31"/>
      <x:c r="U262" s="31" t="n">
        <x:v>71.590493446763</x:v>
      </x:c>
    </x:row>
    <x:row r="263">
      <x:c r="A263" s="31" t="n">
        <x:v>26.1</x:v>
      </x:c>
      <x:c r="B263" s="31" t="n">
        <x:v>68.56265338192016</x:v>
      </x:c>
      <x:c r="C263" s="31" t="n">
        <x:v>75.56966409324889</x:v>
      </x:c>
      <x:c r="D263" s="31" t="n">
        <x:v>68.21095299963596</x:v>
      </x:c>
      <x:c r="E263" s="31" t="n">
        <x:v>65.6297702653467</x:v>
      </x:c>
      <x:c r="F263" s="31" t="n">
        <x:v>65.88068836744547</x:v>
      </x:c>
      <x:c r="G263" s="31"/>
      <x:c r="H263" s="31" t="n">
        <x:v>75.9053764910807</x:v>
      </x:c>
      <x:c r="I263" s="31" t="n">
        <x:v>72.51436238459527</x:v>
      </x:c>
      <x:c r="J263" s="31"/>
      <x:c r="K263" s="31"/>
      <x:c r="L263" s="31" t="n">
        <x:v>88.7799864847182</x:v>
      </x:c>
      <x:c r="M263" s="31" t="n">
        <x:v>89.30469779746169</x:v>
      </x:c>
      <x:c r="N263" s="31" t="n">
        <x:v>81.72025383245307</x:v>
      </x:c>
      <x:c r="O263" s="31" t="n">
        <x:v>88.55084260258631</x:v>
      </x:c>
      <x:c r="P263" s="31" t="n">
        <x:v>71.34227825616996</x:v>
      </x:c>
      <x:c r="Q263" s="31"/>
      <x:c r="R263" s="31" t="n">
        <x:v>67.84109903034275</x:v>
      </x:c>
      <x:c r="S263" s="31"/>
      <x:c r="T263" s="31"/>
      <x:c r="U263" s="31" t="n">
        <x:v>71.63049163778209</x:v>
      </x:c>
    </x:row>
    <x:row r="264">
      <x:c r="A264" s="31" t="n">
        <x:v>26.200000000000003</x:v>
      </x:c>
      <x:c r="B264" s="31" t="n">
        <x:v>68.56265338192016</x:v>
      </x:c>
      <x:c r="C264" s="31" t="n">
        <x:v>66.90907499157841</x:v>
      </x:c>
      <x:c r="D264" s="31" t="n">
        <x:v>71.92645447993998</x:v>
      </x:c>
      <x:c r="E264" s="31" t="n">
        <x:v>69.32202648198903</x:v>
      </x:c>
      <x:c r="F264" s="31" t="n">
        <x:v>70.63804366573848</x:v>
      </x:c>
      <x:c r="G264" s="31"/>
      <x:c r="H264" s="31" t="n">
        <x:v>77.03355841523452</x:v>
      </x:c>
      <x:c r="I264" s="31" t="n">
        <x:v>72.5143623845952</x:v>
      </x:c>
      <x:c r="J264" s="31"/>
      <x:c r="K264" s="31"/>
      <x:c r="L264" s="31" t="n">
        <x:v>88.7799864847182</x:v>
      </x:c>
      <x:c r="M264" s="31" t="n">
        <x:v>85.6461491452789</x:v>
      </x:c>
      <x:c r="N264" s="31" t="n">
        <x:v>82.23347322792439</x:v>
      </x:c>
      <x:c r="O264" s="31" t="n">
        <x:v>87.67938069301175</x:v>
      </x:c>
      <x:c r="P264" s="31" t="n">
        <x:v>69.96586741416569</x:v>
      </x:c>
      <x:c r="Q264" s="31"/>
      <x:c r="R264" s="31" t="n">
        <x:v>62.74610246228452</x:v>
      </x:c>
      <x:c r="S264" s="31"/>
      <x:c r="T264" s="31"/>
      <x:c r="U264" s="31" t="n">
        <x:v>79.55138124808387</x:v>
      </x:c>
    </x:row>
    <x:row r="265">
      <x:c r="A265" s="31" t="n">
        <x:v>26.3</x:v>
      </x:c>
      <x:c r="B265" s="31" t="n">
        <x:v>63.83882370659528</x:v>
      </x:c>
      <x:c r="C265" s="31" t="n">
        <x:v>62.89285318019817</x:v>
      </x:c>
      <x:c r="D265" s="31" t="n">
        <x:v>71.92645447993998</x:v>
      </x:c>
      <x:c r="E265" s="31" t="n">
        <x:v>75.47578684305921</x:v>
      </x:c>
      <x:c r="F265" s="31" t="n">
        <x:v>70.63804366573848</x:v>
      </x:c>
      <x:c r="G265" s="31"/>
      <x:c r="H265" s="31" t="n">
        <x:v>77.03355841523452</x:v>
      </x:c>
      <x:c r="I265" s="31" t="n">
        <x:v>64.045912917853</x:v>
      </x:c>
      <x:c r="J265" s="31"/>
      <x:c r="K265" s="31"/>
      <x:c r="L265" s="31" t="n">
        <x:v>85.52245458597568</x:v>
      </x:c>
      <x:c r="M265" s="31" t="n">
        <x:v>83.68123110500264</x:v>
      </x:c>
      <x:c r="N265" s="31" t="n">
        <x:v>82.97915166418056</x:v>
      </x:c>
      <x:c r="O265" s="31" t="n">
        <x:v>75.11060589212636</x:v>
      </x:c>
      <x:c r="P265" s="31" t="n">
        <x:v>69.91002463306597</x:v>
      </x:c>
      <x:c r="Q265" s="31"/>
      <x:c r="R265" s="31" t="n">
        <x:v>78.32312727486394</x:v>
      </x:c>
      <x:c r="S265" s="31"/>
      <x:c r="T265" s="31"/>
      <x:c r="U265" s="31" t="n">
        <x:v>87.91975261610057</x:v>
      </x:c>
    </x:row>
    <x:row r="266">
      <x:c r="A266" s="31" t="n">
        <x:v>26.400000000000002</x:v>
      </x:c>
      <x:c r="B266" s="31" t="n">
        <x:v>63.500796524445626</x:v>
      </x:c>
      <x:c r="C266" s="31" t="n">
        <x:v>66.86706506309332</x:v>
      </x:c>
      <x:c r="D266" s="31" t="n">
        <x:v>67.449758256773</x:v>
      </x:c>
      <x:c r="E266" s="31" t="n">
        <x:v>75.47578684305921</x:v>
      </x:c>
      <x:c r="F266" s="31" t="n">
        <x:v>60.00934440982473</x:v>
      </x:c>
      <x:c r="G266" s="31"/>
      <x:c r="H266" s="31" t="n">
        <x:v>76.74792608567871</x:v>
      </x:c>
      <x:c r="I266" s="31" t="n">
        <x:v>67.594623946294</x:v>
      </x:c>
      <x:c r="J266" s="31"/>
      <x:c r="K266" s="31"/>
      <x:c r="L266" s="31" t="n">
        <x:v>81.51716201178195</x:v>
      </x:c>
      <x:c r="M266" s="31" t="n">
        <x:v>81.97219705334936</x:v>
      </x:c>
      <x:c r="N266" s="31" t="n">
        <x:v>82.36640646494281</x:v>
      </x:c>
      <x:c r="O266" s="31" t="n">
        <x:v>50</x:v>
      </x:c>
      <x:c r="P266" s="31" t="n">
        <x:v>75.36269184335121</x:v>
      </x:c>
      <x:c r="Q266" s="31"/>
      <x:c r="R266" s="31" t="n">
        <x:v>78.84728260074627</x:v>
      </x:c>
      <x:c r="S266" s="31"/>
      <x:c r="T266" s="31"/>
      <x:c r="U266" s="31" t="n">
        <x:v>89.5934268897039</x:v>
      </x:c>
    </x:row>
    <x:row r="267">
      <x:c r="A267" s="31" t="n">
        <x:v>26.5</x:v>
      </x:c>
      <x:c r="B267" s="31" t="n">
        <x:v>62.725979196540614</x:v>
      </x:c>
      <x:c r="C267" s="31" t="n">
        <x:v>67.75434542475114</x:v>
      </x:c>
      <x:c r="D267" s="31" t="n">
        <x:v>61.61733855891856</x:v>
      </x:c>
      <x:c r="E267" s="31" t="n">
        <x:v>73.01117944191074</x:v>
      </x:c>
      <x:c r="F267" s="31" t="n">
        <x:v>55.34013455496321</x:v>
      </x:c>
      <x:c r="G267" s="31"/>
      <x:c r="H267" s="31" t="n">
        <x:v>77.43540938284889</x:v>
      </x:c>
      <x:c r="I267" s="31" t="n">
        <x:v>70.86648115143497</x:v>
      </x:c>
      <x:c r="J267" s="31"/>
      <x:c r="K267" s="31"/>
      <x:c r="L267" s="31" t="n">
        <x:v>78.09083751342926</x:v>
      </x:c>
      <x:c r="M267" s="31" t="n">
        <x:v>80.5843801149731</x:v>
      </x:c>
      <x:c r="N267" s="31" t="n">
        <x:v>84.1223481002039</x:v>
      </x:c>
      <x:c r="O267" s="31" t="n">
        <x:v>50</x:v>
      </x:c>
      <x:c r="P267" s="31" t="n">
        <x:v>79.13919390202396</x:v>
      </x:c>
      <x:c r="Q267" s="31"/>
      <x:c r="R267" s="31" t="n">
        <x:v>77.50355496333648</x:v>
      </x:c>
      <x:c r="S267" s="31"/>
      <x:c r="T267" s="31"/>
      <x:c r="U267" s="31" t="n">
        <x:v>88.36028940392914</x:v>
      </x:c>
    </x:row>
    <x:row r="268">
      <x:c r="A268" s="31" t="n">
        <x:v>26.6</x:v>
      </x:c>
      <x:c r="B268" s="31" t="n">
        <x:v>74.12765779297345</x:v>
      </x:c>
      <x:c r="C268" s="31" t="n">
        <x:v>69.59767185502328</x:v>
      </x:c>
      <x:c r="D268" s="31" t="n">
        <x:v>62.0340888347247</x:v>
      </x:c>
      <x:c r="E268" s="31" t="n">
        <x:v>64.95802750327428</x:v>
      </x:c>
      <x:c r="F268" s="31" t="n">
        <x:v>62.31432394827122</x:v>
      </x:c>
      <x:c r="G268" s="31"/>
      <x:c r="H268" s="31" t="n">
        <x:v>77.43540938284889</x:v>
      </x:c>
      <x:c r="I268" s="31" t="n">
        <x:v>70.86648115143497</x:v>
      </x:c>
      <x:c r="J268" s="31"/>
      <x:c r="K268" s="31"/>
      <x:c r="L268" s="31" t="n">
        <x:v>77.01533087985777</x:v>
      </x:c>
      <x:c r="M268" s="31" t="n">
        <x:v>82.07709004064981</x:v>
      </x:c>
      <x:c r="N268" s="31" t="n">
        <x:v>89.09140148976469</x:v>
      </x:c>
      <x:c r="O268" s="31" t="n">
        <x:v>50</x:v>
      </x:c>
      <x:c r="P268" s="31" t="n">
        <x:v>79.13919390202396</x:v>
      </x:c>
      <x:c r="Q268" s="31"/>
      <x:c r="R268" s="31" t="n">
        <x:v>66.36880517254072</x:v>
      </x:c>
      <x:c r="S268" s="31"/>
      <x:c r="T268" s="31"/>
      <x:c r="U268" s="31" t="n">
        <x:v>78.70883977652014</x:v>
      </x:c>
    </x:row>
    <x:row r="269">
      <x:c r="A269" s="31" t="n">
        <x:v>26.700000000000003</x:v>
      </x:c>
      <x:c r="B269" s="31" t="n">
        <x:v>75.91301377416488</x:v>
      </x:c>
      <x:c r="C269" s="31" t="n">
        <x:v>69.59767185502328</x:v>
      </x:c>
      <x:c r="D269" s="31" t="n">
        <x:v>64.4138602858448</x:v>
      </x:c>
      <x:c r="E269" s="31" t="n">
        <x:v>64.3229991139958</x:v>
      </x:c>
      <x:c r="F269" s="31" t="n">
        <x:v>65.84228099913635</x:v>
      </x:c>
      <x:c r="G269" s="31"/>
      <x:c r="H269" s="31" t="n">
        <x:v>76.46543213640383</x:v>
      </x:c>
      <x:c r="I269" s="31" t="n">
        <x:v>69.40872702572625</x:v>
      </x:c>
      <x:c r="J269" s="31"/>
      <x:c r="K269" s="31"/>
      <x:c r="L269" s="31" t="n">
        <x:v>77.01533087985777</x:v>
      </x:c>
      <x:c r="M269" s="31" t="n">
        <x:v>82.07709004064981</x:v>
      </x:c>
      <x:c r="N269" s="31" t="n">
        <x:v>91.32154479917193</x:v>
      </x:c>
      <x:c r="O269" s="31" t="n">
        <x:v>50.00000000000644</x:v>
      </x:c>
      <x:c r="P269" s="31" t="n">
        <x:v>70.85827823246605</x:v>
      </x:c>
      <x:c r="Q269" s="31"/>
      <x:c r="R269" s="31" t="n">
        <x:v>50.750661843889965</x:v>
      </x:c>
      <x:c r="S269" s="31"/>
      <x:c r="T269" s="31"/>
      <x:c r="U269" s="31" t="n">
        <x:v>77.21617985716544</x:v>
      </x:c>
    </x:row>
    <x:row r="270">
      <x:c r="A270" s="31" t="n">
        <x:v>26.8</x:v>
      </x:c>
      <x:c r="B270" s="31" t="n">
        <x:v>75.91301377416488</x:v>
      </x:c>
      <x:c r="C270" s="31" t="n">
        <x:v>69.61725769076922</x:v>
      </x:c>
      <x:c r="D270" s="31" t="n">
        <x:v>65.38719294569383</x:v>
      </x:c>
      <x:c r="E270" s="31" t="n">
        <x:v>68.09119890099518</x:v>
      </x:c>
      <x:c r="F270" s="31" t="n">
        <x:v>68.29290932826999</x:v>
      </x:c>
      <x:c r="G270" s="31"/>
      <x:c r="H270" s="31" t="n">
        <x:v>74.63797752890862</x:v>
      </x:c>
      <x:c r="I270" s="31" t="n">
        <x:v>69.54874796562056</x:v>
      </x:c>
      <x:c r="J270" s="31"/>
      <x:c r="K270" s="31"/>
      <x:c r="L270" s="31" t="n">
        <x:v>75.70956994647644</x:v>
      </x:c>
      <x:c r="M270" s="31" t="n">
        <x:v>81.34727560484188</x:v>
      </x:c>
      <x:c r="N270" s="31" t="n">
        <x:v>91.32154479917193</x:v>
      </x:c>
      <x:c r="O270" s="31" t="n">
        <x:v>89.99821567310889</x:v>
      </x:c>
      <x:c r="P270" s="31" t="n">
        <x:v>50</x:v>
      </x:c>
      <x:c r="Q270" s="31"/>
      <x:c r="R270" s="31" t="n">
        <x:v>54.50397106333914</x:v>
      </x:c>
      <x:c r="S270" s="31"/>
      <x:c r="T270" s="31"/>
      <x:c r="U270" s="31" t="n">
        <x:v>64.11935016443418</x:v>
      </x:c>
    </x:row>
    <x:row r="271">
      <x:c r="A271" s="31" t="n">
        <x:v>26.900000000000002</x:v>
      </x:c>
      <x:c r="B271" s="31" t="n">
        <x:v>73.10860020726257</x:v>
      </x:c>
      <x:c r="C271" s="31" t="n">
        <x:v>69.91695946416615</x:v>
      </x:c>
      <x:c r="D271" s="31" t="n">
        <x:v>65.3091215191503</x:v>
      </x:c>
      <x:c r="E271" s="31" t="n">
        <x:v>68.09119890099518</x:v>
      </x:c>
      <x:c r="F271" s="31" t="n">
        <x:v>68.29290932826999</x:v>
      </x:c>
      <x:c r="G271" s="31"/>
      <x:c r="H271" s="31" t="n">
        <x:v>73.27170865777057</x:v>
      </x:c>
      <x:c r="I271" s="31" t="n">
        <x:v>70.24967900575143</x:v>
      </x:c>
      <x:c r="J271" s="31"/>
      <x:c r="K271" s="31"/>
      <x:c r="L271" s="31" t="n">
        <x:v>76.06178247455266</x:v>
      </x:c>
      <x:c r="M271" s="31" t="n">
        <x:v>81.46808773280891</x:v>
      </x:c>
      <x:c r="N271" s="31" t="n">
        <x:v>83.14373807677539</x:v>
      </x:c>
      <x:c r="O271" s="31" t="n">
        <x:v>93.67187125499183</x:v>
      </x:c>
      <x:c r="P271" s="31" t="n">
        <x:v>50</x:v>
      </x:c>
      <x:c r="Q271" s="31"/>
      <x:c r="R271" s="31" t="n">
        <x:v>58.25728028278844</x:v>
      </x:c>
      <x:c r="S271" s="31"/>
      <x:c r="T271" s="31"/>
      <x:c r="U271" s="31" t="n">
        <x:v>57.56492412098314</x:v>
      </x:c>
    </x:row>
    <x:row r="272">
      <x:c r="A272" s="31" t="n">
        <x:v>27</x:v>
      </x:c>
      <x:c r="B272" s="31" t="n">
        <x:v>67.56488640641909</x:v>
      </x:c>
      <x:c r="C272" s="31" t="n">
        <x:v>69.91695946416615</x:v>
      </x:c>
      <x:c r="D272" s="31" t="n">
        <x:v>65.3091215191503</x:v>
      </x:c>
      <x:c r="E272" s="31" t="n">
        <x:v>66.78244476468905</x:v>
      </x:c>
      <x:c r="F272" s="31" t="n">
        <x:v>67.78016270847456</x:v>
      </x:c>
      <x:c r="G272" s="31"/>
      <x:c r="H272" s="31" t="n">
        <x:v>81.62259646199794</x:v>
      </x:c>
      <x:c r="I272" s="31" t="n">
        <x:v>71.29340869911408</x:v>
      </x:c>
      <x:c r="J272" s="31"/>
      <x:c r="K272" s="31"/>
      <x:c r="L272" s="31" t="n">
        <x:v>76.29441513929349</x:v>
      </x:c>
      <x:c r="M272" s="31" t="n">
        <x:v>81.46808773280891</x:v>
      </x:c>
      <x:c r="N272" s="31" t="n">
        <x:v>65.92747782495816</x:v>
      </x:c>
      <x:c r="O272" s="31" t="n">
        <x:v>94.73855142794498</x:v>
      </x:c>
      <x:c r="P272" s="31" t="n">
        <x:v>50</x:v>
      </x:c>
      <x:c r="Q272" s="31"/>
      <x:c r="R272" s="31" t="n">
        <x:v>62.97751640437881</x:v>
      </x:c>
      <x:c r="S272" s="31"/>
      <x:c r="T272" s="31"/>
      <x:c r="U272" s="31" t="n">
        <x:v>50</x:v>
      </x:c>
    </x:row>
    <x:row r="273">
      <x:c r="A273" s="31" t="n">
        <x:v>27.1</x:v>
      </x:c>
      <x:c r="B273" s="31" t="n">
        <x:v>64.21803597281051</x:v>
      </x:c>
      <x:c r="C273" s="31" t="n">
        <x:v>69.37135979745254</x:v>
      </x:c>
      <x:c r="D273" s="31" t="n">
        <x:v>63.543401524843304</x:v>
      </x:c>
      <x:c r="E273" s="31" t="n">
        <x:v>68.31187003873083</x:v>
      </x:c>
      <x:c r="F273" s="31" t="n">
        <x:v>67.08982260258497</x:v>
      </x:c>
      <x:c r="G273" s="31"/>
      <x:c r="H273" s="31" t="n">
        <x:v>82.51168101207952</x:v>
      </x:c>
      <x:c r="I273" s="31" t="n">
        <x:v>71.66146459007602</x:v>
      </x:c>
      <x:c r="J273" s="31"/>
      <x:c r="K273" s="31"/>
      <x:c r="L273" s="31" t="n">
        <x:v>77.02791743007576</x:v>
      </x:c>
      <x:c r="M273" s="31" t="n">
        <x:v>81.06768726427214</x:v>
      </x:c>
      <x:c r="N273" s="31" t="n">
        <x:v>50</x:v>
      </x:c>
      <x:c r="O273" s="31" t="n">
        <x:v>94.73855142794498</x:v>
      </x:c>
      <x:c r="P273" s="31" t="n">
        <x:v>50</x:v>
      </x:c>
      <x:c r="Q273" s="31"/>
      <x:c r="R273" s="31" t="n">
        <x:v>79.07876976681976</x:v>
      </x:c>
      <x:c r="S273" s="31"/>
      <x:c r="T273" s="31"/>
      <x:c r="U273" s="31" t="n">
        <x:v>50.93210689311431</x:v>
      </x:c>
    </x:row>
    <x:row r="274">
      <x:c r="A274" s="31" t="n">
        <x:v>27.200000000000003</x:v>
      </x:c>
      <x:c r="B274" s="31" t="n">
        <x:v>65.20862601096513</x:v>
      </x:c>
      <x:c r="C274" s="31" t="n">
        <x:v>69.37135979745256</x:v>
      </x:c>
      <x:c r="D274" s="31" t="n">
        <x:v>65.25967123604123</x:v>
      </x:c>
      <x:c r="E274" s="31" t="n">
        <x:v>68.31187003873083</x:v>
      </x:c>
      <x:c r="F274" s="31" t="n">
        <x:v>67.56186296219822</x:v>
      </x:c>
      <x:c r="G274" s="31"/>
      <x:c r="H274" s="31" t="n">
        <x:v>81.76093903000005</x:v>
      </x:c>
      <x:c r="I274" s="31" t="n">
        <x:v>70.74341096904503</x:v>
      </x:c>
      <x:c r="J274" s="31"/>
      <x:c r="K274" s="31"/>
      <x:c r="L274" s="31" t="n">
        <x:v>79.0437803557989</x:v>
      </x:c>
      <x:c r="M274" s="31" t="n">
        <x:v>87.53737358578428</x:v>
      </x:c>
      <x:c r="N274" s="31" t="n">
        <x:v>50</x:v>
      </x:c>
      <x:c r="O274" s="31" t="n">
        <x:v>86.7615905200002</x:v>
      </x:c>
      <x:c r="P274" s="31" t="n">
        <x:v>50</x:v>
      </x:c>
      <x:c r="Q274" s="31"/>
      <x:c r="R274" s="31" t="n">
        <x:v>79.07876976681976</x:v>
      </x:c>
      <x:c r="S274" s="31"/>
      <x:c r="T274" s="31"/>
      <x:c r="U274" s="31" t="n">
        <x:v>66.48759333711082</x:v>
      </x:c>
    </x:row>
    <x:row r="275">
      <x:c r="A275" s="31" t="n">
        <x:v>27.3</x:v>
      </x:c>
      <x:c r="B275" s="31" t="n">
        <x:v>62.034640903493255</x:v>
      </x:c>
      <x:c r="C275" s="31" t="n">
        <x:v>70.01038182241135</x:v>
      </x:c>
      <x:c r="D275" s="31" t="n">
        <x:v>65.25967123604123</x:v>
      </x:c>
      <x:c r="E275" s="31" t="n">
        <x:v>66.15547826261614</x:v>
      </x:c>
      <x:c r="F275" s="31" t="n">
        <x:v>67.09377238461511</x:v>
      </x:c>
      <x:c r="G275" s="31"/>
      <x:c r="H275" s="31" t="n">
        <x:v>71.0953438282966</x:v>
      </x:c>
      <x:c r="I275" s="31" t="n">
        <x:v>67.98663748724323</x:v>
      </x:c>
      <x:c r="J275" s="31"/>
      <x:c r="K275" s="31"/>
      <x:c r="L275" s="31" t="n">
        <x:v>79.0437803557989</x:v>
      </x:c>
      <x:c r="M275" s="31" t="n">
        <x:v>93.45336180520738</x:v>
      </x:c>
      <x:c r="N275" s="31" t="n">
        <x:v>50</x:v>
      </x:c>
      <x:c r="O275" s="31" t="n">
        <x:v>81.48888009871212</x:v>
      </x:c>
      <x:c r="P275" s="31" t="n">
        <x:v>78.95807982650959</x:v>
      </x:c>
      <x:c r="Q275" s="31"/>
      <x:c r="R275" s="31" t="n">
        <x:v>72.88145857876849</x:v>
      </x:c>
      <x:c r="S275" s="31"/>
      <x:c r="T275" s="31"/>
      <x:c r="U275" s="31" t="n">
        <x:v>69.94039109182293</x:v>
      </x:c>
    </x:row>
    <x:row r="276">
      <x:c r="A276" s="31" t="n">
        <x:v>27.400000000000002</x:v>
      </x:c>
      <x:c r="B276" s="31" t="n">
        <x:v>63.15613654445084</x:v>
      </x:c>
      <x:c r="C276" s="31" t="n">
        <x:v>70.01038182241133</x:v>
      </x:c>
      <x:c r="D276" s="31" t="n">
        <x:v>64.37445218955128</x:v>
      </x:c>
      <x:c r="E276" s="31" t="n">
        <x:v>66.56452027242257</x:v>
      </x:c>
      <x:c r="F276" s="31" t="n">
        <x:v>67.0200701266377</x:v>
      </x:c>
      <x:c r="G276" s="31"/>
      <x:c r="H276" s="31" t="n">
        <x:v>57.98530639985519</x:v>
      </x:c>
      <x:c r="I276" s="31" t="n">
        <x:v>66.82469972037282</x:v>
      </x:c>
      <x:c r="J276" s="31"/>
      <x:c r="K276" s="31"/>
      <x:c r="L276" s="31" t="n">
        <x:v>78.13382265963702</x:v>
      </x:c>
      <x:c r="M276" s="31" t="n">
        <x:v>93.45336180520738</x:v>
      </x:c>
      <x:c r="N276" s="31" t="n">
        <x:v>68.65868582007326</x:v>
      </x:c>
      <x:c r="O276" s="31" t="n">
        <x:v>81.15177017555322</x:v>
      </x:c>
      <x:c r="P276" s="31" t="n">
        <x:v>79.23134429982912</x:v>
      </x:c>
      <x:c r="Q276" s="31"/>
      <x:c r="R276" s="31" t="n">
        <x:v>70.73689287953106</x:v>
      </x:c>
      <x:c r="S276" s="31"/>
      <x:c r="T276" s="31"/>
      <x:c r="U276" s="31" t="n">
        <x:v>83.49974310214242</x:v>
      </x:c>
    </x:row>
    <x:row r="277">
      <x:c r="A277" s="31" t="n">
        <x:v>27.5</x:v>
      </x:c>
      <x:c r="B277" s="31" t="n">
        <x:v>63.919478906795675</x:v>
      </x:c>
      <x:c r="C277" s="31" t="n">
        <x:v>77.04445474923696</x:v>
      </x:c>
      <x:c r="D277" s="31" t="n">
        <x:v>64.76239547342485</x:v>
      </x:c>
      <x:c r="E277" s="31" t="n">
        <x:v>70.44840952787304</x:v>
      </x:c>
      <x:c r="F277" s="31" t="n">
        <x:v>67.15509141831029</x:v>
      </x:c>
      <x:c r="G277" s="31"/>
      <x:c r="H277" s="31" t="n">
        <x:v>61.027260647605914</x:v>
      </x:c>
      <x:c r="I277" s="31" t="n">
        <x:v>64.6778385700972</x:v>
      </x:c>
      <x:c r="J277" s="31"/>
      <x:c r="K277" s="31"/>
      <x:c r="L277" s="31" t="n">
        <x:v>76.17024524893202</x:v>
      </x:c>
      <x:c r="M277" s="31" t="n">
        <x:v>86.29683623732348</x:v>
      </x:c>
      <x:c r="N277" s="31" t="n">
        <x:v>90.87063094038426</x:v>
      </x:c>
      <x:c r="O277" s="31" t="n">
        <x:v>80.83208973170049</x:v>
      </x:c>
      <x:c r="P277" s="31" t="n">
        <x:v>77.1750767572371</x:v>
      </x:c>
      <x:c r="Q277" s="31"/>
      <x:c r="R277" s="31" t="n">
        <x:v>69.12965649449417</x:v>
      </x:c>
      <x:c r="S277" s="31"/>
      <x:c r="T277" s="31"/>
      <x:c r="U277" s="31" t="n">
        <x:v>83.49974310214242</x:v>
      </x:c>
    </x:row>
    <x:row r="278">
      <x:c r="A278" s="31" t="n">
        <x:v>27.6</x:v>
      </x:c>
      <x:c r="B278" s="31" t="n">
        <x:v>63.919478906795675</x:v>
      </x:c>
      <x:c r="C278" s="31" t="n">
        <x:v>81.42551508049814</x:v>
      </x:c>
      <x:c r="D278" s="31" t="n">
        <x:v>64.53797871295184</x:v>
      </x:c>
      <x:c r="E278" s="31" t="n">
        <x:v>85.22768188526277</x:v>
      </x:c>
      <x:c r="F278" s="31" t="n">
        <x:v>67.15509141831029</x:v>
      </x:c>
      <x:c r="G278" s="31"/>
      <x:c r="H278" s="31" t="n">
        <x:v>64.06921489535674</x:v>
      </x:c>
      <x:c r="I278" s="31" t="n">
        <x:v>79.50942365084194</x:v>
      </x:c>
      <x:c r="J278" s="31"/>
      <x:c r="K278" s="31"/>
      <x:c r="L278" s="31" t="n">
        <x:v>72.91845375835436</x:v>
      </x:c>
      <x:c r="M278" s="31" t="n">
        <x:v>75.45478741945371</x:v>
      </x:c>
      <x:c r="N278" s="31" t="n">
        <x:v>91.89002665796005</x:v>
      </x:c>
      <x:c r="O278" s="31" t="n">
        <x:v>80.65537516552874</x:v>
      </x:c>
      <x:c r="P278" s="31" t="n">
        <x:v>70.51954730851865</x:v>
      </x:c>
      <x:c r="Q278" s="31"/>
      <x:c r="R278" s="31" t="n">
        <x:v>69.12965649449417</x:v>
      </x:c>
      <x:c r="S278" s="31"/>
      <x:c r="T278" s="31"/>
      <x:c r="U278" s="31" t="n">
        <x:v>80.44010092582789</x:v>
      </x:c>
    </x:row>
    <x:row r="279">
      <x:c r="A279" s="31" t="n">
        <x:v>27.700000000000003</x:v>
      </x:c>
      <x:c r="B279" s="31" t="n">
        <x:v>65.27913875790259</x:v>
      </x:c>
      <x:c r="C279" s="31" t="n">
        <x:v>81.42551508049814</x:v>
      </x:c>
      <x:c r="D279" s="31" t="n">
        <x:v>64.18859092090105</x:v>
      </x:c>
      <x:c r="E279" s="31" t="n">
        <x:v>85.70227071089602</x:v>
      </x:c>
      <x:c r="F279" s="31" t="n">
        <x:v>63.49938026128179</x:v>
      </x:c>
      <x:c r="G279" s="31"/>
      <x:c r="H279" s="31" t="n">
        <x:v>67.11116914310757</x:v>
      </x:c>
      <x:c r="I279" s="31" t="n">
        <x:v>79.53760774850113</x:v>
      </x:c>
      <x:c r="J279" s="31"/>
      <x:c r="K279" s="31"/>
      <x:c r="L279" s="31" t="n">
        <x:v>83.87338090864785</x:v>
      </x:c>
      <x:c r="M279" s="31" t="n">
        <x:v>50</x:v>
      </x:c>
      <x:c r="N279" s="31" t="n">
        <x:v>94.14497916689962</x:v>
      </x:c>
      <x:c r="O279" s="31" t="n">
        <x:v>80.92865407800466</x:v>
      </x:c>
      <x:c r="P279" s="31" t="n">
        <x:v>70.46945305231678</x:v>
      </x:c>
      <x:c r="Q279" s="31"/>
      <x:c r="R279" s="31" t="n">
        <x:v>68.08377517633507</x:v>
      </x:c>
      <x:c r="S279" s="31"/>
      <x:c r="T279" s="31"/>
      <x:c r="U279" s="31" t="n">
        <x:v>71.82613993053023</x:v>
      </x:c>
    </x:row>
    <x:row r="280">
      <x:c r="A280" s="31" t="n">
        <x:v>27.8</x:v>
      </x:c>
      <x:c r="B280" s="31" t="n">
        <x:v>65.9551979291962</x:v>
      </x:c>
      <x:c r="C280" s="31" t="n">
        <x:v>73.13613147347002</x:v>
      </x:c>
      <x:c r="D280" s="31" t="n">
        <x:v>64.18859092090105</x:v>
      </x:c>
      <x:c r="E280" s="31" t="n">
        <x:v>84.98648714215918</x:v>
      </x:c>
      <x:c r="F280" s="31" t="n">
        <x:v>79.16159191621264</x:v>
      </x:c>
      <x:c r="G280" s="31"/>
      <x:c r="H280" s="31" t="n">
        <x:v>67.71955999265761</x:v>
      </x:c>
      <x:c r="I280" s="31" t="n">
        <x:v>76.25442185260734</x:v>
      </x:c>
      <x:c r="J280" s="31"/>
      <x:c r="K280" s="31"/>
      <x:c r="L280" s="31" t="n">
        <x:v>88.90290841886451</x:v>
      </x:c>
      <x:c r="M280" s="31" t="n">
        <x:v>50</x:v>
      </x:c>
      <x:c r="N280" s="31" t="n">
        <x:v>94.14497916689962</x:v>
      </x:c>
      <x:c r="O280" s="31" t="n">
        <x:v>92.07766339430802</x:v>
      </x:c>
      <x:c r="P280" s="31" t="n">
        <x:v>70.30515650526698</x:v>
      </x:c>
      <x:c r="Q280" s="31"/>
      <x:c r="R280" s="31" t="n">
        <x:v>68.07770986386019</x:v>
      </x:c>
      <x:c r="S280" s="31"/>
      <x:c r="T280" s="31"/>
      <x:c r="U280" s="31" t="n">
        <x:v>69.94268891914506</x:v>
      </x:c>
    </x:row>
    <x:row r="281">
      <x:c r="A281" s="31" t="n">
        <x:v>27.900000000000002</x:v>
      </x:c>
      <x:c r="B281" s="31" t="n">
        <x:v>63.98061843253101</x:v>
      </x:c>
      <x:c r="C281" s="31" t="n">
        <x:v>62.606375859300876</x:v>
      </x:c>
      <x:c r="D281" s="31" t="n">
        <x:v>81.08237327852899</x:v>
      </x:c>
      <x:c r="E281" s="31" t="n">
        <x:v>77.0718423809531</x:v>
      </x:c>
      <x:c r="F281" s="31" t="n">
        <x:v>79.83485251010521</x:v>
      </x:c>
      <x:c r="G281" s="31"/>
      <x:c r="H281" s="31" t="n">
        <x:v>76.41724260173285</x:v>
      </x:c>
      <x:c r="I281" s="31" t="n">
        <x:v>62.07619491526325</x:v>
      </x:c>
      <x:c r="J281" s="31"/>
      <x:c r="K281" s="31"/>
      <x:c r="L281" s="31" t="n">
        <x:v>88.90290841886451</x:v>
      </x:c>
      <x:c r="M281" s="31" t="n">
        <x:v>50</x:v>
      </x:c>
      <x:c r="N281" s="31" t="n">
        <x:v>87.010018632038</x:v>
      </x:c>
      <x:c r="O281" s="31" t="n">
        <x:v>92.07766339430802</x:v>
      </x:c>
      <x:c r="P281" s="31" t="n">
        <x:v>70.30515650526684</x:v>
      </x:c>
      <x:c r="Q281" s="31"/>
      <x:c r="R281" s="31" t="n">
        <x:v>68.15887289388884</x:v>
      </x:c>
      <x:c r="S281" s="31"/>
      <x:c r="T281" s="31"/>
      <x:c r="U281" s="31" t="n">
        <x:v>69.942688919145</x:v>
      </x:c>
    </x:row>
    <x:row r="282">
      <x:c r="A282" s="31" t="n">
        <x:v>28</x:v>
      </x:c>
      <x:c r="B282" s="31" t="n">
        <x:v>66.16802993254909</x:v>
      </x:c>
      <x:c r="C282" s="31" t="n">
        <x:v>50</x:v>
      </x:c>
      <x:c r="D282" s="31" t="n">
        <x:v>81.73931353318011</x:v>
      </x:c>
      <x:c r="E282" s="31" t="n">
        <x:v>69.28819667484908</x:v>
      </x:c>
      <x:c r="F282" s="31" t="n">
        <x:v>79.27355051839547</x:v>
      </x:c>
      <x:c r="G282" s="31"/>
      <x:c r="H282" s="31" t="n">
        <x:v>76.41724260173285</x:v>
      </x:c>
      <x:c r="I282" s="31" t="n">
        <x:v>54.76636314829679</x:v>
      </x:c>
      <x:c r="J282" s="31"/>
      <x:c r="K282" s="31"/>
      <x:c r="L282" s="31" t="n">
        <x:v>82.42053533224413</x:v>
      </x:c>
      <x:c r="M282" s="31" t="n">
        <x:v>50</x:v>
      </x:c>
      <x:c r="N282" s="31" t="n">
        <x:v>83.84225393646959</x:v>
      </x:c>
      <x:c r="O282" s="31" t="n">
        <x:v>91.44873956108518</x:v>
      </x:c>
      <x:c r="P282" s="31" t="n">
        <x:v>70.33153553102932</x:v>
      </x:c>
      <x:c r="Q282" s="31"/>
      <x:c r="R282" s="31" t="n">
        <x:v>70.16765422759306</x:v>
      </x:c>
      <x:c r="S282" s="31"/>
      <x:c r="T282" s="31"/>
      <x:c r="U282" s="31" t="n">
        <x:v>62.22709489896209</x:v>
      </x:c>
    </x:row>
    <x:row r="283">
      <x:c r="A283" s="31" t="n">
        <x:v>28.1</x:v>
      </x:c>
      <x:c r="B283" s="31" t="n">
        <x:v>66.16802993254909</x:v>
      </x:c>
      <x:c r="C283" s="31" t="n">
        <x:v>50</x:v>
      </x:c>
      <x:c r="D283" s="31" t="n">
        <x:v>79.96642852156938</x:v>
      </x:c>
      <x:c r="E283" s="31" t="n">
        <x:v>64.57204938290312</x:v>
      </x:c>
      <x:c r="F283" s="31" t="n">
        <x:v>69.22037074721817</x:v>
      </x:c>
      <x:c r="G283" s="31"/>
      <x:c r="H283" s="31" t="n">
        <x:v>72.89028754836463</x:v>
      </x:c>
      <x:c r="I283" s="31" t="n">
        <x:v>50</x:v>
      </x:c>
      <x:c r="J283" s="31"/>
      <x:c r="K283" s="31"/>
      <x:c r="L283" s="31" t="n">
        <x:v>72.76468246594521</x:v>
      </x:c>
      <x:c r="M283" s="31" t="n">
        <x:v>64.46961105018423</x:v>
      </x:c>
      <x:c r="N283" s="31" t="n">
        <x:v>83.07131382721366</x:v>
      </x:c>
      <x:c r="O283" s="31" t="n">
        <x:v>84.5494406038279</x:v>
      </x:c>
      <x:c r="P283" s="31" t="n">
        <x:v>70.33153553102932</x:v>
      </x:c>
      <x:c r="Q283" s="31"/>
      <x:c r="R283" s="31" t="n">
        <x:v>70.16765422759306</x:v>
      </x:c>
      <x:c r="S283" s="31"/>
      <x:c r="T283" s="31"/>
      <x:c r="U283" s="31" t="n">
        <x:v>68.79458811868193</x:v>
      </x:c>
    </x:row>
    <x:row r="284">
      <x:c r="A284" s="31" t="n">
        <x:v>28.200000000000003</x:v>
      </x:c>
      <x:c r="B284" s="31" t="n">
        <x:v>65.17490406837076</x:v>
      </x:c>
      <x:c r="C284" s="31" t="n">
        <x:v>50</x:v>
      </x:c>
      <x:c r="D284" s="31" t="n">
        <x:v>70.19084830993046</x:v>
      </x:c>
      <x:c r="E284" s="31" t="n">
        <x:v>65.7231980151184</x:v>
      </x:c>
      <x:c r="F284" s="31" t="n">
        <x:v>60.8350172496941</x:v>
      </x:c>
      <x:c r="G284" s="31"/>
      <x:c r="H284" s="31" t="n">
        <x:v>67.52431956302985</x:v>
      </x:c>
      <x:c r="I284" s="31" t="n">
        <x:v>65.75489140721669</x:v>
      </x:c>
      <x:c r="J284" s="31"/>
      <x:c r="K284" s="31"/>
      <x:c r="L284" s="31" t="n">
        <x:v>61.271229113419686</x:v>
      </x:c>
      <x:c r="M284" s="31" t="n">
        <x:v>91.01238706373901</x:v>
      </x:c>
      <x:c r="N284" s="31" t="n">
        <x:v>82.71230052213294</x:v>
      </x:c>
      <x:c r="O284" s="31" t="n">
        <x:v>78.21992119707507</x:v>
      </x:c>
      <x:c r="P284" s="31" t="n">
        <x:v>70.42172157227768</x:v>
      </x:c>
      <x:c r="Q284" s="31"/>
      <x:c r="R284" s="31" t="n">
        <x:v>68.94228029997413</x:v>
      </x:c>
      <x:c r="S284" s="31"/>
      <x:c r="T284" s="31"/>
      <x:c r="U284" s="31" t="n">
        <x:v>73.95684589783268</x:v>
      </x:c>
    </x:row>
    <x:row r="285">
      <x:c r="A285" s="31" t="n">
        <x:v>28.3</x:v>
      </x:c>
      <x:c r="B285" s="31" t="n">
        <x:v>63.920853169532414</x:v>
      </x:c>
      <x:c r="C285" s="31" t="n">
        <x:v>50</x:v>
      </x:c>
      <x:c r="D285" s="31" t="n">
        <x:v>61.63329976589634</x:v>
      </x:c>
      <x:c r="E285" s="31" t="n">
        <x:v>65.83528018913933</x:v>
      </x:c>
      <x:c r="F285" s="31" t="n">
        <x:v>60.31326321998737</x:v>
      </x:c>
      <x:c r="G285" s="31"/>
      <x:c r="H285" s="31" t="n">
        <x:v>74.60148804959078</x:v>
      </x:c>
      <x:c r="I285" s="31" t="n">
        <x:v>67.62734598527057</x:v>
      </x:c>
      <x:c r="J285" s="31"/>
      <x:c r="K285" s="31"/>
      <x:c r="L285" s="31" t="n">
        <x:v>54.22671091753238</x:v>
      </x:c>
      <x:c r="M285" s="31" t="n">
        <x:v>92.09215682088312</x:v>
      </x:c>
      <x:c r="N285" s="31" t="n">
        <x:v>82.71230052213294</x:v>
      </x:c>
      <x:c r="O285" s="31" t="n">
        <x:v>76.1128256619034</x:v>
      </x:c>
      <x:c r="P285" s="31" t="n">
        <x:v>70.42172157227768</x:v>
      </x:c>
      <x:c r="Q285" s="31"/>
      <x:c r="R285" s="31" t="n">
        <x:v>67.30133117286523</x:v>
      </x:c>
      <x:c r="S285" s="31"/>
      <x:c r="T285" s="31"/>
      <x:c r="U285" s="31" t="n">
        <x:v>74.21445881706543</x:v>
      </x:c>
    </x:row>
    <x:row r="286">
      <x:c r="A286" s="31" t="n">
        <x:v>28.400000000000002</x:v>
      </x:c>
      <x:c r="B286" s="31" t="n">
        <x:v>68.69894591317923</x:v>
      </x:c>
      <x:c r="C286" s="31" t="n">
        <x:v>57.16355115394701</x:v>
      </x:c>
      <x:c r="D286" s="31" t="n">
        <x:v>52.1812227661346</x:v>
      </x:c>
      <x:c r="E286" s="31" t="n">
        <x:v>65.55188473947437</x:v>
      </x:c>
      <x:c r="F286" s="31" t="n">
        <x:v>60.7996643978369</x:v>
      </x:c>
      <x:c r="G286" s="31"/>
      <x:c r="H286" s="31" t="n">
        <x:v>76.31362817943742</x:v>
      </x:c>
      <x:c r="I286" s="31" t="n">
        <x:v>72.83899648280212</x:v>
      </x:c>
      <x:c r="J286" s="31"/>
      <x:c r="K286" s="31"/>
      <x:c r="L286" s="31" t="n">
        <x:v>51.44147154429803</x:v>
      </x:c>
      <x:c r="M286" s="31" t="n">
        <x:v>91.35263607010485</x:v>
      </x:c>
      <x:c r="N286" s="31" t="n">
        <x:v>82.74487852358732</x:v>
      </x:c>
      <x:c r="O286" s="31" t="n">
        <x:v>73.14223911857908</x:v>
      </x:c>
      <x:c r="P286" s="31" t="n">
        <x:v>70.6001061528513</x:v>
      </x:c>
      <x:c r="Q286" s="31"/>
      <x:c r="R286" s="31" t="n">
        <x:v>66.18637138762743</x:v>
      </x:c>
      <x:c r="S286" s="31"/>
      <x:c r="T286" s="31"/>
      <x:c r="U286" s="31" t="n">
        <x:v>73.62142192734623</x:v>
      </x:c>
    </x:row>
    <x:row r="287">
      <x:c r="A287" s="31" t="n">
        <x:v>28.5</x:v>
      </x:c>
      <x:c r="B287" s="31" t="n">
        <x:v>91.94949379572503</x:v>
      </x:c>
      <x:c r="C287" s="31" t="n">
        <x:v>58.56859897234677</x:v>
      </x:c>
      <x:c r="D287" s="31" t="n">
        <x:v>50.62320650460989</x:v>
      </x:c>
      <x:c r="E287" s="31" t="n">
        <x:v>50</x:v>
      </x:c>
      <x:c r="F287" s="31" t="n">
        <x:v>61.286065575686415</x:v>
      </x:c>
      <x:c r="G287" s="31"/>
      <x:c r="H287" s="31" t="n">
        <x:v>76.31362817943742</x:v>
      </x:c>
      <x:c r="I287" s="31" t="n">
        <x:v>72.83899648280212</x:v>
      </x:c>
      <x:c r="J287" s="31"/>
      <x:c r="K287" s="31"/>
      <x:c r="L287" s="31" t="n">
        <x:v>58.648829265786915</x:v>
      </x:c>
      <x:c r="M287" s="31" t="n">
        <x:v>85.25107888930243</x:v>
      </x:c>
      <x:c r="N287" s="31" t="n">
        <x:v>83.3601750244571</x:v>
      </x:c>
      <x:c r="O287" s="31" t="n">
        <x:v>73.6939641723829</x:v>
      </x:c>
      <x:c r="P287" s="31" t="n">
        <x:v>70.6001061528513</x:v>
      </x:c>
      <x:c r="Q287" s="31"/>
      <x:c r="R287" s="31" t="n">
        <x:v>75.43098592856798</x:v>
      </x:c>
      <x:c r="S287" s="31"/>
      <x:c r="T287" s="31"/>
      <x:c r="U287" s="31" t="n">
        <x:v>72.29670459465663</x:v>
      </x:c>
    </x:row>
    <x:row r="288">
      <x:c r="A288" s="31" t="n">
        <x:v>28.6</x:v>
      </x:c>
      <x:c r="B288" s="31" t="n">
        <x:v>91.94949379572503</x:v>
      </x:c>
      <x:c r="C288" s="31" t="n">
        <x:v>57.65002799972731</x:v>
      </x:c>
      <x:c r="D288" s="31" t="n">
        <x:v>52.26923065406594</x:v>
      </x:c>
      <x:c r="E288" s="31" t="n">
        <x:v>75.727004925153</x:v>
      </x:c>
      <x:c r="F288" s="31" t="n">
        <x:v>61.675186517966026</x:v>
      </x:c>
      <x:c r="G288" s="31"/>
      <x:c r="H288" s="31" t="n">
        <x:v>75.2687788746702</x:v>
      </x:c>
      <x:c r="I288" s="31" t="n">
        <x:v>67.77259246647615</x:v>
      </x:c>
      <x:c r="J288" s="31"/>
      <x:c r="K288" s="31"/>
      <x:c r="L288" s="31" t="n">
        <x:v>65.85618698727606</x:v>
      </x:c>
      <x:c r="M288" s="31" t="n">
        <x:v>84.98199655630322</x:v>
      </x:c>
      <x:c r="N288" s="31" t="n">
        <x:v>89.95609760926627</x:v>
      </x:c>
      <x:c r="O288" s="31" t="n">
        <x:v>76.40342095645613</x:v>
      </x:c>
      <x:c r="P288" s="31" t="n">
        <x:v>68.55887584795927</x:v>
      </x:c>
      <x:c r="Q288" s="31"/>
      <x:c r="R288" s="31" t="n">
        <x:v>77.7724184168918</x:v>
      </x:c>
      <x:c r="S288" s="31"/>
      <x:c r="T288" s="31"/>
      <x:c r="U288" s="31" t="n">
        <x:v>74.13173619864938</x:v>
      </x:c>
    </x:row>
    <x:row r="289">
      <x:c r="A289" s="31" t="n">
        <x:v>28.700000000000003</x:v>
      </x:c>
      <x:c r="B289" s="31" t="n">
        <x:v>85.44634292690594</x:v>
      </x:c>
      <x:c r="C289" s="31" t="n">
        <x:v>73.70602542688712</x:v>
      </x:c>
      <x:c r="D289" s="31" t="n">
        <x:v>57.94230728923051</x:v>
      </x:c>
      <x:c r="E289" s="31" t="n">
        <x:v>75.727004925153</x:v>
      </x:c>
      <x:c r="F289" s="31" t="n">
        <x:v>61.67518651796629</x:v>
      </x:c>
      <x:c r="G289" s="31"/>
      <x:c r="H289" s="31" t="n">
        <x:v>75.68402873936705</x:v>
      </x:c>
      <x:c r="I289" s="31" t="n">
        <x:v>61.69187190064311</x:v>
      </x:c>
      <x:c r="J289" s="31"/>
      <x:c r="K289" s="31"/>
      <x:c r="L289" s="31" t="n">
        <x:v>89.51052189854262</x:v>
      </x:c>
      <x:c r="M289" s="31" t="n">
        <x:v>81.46893776794077</x:v>
      </x:c>
      <x:c r="N289" s="31" t="n">
        <x:v>90.85991785514958</x:v>
      </x:c>
      <x:c r="O289" s="31" t="n">
        <x:v>76.40342095645613</x:v>
      </x:c>
      <x:c r="P289" s="31" t="n">
        <x:v>67.68995316741976</x:v>
      </x:c>
      <x:c r="Q289" s="31"/>
      <x:c r="R289" s="31" t="n">
        <x:v>77.77241841689174</x:v>
      </x:c>
      <x:c r="S289" s="31"/>
      <x:c r="T289" s="31"/>
      <x:c r="U289" s="31" t="n">
        <x:v>84.42638880321616</x:v>
      </x:c>
    </x:row>
    <x:row r="290">
      <x:c r="A290" s="31" t="n">
        <x:v>28.8</x:v>
      </x:c>
      <x:c r="B290" s="31" t="n">
        <x:v>77.73785693293918</x:v>
      </x:c>
      <x:c r="C290" s="31" t="n">
        <x:v>76.09812284431513</x:v>
      </x:c>
      <x:c r="D290" s="31" t="n">
        <x:v>61.346153270329125</x:v>
      </x:c>
      <x:c r="E290" s="31" t="n">
        <x:v>74.76230538831226</x:v>
      </x:c>
      <x:c r="F290" s="31" t="n">
        <x:v>69.17250032214768</x:v>
      </x:c>
      <x:c r="G290" s="31"/>
      <x:c r="H290" s="31" t="n">
        <x:v>75.68402873936705</x:v>
      </x:c>
      <x:c r="I290" s="31" t="n">
        <x:v>68.63059411318147</x:v>
      </x:c>
      <x:c r="J290" s="31"/>
      <x:c r="K290" s="31"/>
      <x:c r="L290" s="31" t="n">
        <x:v>90.31568311435326</x:v>
      </x:c>
      <x:c r="M290" s="31" t="n">
        <x:v>82.21939831594486</x:v>
      </x:c>
      <x:c r="N290" s="31" t="n">
        <x:v>90.70825748083361</x:v>
      </x:c>
      <x:c r="O290" s="31" t="n">
        <x:v>83.6035821974188</x:v>
      </x:c>
      <x:c r="P290" s="31" t="n">
        <x:v>77.69050635674526</x:v>
      </x:c>
      <x:c r="Q290" s="31"/>
      <x:c r="R290" s="31" t="n">
        <x:v>69.30067007443648</x:v>
      </x:c>
      <x:c r="S290" s="31"/>
      <x:c r="T290" s="31"/>
      <x:c r="U290" s="31" t="n">
        <x:v>90.60318036595599</x:v>
      </x:c>
    </x:row>
    <x:row r="291">
      <x:c r="A291" s="31" t="n">
        <x:v>28.900000000000002</x:v>
      </x:c>
      <x:c r="B291" s="31" t="n">
        <x:v>75.12175729597064</x:v>
      </x:c>
      <x:c r="C291" s="31" t="n">
        <x:v>76.0981228443151</x:v>
      </x:c>
      <x:c r="D291" s="31" t="n">
        <x:v>63.929048542311676</x:v>
      </x:c>
      <x:c r="E291" s="31" t="n">
        <x:v>53.93197753086589</x:v>
      </x:c>
      <x:c r="F291" s="31" t="n">
        <x:v>69.17250032214768</x:v>
      </x:c>
      <x:c r="G291" s="31"/>
      <x:c r="H291" s="31" t="n">
        <x:v>75.48397493368805</x:v>
      </x:c>
      <x:c r="I291" s="31" t="n">
        <x:v>71.166597913815</x:v>
      </x:c>
      <x:c r="J291" s="31"/>
      <x:c r="K291" s="31"/>
      <x:c r="L291" s="31" t="n">
        <x:v>89.41390948227068</x:v>
      </x:c>
      <x:c r="M291" s="31" t="n">
        <x:v>82.21939831594486</x:v>
      </x:c>
      <x:c r="N291" s="31" t="n">
        <x:v>85.83462704215641</x:v>
      </x:c>
      <x:c r="O291" s="31" t="n">
        <x:v>88.42231791422378</x:v>
      </x:c>
      <x:c r="P291" s="31" t="n">
        <x:v>77.69050635674526</x:v>
      </x:c>
      <x:c r="Q291" s="31"/>
      <x:c r="R291" s="31" t="n">
        <x:v>57.195567700815744</x:v>
      </x:c>
      <x:c r="S291" s="31"/>
      <x:c r="T291" s="31"/>
      <x:c r="U291" s="31" t="n">
        <x:v>90.60318036595588</x:v>
      </x:c>
    </x:row>
    <x:row r="292">
      <x:c r="A292" s="31" t="n">
        <x:v>29</x:v>
      </x:c>
      <x:c r="B292" s="31" t="n">
        <x:v>74.25330025602038</x:v>
      </x:c>
      <x:c r="C292" s="31" t="n">
        <x:v>70.49945000533701</x:v>
      </x:c>
      <x:c r="D292" s="31" t="n">
        <x:v>68.23387399561567</x:v>
      </x:c>
      <x:c r="E292" s="31" t="n">
        <x:v>59.69725073487388</x:v>
      </x:c>
      <x:c r="F292" s="31" t="n">
        <x:v>63.896185145338755</x:v>
      </x:c>
      <x:c r="G292" s="31"/>
      <x:c r="H292" s="31" t="n">
        <x:v>77.4477044245589</x:v>
      </x:c>
      <x:c r="I292" s="31" t="n">
        <x:v>70.9476640161175</x:v>
      </x:c>
      <x:c r="J292" s="31"/>
      <x:c r="K292" s="31"/>
      <x:c r="L292" s="31" t="n">
        <x:v>82.66609481511253</x:v>
      </x:c>
      <x:c r="M292" s="31" t="n">
        <x:v>81.79021068706399</x:v>
      </x:c>
      <x:c r="N292" s="31" t="n">
        <x:v>82.73960660897583</x:v>
      </x:c>
      <x:c r="O292" s="31" t="n">
        <x:v>88.42231791422378</x:v>
      </x:c>
      <x:c r="P292" s="31" t="n">
        <x:v>72.81744916019551</x:v>
      </x:c>
      <x:c r="Q292" s="31"/>
      <x:c r="R292" s="31" t="n">
        <x:v>50</x:v>
      </x:c>
      <x:c r="S292" s="31"/>
      <x:c r="T292" s="31"/>
      <x:c r="U292" s="31" t="n">
        <x:v>82.4430112140726</x:v>
      </x:c>
    </x:row>
    <x:row r="293">
      <x:c r="A293" s="31" t="n">
        <x:v>29.1</x:v>
      </x:c>
      <x:c r="B293" s="31" t="n">
        <x:v>72.54751796460354</x:v>
      </x:c>
      <x:c r="C293" s="31" t="n">
        <x:v>66.88472095273852</x:v>
      </x:c>
      <x:c r="D293" s="31" t="n">
        <x:v>71.67773435825886</x:v>
      </x:c>
      <x:c r="E293" s="31" t="n">
        <x:v>64.43897539644713</x:v>
      </x:c>
      <x:c r="F293" s="31" t="n">
        <x:v>52.372162752204474</x:v>
      </x:c>
      <x:c r="G293" s="31"/>
      <x:c r="H293" s="31" t="n">
        <x:v>77.4477044245589</x:v>
      </x:c>
      <x:c r="I293" s="31" t="n">
        <x:v>70.9476640161175</x:v>
      </x:c>
      <x:c r="J293" s="31"/>
      <x:c r="K293" s="31"/>
      <x:c r="L293" s="31" t="n">
        <x:v>80.12285876988727</x:v>
      </x:c>
      <x:c r="M293" s="31" t="n">
        <x:v>82.00583214435423</x:v>
      </x:c>
      <x:c r="N293" s="31" t="n">
        <x:v>77.71639799638945</x:v>
      </x:c>
      <x:c r="O293" s="31" t="n">
        <x:v>79.62229768412287</x:v>
      </x:c>
      <x:c r="P293" s="31" t="n">
        <x:v>65.37454378916952</x:v>
      </x:c>
      <x:c r="Q293" s="31"/>
      <x:c r="R293" s="31" t="n">
        <x:v>50</x:v>
      </x:c>
      <x:c r="S293" s="31"/>
      <x:c r="T293" s="31"/>
      <x:c r="U293" s="31" t="n">
        <x:v>76.14338410854245</x:v>
      </x:c>
    </x:row>
    <x:row r="294">
      <x:c r="A294" s="31" t="n">
        <x:v>29.200000000000003</x:v>
      </x:c>
      <x:c r="B294" s="31" t="n">
        <x:v>69.37042646171348</x:v>
      </x:c>
      <x:c r="C294" s="31" t="n">
        <x:v>68.1440109119824</x:v>
      </x:c>
      <x:c r="D294" s="31" t="n">
        <x:v>71.67773435825886</x:v>
      </x:c>
      <x:c r="E294" s="31" t="n">
        <x:v>65.37940429695132</x:v>
      </x:c>
      <x:c r="F294" s="31" t="n">
        <x:v>60.85015522749785</x:v>
      </x:c>
      <x:c r="G294" s="31"/>
      <x:c r="H294" s="31" t="n">
        <x:v>76.25752202944761</x:v>
      </x:c>
      <x:c r="I294" s="31" t="n">
        <x:v>69.97273052060575</x:v>
      </x:c>
      <x:c r="J294" s="31"/>
      <x:c r="K294" s="31"/>
      <x:c r="L294" s="31" t="n">
        <x:v>77.5671790471249</x:v>
      </x:c>
      <x:c r="M294" s="31" t="n">
        <x:v>82.54469488850019</x:v>
      </x:c>
      <x:c r="N294" s="31" t="n">
        <x:v>77.77181778302399</x:v>
      </x:c>
      <x:c r="O294" s="31" t="n">
        <x:v>50</x:v>
      </x:c>
      <x:c r="P294" s="31" t="n">
        <x:v>50.178987341884735</x:v>
      </x:c>
      <x:c r="Q294" s="31"/>
      <x:c r="R294" s="31" t="n">
        <x:v>63.40067570212605</x:v>
      </x:c>
      <x:c r="S294" s="31"/>
      <x:c r="T294" s="31"/>
      <x:c r="U294" s="31" t="n">
        <x:v>70.16233874279435</x:v>
      </x:c>
    </x:row>
    <x:row r="295">
      <x:c r="A295" s="31" t="n">
        <x:v>29.3</x:v>
      </x:c>
      <x:c r="B295" s="31" t="n">
        <x:v>69.23449745557443</x:v>
      </x:c>
      <x:c r="C295" s="31" t="n">
        <x:v>70.45518610538826</x:v>
      </x:c>
      <x:c r="D295" s="31" t="n">
        <x:v>69.62239199969218</x:v>
      </x:c>
      <x:c r="E295" s="31" t="n">
        <x:v>66.94528283888384</x:v>
      </x:c>
      <x:c r="F295" s="31" t="n">
        <x:v>64.19274561443774</x:v>
      </x:c>
      <x:c r="G295" s="31"/>
      <x:c r="H295" s="31" t="n">
        <x:v>74.25150595213793</x:v>
      </x:c>
      <x:c r="I295" s="31" t="n">
        <x:v>71.03451410270301</x:v>
      </x:c>
      <x:c r="J295" s="31"/>
      <x:c r="K295" s="31"/>
      <x:c r="L295" s="31" t="n">
        <x:v>75.09056169448041</x:v>
      </x:c>
      <x:c r="M295" s="31" t="n">
        <x:v>82.54469488850019</x:v>
      </x:c>
      <x:c r="N295" s="31" t="n">
        <x:v>78.17949101450671</x:v>
      </x:c>
      <x:c r="O295" s="31" t="n">
        <x:v>50</x:v>
      </x:c>
      <x:c r="P295" s="31" t="n">
        <x:v>51.07392405130823</x:v>
      </x:c>
      <x:c r="Q295" s="31"/>
      <x:c r="R295" s="31" t="n">
        <x:v>78.38359771259499</x:v>
      </x:c>
      <x:c r="S295" s="31"/>
      <x:c r="T295" s="31"/>
      <x:c r="U295" s="31" t="n">
        <x:v>60.75410663472519</x:v>
      </x:c>
    </x:row>
    <x:row r="296">
      <x:c r="A296" s="31" t="n">
        <x:v>29.400000000000002</x:v>
      </x:c>
      <x:c r="B296" s="31" t="n">
        <x:v>70.06361302443398</x:v>
      </x:c>
      <x:c r="C296" s="31" t="n">
        <x:v>70.45518610538826</x:v>
      </x:c>
      <x:c r="D296" s="31" t="n">
        <x:v>62.97632217037882</x:v>
      </x:c>
      <x:c r="E296" s="31" t="n">
        <x:v>68.17860007037436</x:v>
      </x:c>
      <x:c r="F296" s="31" t="n">
        <x:v>65.34175733420457</x:v>
      </x:c>
      <x:c r="G296" s="31"/>
      <x:c r="H296" s="31" t="n">
        <x:v>70.16861614945952</x:v>
      </x:c>
      <x:c r="I296" s="31" t="n">
        <x:v>71.52229348658747</x:v>
      </x:c>
      <x:c r="J296" s="31"/>
      <x:c r="K296" s="31"/>
      <x:c r="L296" s="31" t="n">
        <x:v>76.09966854414456</x:v>
      </x:c>
      <x:c r="M296" s="31" t="n">
        <x:v>81.03262580801876</x:v>
      </x:c>
      <x:c r="N296" s="31" t="n">
        <x:v>79.61744183134786</x:v>
      </x:c>
      <x:c r="O296" s="31" t="n">
        <x:v>50</x:v>
      </x:c>
      <x:c r="P296" s="31" t="n">
        <x:v>51.968860760731765</x:v>
      </x:c>
      <x:c r="Q296" s="31"/>
      <x:c r="R296" s="31" t="n">
        <x:v>78.38359771259499</x:v>
      </x:c>
      <x:c r="S296" s="31"/>
      <x:c r="T296" s="31"/>
      <x:c r="U296" s="31" t="n">
        <x:v>65.6324180274245</x:v>
      </x:c>
    </x:row>
    <x:row r="297">
      <x:c r="A297" s="31" t="n">
        <x:v>29.5</x:v>
      </x:c>
      <x:c r="B297" s="31" t="n">
        <x:v>68.11111557615419</x:v>
      </x:c>
      <x:c r="C297" s="31" t="n">
        <x:v>70.41756932879554</x:v>
      </x:c>
      <x:c r="D297" s="31" t="n">
        <x:v>60.60939800654541</x:v>
      </x:c>
      <x:c r="E297" s="31" t="n">
        <x:v>68.77970151831624</x:v>
      </x:c>
      <x:c r="F297" s="31" t="n">
        <x:v>65.34175733420457</x:v>
      </x:c>
      <x:c r="G297" s="31"/>
      <x:c r="H297" s="31" t="n">
        <x:v>79.12226007580362</x:v>
      </x:c>
      <x:c r="I297" s="31" t="n">
        <x:v>84.46203811191263</x:v>
      </x:c>
      <x:c r="J297" s="31"/>
      <x:c r="K297" s="31"/>
      <x:c r="L297" s="31" t="n">
        <x:v>77.5195911221519</x:v>
      </x:c>
      <x:c r="M297" s="31" t="n">
        <x:v>80.61817457898258</x:v>
      </x:c>
      <x:c r="N297" s="31" t="n">
        <x:v>80.05623319256264</x:v>
      </x:c>
      <x:c r="O297" s="31" t="n">
        <x:v>50</x:v>
      </x:c>
      <x:c r="P297" s="31" t="n">
        <x:v>52.86379747015527</x:v>
      </x:c>
      <x:c r="Q297" s="31"/>
      <x:c r="R297" s="31" t="n">
        <x:v>74.7928576807192</x:v>
      </x:c>
      <x:c r="S297" s="31"/>
      <x:c r="T297" s="31"/>
      <x:c r="U297" s="31" t="n">
        <x:v>65.6324180274245</x:v>
      </x:c>
    </x:row>
    <x:row r="298">
      <x:c r="A298" s="31" t="n">
        <x:v>29.6</x:v>
      </x:c>
      <x:c r="B298" s="31" t="n">
        <x:v>67.15613570543795</x:v>
      </x:c>
      <x:c r="C298" s="31" t="n">
        <x:v>71.49818647101961</x:v>
      </x:c>
      <x:c r="D298" s="31" t="n">
        <x:v>63.078049020062124</x:v>
      </x:c>
      <x:c r="E298" s="31" t="n">
        <x:v>68.77970151831624</x:v>
      </x:c>
      <x:c r="F298" s="31" t="n">
        <x:v>66.52304840834645</x:v>
      </x:c>
      <x:c r="G298" s="31"/>
      <x:c r="H298" s="31" t="n">
        <x:v>83.03146531948191</x:v>
      </x:c>
      <x:c r="I298" s="31" t="n">
        <x:v>87.56007686878637</x:v>
      </x:c>
      <x:c r="J298" s="31"/>
      <x:c r="K298" s="31"/>
      <x:c r="L298" s="31" t="n">
        <x:v>78.5456409158554</x:v>
      </x:c>
      <x:c r="M298" s="31" t="n">
        <x:v>89.9877007447898</x:v>
      </x:c>
      <x:c r="N298" s="31" t="n">
        <x:v>80.05623319256264</x:v>
      </x:c>
      <x:c r="O298" s="31" t="n">
        <x:v>87.45541562883595</x:v>
      </x:c>
      <x:c r="P298" s="31" t="n">
        <x:v>76.62682071418445</x:v>
      </x:c>
      <x:c r="Q298" s="31"/>
      <x:c r="R298" s="31" t="n">
        <x:v>71.5964764798909</x:v>
      </x:c>
      <x:c r="S298" s="31"/>
      <x:c r="T298" s="31"/>
      <x:c r="U298" s="31" t="n">
        <x:v>60.25313381573369</x:v>
      </x:c>
    </x:row>
    <x:row r="299">
      <x:c r="A299" s="31" t="n">
        <x:v>29.700000000000003</x:v>
      </x:c>
      <x:c r="B299" s="31" t="n">
        <x:v>65.46767987347816</x:v>
      </x:c>
      <x:c r="C299" s="31" t="n">
        <x:v>71.8822541204201</x:v>
      </x:c>
      <x:c r="D299" s="31" t="n">
        <x:v>64.03311944148275</x:v>
      </x:c>
      <x:c r="E299" s="31" t="n">
        <x:v>68.35082191401824</x:v>
      </x:c>
      <x:c r="F299" s="31" t="n">
        <x:v>68.50739036321448</x:v>
      </x:c>
      <x:c r="G299" s="31"/>
      <x:c r="H299" s="31" t="n">
        <x:v>83.03146531948191</x:v>
      </x:c>
      <x:c r="I299" s="31" t="n">
        <x:v>87.56007686878633</x:v>
      </x:c>
      <x:c r="J299" s="31"/>
      <x:c r="K299" s="31"/>
      <x:c r="L299" s="31" t="n">
        <x:v>78.54564091585539</x:v>
      </x:c>
      <x:c r="M299" s="31" t="n">
        <x:v>89.9877007447898</x:v>
      </x:c>
      <x:c r="N299" s="31" t="n">
        <x:v>78.12389010349287</x:v>
      </x:c>
      <x:c r="O299" s="31" t="n">
        <x:v>87.99842804480438</x:v>
      </x:c>
      <x:c r="P299" s="31" t="n">
        <x:v>78.97733379918758</x:v>
      </x:c>
      <x:c r="Q299" s="31"/>
      <x:c r="R299" s="31" t="n">
        <x:v>68.99068688049634</x:v>
      </x:c>
      <x:c r="S299" s="31"/>
      <x:c r="T299" s="31"/>
      <x:c r="U299" s="31" t="n">
        <x:v>73.59302511126157</x:v>
      </x:c>
    </x:row>
    <x:row r="300">
      <x:c r="A300" s="31" t="n">
        <x:v>29.8</x:v>
      </x:c>
      <x:c r="B300" s="31" t="n">
        <x:v>73.4697472371125</x:v>
      </x:c>
      <x:c r="C300" s="31" t="n">
        <x:v>72.01702605525136</x:v>
      </x:c>
      <x:c r="D300" s="31" t="n">
        <x:v>64.12426881550024</x:v>
      </x:c>
      <x:c r="E300" s="31" t="n">
        <x:v>68.35082191401824</x:v>
      </x:c>
      <x:c r="F300" s="31" t="n">
        <x:v>68.50739036321448</x:v>
      </x:c>
      <x:c r="G300" s="31"/>
      <x:c r="H300" s="31" t="n">
        <x:v>73.15098217628602</x:v>
      </x:c>
      <x:c r="I300" s="31" t="n">
        <x:v>77.64431282332083</x:v>
      </x:c>
      <x:c r="J300" s="31"/>
      <x:c r="K300" s="31"/>
      <x:c r="L300" s="31" t="n">
        <x:v>78.1826932991284</x:v>
      </x:c>
      <x:c r="M300" s="31" t="n">
        <x:v>85.08559824123945</x:v>
      </x:c>
      <x:c r="N300" s="31" t="n">
        <x:v>90.23798592070099</x:v>
      </x:c>
      <x:c r="O300" s="31" t="n">
        <x:v>86.9998834858142</x:v>
      </x:c>
      <x:c r="P300" s="31" t="n">
        <x:v>78.97733379918758</x:v>
      </x:c>
      <x:c r="Q300" s="31"/>
      <x:c r="R300" s="31" t="n">
        <x:v>67.27489866113822</x:v>
      </x:c>
      <x:c r="S300" s="31"/>
      <x:c r="T300" s="31"/>
      <x:c r="U300" s="31" t="n">
        <x:v>80.97294728433529</x:v>
      </x:c>
    </x:row>
    <x:row r="301">
      <x:c r="A301" s="31" t="n">
        <x:v>29.900000000000002</x:v>
      </x:c>
      <x:c r="B301" s="31" t="n">
        <x:v>77.31423700077762</x:v>
      </x:c>
      <x:c r="C301" s="31" t="n">
        <x:v>72.01702605525134</x:v>
      </x:c>
      <x:c r="D301" s="31" t="n">
        <x:v>64.661083398827</x:v>
      </x:c>
      <x:c r="E301" s="31" t="n">
        <x:v>82.26814163920169</x:v>
      </x:c>
      <x:c r="F301" s="31" t="n">
        <x:v>68.00698240973753</x:v>
      </x:c>
      <x:c r="G301" s="31"/>
      <x:c r="H301" s="31" t="n">
        <x:v>65.84362938655305</x:v>
      </x:c>
      <x:c r="I301" s="31" t="n">
        <x:v>73.0348848945555</x:v>
      </x:c>
      <x:c r="J301" s="31"/>
      <x:c r="K301" s="31"/>
      <x:c r="L301" s="31" t="n">
        <x:v>77.35000347432685</x:v>
      </x:c>
      <x:c r="M301" s="31" t="n">
        <x:v>69.3155203082059</x:v>
      </x:c>
      <x:c r="N301" s="31" t="n">
        <x:v>90.23798592070099</x:v>
      </x:c>
      <x:c r="O301" s="31" t="n">
        <x:v>83.72521198889609</x:v>
      </x:c>
      <x:c r="P301" s="31" t="n">
        <x:v>72.16727280078743</x:v>
      </x:c>
      <x:c r="Q301" s="31"/>
      <x:c r="R301" s="31" t="n">
        <x:v>67.27489866113808</x:v>
      </x:c>
      <x:c r="S301" s="31"/>
      <x:c r="T301" s="31"/>
      <x:c r="U301" s="31" t="n">
        <x:v>81.98922981855338</x:v>
      </x:c>
    </x:row>
    <x:row r="302">
      <x:c r="A302" s="31" t="n">
        <x:v>30</x:v>
      </x:c>
      <x:c r="B302" s="31" t="n">
        <x:v>77.31423700077762</x:v>
      </x:c>
      <x:c r="C302" s="31" t="n">
        <x:v>70.68529102461679</x:v>
      </x:c>
      <x:c r="D302" s="31" t="n">
        <x:v>64.70489862726174</x:v>
      </x:c>
      <x:c r="E302" s="31" t="n">
        <x:v>85.06579971011293</x:v>
      </x:c>
      <x:c r="F302" s="31" t="n">
        <x:v>67.39723537981072</x:v>
      </x:c>
      <x:c r="G302" s="31"/>
      <x:c r="H302" s="31" t="n">
        <x:v>66.50084563382386</x:v>
      </x:c>
      <x:c r="I302" s="31" t="n">
        <x:v>62.90883611403251</x:v>
      </x:c>
      <x:c r="J302" s="31"/>
      <x:c r="K302" s="31"/>
      <x:c r="L302" s="31" t="n">
        <x:v>77.35000347432685</x:v>
      </x:c>
      <x:c r="M302" s="31" t="n">
        <x:v>50</x:v>
      </x:c>
      <x:c r="N302" s="31" t="n">
        <x:v>85.94780432362754</x:v>
      </x:c>
      <x:c r="O302" s="31" t="n">
        <x:v>79.9717129465734</x:v>
      </x:c>
      <x:c r="P302" s="31" t="n">
        <x:v>72.16727280078743</x:v>
      </x:c>
      <x:c r="Q302" s="31"/>
      <x:c r="R302" s="31" t="n">
        <x:v>66.49960301955318</x:v>
      </x:c>
      <x:c r="S302" s="31"/>
      <x:c r="T302" s="31"/>
      <x:c r="U302" s="31" t="n">
        <x:v>81.34514569679482</x:v>
      </x:c>
    </x:row>
    <x:row r="303">
      <x:c r="A303" s="31" t="n">
        <x:v>30.1</x:v>
      </x:c>
      <x:c r="B303" s="31" t="n">
        <x:v>74.89103187793691</x:v>
      </x:c>
      <x:c r="C303" s="31" t="n">
        <x:v>72.24776595637971</x:v>
      </x:c>
      <x:c r="D303" s="31" t="n">
        <x:v>64.70489862726174</x:v>
      </x:c>
      <x:c r="E303" s="31" t="n">
        <x:v>85.06579971011293</x:v>
      </x:c>
      <x:c r="F303" s="31" t="n">
        <x:v>67.44693015184663</x:v>
      </x:c>
      <x:c r="G303" s="31"/>
      <x:c r="H303" s="31" t="n">
        <x:v>67.15806188109468</x:v>
      </x:c>
      <x:c r="I303" s="31" t="n">
        <x:v>67.24748298730573</x:v>
      </x:c>
      <x:c r="J303" s="31"/>
      <x:c r="K303" s="31"/>
      <x:c r="L303" s="31" t="n">
        <x:v>75.0949662518268</x:v>
      </x:c>
      <x:c r="M303" s="31" t="n">
        <x:v>50</x:v>
      </x:c>
      <x:c r="N303" s="31" t="n">
        <x:v>75.56009513612813</x:v>
      </x:c>
      <x:c r="O303" s="31" t="n">
        <x:v>77.16484982872373</x:v>
      </x:c>
      <x:c r="P303" s="31" t="n">
        <x:v>69.40340598576671</x:v>
      </x:c>
      <x:c r="Q303" s="31"/>
      <x:c r="R303" s="31" t="n">
        <x:v>67.01927282551566</x:v>
      </x:c>
      <x:c r="S303" s="31"/>
      <x:c r="T303" s="31"/>
      <x:c r="U303" s="31" t="n">
        <x:v>72.672714125136</x:v>
      </x:c>
    </x:row>
    <x:row r="304">
      <x:c r="A304" s="31" t="n">
        <x:v>30.200000000000003</x:v>
      </x:c>
      <x:c r="B304" s="31" t="n">
        <x:v>68.24798019892945</x:v>
      </x:c>
      <x:c r="C304" s="31" t="n">
        <x:v>72.24776595637971</x:v>
      </x:c>
      <x:c r="D304" s="31" t="n">
        <x:v>65.48069922876515</x:v>
      </x:c>
      <x:c r="E304" s="31" t="n">
        <x:v>76.32948260513757</x:v>
      </x:c>
      <x:c r="F304" s="31" t="n">
        <x:v>67.14022303176813</x:v>
      </x:c>
      <x:c r="G304" s="31"/>
      <x:c r="H304" s="31" t="n">
        <x:v>67.81527812836552</x:v>
      </x:c>
      <x:c r="I304" s="31" t="n">
        <x:v>68.72807565659045</x:v>
      </x:c>
      <x:c r="J304" s="31"/>
      <x:c r="K304" s="31"/>
      <x:c r="L304" s="31" t="n">
        <x:v>73.63372647294571</x:v>
      </x:c>
      <x:c r="M304" s="31" t="n">
        <x:v>50</x:v>
      </x:c>
      <x:c r="N304" s="31" t="n">
        <x:v>50</x:v>
      </x:c>
      <x:c r="O304" s="31" t="n">
        <x:v>76.4037803551451</x:v>
      </x:c>
      <x:c r="P304" s="31" t="n">
        <x:v>69.40340598576671</x:v>
      </x:c>
      <x:c r="Q304" s="31"/>
      <x:c r="R304" s="31" t="n">
        <x:v>67.5918707256351</x:v>
      </x:c>
      <x:c r="S304" s="31"/>
      <x:c r="T304" s="31"/>
      <x:c r="U304" s="31" t="n">
        <x:v>71.91617157540819</x:v>
      </x:c>
    </x:row>
    <x:row r="305">
      <x:c r="A305" s="31" t="n">
        <x:v>30.3</x:v>
      </x:c>
      <x:c r="B305" s="31" t="n">
        <x:v>57.47881232776642</x:v>
      </x:c>
      <x:c r="C305" s="31" t="n">
        <x:v>72.04172229616195</x:v>
      </x:c>
      <x:c r="D305" s="31" t="n">
        <x:v>65.48069922876515</x:v>
      </x:c>
      <x:c r="E305" s="31" t="n">
        <x:v>68.7625599600945</x:v>
      </x:c>
      <x:c r="F305" s="31" t="n">
        <x:v>63.53857746088426</x:v>
      </x:c>
      <x:c r="G305" s="31"/>
      <x:c r="H305" s="31" t="n">
        <x:v>68.209607876728</x:v>
      </x:c>
      <x:c r="I305" s="31" t="n">
        <x:v>75.04436101419655</x:v>
      </x:c>
      <x:c r="J305" s="31"/>
      <x:c r="K305" s="31"/>
      <x:c r="L305" s="31" t="n">
        <x:v>72.12255160884934</x:v>
      </x:c>
      <x:c r="M305" s="31" t="n">
        <x:v>50</x:v>
      </x:c>
      <x:c r="N305" s="31" t="n">
        <x:v>50</x:v>
      </x:c>
      <x:c r="O305" s="31" t="n">
        <x:v>76.33804936772698</x:v>
      </x:c>
      <x:c r="P305" s="31" t="n">
        <x:v>69.29445840932144</x:v>
      </x:c>
      <x:c r="Q305" s="31"/>
      <x:c r="R305" s="31" t="n">
        <x:v>68.48454684286855</x:v>
      </x:c>
      <x:c r="S305" s="31"/>
      <x:c r="T305" s="31"/>
      <x:c r="U305" s="31" t="n">
        <x:v>73.12640022153658</x:v>
      </x:c>
    </x:row>
    <x:row r="306">
      <x:c r="A306" s="31" t="n">
        <x:v>30.400000000000002</x:v>
      </x:c>
      <x:c r="B306" s="31" t="n">
        <x:v>60.39940601957355</x:v>
      </x:c>
      <x:c r="C306" s="31" t="n">
        <x:v>81.49759404972971</x:v>
      </x:c>
      <x:c r="D306" s="31" t="n">
        <x:v>64.57151663004423</x:v>
      </x:c>
      <x:c r="E306" s="31" t="n">
        <x:v>62.274066085463026</x:v>
      </x:c>
      <x:c r="F306" s="31" t="n">
        <x:v>61.97919139633487</x:v>
      </x:c>
      <x:c r="G306" s="31"/>
      <x:c r="H306" s="31" t="n">
        <x:v>76.3080781433806</x:v>
      </x:c>
      <x:c r="I306" s="31" t="n">
        <x:v>75.04436101419655</x:v>
      </x:c>
      <x:c r="J306" s="31"/>
      <x:c r="K306" s="31"/>
      <x:c r="L306" s="31" t="n">
        <x:v>89.0198374192461</x:v>
      </x:c>
      <x:c r="M306" s="31" t="n">
        <x:v>85.01923241297364</x:v>
      </x:c>
      <x:c r="N306" s="31" t="n">
        <x:v>50</x:v>
      </x:c>
      <x:c r="O306" s="31" t="n">
        <x:v>76.70687719612056</x:v>
      </x:c>
      <x:c r="P306" s="31" t="n">
        <x:v>69.60398394562145</x:v>
      </x:c>
      <x:c r="Q306" s="31"/>
      <x:c r="R306" s="31" t="n">
        <x:v>68.31787871707044</x:v>
      </x:c>
      <x:c r="S306" s="31"/>
      <x:c r="T306" s="31"/>
      <x:c r="U306" s="31" t="n">
        <x:v>73.12640022153658</x:v>
      </x:c>
    </x:row>
    <x:row r="307">
      <x:c r="A307" s="31" t="n">
        <x:v>30.5</x:v>
      </x:c>
      <x:c r="B307" s="31" t="n">
        <x:v>65.05589657051718</x:v>
      </x:c>
      <x:c r="C307" s="31" t="n">
        <x:v>81.49759404972971</x:v>
      </x:c>
      <x:c r="D307" s="31" t="n">
        <x:v>65.51996481123479</x:v>
      </x:c>
      <x:c r="E307" s="31" t="n">
        <x:v>55.35883354373857</x:v>
      </x:c>
      <x:c r="F307" s="31" t="n">
        <x:v>74.06316342464841</x:v>
      </x:c>
      <x:c r="G307" s="31"/>
      <x:c r="H307" s="31" t="n">
        <x:v>76.64162039752486</x:v>
      </x:c>
      <x:c r="I307" s="31" t="n">
        <x:v>72.77035368645201</x:v>
      </x:c>
      <x:c r="J307" s="31"/>
      <x:c r="K307" s="31"/>
      <x:c r="L307" s="31" t="n">
        <x:v>89.0198374192461</x:v>
      </x:c>
      <x:c r="M307" s="31" t="n">
        <x:v>88.32392871694654</x:v>
      </x:c>
      <x:c r="N307" s="31" t="n">
        <x:v>50</x:v>
      </x:c>
      <x:c r="O307" s="31" t="n">
        <x:v>76.70687719612056</x:v>
      </x:c>
      <x:c r="P307" s="31" t="n">
        <x:v>69.60398394562145</x:v>
      </x:c>
      <x:c r="Q307" s="31"/>
      <x:c r="R307" s="31" t="n">
        <x:v>83.75277248130283</x:v>
      </x:c>
      <x:c r="S307" s="31"/>
      <x:c r="T307" s="31"/>
      <x:c r="U307" s="31" t="n">
        <x:v>71.02313172762706</x:v>
      </x:c>
    </x:row>
    <x:row r="308">
      <x:c r="A308" s="31" t="n">
        <x:v>30.6</x:v>
      </x:c>
      <x:c r="B308" s="31" t="n">
        <x:v>65.05589657051718</x:v>
      </x:c>
      <x:c r="C308" s="31" t="n">
        <x:v>76.7754607559792</x:v>
      </x:c>
      <x:c r="D308" s="31" t="n">
        <x:v>65.80345173691352</x:v>
      </x:c>
      <x:c r="E308" s="31" t="n">
        <x:v>64.89852251503166</x:v>
      </x:c>
      <x:c r="F308" s="31" t="n">
        <x:v>77.55647546428905</x:v>
      </x:c>
      <x:c r="G308" s="31"/>
      <x:c r="H308" s="31" t="n">
        <x:v>75.18825710966091</x:v>
      </x:c>
      <x:c r="I308" s="31" t="n">
        <x:v>50</x:v>
      </x:c>
      <x:c r="J308" s="31"/>
      <x:c r="K308" s="31"/>
      <x:c r="L308" s="31" t="n">
        <x:v>85.48387016112784</x:v>
      </x:c>
      <x:c r="M308" s="31" t="n">
        <x:v>88.32392871694654</x:v>
      </x:c>
      <x:c r="N308" s="31" t="n">
        <x:v>62.32869380905559</x:v>
      </x:c>
      <x:c r="O308" s="31" t="n">
        <x:v>77.68013170774469</x:v>
      </x:c>
      <x:c r="P308" s="31" t="n">
        <x:v>69.23348812387457</x:v>
      </x:c>
      <x:c r="Q308" s="31"/>
      <x:c r="R308" s="31" t="n">
        <x:v>83.75277248130283</x:v>
      </x:c>
      <x:c r="S308" s="31"/>
      <x:c r="T308" s="31"/>
      <x:c r="U308" s="31" t="n">
        <x:v>68.24918469507139</x:v>
      </x:c>
    </x:row>
    <x:row r="309">
      <x:c r="A309" s="31" t="n">
        <x:v>30.700000000000003</x:v>
      </x:c>
      <x:c r="B309" s="31" t="n">
        <x:v>64.63309645898076</x:v>
      </x:c>
      <x:c r="C309" s="31" t="n">
        <x:v>66.52147844628534</x:v>
      </x:c>
      <x:c r="D309" s="31" t="n">
        <x:v>65.49979039615052</x:v>
      </x:c>
      <x:c r="E309" s="31" t="n">
        <x:v>64.89852251503166</x:v>
      </x:c>
      <x:c r="F309" s="31" t="n">
        <x:v>77.55647546428905</x:v>
      </x:c>
      <x:c r="G309" s="31"/>
      <x:c r="H309" s="31" t="n">
        <x:v>63.326774786683984</x:v>
      </x:c>
      <x:c r="I309" s="31" t="n">
        <x:v>71.84305961100597</x:v>
      </x:c>
      <x:c r="J309" s="31"/>
      <x:c r="K309" s="31"/>
      <x:c r="L309" s="31" t="n">
        <x:v>75.68129165001025</x:v>
      </x:c>
      <x:c r="M309" s="31" t="n">
        <x:v>83.24361114897778</x:v>
      </x:c>
      <x:c r="N309" s="31" t="n">
        <x:v>80.78490872244024</x:v>
      </x:c>
      <x:c r="O309" s="31" t="n">
        <x:v>90.0574705020999</x:v>
      </x:c>
      <x:c r="P309" s="31" t="n">
        <x:v>69.79825017528167</x:v>
      </x:c>
      <x:c r="Q309" s="31"/>
      <x:c r="R309" s="31" t="n">
        <x:v>79.43278958553087</x:v>
      </x:c>
      <x:c r="S309" s="31"/>
      <x:c r="T309" s="31"/>
      <x:c r="U309" s="31" t="n">
        <x:v>66.69141548480464</x:v>
      </x:c>
    </x:row>
    <x:row r="310">
      <x:c r="A310" s="31" t="n">
        <x:v>30.8</x:v>
      </x:c>
      <x:c r="B310" s="31" t="n">
        <x:v>58.74577930909369</x:v>
      </x:c>
      <x:c r="C310" s="31" t="n">
        <x:v>55.902931856893886</x:v>
      </x:c>
      <x:c r="D310" s="31" t="n">
        <x:v>63.38023694830815</x:v>
      </x:c>
      <x:c r="E310" s="31" t="n">
        <x:v>68.54935544687484</x:v>
      </x:c>
      <x:c r="F310" s="31" t="n">
        <x:v>67.56667933001022</x:v>
      </x:c>
      <x:c r="G310" s="31"/>
      <x:c r="H310" s="31" t="n">
        <x:v>70.76448587354932</x:v>
      </x:c>
      <x:c r="I310" s="31" t="n">
        <x:v>71.84305961100597</x:v>
      </x:c>
      <x:c r="J310" s="31"/>
      <x:c r="K310" s="31"/>
      <x:c r="L310" s="31" t="n">
        <x:v>67.75982166380226</x:v>
      </x:c>
      <x:c r="M310" s="31" t="n">
        <x:v>82.76402842265006</x:v>
      </x:c>
      <x:c r="N310" s="31" t="n">
        <x:v>80.78490872244024</x:v>
      </x:c>
      <x:c r="O310" s="31" t="n">
        <x:v>90.0574705020999</x:v>
      </x:c>
      <x:c r="P310" s="31" t="n">
        <x:v>69.79825017528167</x:v>
      </x:c>
      <x:c r="Q310" s="31"/>
      <x:c r="R310" s="31" t="n">
        <x:v>69.008245703416</x:v>
      </x:c>
      <x:c r="S310" s="31"/>
      <x:c r="T310" s="31"/>
      <x:c r="U310" s="31" t="n">
        <x:v>65.13364627453842</x:v>
      </x:c>
    </x:row>
    <x:row r="311">
      <x:c r="A311" s="31" t="n">
        <x:v>30.900000000000002</x:v>
      </x:c>
      <x:c r="B311" s="31" t="n">
        <x:v>65.00787421539579</x:v>
      </x:c>
      <x:c r="C311" s="31" t="n">
        <x:v>58.16906028311527</x:v>
      </x:c>
      <x:c r="D311" s="31" t="n">
        <x:v>76.66948959807604</x:v>
      </x:c>
      <x:c r="E311" s="31" t="n">
        <x:v>74.67442389397071</x:v>
      </x:c>
      <x:c r="F311" s="31" t="n">
        <x:v>63.86907262984435</x:v>
      </x:c>
      <x:c r="G311" s="31"/>
      <x:c r="H311" s="31" t="n">
        <x:v>74.1863902854125</x:v>
      </x:c>
      <x:c r="I311" s="31" t="n">
        <x:v>69.8044268687595</x:v>
      </x:c>
      <x:c r="J311" s="31"/>
      <x:c r="K311" s="31"/>
      <x:c r="L311" s="31" t="n">
        <x:v>62.584592460539355</x:v>
      </x:c>
      <x:c r="M311" s="31" t="n">
        <x:v>81.44997339194148</x:v>
      </x:c>
      <x:c r="N311" s="31" t="n">
        <x:v>77.53765652519276</x:v>
      </x:c>
      <x:c r="O311" s="31" t="n">
        <x:v>85.54776475320776</x:v>
      </x:c>
      <x:c r="P311" s="31" t="n">
        <x:v>68.84079019480986</x:v>
      </x:c>
      <x:c r="Q311" s="31"/>
      <x:c r="R311" s="31" t="n">
        <x:v>50</x:v>
      </x:c>
      <x:c r="S311" s="31"/>
      <x:c r="T311" s="31"/>
      <x:c r="U311" s="31" t="n">
        <x:v>72.17667417771196</x:v>
      </x:c>
    </x:row>
    <x:row r="312">
      <x:c r="A312" s="31" t="n">
        <x:v>31</x:v>
      </x:c>
      <x:c r="B312" s="31" t="n">
        <x:v>65.00787421539579</x:v>
      </x:c>
      <x:c r="C312" s="31" t="n">
        <x:v>58.16789606486117</x:v>
      </x:c>
      <x:c r="D312" s="31" t="n">
        <x:v>79.76203548337162</x:v>
      </x:c>
      <x:c r="E312" s="31" t="n">
        <x:v>76.24221965372955</x:v>
      </x:c>
      <x:c r="F312" s="31" t="n">
        <x:v>63.2557300915139</x:v>
      </x:c>
      <x:c r="G312" s="31"/>
      <x:c r="H312" s="31" t="n">
        <x:v>74.1863902854125</x:v>
      </x:c>
      <x:c r="I312" s="31" t="n">
        <x:v>69.73376445285035</x:v>
      </x:c>
      <x:c r="J312" s="31"/>
      <x:c r="K312" s="31"/>
      <x:c r="L312" s="31" t="n">
        <x:v>63.16577788361297</x:v>
      </x:c>
      <x:c r="M312" s="31" t="n">
        <x:v>82.17295553800088</x:v>
      </x:c>
      <x:c r="N312" s="31" t="n">
        <x:v>77.7665610698999</x:v>
      </x:c>
      <x:c r="O312" s="31" t="n">
        <x:v>76.88624608628211</x:v>
      </x:c>
      <x:c r="P312" s="31" t="n">
        <x:v>66.07313623089432</x:v>
      </x:c>
      <x:c r="Q312" s="31"/>
      <x:c r="R312" s="31" t="n">
        <x:v>50</x:v>
      </x:c>
      <x:c r="S312" s="31"/>
      <x:c r="T312" s="31"/>
      <x:c r="U312" s="31" t="n">
        <x:v>80.77149978648615</x:v>
      </x:c>
    </x:row>
    <x:row r="313">
      <x:c r="A313" s="31" t="n">
        <x:v>31.1</x:v>
      </x:c>
      <x:c r="B313" s="31" t="n">
        <x:v>63.5981849668672</x:v>
      </x:c>
      <x:c r="C313" s="31" t="n">
        <x:v>56.56566123388645</x:v>
      </x:c>
      <x:c r="D313" s="31" t="n">
        <x:v>79.76203548337162</x:v>
      </x:c>
      <x:c r="E313" s="31" t="n">
        <x:v>76.24221965372955</x:v>
      </x:c>
      <x:c r="F313" s="31" t="n">
        <x:v>62.642387553183426</x:v>
      </x:c>
      <x:c r="G313" s="31"/>
      <x:c r="H313" s="31" t="n">
        <x:v>74.55333681824041</x:v>
      </x:c>
      <x:c r="I313" s="31" t="n">
        <x:v>68.39039924915932</x:v>
      </x:c>
      <x:c r="J313" s="31"/>
      <x:c r="K313" s="31"/>
      <x:c r="L313" s="31" t="n">
        <x:v>63.7469633066866</x:v>
      </x:c>
      <x:c r="M313" s="31" t="n">
        <x:v>82.17295553800088</x:v>
      </x:c>
      <x:c r="N313" s="31" t="n">
        <x:v>78.7471260381822</x:v>
      </x:c>
      <x:c r="O313" s="31" t="n">
        <x:v>50</x:v>
      </x:c>
      <x:c r="P313" s="31" t="n">
        <x:v>77.40023422584042</x:v>
      </x:c>
      <x:c r="Q313" s="31"/>
      <x:c r="R313" s="31" t="n">
        <x:v>50</x:v>
      </x:c>
      <x:c r="S313" s="31"/>
      <x:c r="T313" s="31"/>
      <x:c r="U313" s="31" t="n">
        <x:v>90.44707389990015</x:v>
      </x:c>
    </x:row>
    <x:row r="314">
      <x:c r="A314" s="31" t="n">
        <x:v>31.200000000000003</x:v>
      </x:c>
      <x:c r="B314" s="31" t="n">
        <x:v>63.5981849668672</x:v>
      </x:c>
      <x:c r="C314" s="31" t="n">
        <x:v>55.36398511065546</x:v>
      </x:c>
      <x:c r="D314" s="31" t="n">
        <x:v>71.01392442994329</x:v>
      </x:c>
      <x:c r="E314" s="31" t="n">
        <x:v>63.79341197058881</x:v>
      </x:c>
      <x:c r="F314" s="31" t="n">
        <x:v>62.029045014852954</x:v>
      </x:c>
      <x:c r="G314" s="31"/>
      <x:c r="H314" s="31" t="n">
        <x:v>76.04056156534286</x:v>
      </x:c>
      <x:c r="I314" s="31" t="n">
        <x:v>69.88094391630074</x:v>
      </x:c>
      <x:c r="J314" s="31"/>
      <x:c r="K314" s="31"/>
      <x:c r="L314" s="31" t="n">
        <x:v>64.32814872976022</x:v>
      </x:c>
      <x:c r="M314" s="31" t="n">
        <x:v>82.79005490682047</x:v>
      </x:c>
      <x:c r="N314" s="31" t="n">
        <x:v>79.12737853285549</x:v>
      </x:c>
      <x:c r="O314" s="31" t="n">
        <x:v>50</x:v>
      </x:c>
      <x:c r="P314" s="31" t="n">
        <x:v>77.74480344704102</x:v>
      </x:c>
      <x:c r="Q314" s="31"/>
      <x:c r="R314" s="31" t="n">
        <x:v>80.88091459586101</x:v>
      </x:c>
      <x:c r="S314" s="31"/>
      <x:c r="T314" s="31"/>
      <x:c r="U314" s="31" t="n">
        <x:v>90.44707389990015</x:v>
      </x:c>
    </x:row>
    <x:row r="315">
      <x:c r="A315" s="31" t="n">
        <x:v>31.3</x:v>
      </x:c>
      <x:c r="B315" s="31" t="n">
        <x:v>62.315104893406044</x:v>
      </x:c>
      <x:c r="C315" s="31" t="n">
        <x:v>55.36398511065546</x:v>
      </x:c>
      <x:c r="D315" s="31" t="n">
        <x:v>63.294787385583994</x:v>
      </x:c>
      <x:c r="E315" s="31" t="n">
        <x:v>59.51990316547742</x:v>
      </x:c>
      <x:c r="F315" s="31" t="n">
        <x:v>61.415702476522505</x:v>
      </x:c>
      <x:c r="G315" s="31"/>
      <x:c r="H315" s="31" t="n">
        <x:v>76.04056156534286</x:v>
      </x:c>
      <x:c r="I315" s="31" t="n">
        <x:v>72.4519343115326</x:v>
      </x:c>
      <x:c r="J315" s="31"/>
      <x:c r="K315" s="31"/>
      <x:c r="L315" s="31" t="n">
        <x:v>64.32814872976022</x:v>
      </x:c>
      <x:c r="M315" s="31" t="n">
        <x:v>82.79005490682047</x:v>
      </x:c>
      <x:c r="N315" s="31" t="n">
        <x:v>79.29924145257374</x:v>
      </x:c>
      <x:c r="O315" s="31" t="n">
        <x:v>50</x:v>
      </x:c>
      <x:c r="P315" s="31" t="n">
        <x:v>76.73201982070671</x:v>
      </x:c>
      <x:c r="Q315" s="31"/>
      <x:c r="R315" s="31" t="n">
        <x:v>81.62548409361747</x:v>
      </x:c>
      <x:c r="S315" s="31"/>
      <x:c r="T315" s="31"/>
      <x:c r="U315" s="31" t="n">
        <x:v>85.64392827118144</x:v>
      </x:c>
    </x:row>
    <x:row r="316">
      <x:c r="A316" s="31" t="n">
        <x:v>31.400000000000002</x:v>
      </x:c>
      <x:c r="B316" s="31" t="n">
        <x:v>62.05209455976941</x:v>
      </x:c>
      <x:c r="C316" s="31" t="n">
        <x:v>50</x:v>
      </x:c>
      <x:c r="D316" s="31" t="n">
        <x:v>53.57576242734604</x:v>
      </x:c>
      <x:c r="E316" s="31" t="n">
        <x:v>66.94320007953536</x:v>
      </x:c>
      <x:c r="F316" s="31" t="n">
        <x:v>61.17036546119032</x:v>
      </x:c>
      <x:c r="G316" s="31"/>
      <x:c r="H316" s="31" t="n">
        <x:v>75.25576535460496</x:v>
      </x:c>
      <x:c r="I316" s="31" t="n">
        <x:v>72.92226410074737</x:v>
      </x:c>
      <x:c r="J316" s="31"/>
      <x:c r="K316" s="31"/>
      <x:c r="L316" s="31" t="n">
        <x:v>74.96580292130407</x:v>
      </x:c>
      <x:c r="M316" s="31" t="n">
        <x:v>81.8129467470128</x:v>
      </x:c>
      <x:c r="N316" s="31" t="n">
        <x:v>79.79638065949908</x:v>
      </x:c>
      <x:c r="O316" s="31" t="n">
        <x:v>87.76625085620687</x:v>
      </x:c>
      <x:c r="P316" s="31" t="n">
        <x:v>67.52403379099742</x:v>
      </x:c>
      <x:c r="Q316" s="31"/>
      <x:c r="R316" s="31" t="n">
        <x:v>81.62548409361713</x:v>
      </x:c>
      <x:c r="S316" s="31"/>
      <x:c r="T316" s="31"/>
      <x:c r="U316" s="31" t="n">
        <x:v>76.28646437168149</x:v>
      </x:c>
    </x:row>
    <x:row r="317">
      <x:c r="A317" s="31" t="n">
        <x:v>31.5</x:v>
      </x:c>
      <x:c r="B317" s="31" t="n">
        <x:v>62.05209455976941</x:v>
      </x:c>
      <x:c r="C317" s="31" t="n">
        <x:v>50</x:v>
      </x:c>
      <x:c r="D317" s="31" t="n">
        <x:v>50</x:v>
      </x:c>
      <x:c r="E317" s="31" t="n">
        <x:v>66.94320007953536</x:v>
      </x:c>
      <x:c r="F317" s="31" t="n">
        <x:v>66.08415223360528</x:v>
      </x:c>
      <x:c r="G317" s="31"/>
      <x:c r="H317" s="31" t="n">
        <x:v>76.03909326602722</x:v>
      </x:c>
      <x:c r="I317" s="31" t="n">
        <x:v>89.03852482286837</x:v>
      </x:c>
      <x:c r="J317" s="31"/>
      <x:c r="K317" s="31"/>
      <x:c r="L317" s="31" t="n">
        <x:v>80.91949254957956</x:v>
      </x:c>
      <x:c r="M317" s="31" t="n">
        <x:v>81.84781718285568</x:v>
      </x:c>
      <x:c r="N317" s="31" t="n">
        <x:v>79.79638065949908</x:v>
      </x:c>
      <x:c r="O317" s="31" t="n">
        <x:v>90.02175072991318</x:v>
      </x:c>
      <x:c r="P317" s="31" t="n">
        <x:v>50</x:v>
      </x:c>
      <x:c r="Q317" s="31"/>
      <x:c r="R317" s="31" t="n">
        <x:v>73.9629760393739</x:v>
      </x:c>
      <x:c r="S317" s="31"/>
      <x:c r="T317" s="31"/>
      <x:c r="U317" s="31" t="n">
        <x:v>66.27114653497131</x:v>
      </x:c>
    </x:row>
    <x:row r="318">
      <x:c r="A318" s="31" t="n">
        <x:v>31.6</x:v>
      </x:c>
      <x:c r="B318" s="31" t="n">
        <x:v>61.758119047534414</x:v>
      </x:c>
      <x:c r="C318" s="31" t="n">
        <x:v>76.25174310977064</x:v>
      </x:c>
      <x:c r="D318" s="31" t="n">
        <x:v>55.00665072195975</x:v>
      </x:c>
      <x:c r="E318" s="31" t="n">
        <x:v>67.14865768286958</x:v>
      </x:c>
      <x:c r="F318" s="31" t="n">
        <x:v>69.36001008188192</x:v>
      </x:c>
      <x:c r="G318" s="31"/>
      <x:c r="H318" s="31" t="n">
        <x:v>76.46585167242624</x:v>
      </x:c>
      <x:c r="I318" s="31" t="n">
        <x:v>89.03852482286837</x:v>
      </x:c>
      <x:c r="J318" s="31"/>
      <x:c r="K318" s="31"/>
      <x:c r="L318" s="31" t="n">
        <x:v>80.91949254957956</x:v>
      </x:c>
      <x:c r="M318" s="31" t="n">
        <x:v>81.84781718285568</x:v>
      </x:c>
      <x:c r="N318" s="31" t="n">
        <x:v>80.40307448293225</x:v>
      </x:c>
      <x:c r="O318" s="31" t="n">
        <x:v>90.02175072991318</x:v>
      </x:c>
      <x:c r="P318" s="31" t="n">
        <x:v>50</x:v>
      </x:c>
      <x:c r="Q318" s="31"/>
      <x:c r="R318" s="31" t="n">
        <x:v>73.9629760393739</x:v>
      </x:c>
      <x:c r="S318" s="31"/>
      <x:c r="T318" s="31"/>
      <x:c r="U318" s="31" t="n">
        <x:v>61.654393023738635</x:v>
      </x:c>
    </x:row>
    <x:row r="319">
      <x:c r="A319" s="31" t="n">
        <x:v>31.700000000000003</x:v>
      </x:c>
      <x:c r="B319" s="31" t="n">
        <x:v>91.50199530399176</x:v>
      </x:c>
      <x:c r="C319" s="31" t="n">
        <x:v>76.25174310977064</x:v>
      </x:c>
      <x:c r="D319" s="31" t="n">
        <x:v>60.0133014439195</x:v>
      </x:c>
      <x:c r="E319" s="31" t="n">
        <x:v>68.0845354840107</x:v>
      </x:c>
      <x:c r="F319" s="31" t="n">
        <x:v>68.88797975808369</x:v>
      </x:c>
      <x:c r="G319" s="31"/>
      <x:c r="H319" s="31" t="n">
        <x:v>76.46585167242611</x:v>
      </x:c>
      <x:c r="I319" s="31" t="n">
        <x:v>81.46310842677833</x:v>
      </x:c>
      <x:c r="J319" s="31"/>
      <x:c r="K319" s="31"/>
      <x:c r="L319" s="31" t="n">
        <x:v>77.20974561185736</x:v>
      </x:c>
      <x:c r="M319" s="31" t="n">
        <x:v>80.91458397974884</x:v>
      </x:c>
      <x:c r="N319" s="31" t="n">
        <x:v>81.03602773758742</x:v>
      </x:c>
      <x:c r="O319" s="31" t="n">
        <x:v>85.94216012802188</x:v>
      </x:c>
      <x:c r="P319" s="31" t="n">
        <x:v>50</x:v>
      </x:c>
      <x:c r="Q319" s="31"/>
      <x:c r="R319" s="31" t="n">
        <x:v>67.8119832028922</x:v>
      </x:c>
      <x:c r="S319" s="31"/>
      <x:c r="T319" s="31"/>
      <x:c r="U319" s="31" t="n">
        <x:v>58.88434091699913</x:v>
      </x:c>
    </x:row>
    <x:row r="320">
      <x:c r="A320" s="31" t="n">
        <x:v>31.8</x:v>
      </x:c>
      <x:c r="B320" s="31" t="n">
        <x:v>92.24592627416791</x:v>
      </x:c>
      <x:c r="C320" s="31" t="n">
        <x:v>74.9359718226026</x:v>
      </x:c>
      <x:c r="D320" s="31" t="n">
        <x:v>64.01862202148716</x:v>
      </x:c>
      <x:c r="E320" s="31" t="n">
        <x:v>68.526149880473</x:v>
      </x:c>
      <x:c r="F320" s="31" t="n">
        <x:v>61.445743174738695</x:v>
      </x:c>
      <x:c r="G320" s="31"/>
      <x:c r="H320" s="31" t="n">
        <x:v>73.54324127213087</x:v>
      </x:c>
      <x:c r="I320" s="31" t="n">
        <x:v>75.99641206600897</x:v>
      </x:c>
      <x:c r="J320" s="31"/>
      <x:c r="K320" s="31"/>
      <x:c r="L320" s="31" t="n">
        <x:v>77.20974561185736</x:v>
      </x:c>
      <x:c r="M320" s="31" t="n">
        <x:v>89.50061603835542</x:v>
      </x:c>
      <x:c r="N320" s="31" t="n">
        <x:v>92.6508657873647</x:v>
      </x:c>
      <x:c r="O320" s="31" t="n">
        <x:v>82.4111663611748</x:v>
      </x:c>
      <x:c r="P320" s="31" t="n">
        <x:v>50</x:v>
      </x:c>
      <x:c r="Q320" s="31"/>
      <x:c r="R320" s="31" t="n">
        <x:v>67.78109777841848</x:v>
      </x:c>
      <x:c r="S320" s="31"/>
      <x:c r="T320" s="31"/>
      <x:c r="U320" s="31" t="n">
        <x:v>58.522093059364416</x:v>
      </x:c>
    </x:row>
    <x:row r="321">
      <x:c r="A321" s="31" t="n">
        <x:v>31.900000000000002</x:v>
      </x:c>
      <x:c r="B321" s="31" t="n">
        <x:v>90.70457058842017</x:v>
      </x:c>
      <x:c r="C321" s="31" t="n">
        <x:v>68.64822682868453</x:v>
      </x:c>
      <x:c r="D321" s="31" t="n">
        <x:v>64.01862202148716</x:v>
      </x:c>
      <x:c r="E321" s="31" t="n">
        <x:v>68.8077097854767</x:v>
      </x:c>
      <x:c r="F321" s="31" t="n">
        <x:v>61.23212368478434</x:v>
      </x:c>
      <x:c r="G321" s="31"/>
      <x:c r="H321" s="31" t="n">
        <x:v>84.6797785160713</x:v>
      </x:c>
      <x:c r="I321" s="31" t="n">
        <x:v>67.19014764489418</x:v>
      </x:c>
      <x:c r="J321" s="31"/>
      <x:c r="K321" s="31"/>
      <x:c r="L321" s="31" t="n">
        <x:v>76.53349918488311</x:v>
      </x:c>
      <x:c r="M321" s="31" t="n">
        <x:v>89.87521517532119</x:v>
      </x:c>
      <x:c r="N321" s="31" t="n">
        <x:v>93.27941148675372</x:v>
      </x:c>
      <x:c r="O321" s="31" t="n">
        <x:v>78.76914759049616</x:v>
      </x:c>
      <x:c r="P321" s="31" t="n">
        <x:v>58.3358228937206</x:v>
      </x:c>
      <x:c r="Q321" s="31"/>
      <x:c r="R321" s="31" t="n">
        <x:v>67.13886972909759</x:v>
      </x:c>
      <x:c r="S321" s="31"/>
      <x:c r="T321" s="31"/>
      <x:c r="U321" s="31" t="n">
        <x:v>66.12274420385563</x:v>
      </x:c>
    </x:row>
    <x:row r="322">
      <x:c r="A322" s="31" t="n">
        <x:v>32</x:v>
      </x:c>
      <x:c r="B322" s="31" t="n">
        <x:v>79.16628472085301</x:v>
      </x:c>
      <x:c r="C322" s="31" t="n">
        <x:v>62.13548571360974</x:v>
      </x:c>
      <x:c r="D322" s="31" t="n">
        <x:v>65.99518002068358</x:v>
      </x:c>
      <x:c r="E322" s="31" t="n">
        <x:v>69.9840249915772</x:v>
      </x:c>
      <x:c r="F322" s="31" t="n">
        <x:v>64.23994608163079</x:v>
      </x:c>
      <x:c r="G322" s="31"/>
      <x:c r="H322" s="31" t="n">
        <x:v>84.6797785160713</x:v>
      </x:c>
      <x:c r="I322" s="31" t="n">
        <x:v>64.01627781403957</x:v>
      </x:c>
      <x:c r="J322" s="31"/>
      <x:c r="K322" s="31"/>
      <x:c r="L322" s="31" t="n">
        <x:v>74.38913075015323</x:v>
      </x:c>
      <x:c r="M322" s="31" t="n">
        <x:v>88.43986203088777</x:v>
      </x:c>
      <x:c r="N322" s="31" t="n">
        <x:v>92.7874317803003</x:v>
      </x:c>
      <x:c r="O322" s="31" t="n">
        <x:v>76.89974173603323</x:v>
      </x:c>
      <x:c r="P322" s="31" t="n">
        <x:v>77.7839577268002</x:v>
      </x:c>
      <x:c r="Q322" s="31"/>
      <x:c r="R322" s="31" t="n">
        <x:v>66.03528845776715</x:v>
      </x:c>
      <x:c r="S322" s="31"/>
      <x:c r="T322" s="31"/>
      <x:c r="U322" s="31" t="n">
        <x:v>74.72602964925994</x:v>
      </x:c>
    </x:row>
    <x:row r="323">
      <x:c r="A323" s="31" t="n">
        <x:v>32.1</x:v>
      </x:c>
      <x:c r="B323" s="31" t="n">
        <x:v>75.56277684600622</x:v>
      </x:c>
      <x:c r="C323" s="31" t="n">
        <x:v>64.02327911414292</x:v>
      </x:c>
      <x:c r="D323" s="31" t="n">
        <x:v>68.4658775196792</x:v>
      </x:c>
      <x:c r="E323" s="31" t="n">
        <x:v>70.13718780492928</x:v>
      </x:c>
      <x:c r="F323" s="31" t="n">
        <x:v>66.99384243479693</x:v>
      </x:c>
      <x:c r="G323" s="31"/>
      <x:c r="H323" s="31" t="n">
        <x:v>79.93804099546634</x:v>
      </x:c>
      <x:c r="I323" s="31" t="n">
        <x:v>64.40542920535658</x:v>
      </x:c>
      <x:c r="J323" s="31"/>
      <x:c r="K323" s="31"/>
      <x:c r="L323" s="31" t="n">
        <x:v>76.20670522330347</x:v>
      </x:c>
      <x:c r="M323" s="31" t="n">
        <x:v>77.02435274049023</x:v>
      </x:c>
      <x:c r="N323" s="31" t="n">
        <x:v>83.22366583111042</x:v>
      </x:c>
      <x:c r="O323" s="31" t="n">
        <x:v>76.33511775078397</x:v>
      </x:c>
      <x:c r="P323" s="31" t="n">
        <x:v>77.7839577268002</x:v>
      </x:c>
      <x:c r="Q323" s="31"/>
      <x:c r="R323" s="31" t="n">
        <x:v>68.56242105901914</x:v>
      </x:c>
      <x:c r="S323" s="31"/>
      <x:c r="T323" s="31"/>
      <x:c r="U323" s="31" t="n">
        <x:v>74.9264262379943</x:v>
      </x:c>
    </x:row>
    <x:row r="324">
      <x:c r="A324" s="31" t="n">
        <x:v>32.2</x:v>
      </x:c>
      <x:c r="B324" s="31" t="n">
        <x:v>74.239516988171</x:v>
      </x:c>
      <x:c r="C324" s="31" t="n">
        <x:v>68.2453819667654</x:v>
      </x:c>
      <x:c r="D324" s="31" t="n">
        <x:v>69.4541565192774</x:v>
      </x:c>
      <x:c r="E324" s="31" t="n">
        <x:v>72.02531985209983</x:v>
      </x:c>
      <x:c r="F324" s="31" t="n">
        <x:v>66.99384243479693</x:v>
      </x:c>
      <x:c r="G324" s="31"/>
      <x:c r="H324" s="31" t="n">
        <x:v>71.41779970344592</x:v>
      </x:c>
      <x:c r="I324" s="31" t="n">
        <x:v>64.40542920535658</x:v>
      </x:c>
      <x:c r="J324" s="31"/>
      <x:c r="K324" s="31"/>
      <x:c r="L324" s="31" t="n">
        <x:v>77.0350723508544</x:v>
      </x:c>
      <x:c r="M324" s="31" t="n">
        <x:v>62.5796296927015</x:v>
      </x:c>
      <x:c r="N324" s="31" t="n">
        <x:v>50</x:v>
      </x:c>
      <x:c r="O324" s="31" t="n">
        <x:v>76.21863543010527</x:v>
      </x:c>
      <x:c r="P324" s="31" t="n">
        <x:v>71.96255411911858</x:v>
      </x:c>
      <x:c r="Q324" s="31"/>
      <x:c r="R324" s="31" t="n">
        <x:v>69.84118625552388</x:v>
      </x:c>
      <x:c r="S324" s="31"/>
      <x:c r="T324" s="31"/>
      <x:c r="U324" s="31" t="n">
        <x:v>79.54790045881994</x:v>
      </x:c>
    </x:row>
    <x:row r="325">
      <x:c r="A325" s="31" t="n">
        <x:v>32.300000000000004</x:v>
      </x:c>
      <x:c r="B325" s="31" t="n">
        <x:v>72.94346555316741</x:v>
      </x:c>
      <x:c r="C325" s="31" t="n">
        <x:v>68.2453819667654</x:v>
      </x:c>
      <x:c r="D325" s="31" t="n">
        <x:v>69.01166152799038</x:v>
      </x:c>
      <x:c r="E325" s="31" t="n">
        <x:v>72.02531985209983</x:v>
      </x:c>
      <x:c r="F325" s="31" t="n">
        <x:v>66.58403119987871</x:v>
      </x:c>
      <x:c r="G325" s="31"/>
      <x:c r="H325" s="31" t="n">
        <x:v>50</x:v>
      </x:c>
      <x:c r="I325" s="31" t="n">
        <x:v>76.89396480525473</x:v>
      </x:c>
      <x:c r="J325" s="31"/>
      <x:c r="K325" s="31"/>
      <x:c r="L325" s="31" t="n">
        <x:v>78.20878213629261</x:v>
      </x:c>
      <x:c r="M325" s="31" t="n">
        <x:v>50</x:v>
      </x:c>
      <x:c r="N325" s="31" t="n">
        <x:v>50</x:v>
      </x:c>
      <x:c r="O325" s="31" t="n">
        <x:v>77.6333154761966</x:v>
      </x:c>
      <x:c r="P325" s="31" t="n">
        <x:v>71.96255411911858</x:v>
      </x:c>
      <x:c r="Q325" s="31"/>
      <x:c r="R325" s="31" t="n">
        <x:v>69.8411862555237</x:v>
      </x:c>
      <x:c r="S325" s="31"/>
      <x:c r="T325" s="31"/>
      <x:c r="U325" s="31" t="n">
        <x:v>83.45124450919764</x:v>
      </x:c>
    </x:row>
    <x:row r="326">
      <x:c r="A326" s="31" t="n">
        <x:v>32.4</x:v>
      </x:c>
      <x:c r="B326" s="31" t="n">
        <x:v>69.309883832407</x:v>
      </x:c>
      <x:c r="C326" s="31" t="n">
        <x:v>68.13126015010455</x:v>
      </x:c>
      <x:c r="D326" s="31" t="n">
        <x:v>65.75955472011765</x:v>
      </x:c>
      <x:c r="E326" s="31" t="n">
        <x:v>69.08674611760188</x:v>
      </x:c>
      <x:c r="F326" s="31" t="n">
        <x:v>67.48235218976906</x:v>
      </x:c>
      <x:c r="G326" s="31"/>
      <x:c r="H326" s="31" t="n">
        <x:v>50</x:v>
      </x:c>
      <x:c r="I326" s="31" t="n">
        <x:v>77.65180069931407</x:v>
      </x:c>
      <x:c r="J326" s="31"/>
      <x:c r="K326" s="31"/>
      <x:c r="L326" s="31" t="n">
        <x:v>79.40020394676306</x:v>
      </x:c>
      <x:c r="M326" s="31" t="n">
        <x:v>50</x:v>
      </x:c>
      <x:c r="N326" s="31" t="n">
        <x:v>50</x:v>
      </x:c>
      <x:c r="O326" s="31" t="n">
        <x:v>77.65276888802026</x:v>
      </x:c>
      <x:c r="P326" s="31" t="n">
        <x:v>69.76989174909636</x:v>
      </x:c>
      <x:c r="Q326" s="31"/>
      <x:c r="R326" s="31" t="n">
        <x:v>84.28774311197914</x:v>
      </x:c>
      <x:c r="S326" s="31"/>
      <x:c r="T326" s="31"/>
      <x:c r="U326" s="31" t="n">
        <x:v>83.45124450919764</x:v>
      </x:c>
    </x:row>
    <x:row r="327">
      <x:c r="A327" s="31" t="n">
        <x:v>32.5</x:v>
      </x:c>
      <x:c r="B327" s="31" t="n">
        <x:v>68.79648734367412</x:v>
      </x:c>
      <x:c r="C327" s="31" t="n">
        <x:v>69.83103851128651</x:v>
      </x:c>
      <x:c r="D327" s="31" t="n">
        <x:v>62.69102683659288</x:v>
      </x:c>
      <x:c r="E327" s="31" t="n">
        <x:v>78.26128636373866</x:v>
      </x:c>
      <x:c r="F327" s="31" t="n">
        <x:v>67.78297158477008</x:v>
      </x:c>
      <x:c r="G327" s="31"/>
      <x:c r="H327" s="31" t="n">
        <x:v>54.53222568671507</x:v>
      </x:c>
      <x:c r="I327" s="31" t="n">
        <x:v>77.10913124019697</x:v>
      </x:c>
      <x:c r="J327" s="31"/>
      <x:c r="K327" s="31"/>
      <x:c r="L327" s="31" t="n">
        <x:v>79.40020394676306</x:v>
      </x:c>
      <x:c r="M327" s="31" t="n">
        <x:v>50</x:v>
      </x:c>
      <x:c r="N327" s="31" t="n">
        <x:v>65.85766331665072</x:v>
      </x:c>
      <x:c r="O327" s="31" t="n">
        <x:v>89.22043094331731</x:v>
      </x:c>
      <x:c r="P327" s="31" t="n">
        <x:v>69.10765336657927</x:v>
      </x:c>
      <x:c r="Q327" s="31"/>
      <x:c r="R327" s="31" t="n">
        <x:v>84.28774311197914</x:v>
      </x:c>
      <x:c r="S327" s="31"/>
      <x:c r="T327" s="31"/>
      <x:c r="U327" s="31" t="n">
        <x:v>77.49594630297725</x:v>
      </x:c>
    </x:row>
    <x:row r="328">
      <x:c r="A328" s="31" t="n">
        <x:v>32.6</x:v>
      </x:c>
      <x:c r="B328" s="31" t="n">
        <x:v>68.55725116165176</x:v>
      </x:c>
      <x:c r="C328" s="31" t="n">
        <x:v>69.83103851128651</x:v>
      </x:c>
      <x:c r="D328" s="31" t="n">
        <x:v>63.054672949834796</x:v>
      </x:c>
      <x:c r="E328" s="31" t="n">
        <x:v>78.26128636373866</x:v>
      </x:c>
      <x:c r="F328" s="31" t="n">
        <x:v>66.6349426817588</x:v>
      </x:c>
      <x:c r="G328" s="31"/>
      <x:c r="H328" s="31" t="n">
        <x:v>68.12890274685867</x:v>
      </x:c>
      <x:c r="I328" s="31" t="n">
        <x:v>50</x:v>
      </x:c>
      <x:c r="J328" s="31"/>
      <x:c r="K328" s="31"/>
      <x:c r="L328" s="31" t="n">
        <x:v>77.66387445934978</x:v>
      </x:c>
      <x:c r="M328" s="31" t="n">
        <x:v>50</x:v>
      </x:c>
      <x:c r="N328" s="31" t="n">
        <x:v>91.20951564033045</x:v>
      </x:c>
      <x:c r="O328" s="31" t="n">
        <x:v>89.22043094331731</x:v>
      </x:c>
      <x:c r="P328" s="31" t="n">
        <x:v>70.35233942874804</x:v>
      </x:c>
      <x:c r="Q328" s="31"/>
      <x:c r="R328" s="31" t="n">
        <x:v>81.67844795993446</x:v>
      </x:c>
      <x:c r="S328" s="31"/>
      <x:c r="T328" s="31"/>
      <x:c r="U328" s="31" t="n">
        <x:v>70.09243252677874</x:v>
      </x:c>
    </x:row>
    <x:row r="329">
      <x:c r="A329" s="31" t="n">
        <x:v>32.7</x:v>
      </x:c>
      <x:c r="B329" s="31" t="n">
        <x:v>68.55725116165176</x:v>
      </x:c>
      <x:c r="C329" s="31" t="n">
        <x:v>69.92394533759668</x:v>
      </x:c>
      <x:c r="D329" s="31" t="n">
        <x:v>65.38813229587456</x:v>
      </x:c>
      <x:c r="E329" s="31" t="n">
        <x:v>73.90250154580187</x:v>
      </x:c>
      <x:c r="F329" s="31" t="n">
        <x:v>65.92721127829924</x:v>
      </x:c>
      <x:c r="G329" s="31"/>
      <x:c r="H329" s="31" t="n">
        <x:v>73.51862218006724</x:v>
      </x:c>
      <x:c r="I329" s="31" t="n">
        <x:v>71.05540464031229</x:v>
      </x:c>
      <x:c r="J329" s="31"/>
      <x:c r="K329" s="31"/>
      <x:c r="L329" s="31" t="n">
        <x:v>77.66387445934978</x:v>
      </x:c>
      <x:c r="M329" s="31" t="n">
        <x:v>75.48060113069587</x:v>
      </x:c>
      <x:c r="N329" s="31" t="n">
        <x:v>91.20951564033045</x:v>
      </x:c>
      <x:c r="O329" s="31" t="n">
        <x:v>87.57426441998031</x:v>
      </x:c>
      <x:c r="P329" s="31" t="n">
        <x:v>70.35233942874804</x:v>
      </x:c>
      <x:c r="Q329" s="31"/>
      <x:c r="R329" s="31" t="n">
        <x:v>71.11969486289556</x:v>
      </x:c>
      <x:c r="S329" s="31"/>
      <x:c r="T329" s="31"/>
      <x:c r="U329" s="31" t="n">
        <x:v>70.09243252677874</x:v>
      </x:c>
    </x:row>
    <x:row r="330">
      <x:c r="A330" s="31" t="n">
        <x:v>32.800000000000004</x:v>
      </x:c>
      <x:c r="B330" s="31" t="n">
        <x:v>65.09528427668685</x:v>
      </x:c>
      <x:c r="C330" s="31" t="n">
        <x:v>70.50666534070717</x:v>
      </x:c>
      <x:c r="D330" s="31" t="n">
        <x:v>65.38813229587456</x:v>
      </x:c>
      <x:c r="E330" s="31" t="n">
        <x:v>62.07246028066161</x:v>
      </x:c>
      <x:c r="F330" s="31" t="n">
        <x:v>67.94240350023276</x:v>
      </x:c>
      <x:c r="G330" s="31"/>
      <x:c r="H330" s="31" t="n">
        <x:v>75.70837557757812</x:v>
      </x:c>
      <x:c r="I330" s="31" t="n">
        <x:v>72.24905934219034</x:v>
      </x:c>
      <x:c r="J330" s="31"/>
      <x:c r="K330" s="31"/>
      <x:c r="L330" s="31" t="n">
        <x:v>76.75208804643464</x:v>
      </x:c>
      <x:c r="M330" s="31" t="n">
        <x:v>90.3897043172338</x:v>
      </x:c>
      <x:c r="N330" s="31" t="n">
        <x:v>88.03149566210786</x:v>
      </x:c>
      <x:c r="O330" s="31" t="n">
        <x:v>76.55519312679522</x:v>
      </x:c>
      <x:c r="P330" s="31" t="n">
        <x:v>68.96740360781136</x:v>
      </x:c>
      <x:c r="Q330" s="31"/>
      <x:c r="R330" s="31" t="n">
        <x:v>50</x:v>
      </x:c>
      <x:c r="S330" s="31"/>
      <x:c r="T330" s="31"/>
      <x:c r="U330" s="31" t="n">
        <x:v>69.60272430710677</x:v>
      </x:c>
    </x:row>
    <x:row r="331">
      <x:c r="A331" s="31" t="n">
        <x:v>32.9</x:v>
      </x:c>
      <x:c r="B331" s="31" t="n">
        <x:v>62.56187310430061</x:v>
      </x:c>
      <x:c r="C331" s="31" t="n">
        <x:v>70.50666534070717</x:v>
      </x:c>
      <x:c r="D331" s="31" t="n">
        <x:v>64.61144421581866</x:v>
      </x:c>
      <x:c r="E331" s="31" t="n">
        <x:v>52.12866316586715</x:v>
      </x:c>
      <x:c r="F331" s="31" t="n">
        <x:v>67.94240350023276</x:v>
      </x:c>
      <x:c r="G331" s="31"/>
      <x:c r="H331" s="31" t="n">
        <x:v>75.70837557757812</x:v>
      </x:c>
      <x:c r="I331" s="31" t="n">
        <x:v>72.24905934219034</x:v>
      </x:c>
      <x:c r="J331" s="31"/>
      <x:c r="K331" s="31"/>
      <x:c r="L331" s="31" t="n">
        <x:v>74.2075276815153</x:v>
      </x:c>
      <x:c r="M331" s="31" t="n">
        <x:v>90.3897043172338</x:v>
      </x:c>
      <x:c r="N331" s="31" t="n">
        <x:v>82.76943157690307</x:v>
      </x:c>
      <x:c r="O331" s="31" t="n">
        <x:v>56.010870429409636</x:v>
      </x:c>
      <x:c r="P331" s="31" t="n">
        <x:v>69.55678027788153</x:v>
      </x:c>
      <x:c r="Q331" s="31"/>
      <x:c r="R331" s="31" t="n">
        <x:v>50</x:v>
      </x:c>
      <x:c r="S331" s="31"/>
      <x:c r="T331" s="31"/>
      <x:c r="U331" s="31" t="n">
        <x:v>70.35130303556058</x:v>
      </x:c>
    </x:row>
    <x:row r="332">
      <x:c r="A332" s="31" t="n">
        <x:v>33</x:v>
      </x:c>
      <x:c r="B332" s="31" t="n">
        <x:v>62.165121079906626</x:v>
      </x:c>
      <x:c r="C332" s="31" t="n">
        <x:v>69.97276730340593</x:v>
      </x:c>
      <x:c r="D332" s="31" t="n">
        <x:v>64.51529788172522</x:v>
      </x:c>
      <x:c r="E332" s="31" t="n">
        <x:v>50</x:v>
      </x:c>
      <x:c r="F332" s="31" t="n">
        <x:v>66.87920332602542</x:v>
      </x:c>
      <x:c r="G332" s="31"/>
      <x:c r="H332" s="31" t="n">
        <x:v>66.36997703215998</x:v>
      </x:c>
      <x:c r="I332" s="31" t="n">
        <x:v>68.9763863118931</x:v>
      </x:c>
      <x:c r="J332" s="31"/>
      <x:c r="K332" s="31"/>
      <x:c r="L332" s="31" t="n">
        <x:v>71.75181500738034</x:v>
      </x:c>
      <x:c r="M332" s="31" t="n">
        <x:v>87.75731634040412</x:v>
      </x:c>
      <x:c r="N332" s="31" t="n">
        <x:v>80.79718594226279</x:v>
      </x:c>
      <x:c r="O332" s="31" t="n">
        <x:v>50</x:v>
      </x:c>
      <x:c r="P332" s="31" t="n">
        <x:v>70.41415962383086</x:v>
      </x:c>
      <x:c r="Q332" s="31"/>
      <x:c r="R332" s="31" t="n">
        <x:v>50</x:v>
      </x:c>
      <x:c r="S332" s="31"/>
      <x:c r="T332" s="31"/>
      <x:c r="U332" s="31" t="n">
        <x:v>69.7856870240284</x:v>
      </x:c>
    </x:row>
    <x:row r="333">
      <x:c r="A333" s="31" t="n">
        <x:v>33.1</x:v>
      </x:c>
      <x:c r="B333" s="31" t="n">
        <x:v>75.32820764215737</x:v>
      </x:c>
      <x:c r="C333" s="31" t="n">
        <x:v>69.49187479273215</x:v>
      </x:c>
      <x:c r="D333" s="31" t="n">
        <x:v>65.03664582897255</x:v>
      </x:c>
      <x:c r="E333" s="31" t="n">
        <x:v>50</x:v>
      </x:c>
      <x:c r="F333" s="31" t="n">
        <x:v>63.693530244825524</x:v>
      </x:c>
      <x:c r="G333" s="31"/>
      <x:c r="H333" s="31" t="n">
        <x:v>72.21577964415147</x:v>
      </x:c>
      <x:c r="I333" s="31" t="n">
        <x:v>67.42671727518045</x:v>
      </x:c>
      <x:c r="J333" s="31"/>
      <x:c r="K333" s="31"/>
      <x:c r="L333" s="31" t="n">
        <x:v>89.10900714612839</x:v>
      </x:c>
      <x:c r="M333" s="31" t="n">
        <x:v>83.21728292461604</x:v>
      </x:c>
      <x:c r="N333" s="31" t="n">
        <x:v>80.84764590979525</x:v>
      </x:c>
      <x:c r="O333" s="31" t="n">
        <x:v>50</x:v>
      </x:c>
      <x:c r="P333" s="31" t="n">
        <x:v>70.41415962383086</x:v>
      </x:c>
      <x:c r="Q333" s="31"/>
      <x:c r="R333" s="31" t="n">
        <x:v>50</x:v>
      </x:c>
      <x:c r="S333" s="31"/>
      <x:c r="T333" s="31"/>
      <x:c r="U333" s="31" t="n">
        <x:v>68.65445500096428</x:v>
      </x:c>
    </x:row>
    <x:row r="334">
      <x:c r="A334" s="31" t="n">
        <x:v>33.2</x:v>
      </x:c>
      <x:c r="B334" s="31" t="n">
        <x:v>76.86870029069598</x:v>
      </x:c>
      <x:c r="C334" s="31" t="n">
        <x:v>80.53159352084822</x:v>
      </x:c>
      <x:c r="D334" s="31" t="n">
        <x:v>65.03664582897255</x:v>
      </x:c>
      <x:c r="E334" s="31" t="n">
        <x:v>64.00753580360043</x:v>
      </x:c>
      <x:c r="F334" s="31" t="n">
        <x:v>60.71796454388567</x:v>
      </x:c>
      <x:c r="G334" s="31"/>
      <x:c r="H334" s="31" t="n">
        <x:v>74.49457954413437</x:v>
      </x:c>
      <x:c r="I334" s="31" t="n">
        <x:v>68.01827258276106</x:v>
      </x:c>
      <x:c r="J334" s="31"/>
      <x:c r="K334" s="31"/>
      <x:c r="L334" s="31" t="n">
        <x:v>90.52213453432302</x:v>
      </x:c>
      <x:c r="M334" s="31" t="n">
        <x:v>82.62774850636674</x:v>
      </x:c>
      <x:c r="N334" s="31" t="n">
        <x:v>80.84764590979525</x:v>
      </x:c>
      <x:c r="O334" s="31" t="n">
        <x:v>81.88974014251826</x:v>
      </x:c>
      <x:c r="P334" s="31" t="n">
        <x:v>68.74365676516558</x:v>
      </x:c>
      <x:c r="Q334" s="31"/>
      <x:c r="R334" s="31" t="n">
        <x:v>76.83532046566033</x:v>
      </x:c>
      <x:c r="S334" s="31"/>
      <x:c r="T334" s="31"/>
      <x:c r="U334" s="31" t="n">
        <x:v>71.9123790777411</x:v>
      </x:c>
    </x:row>
    <x:row r="335">
      <x:c r="A335" s="31" t="n">
        <x:v>33.300000000000004</x:v>
      </x:c>
      <x:c r="B335" s="31" t="n">
        <x:v>76.58429731512254</x:v>
      </x:c>
      <x:c r="C335" s="31" t="n">
        <x:v>81.4448890653205</x:v>
      </x:c>
      <x:c r="D335" s="31" t="n">
        <x:v>64.82110384270423</x:v>
      </x:c>
      <x:c r="E335" s="31" t="n">
        <x:v>64.3991015890835</x:v>
      </x:c>
      <x:c r="F335" s="31" t="n">
        <x:v>76.86311290999258</x:v>
      </x:c>
      <x:c r="G335" s="31"/>
      <x:c r="H335" s="31" t="n">
        <x:v>75.47641463187543</x:v>
      </x:c>
      <x:c r="I335" s="31" t="n">
        <x:v>71.55768343464834</x:v>
      </x:c>
      <x:c r="J335" s="31"/>
      <x:c r="K335" s="31"/>
      <x:c r="L335" s="31" t="n">
        <x:v>90.52213453432233</x:v>
      </x:c>
      <x:c r="M335" s="31" t="n">
        <x:v>82.62774850636647</x:v>
      </x:c>
      <x:c r="N335" s="31" t="n">
        <x:v>80.85746636005624</x:v>
      </x:c>
      <x:c r="O335" s="31" t="n">
        <x:v>89.62147641390627</x:v>
      </x:c>
      <x:c r="P335" s="31" t="n">
        <x:v>68.74365676516558</x:v>
      </x:c>
      <x:c r="Q335" s="31"/>
      <x:c r="R335" s="31" t="n">
        <x:v>82.36490486405711</x:v>
      </x:c>
      <x:c r="S335" s="31"/>
      <x:c r="T335" s="31"/>
      <x:c r="U335" s="31" t="n">
        <x:v>75.17030315451791</x:v>
      </x:c>
    </x:row>
    <x:row r="336">
      <x:c r="A336" s="31" t="n">
        <x:v>33.4</x:v>
      </x:c>
      <x:c r="B336" s="31" t="n">
        <x:v>74.66791204946105</x:v>
      </x:c>
      <x:c r="C336" s="31" t="n">
        <x:v>81.4448890653205</x:v>
      </x:c>
      <x:c r="D336" s="31" t="n">
        <x:v>65.0911015642481</x:v>
      </x:c>
      <x:c r="E336" s="31" t="n">
        <x:v>60.77171075319068</x:v>
      </x:c>
      <x:c r="F336" s="31" t="n">
        <x:v>76.86311290999258</x:v>
      </x:c>
      <x:c r="G336" s="31"/>
      <x:c r="H336" s="31" t="n">
        <x:v>75.47641463187543</x:v>
      </x:c>
      <x:c r="I336" s="31" t="n">
        <x:v>71.55768343464834</x:v>
      </x:c>
      <x:c r="J336" s="31"/>
      <x:c r="K336" s="31"/>
      <x:c r="L336" s="31" t="n">
        <x:v>79.22109198436654</x:v>
      </x:c>
      <x:c r="M336" s="31" t="n">
        <x:v>81.65590859576388</x:v>
      </x:c>
      <x:c r="N336" s="31" t="n">
        <x:v>80.77061102056246</x:v>
      </x:c>
      <x:c r="O336" s="31" t="n">
        <x:v>92.93017689564823</x:v>
      </x:c>
      <x:c r="P336" s="31" t="n">
        <x:v>74.92901786126063</x:v>
      </x:c>
      <x:c r="Q336" s="31"/>
      <x:c r="R336" s="31" t="n">
        <x:v>82.36490486405711</x:v>
      </x:c>
      <x:c r="S336" s="31"/>
      <x:c r="T336" s="31"/>
      <x:c r="U336" s="31" t="n">
        <x:v>77.11451386693778</x:v>
      </x:c>
    </x:row>
    <x:row r="337">
      <x:c r="A337" s="31" t="n">
        <x:v>33.5</x:v>
      </x:c>
      <x:c r="B337" s="31" t="n">
        <x:v>66.8591982732897</x:v>
      </x:c>
      <x:c r="C337" s="31" t="n">
        <x:v>68.78754976993704</x:v>
      </x:c>
      <x:c r="D337" s="31" t="n">
        <x:v>64.98734458203435</x:v>
      </x:c>
      <x:c r="E337" s="31" t="n">
        <x:v>76.43169819934425</x:v>
      </x:c>
      <x:c r="F337" s="31" t="n">
        <x:v>72.63777387407534</x:v>
      </x:c>
      <x:c r="G337" s="31"/>
      <x:c r="H337" s="31" t="n">
        <x:v>75.21929298223841</x:v>
      </x:c>
      <x:c r="I337" s="31" t="n">
        <x:v>90.36817215673341</x:v>
      </x:c>
      <x:c r="J337" s="31"/>
      <x:c r="K337" s="31"/>
      <x:c r="L337" s="31" t="n">
        <x:v>70.57590969022871</x:v>
      </x:c>
      <x:c r="M337" s="31" t="n">
        <x:v>81.65590859576388</x:v>
      </x:c>
      <x:c r="N337" s="31" t="n">
        <x:v>81.03277978278201</x:v>
      </x:c>
      <x:c r="O337" s="31" t="n">
        <x:v>93.48507940677226</x:v>
      </x:c>
      <x:c r="P337" s="31" t="n">
        <x:v>77.68838160797073</x:v>
      </x:c>
      <x:c r="Q337" s="31"/>
      <x:c r="R337" s="31" t="n">
        <x:v>77.6122705349307</x:v>
      </x:c>
      <x:c r="S337" s="31"/>
      <x:c r="T337" s="31"/>
      <x:c r="U337" s="31" t="n">
        <x:v>88.33778734189036</x:v>
      </x:c>
    </x:row>
    <x:row r="338">
      <x:c r="A338" s="31" t="n">
        <x:v>33.6</x:v>
      </x:c>
      <x:c r="B338" s="31" t="n">
        <x:v>58.791062016387336</x:v>
      </x:c>
      <x:c r="C338" s="31" t="n">
        <x:v>62.82085072248392</x:v>
      </x:c>
      <x:c r="D338" s="31" t="n">
        <x:v>64.92879718877947</x:v>
      </x:c>
      <x:c r="E338" s="31" t="n">
        <x:v>76.43169819934425</x:v>
      </x:c>
      <x:c r="F338" s="31" t="n">
        <x:v>66.75048137416421</x:v>
      </x:c>
      <x:c r="G338" s="31"/>
      <x:c r="H338" s="31" t="n">
        <x:v>76.42935966859821</x:v>
      </x:c>
      <x:c r="I338" s="31" t="n">
        <x:v>90.36817215673341</x:v>
      </x:c>
      <x:c r="J338" s="31"/>
      <x:c r="K338" s="31"/>
      <x:c r="L338" s="31" t="n">
        <x:v>50</x:v>
      </x:c>
      <x:c r="M338" s="31" t="n">
        <x:v>81.42624843830478</x:v>
      </x:c>
      <x:c r="N338" s="31" t="n">
        <x:v>81.03277978278201</x:v>
      </x:c>
      <x:c r="O338" s="31" t="n">
        <x:v>93.19210417661932</x:v>
      </x:c>
      <x:c r="P338" s="31" t="n">
        <x:v>77.68838160797073</x:v>
      </x:c>
      <x:c r="Q338" s="31"/>
      <x:c r="R338" s="31" t="n">
        <x:v>73.51581602868416</x:v>
      </x:c>
      <x:c r="S338" s="31"/>
      <x:c r="T338" s="31"/>
      <x:c r="U338" s="31" t="n">
        <x:v>88.33778734189036</x:v>
      </x:c>
    </x:row>
    <x:row r="339">
      <x:c r="A339" s="31" t="n">
        <x:v>33.7</x:v>
      </x:c>
      <x:c r="B339" s="31" t="n">
        <x:v>64.03169361363936</x:v>
      </x:c>
      <x:c r="C339" s="31" t="n">
        <x:v>54.18238381860818</x:v>
      </x:c>
      <x:c r="D339" s="31" t="n">
        <x:v>63.988905760333175</x:v>
      </x:c>
      <x:c r="E339" s="31" t="n">
        <x:v>72.04966223725415</x:v>
      </x:c>
      <x:c r="F339" s="31" t="n">
        <x:v>65.7522397807546</x:v>
      </x:c>
      <x:c r="G339" s="31"/>
      <x:c r="H339" s="31" t="n">
        <x:v>76.42935966859821</x:v>
      </x:c>
      <x:c r="I339" s="31" t="n">
        <x:v>86.53291211049128</x:v>
      </x:c>
      <x:c r="J339" s="31"/>
      <x:c r="K339" s="31"/>
      <x:c r="L339" s="31" t="n">
        <x:v>55.47169888671405</x:v>
      </x:c>
      <x:c r="M339" s="31" t="n">
        <x:v>81.42624843830478</x:v>
      </x:c>
      <x:c r="N339" s="31" t="n">
        <x:v>80.03296716012306</x:v>
      </x:c>
      <x:c r="O339" s="31" t="n">
        <x:v>84.96793995286244</x:v>
      </x:c>
      <x:c r="P339" s="31" t="n">
        <x:v>70.45630492640637</x:v>
      </x:c>
      <x:c r="Q339" s="31"/>
      <x:c r="R339" s="31" t="n">
        <x:v>72.05911031357107</x:v>
      </x:c>
      <x:c r="S339" s="31"/>
      <x:c r="T339" s="31"/>
      <x:c r="U339" s="31" t="n">
        <x:v>85.83042916975974</x:v>
      </x:c>
    </x:row>
    <x:row r="340">
      <x:c r="A340" s="31" t="n">
        <x:v>33.800000000000004</x:v>
      </x:c>
      <x:c r="B340" s="31" t="n">
        <x:v>64.03169361363936</x:v>
      </x:c>
      <x:c r="C340" s="31" t="n">
        <x:v>54.18238381860685</x:v>
      </x:c>
      <x:c r="D340" s="31" t="n">
        <x:v>62.247896902856645</x:v>
      </x:c>
      <x:c r="E340" s="31" t="n">
        <x:v>66.01238338916005</x:v>
      </x:c>
      <x:c r="F340" s="31" t="n">
        <x:v>64.75399818734502</x:v>
      </x:c>
      <x:c r="G340" s="31"/>
      <x:c r="H340" s="31" t="n">
        <x:v>76.39700870710232</x:v>
      </x:c>
      <x:c r="I340" s="31" t="n">
        <x:v>79.77354199132303</x:v>
      </x:c>
      <x:c r="J340" s="31"/>
      <x:c r="K340" s="31"/>
      <x:c r="L340" s="31" t="n">
        <x:v>62.31132249510625</x:v>
      </x:c>
      <x:c r="M340" s="31" t="n">
        <x:v>81.49338325366271</x:v>
      </x:c>
      <x:c r="N340" s="31" t="n">
        <x:v>85.38893847623174</x:v>
      </x:c>
      <x:c r="O340" s="31" t="n">
        <x:v>80.66044288909484</x:v>
      </x:c>
      <x:c r="P340" s="31" t="n">
        <x:v>63.16246158045294</x:v>
      </x:c>
      <x:c r="Q340" s="31"/>
      <x:c r="R340" s="31" t="n">
        <x:v>69.3034259516576</x:v>
      </x:c>
      <x:c r="S340" s="31"/>
      <x:c r="T340" s="31"/>
      <x:c r="U340" s="31" t="n">
        <x:v>74.3982397682072</x:v>
      </x:c>
    </x:row>
    <x:row r="341">
      <x:c r="A341" s="31" t="n">
        <x:v>33.9</x:v>
      </x:c>
      <x:c r="B341" s="31" t="n">
        <x:v>59.89477897158126</x:v>
      </x:c>
      <x:c r="C341" s="31" t="n">
        <x:v>50</x:v>
      </x:c>
      <x:c r="D341" s="31" t="n">
        <x:v>58.964915092577066</x:v>
      </x:c>
      <x:c r="E341" s="31" t="n">
        <x:v>66.13047978361193</x:v>
      </x:c>
      <x:c r="F341" s="31" t="n">
        <x:v>63.755756593935494</x:v>
      </x:c>
      <x:c r="G341" s="31"/>
      <x:c r="H341" s="31" t="n">
        <x:v>75.60899958922559</x:v>
      </x:c>
      <x:c r="I341" s="31" t="n">
        <x:v>76.62223242213632</x:v>
      </x:c>
      <x:c r="J341" s="31"/>
      <x:c r="K341" s="31"/>
      <x:c r="L341" s="31" t="n">
        <x:v>69.15094610349797</x:v>
      </x:c>
      <x:c r="M341" s="31" t="n">
        <x:v>81.49338325366271</x:v>
      </x:c>
      <x:c r="N341" s="31" t="n">
        <x:v>90.98934426094843</x:v>
      </x:c>
      <x:c r="O341" s="31" t="n">
        <x:v>80.66044288909484</x:v>
      </x:c>
      <x:c r="P341" s="31" t="n">
        <x:v>59.580450551749124</x:v>
      </x:c>
      <x:c r="Q341" s="31"/>
      <x:c r="R341" s="31" t="n">
        <x:v>69.3034259516576</x:v>
      </x:c>
      <x:c r="S341" s="31"/>
      <x:c r="T341" s="31"/>
      <x:c r="U341" s="31" t="n">
        <x:v>69.60905565172632</x:v>
      </x:c>
    </x:row>
    <x:row r="342">
      <x:c r="A342" s="31" t="n">
        <x:v>34</x:v>
      </x:c>
      <x:c r="B342" s="31" t="n">
        <x:v>64.0779982490622</x:v>
      </x:c>
      <x:c r="C342" s="31" t="n">
        <x:v>60.654661002312025</x:v>
      </x:c>
      <x:c r="D342" s="31" t="n">
        <x:v>65.63490258566276</x:v>
      </x:c>
      <x:c r="E342" s="31" t="n">
        <x:v>69.34594830635113</x:v>
      </x:c>
      <x:c r="F342" s="31" t="n">
        <x:v>62.7575150005259</x:v>
      </x:c>
      <x:c r="G342" s="31"/>
      <x:c r="H342" s="31" t="n">
        <x:v>75.59642250726965</x:v>
      </x:c>
      <x:c r="I342" s="31" t="n">
        <x:v>75.70105526114331</x:v>
      </x:c>
      <x:c r="J342" s="31"/>
      <x:c r="K342" s="31"/>
      <x:c r="L342" s="31" t="n">
        <x:v>71.44421147506714</x:v>
      </x:c>
      <x:c r="M342" s="31" t="n">
        <x:v>80.62711767451376</x:v>
      </x:c>
      <x:c r="N342" s="31" t="n">
        <x:v>90.98934426094843</x:v>
      </x:c>
      <x:c r="O342" s="31" t="n">
        <x:v>80.10133129262216</x:v>
      </x:c>
      <x:c r="P342" s="31" t="n">
        <x:v>59.16825483544812</x:v>
      </x:c>
      <x:c r="Q342" s="31"/>
      <x:c r="R342" s="31" t="n">
        <x:v>69.2792654221509</x:v>
      </x:c>
      <x:c r="S342" s="31"/>
      <x:c r="T342" s="31"/>
      <x:c r="U342" s="31" t="n">
        <x:v>67.24741815563918</x:v>
      </x:c>
    </x:row>
    <x:row r="343">
      <x:c r="A343" s="31" t="n">
        <x:v>34.1</x:v>
      </x:c>
      <x:c r="B343" s="31" t="n">
        <x:v>64.64133544605161</x:v>
      </x:c>
      <x:c r="C343" s="31" t="n">
        <x:v>60.654661002312025</x:v>
      </x:c>
      <x:c r="D343" s="31" t="n">
        <x:v>77.57470383653157</x:v>
      </x:c>
      <x:c r="E343" s="31" t="n">
        <x:v>69.59530383082063</x:v>
      </x:c>
      <x:c r="F343" s="31" t="n">
        <x:v>61.759273407116304</x:v>
      </x:c>
      <x:c r="G343" s="31"/>
      <x:c r="H343" s="31" t="n">
        <x:v>74.66434909342499</x:v>
      </x:c>
      <x:c r="I343" s="31" t="n">
        <x:v>72.77023185716703</x:v>
      </x:c>
      <x:c r="J343" s="31"/>
      <x:c r="K343" s="31"/>
      <x:c r="L343" s="31" t="n">
        <x:v>71.44421147506714</x:v>
      </x:c>
      <x:c r="M343" s="31" t="n">
        <x:v>78.35284280873188</x:v>
      </x:c>
      <x:c r="N343" s="31" t="n">
        <x:v>80.90543886724814</x:v>
      </x:c>
      <x:c r="O343" s="31" t="n">
        <x:v>80.61725296101545</x:v>
      </x:c>
      <x:c r="P343" s="31" t="n">
        <x:v>59.00337654892772</x:v>
      </x:c>
      <x:c r="Q343" s="31"/>
      <x:c r="R343" s="31" t="n">
        <x:v>70.24921987751623</x:v>
      </x:c>
      <x:c r="S343" s="31"/>
      <x:c r="T343" s="31"/>
      <x:c r="U343" s="31" t="n">
        <x:v>67.24741815563918</x:v>
      </x:c>
    </x:row>
    <x:row r="344">
      <x:c r="A344" s="31" t="n">
        <x:v>34.2</x:v>
      </x:c>
      <x:c r="B344" s="31" t="n">
        <x:v>64.64133544605161</x:v>
      </x:c>
      <x:c r="C344" s="31" t="n">
        <x:v>52.040189638406986</x:v>
      </x:c>
      <x:c r="D344" s="31" t="n">
        <x:v>77.57470383653157</x:v>
      </x:c>
      <x:c r="E344" s="31" t="n">
        <x:v>69.69710334225206</x:v>
      </x:c>
      <x:c r="F344" s="31" t="n">
        <x:v>63.41348412962256</x:v>
      </x:c>
      <x:c r="G344" s="31"/>
      <x:c r="H344" s="31" t="n">
        <x:v>83.54139997804924</x:v>
      </x:c>
      <x:c r="I344" s="31" t="n">
        <x:v>75.92544584007305</x:v>
      </x:c>
      <x:c r="J344" s="31"/>
      <x:c r="K344" s="31"/>
      <x:c r="L344" s="31" t="n">
        <x:v>90.35448011881802</x:v>
      </x:c>
      <x:c r="M344" s="31" t="n">
        <x:v>86.54263199933763</x:v>
      </x:c>
      <x:c r="N344" s="31" t="n">
        <x:v>71.5926712581265</x:v>
      </x:c>
      <x:c r="O344" s="31" t="n">
        <x:v>80.61725296101545</x:v>
      </x:c>
      <x:c r="P344" s="31" t="n">
        <x:v>57.80989455978647</x:v>
      </x:c>
      <x:c r="Q344" s="31"/>
      <x:c r="R344" s="31" t="n">
        <x:v>70.24921987751623</x:v>
      </x:c>
      <x:c r="S344" s="31"/>
      <x:c r="T344" s="31"/>
      <x:c r="U344" s="31" t="n">
        <x:v>69.1223843049765</x:v>
      </x:c>
    </x:row>
    <x:row r="345">
      <x:c r="A345" s="31" t="n">
        <x:v>34.300000000000004</x:v>
      </x:c>
      <x:c r="B345" s="31" t="n">
        <x:v>64.62929625667635</x:v>
      </x:c>
      <x:c r="C345" s="31" t="n">
        <x:v>62.241137830440465</x:v>
      </x:c>
      <x:c r="D345" s="31" t="n">
        <x:v>73.29301301634302</x:v>
      </x:c>
      <x:c r="E345" s="31" t="n">
        <x:v>69.85888744783864</x:v>
      </x:c>
      <x:c r="F345" s="31" t="n">
        <x:v>69.08490795443177</x:v>
      </x:c>
      <x:c r="G345" s="31"/>
      <x:c r="H345" s="31" t="n">
        <x:v>84.244937234454</x:v>
      </x:c>
      <x:c r="I345" s="31" t="n">
        <x:v>78.39130496507774</x:v>
      </x:c>
      <x:c r="J345" s="31"/>
      <x:c r="K345" s="31"/>
      <x:c r="L345" s="31" t="n">
        <x:v>90.35448011881802</x:v>
      </x:c>
      <x:c r="M345" s="31" t="n">
        <x:v>88.89016332515105</x:v>
      </x:c>
      <x:c r="N345" s="31" t="n">
        <x:v>50</x:v>
      </x:c>
      <x:c r="O345" s="31" t="n">
        <x:v>93.15965103390775</x:v>
      </x:c>
      <x:c r="P345" s="31" t="n">
        <x:v>57.04149684503063</x:v>
      </x:c>
      <x:c r="Q345" s="31"/>
      <x:c r="R345" s="31" t="n">
        <x:v>69.52045432413009</x:v>
      </x:c>
      <x:c r="S345" s="31"/>
      <x:c r="T345" s="31"/>
      <x:c r="U345" s="31" t="n">
        <x:v>70.99735045431383</x:v>
      </x:c>
    </x:row>
    <x:row r="346">
      <x:c r="A346" s="31" t="n">
        <x:v>34.4</x:v>
      </x:c>
      <x:c r="B346" s="31" t="n">
        <x:v>64.62929625667635</x:v>
      </x:c>
      <x:c r="C346" s="31" t="n">
        <x:v>72.44208602247322</x:v>
      </x:c>
      <x:c r="D346" s="31" t="n">
        <x:v>63.10785779256121</x:v>
      </x:c>
      <x:c r="E346" s="31" t="n">
        <x:v>69.93758235336941</x:v>
      </x:c>
      <x:c r="F346" s="31" t="n">
        <x:v>69.08490795443177</x:v>
      </x:c>
      <x:c r="G346" s="31"/>
      <x:c r="H346" s="31" t="n">
        <x:v>82.5200804399149</x:v>
      </x:c>
      <x:c r="I346" s="31" t="n">
        <x:v>78.39130496507774</x:v>
      </x:c>
      <x:c r="J346" s="31"/>
      <x:c r="K346" s="31"/>
      <x:c r="L346" s="31" t="n">
        <x:v>87.02652520345165</x:v>
      </x:c>
      <x:c r="M346" s="31" t="n">
        <x:v>88.89016332515105</x:v>
      </x:c>
      <x:c r="N346" s="31" t="n">
        <x:v>50</x:v>
      </x:c>
      <x:c r="O346" s="31" t="n">
        <x:v>93.15965103390775</x:v>
      </x:c>
      <x:c r="P346" s="31" t="n">
        <x:v>56.31398454728238</x:v>
      </x:c>
      <x:c r="Q346" s="31"/>
      <x:c r="R346" s="31" t="n">
        <x:v>81.40631459342818</x:v>
      </x:c>
      <x:c r="S346" s="31"/>
      <x:c r="T346" s="31"/>
      <x:c r="U346" s="31" t="n">
        <x:v>72.87231660365102</x:v>
      </x:c>
    </x:row>
    <x:row r="347">
      <x:c r="A347" s="31" t="n">
        <x:v>34.5</x:v>
      </x:c>
      <x:c r="B347" s="31" t="n">
        <x:v>67.02718172149031</x:v>
      </x:c>
      <x:c r="C347" s="31" t="n">
        <x:v>76.52246529928647</x:v>
      </x:c>
      <x:c r="D347" s="31" t="n">
        <x:v>53.67418755906215</x:v>
      </x:c>
      <x:c r="E347" s="31" t="n">
        <x:v>69.93758235336941</x:v>
      </x:c>
      <x:c r="F347" s="31" t="n">
        <x:v>62.60505813976093</x:v>
      </x:c>
      <x:c r="G347" s="31"/>
      <x:c r="H347" s="31" t="n">
        <x:v>72.86056894522035</x:v>
      </x:c>
      <x:c r="I347" s="31" t="n">
        <x:v>66.95283957972279</x:v>
      </x:c>
      <x:c r="J347" s="31"/>
      <x:c r="K347" s="31"/>
      <x:c r="L347" s="31" t="n">
        <x:v>84.03041538542095</x:v>
      </x:c>
      <x:c r="M347" s="31" t="n">
        <x:v>78.2503967749738</x:v>
      </x:c>
      <x:c r="N347" s="31" t="n">
        <x:v>50</x:v>
      </x:c>
      <x:c r="O347" s="31" t="n">
        <x:v>90.92139397203965</x:v>
      </x:c>
      <x:c r="P347" s="31" t="n">
        <x:v>55.58647224953408</x:v>
      </x:c>
      <x:c r="Q347" s="31"/>
      <x:c r="R347" s="31" t="n">
        <x:v>82.48697054754189</x:v>
      </x:c>
      <x:c r="S347" s="31"/>
      <x:c r="T347" s="31"/>
      <x:c r="U347" s="31" t="n">
        <x:v>74.37228952312083</x:v>
      </x:c>
    </x:row>
    <x:row r="348">
      <x:c r="A348" s="31" t="n">
        <x:v>34.6</x:v>
      </x:c>
      <x:c r="B348" s="31" t="n">
        <x:v>67.85172316202753</x:v>
      </x:c>
      <x:c r="C348" s="31" t="n">
        <x:v>76.52246529928647</x:v>
      </x:c>
      <x:c r="D348" s="31" t="n">
        <x:v>51.37782033464822</x:v>
      </x:c>
      <x:c r="E348" s="31" t="n">
        <x:v>70.2101472213088</x:v>
      </x:c>
      <x:c r="F348" s="31" t="n">
        <x:v>59.165662557594786</x:v>
      </x:c>
      <x:c r="G348" s="31"/>
      <x:c r="H348" s="31" t="n">
        <x:v>67.32226379614873</x:v>
      </x:c>
      <x:c r="I348" s="31" t="n">
        <x:v>64.3249506732665</x:v>
      </x:c>
      <x:c r="J348" s="31"/>
      <x:c r="K348" s="31"/>
      <x:c r="L348" s="31" t="n">
        <x:v>81.88886661548256</x:v>
      </x:c>
      <x:c r="M348" s="31" t="n">
        <x:v>50</x:v>
      </x:c>
      <x:c r="N348" s="31" t="n">
        <x:v>50</x:v>
      </x:c>
      <x:c r="O348" s="31" t="n">
        <x:v>83.14569803924306</x:v>
      </x:c>
      <x:c r="P348" s="31" t="n">
        <x:v>56.523619318166304</x:v>
      </x:c>
      <x:c r="Q348" s="31"/>
      <x:c r="R348" s="31" t="n">
        <x:v>82.48697054754189</x:v>
      </x:c>
      <x:c r="S348" s="31"/>
      <x:c r="T348" s="31"/>
      <x:c r="U348" s="31" t="n">
        <x:v>84.78825271243421</x:v>
      </x:c>
    </x:row>
    <x:row r="349">
      <x:c r="A349" s="31" t="n">
        <x:v>34.7</x:v>
      </x:c>
      <x:c r="B349" s="31" t="n">
        <x:v>67.85172316202753</x:v>
      </x:c>
      <x:c r="C349" s="31" t="n">
        <x:v>69.71106540551699</x:v>
      </x:c>
      <x:c r="D349" s="31" t="n">
        <x:v>50</x:v>
      </x:c>
      <x:c r="E349" s="31" t="n">
        <x:v>70.2101472213088</x:v>
      </x:c>
      <x:c r="F349" s="31" t="n">
        <x:v>63.55527228287782</x:v>
      </x:c>
      <x:c r="G349" s="31"/>
      <x:c r="H349" s="31" t="n">
        <x:v>50</x:v>
      </x:c>
      <x:c r="I349" s="31" t="n">
        <x:v>72.3259986391132</x:v>
      </x:c>
      <x:c r="J349" s="31"/>
      <x:c r="K349" s="31"/>
      <x:c r="L349" s="31" t="n">
        <x:v>78.63905782367473</x:v>
      </x:c>
      <x:c r="M349" s="31" t="n">
        <x:v>50</x:v>
      </x:c>
      <x:c r="N349" s="31" t="n">
        <x:v>78.05138149779924</x:v>
      </x:c>
      <x:c r="O349" s="31" t="n">
        <x:v>77.16167981868915</x:v>
      </x:c>
      <x:c r="P349" s="31" t="n">
        <x:v>57.36213649928166</x:v>
      </x:c>
      <x:c r="Q349" s="31"/>
      <x:c r="R349" s="31" t="n">
        <x:v>73.32222633692703</x:v>
      </x:c>
      <x:c r="S349" s="31"/>
      <x:c r="T349" s="31"/>
      <x:c r="U349" s="31" t="n">
        <x:v>84.78825271243421</x:v>
      </x:c>
    </x:row>
    <x:row r="350">
      <x:c r="A350" s="31" t="n">
        <x:v>34.800000000000004</x:v>
      </x:c>
      <x:c r="B350" s="31" t="n">
        <x:v>65.86513817615176</x:v>
      </x:c>
      <x:c r="C350" s="31" t="n">
        <x:v>64.28878302447403</x:v>
      </x:c>
      <x:c r="D350" s="31" t="n">
        <x:v>54.0091901333669</x:v>
      </x:c>
      <x:c r="E350" s="31" t="n">
        <x:v>70.52604529676611</x:v>
      </x:c>
      <x:c r="F350" s="31" t="n">
        <x:v>63.99732966547817</x:v>
      </x:c>
      <x:c r="G350" s="31"/>
      <x:c r="H350" s="31" t="n">
        <x:v>50.00000000000206</x:v>
      </x:c>
      <x:c r="I350" s="31" t="n">
        <x:v>72.3259986391132</x:v>
      </x:c>
      <x:c r="J350" s="31"/>
      <x:c r="K350" s="31"/>
      <x:c r="L350" s="31" t="n">
        <x:v>78.59203631055735</x:v>
      </x:c>
      <x:c r="M350" s="31" t="n">
        <x:v>53.418528028413675</x:v>
      </x:c>
      <x:c r="N350" s="31" t="n">
        <x:v>79.3151282233548</x:v>
      </x:c>
      <x:c r="O350" s="31" t="n">
        <x:v>76.31190944864807</x:v>
      </x:c>
      <x:c r="P350" s="31" t="n">
        <x:v>57.28128136656763</x:v>
      </x:c>
      <x:c r="Q350" s="31"/>
      <x:c r="R350" s="31" t="n">
        <x:v>64.22250930290974</x:v>
      </x:c>
      <x:c r="S350" s="31"/>
      <x:c r="T350" s="31"/>
      <x:c r="U350" s="31" t="n">
        <x:v>81.22009497129513</x:v>
      </x:c>
    </x:row>
    <x:row r="351">
      <x:c r="A351" s="31" t="n">
        <x:v>34.9</x:v>
      </x:c>
      <x:c r="B351" s="31" t="n">
        <x:v>65.86513817615176</x:v>
      </x:c>
      <x:c r="C351" s="31" t="n">
        <x:v>65.97697238887962</x:v>
      </x:c>
      <x:c r="D351" s="31" t="n">
        <x:v>59.0206778000749</x:v>
      </x:c>
      <x:c r="E351" s="31" t="n">
        <x:v>82.01709131734822</x:v>
      </x:c>
      <x:c r="F351" s="31" t="n">
        <x:v>64.60569111906386</x:v>
      </x:c>
      <x:c r="G351" s="31"/>
      <x:c r="H351" s="31" t="n">
        <x:v>68.78779012954095</x:v>
      </x:c>
      <x:c r="I351" s="31" t="n">
        <x:v>70.46838122708104</x:v>
      </x:c>
      <x:c r="J351" s="31"/>
      <x:c r="K351" s="31"/>
      <x:c r="L351" s="31" t="n">
        <x:v>78.84103954263391</x:v>
      </x:c>
      <x:c r="M351" s="31" t="n">
        <x:v>57.691688063930236</x:v>
      </x:c>
      <x:c r="N351" s="31" t="n">
        <x:v>78.03930610401181</x:v>
      </x:c>
      <x:c r="O351" s="31" t="n">
        <x:v>71.33306710961466</x:v>
      </x:c>
      <x:c r="P351" s="31" t="n">
        <x:v>57.180212450675114</x:v>
      </x:c>
      <x:c r="Q351" s="31"/>
      <x:c r="R351" s="31" t="n">
        <x:v>50</x:v>
      </x:c>
      <x:c r="S351" s="31"/>
      <x:c r="T351" s="31"/>
      <x:c r="U351" s="31" t="n">
        <x:v>72.91593539972459</x:v>
      </x:c>
    </x:row>
    <x:row r="352">
      <x:c r="A352" s="31" t="n">
        <x:v>35</x:v>
      </x:c>
      <x:c r="B352" s="31" t="n">
        <x:v>63.57564229490248</x:v>
      </x:c>
      <x:c r="C352" s="31" t="n">
        <x:v>68.46080143314586</x:v>
      </x:c>
      <x:c r="D352" s="31" t="n">
        <x:v>62.02757040009998</x:v>
      </x:c>
      <x:c r="E352" s="31" t="n">
        <x:v>82.24741885462429</x:v>
      </x:c>
      <x:c r="F352" s="31" t="n">
        <x:v>66.19273912084537</x:v>
      </x:c>
      <x:c r="G352" s="31"/>
      <x:c r="H352" s="31" t="n">
        <x:v>68.78779012954095</x:v>
      </x:c>
      <x:c r="I352" s="31" t="n">
        <x:v>69.63129092619425</x:v>
      </x:c>
      <x:c r="J352" s="31"/>
      <x:c r="K352" s="31"/>
      <x:c r="L352" s="31" t="n">
        <x:v>78.84103954263391</x:v>
      </x:c>
      <x:c r="M352" s="31" t="n">
        <x:v>61.110216092343606</x:v>
      </x:c>
      <x:c r="N352" s="31" t="n">
        <x:v>79.05841760351632</x:v>
      </x:c>
      <x:c r="O352" s="31" t="n">
        <x:v>73.95795332238158</x:v>
      </x:c>
      <x:c r="P352" s="31" t="n">
        <x:v>57.07914353478259</x:v>
      </x:c>
      <x:c r="Q352" s="31"/>
      <x:c r="R352" s="31" t="n">
        <x:v>50</x:v>
      </x:c>
      <x:c r="S352" s="31"/>
      <x:c r="T352" s="31"/>
      <x:c r="U352" s="31" t="n">
        <x:v>71.8611668181247</x:v>
      </x:c>
    </x:row>
    <x:row r="353">
      <x:c r="A353" s="31" t="n">
        <x:v>35.1</x:v>
      </x:c>
      <x:c r="B353" s="31" t="n">
        <x:v>78.79738217375936</x:v>
      </x:c>
      <x:c r="C353" s="31" t="n">
        <x:v>68.46080143314586</x:v>
      </x:c>
      <x:c r="D353" s="31" t="n">
        <x:v>62.02757040009998</x:v>
      </x:c>
      <x:c r="E353" s="31" t="n">
        <x:v>79.89140763134266</x:v>
      </x:c>
      <x:c r="F353" s="31" t="n">
        <x:v>66.19273912084537</x:v>
      </x:c>
      <x:c r="G353" s="31"/>
      <x:c r="H353" s="31" t="n">
        <x:v>76.7607616146843</x:v>
      </x:c>
      <x:c r="I353" s="31" t="n">
        <x:v>70.97843669045776</x:v>
      </x:c>
      <x:c r="J353" s="31"/>
      <x:c r="K353" s="31"/>
      <x:c r="L353" s="31" t="n">
        <x:v>77.69895624083507</x:v>
      </x:c>
      <x:c r="M353" s="31" t="n">
        <x:v>89.54119998554887</x:v>
      </x:c>
      <x:c r="N353" s="31" t="n">
        <x:v>80.40188702006431</x:v>
      </x:c>
      <x:c r="O353" s="31" t="n">
        <x:v>74.7688941789428</x:v>
      </x:c>
      <x:c r="P353" s="31" t="n">
        <x:v>56.97807461889006</x:v>
      </x:c>
      <x:c r="Q353" s="31"/>
      <x:c r="R353" s="31" t="n">
        <x:v>50</x:v>
      </x:c>
      <x:c r="S353" s="31"/>
      <x:c r="T353" s="31"/>
      <x:c r="U353" s="31" t="n">
        <x:v>72.18350300367139</x:v>
      </x:c>
    </x:row>
    <x:row r="354">
      <x:c r="A354" s="31" t="n">
        <x:v>35.2</x:v>
      </x:c>
      <x:c r="B354" s="31" t="n">
        <x:v>86.19861712220775</x:v>
      </x:c>
      <x:c r="C354" s="31" t="n">
        <x:v>69.28745367632563</x:v>
      </x:c>
      <x:c r="D354" s="31" t="n">
        <x:v>73.24454184457531</x:v>
      </x:c>
      <x:c r="E354" s="31" t="n">
        <x:v>70.07269318841531</x:v>
      </x:c>
      <x:c r="F354" s="31" t="n">
        <x:v>66.02508584976357</x:v>
      </x:c>
      <x:c r="G354" s="31"/>
      <x:c r="H354" s="31" t="n">
        <x:v>76.7607616146843</x:v>
      </x:c>
      <x:c r="I354" s="31" t="n">
        <x:v>73.0045284732779</x:v>
      </x:c>
      <x:c r="J354" s="31"/>
      <x:c r="K354" s="31"/>
      <x:c r="L354" s="31" t="n">
        <x:v>77.69895624083507</x:v>
      </x:c>
      <x:c r="M354" s="31" t="n">
        <x:v>89.54119998554887</x:v>
      </x:c>
      <x:c r="N354" s="31" t="n">
        <x:v>80.40188702006431</x:v>
      </x:c>
      <x:c r="O354" s="31" t="n">
        <x:v>75.2199321831632</x:v>
      </x:c>
      <x:c r="P354" s="31" t="n">
        <x:v>56.877005702997536</x:v>
      </x:c>
      <x:c r="Q354" s="31"/>
      <x:c r="R354" s="31" t="n">
        <x:v>50</x:v>
      </x:c>
      <x:c r="S354" s="31"/>
      <x:c r="T354" s="31"/>
      <x:c r="U354" s="31" t="n">
        <x:v>72.18350300367139</x:v>
      </x:c>
    </x:row>
    <x:row r="355">
      <x:c r="A355" s="31" t="n">
        <x:v>35.300000000000004</x:v>
      </x:c>
      <x:c r="B355" s="31" t="n">
        <x:v>86.19861712220775</x:v>
      </x:c>
      <x:c r="C355" s="31" t="n">
        <x:v>69.53992803942747</x:v>
      </x:c>
      <x:c r="D355" s="31" t="n">
        <x:v>73.24454184457531</x:v>
      </x:c>
      <x:c r="E355" s="31" t="n">
        <x:v>61.47497464362095</x:v>
      </x:c>
      <x:c r="F355" s="31" t="n">
        <x:v>66.14933513659722</x:v>
      </x:c>
      <x:c r="G355" s="31"/>
      <x:c r="H355" s="31" t="n">
        <x:v>70.37919066318645</x:v>
      </x:c>
      <x:c r="I355" s="31" t="n">
        <x:v>73.75099562146738</x:v>
      </x:c>
      <x:c r="J355" s="31"/>
      <x:c r="K355" s="31"/>
      <x:c r="L355" s="31" t="n">
        <x:v>79.06856274013364</x:v>
      </x:c>
      <x:c r="M355" s="31" t="n">
        <x:v>87.66171664099238</x:v>
      </x:c>
      <x:c r="N355" s="31" t="n">
        <x:v>81.19430530917599</x:v>
      </x:c>
      <x:c r="O355" s="31" t="n">
        <x:v>85.14146078582625</x:v>
      </x:c>
      <x:c r="P355" s="31" t="n">
        <x:v>56.77593678710502</x:v>
      </x:c>
      <x:c r="Q355" s="31"/>
      <x:c r="R355" s="31" t="n">
        <x:v>81.89397926259824</x:v>
      </x:c>
      <x:c r="S355" s="31"/>
      <x:c r="T355" s="31"/>
      <x:c r="U355" s="31" t="n">
        <x:v>72.03161510593924</x:v>
      </x:c>
    </x:row>
    <x:row r="356">
      <x:c r="A356" s="31" t="n">
        <x:v>35.4</x:v>
      </x:c>
      <x:c r="B356" s="31" t="n">
        <x:v>77.29954015262604</x:v>
      </x:c>
      <x:c r="C356" s="31" t="n">
        <x:v>70.22435623769613</x:v>
      </x:c>
      <x:c r="D356" s="31" t="n">
        <x:v>70.47588704849014</x:v>
      </x:c>
      <x:c r="E356" s="31" t="n">
        <x:v>50</x:v>
      </x:c>
      <x:c r="F356" s="31" t="n">
        <x:v>66.14933513659722</x:v>
      </x:c>
      <x:c r="G356" s="31"/>
      <x:c r="H356" s="31" t="n">
        <x:v>63.90063347214106</x:v>
      </x:c>
      <x:c r="I356" s="31" t="n">
        <x:v>73.75099562146738</x:v>
      </x:c>
      <x:c r="J356" s="31"/>
      <x:c r="K356" s="31"/>
      <x:c r="L356" s="31" t="n">
        <x:v>79.06856274013364</x:v>
      </x:c>
      <x:c r="M356" s="31" t="n">
        <x:v>83.69563471187229</x:v>
      </x:c>
      <x:c r="N356" s="31" t="n">
        <x:v>81.19430530917599</x:v>
      </x:c>
      <x:c r="O356" s="31" t="n">
        <x:v>87.89446688683299</x:v>
      </x:c>
      <x:c r="P356" s="31" t="n">
        <x:v>56.6748678712125</x:v>
      </x:c>
      <x:c r="Q356" s="31"/>
      <x:c r="R356" s="31" t="n">
        <x:v>83.83588443196786</x:v>
      </x:c>
      <x:c r="S356" s="31"/>
      <x:c r="T356" s="31"/>
      <x:c r="U356" s="31" t="n">
        <x:v>71.77846860971901</x:v>
      </x:c>
    </x:row>
    <x:row r="357">
      <x:c r="A357" s="31" t="n">
        <x:v>35.5</x:v>
      </x:c>
      <x:c r="B357" s="31" t="n">
        <x:v>71.8873595127819</x:v>
      </x:c>
      <x:c r="C357" s="31" t="n">
        <x:v>70.22435623769613</x:v>
      </x:c>
      <x:c r="D357" s="31" t="n">
        <x:v>66.84043181771466</x:v>
      </x:c>
      <x:c r="E357" s="31" t="n">
        <x:v>52.01711175170735</x:v>
      </x:c>
      <x:c r="F357" s="31" t="n">
        <x:v>67.35341217182389</x:v>
      </x:c>
      <x:c r="G357" s="31"/>
      <x:c r="H357" s="31" t="n">
        <x:v>71.24395967286046</x:v>
      </x:c>
      <x:c r="I357" s="31" t="n">
        <x:v>83.6518221757288</x:v>
      </x:c>
      <x:c r="J357" s="31"/>
      <x:c r="K357" s="31"/>
      <x:c r="L357" s="31" t="n">
        <x:v>77.79410770526842</x:v>
      </x:c>
      <x:c r="M357" s="31" t="n">
        <x:v>80.47055764893746</x:v>
      </x:c>
      <x:c r="N357" s="31" t="n">
        <x:v>81.44168063842861</x:v>
      </x:c>
      <x:c r="O357" s="31" t="n">
        <x:v>87.89446688683299</x:v>
      </x:c>
      <x:c r="P357" s="31" t="n">
        <x:v>56.57379895531997</x:v>
      </x:c>
      <x:c r="Q357" s="31"/>
      <x:c r="R357" s="31" t="n">
        <x:v>87.08095901148621</x:v>
      </x:c>
      <x:c r="S357" s="31"/>
      <x:c r="T357" s="31"/>
      <x:c r="U357" s="31" t="n">
        <x:v>71.77846860971901</x:v>
      </x:c>
    </x:row>
    <x:row r="358">
      <x:c r="A358" s="31" t="n">
        <x:v>35.6</x:v>
      </x:c>
      <x:c r="B358" s="31" t="n">
        <x:v>63.222932345623875</x:v>
      </x:c>
      <x:c r="C358" s="31" t="n">
        <x:v>69.51699183166531</x:v>
      </x:c>
      <x:c r="D358" s="31" t="n">
        <x:v>62.80197415434701</x:v>
      </x:c>
      <x:c r="E358" s="31" t="n">
        <x:v>65.34454233006917</x:v>
      </x:c>
      <x:c r="F358" s="31" t="n">
        <x:v>86.03335141408868</x:v>
      </x:c>
      <x:c r="G358" s="31"/>
      <x:c r="H358" s="31" t="n">
        <x:v>75.57309272746033</x:v>
      </x:c>
      <x:c r="I358" s="31" t="n">
        <x:v>84.89681113965516</x:v>
      </x:c>
      <x:c r="J358" s="31"/>
      <x:c r="K358" s="31"/>
      <x:c r="L358" s="31" t="n">
        <x:v>74.27865111290077</x:v>
      </x:c>
      <x:c r="M358" s="31" t="n">
        <x:v>79.96780743986375</x:v>
      </x:c>
      <x:c r="N358" s="31" t="n">
        <x:v>81.85003935696139</x:v>
      </x:c>
      <x:c r="O358" s="31" t="n">
        <x:v>79.18573862100237</x:v>
      </x:c>
      <x:c r="P358" s="31" t="n">
        <x:v>56.47273003942745</x:v>
      </x:c>
      <x:c r="Q358" s="31"/>
      <x:c r="R358" s="31" t="n">
        <x:v>87.08095901148621</x:v>
      </x:c>
      <x:c r="S358" s="31"/>
      <x:c r="T358" s="31"/>
      <x:c r="U358" s="31" t="n">
        <x:v>70.15900877078832</x:v>
      </x:c>
    </x:row>
    <x:row r="359">
      <x:c r="A359" s="31" t="n">
        <x:v>35.7</x:v>
      </x:c>
      <x:c r="B359" s="31" t="n">
        <x:v>63.222932345623875</x:v>
      </x:c>
      <x:c r="C359" s="31" t="n">
        <x:v>69.88395337422205</x:v>
      </x:c>
      <x:c r="D359" s="31" t="n">
        <x:v>64.17040832085428</x:v>
      </x:c>
      <x:c r="E359" s="31" t="n">
        <x:v>66.81165294873477</x:v>
      </x:c>
      <x:c r="F359" s="31" t="n">
        <x:v>86.7450389570626</x:v>
      </x:c>
      <x:c r="G359" s="31"/>
      <x:c r="H359" s="31" t="n">
        <x:v>75.57309272746033</x:v>
      </x:c>
      <x:c r="I359" s="31" t="n">
        <x:v>83.99764267911482</x:v>
      </x:c>
      <x:c r="J359" s="31"/>
      <x:c r="K359" s="31"/>
      <x:c r="L359" s="31" t="n">
        <x:v>73.53602762714534</x:v>
      </x:c>
      <x:c r="M359" s="31" t="n">
        <x:v>80.31092544178652</x:v>
      </x:c>
      <x:c r="N359" s="31" t="n">
        <x:v>82.32752039709766</x:v>
      </x:c>
      <x:c r="O359" s="31" t="n">
        <x:v>50</x:v>
      </x:c>
      <x:c r="P359" s="31" t="n">
        <x:v>56.391874906713426</x:v>
      </x:c>
      <x:c r="Q359" s="31"/>
      <x:c r="R359" s="31" t="n">
        <x:v>79.37537153999614</x:v>
      </x:c>
      <x:c r="S359" s="31"/>
      <x:c r="T359" s="31"/>
      <x:c r="U359" s="31" t="n">
        <x:v>73.8955997292785</x:v>
      </x:c>
    </x:row>
    <x:row r="360">
      <x:c r="A360" s="31" t="n">
        <x:v>35.800000000000004</x:v>
      </x:c>
      <x:c r="B360" s="31" t="n">
        <x:v>60.72119920625879</x:v>
      </x:c>
      <x:c r="C360" s="31" t="n">
        <x:v>69.88395337422205</x:v>
      </x:c>
      <x:c r="D360" s="31" t="n">
        <x:v>64.44840509996217</x:v>
      </x:c>
      <x:c r="E360" s="31" t="n">
        <x:v>64.73090089862917</x:v>
      </x:c>
      <x:c r="F360" s="31" t="n">
        <x:v>86.74503895706168</x:v>
      </x:c>
      <x:c r="G360" s="31"/>
      <x:c r="H360" s="31" t="n">
        <x:v>75.36710307614598</x:v>
      </x:c>
      <x:c r="I360" s="31" t="n">
        <x:v>74.78948721229035</x:v>
      </x:c>
      <x:c r="J360" s="31"/>
      <x:c r="K360" s="31"/>
      <x:c r="L360" s="31" t="n">
        <x:v>72.58337036053685</x:v>
      </x:c>
      <x:c r="M360" s="31" t="n">
        <x:v>80.31092544178652</x:v>
      </x:c>
      <x:c r="N360" s="31" t="n">
        <x:v>82.32752039709766</x:v>
      </x:c>
      <x:c r="O360" s="31" t="n">
        <x:v>50</x:v>
      </x:c>
      <x:c r="P360" s="31" t="n">
        <x:v>64.47440476350296</x:v>
      </x:c>
      <x:c r="Q360" s="31"/>
      <x:c r="R360" s="31" t="n">
        <x:v>74.45686406547176</x:v>
      </x:c>
      <x:c r="S360" s="31"/>
      <x:c r="T360" s="31"/>
      <x:c r="U360" s="31" t="n">
        <x:v>73.8955997292785</x:v>
      </x:c>
    </x:row>
    <x:row r="361">
      <x:c r="A361" s="31" t="n">
        <x:v>35.9</x:v>
      </x:c>
      <x:c r="B361" s="31" t="n">
        <x:v>61.894821516811085</x:v>
      </x:c>
      <x:c r="C361" s="31" t="n">
        <x:v>70.07735457224186</x:v>
      </x:c>
      <x:c r="D361" s="31" t="n">
        <x:v>64.75159046802669</x:v>
      </x:c>
      <x:c r="E361" s="31" t="n">
        <x:v>74.23132354614478</x:v>
      </x:c>
      <x:c r="F361" s="31" t="n">
        <x:v>73.81179329144202</x:v>
      </x:c>
      <x:c r="G361" s="31"/>
      <x:c r="H361" s="31" t="n">
        <x:v>75.54475037592198</x:v>
      </x:c>
      <x:c r="I361" s="31" t="n">
        <x:v>65.50521829133422</x:v>
      </x:c>
      <x:c r="J361" s="31"/>
      <x:c r="K361" s="31"/>
      <x:c r="L361" s="31" t="n">
        <x:v>77.64622804748228</x:v>
      </x:c>
      <x:c r="M361" s="31" t="n">
        <x:v>79.99427970160697</x:v>
      </x:c>
      <x:c r="N361" s="31" t="n">
        <x:v>81.06677530779305</x:v>
      </x:c>
      <x:c r="O361" s="31" t="n">
        <x:v>50</x:v>
      </x:c>
      <x:c r="P361" s="31" t="n">
        <x:v>64.47440476350296</x:v>
      </x:c>
      <x:c r="Q361" s="31"/>
      <x:c r="R361" s="31" t="n">
        <x:v>70.82414298462622</x:v>
      </x:c>
      <x:c r="S361" s="31"/>
      <x:c r="T361" s="31"/>
      <x:c r="U361" s="31" t="n">
        <x:v>85.80313327733151</x:v>
      </x:c>
    </x:row>
    <x:row r="362">
      <x:c r="A362" s="31" t="n">
        <x:v>36</x:v>
      </x:c>
      <x:c r="B362" s="31" t="n">
        <x:v>63.06844382736347</x:v>
      </x:c>
      <x:c r="C362" s="31" t="n">
        <x:v>70.07735457224186</x:v>
      </x:c>
      <x:c r="D362" s="31" t="n">
        <x:v>63.77953205060002</x:v>
      </x:c>
      <x:c r="E362" s="31" t="n">
        <x:v>75.09001664435328</x:v>
      </x:c>
      <x:c r="F362" s="31" t="n">
        <x:v>71.58111075190033</x:v>
      </x:c>
      <x:c r="G362" s="31"/>
      <x:c r="H362" s="31" t="n">
        <x:v>76.17954612423381</x:v>
      </x:c>
      <x:c r="I362" s="31" t="n">
        <x:v>50</x:v>
      </x:c>
      <x:c r="J362" s="31"/>
      <x:c r="K362" s="31"/>
      <x:c r="L362" s="31" t="n">
        <x:v>88.82069918977194</x:v>
      </x:c>
      <x:c r="M362" s="31" t="n">
        <x:v>81.41166287154257</x:v>
      </x:c>
      <x:c r="N362" s="31" t="n">
        <x:v>91.91604396649436</x:v>
      </x:c>
      <x:c r="O362" s="31" t="n">
        <x:v>50</x:v>
      </x:c>
      <x:c r="P362" s="31" t="n">
        <x:v>63.22279274241828</x:v>
      </x:c>
      <x:c r="Q362" s="31"/>
      <x:c r="R362" s="31" t="n">
        <x:v>71.884790774881</x:v>
      </x:c>
      <x:c r="S362" s="31"/>
      <x:c r="T362" s="31"/>
      <x:c r="U362" s="31" t="n">
        <x:v>87.15435966688119</x:v>
      </x:c>
    </x:row>
    <x:row r="363">
      <x:c r="A363" s="31" t="n">
        <x:v>36.1</x:v>
      </x:c>
      <x:c r="B363" s="31" t="n">
        <x:v>64.24206613791586</x:v>
      </x:c>
      <x:c r="C363" s="31" t="n">
        <x:v>69.05511259880582</x:v>
      </x:c>
      <x:c r="D363" s="31" t="n">
        <x:v>64.3240497667952</x:v>
      </x:c>
      <x:c r="E363" s="31" t="n">
        <x:v>74.80092017649368</x:v>
      </x:c>
      <x:c r="F363" s="31" t="n">
        <x:v>70.98420009987828</x:v>
      </x:c>
      <x:c r="G363" s="31"/>
      <x:c r="H363" s="31" t="n">
        <x:v>76.17954612423381</x:v>
      </x:c>
      <x:c r="I363" s="31" t="n">
        <x:v>67.27755450939719</x:v>
      </x:c>
      <x:c r="J363" s="31"/>
      <x:c r="K363" s="31"/>
      <x:c r="L363" s="31" t="n">
        <x:v>88.82069918977194</x:v>
      </x:c>
      <x:c r="M363" s="31" t="n">
        <x:v>81.70735112282637</x:v>
      </x:c>
      <x:c r="N363" s="31" t="n">
        <x:v>91.91604396649436</x:v>
      </x:c>
      <x:c r="O363" s="31" t="n">
        <x:v>89.72841629867438</x:v>
      </x:c>
      <x:c r="P363" s="31" t="n">
        <x:v>63.22279274241828</x:v>
      </x:c>
      <x:c r="Q363" s="31"/>
      <x:c r="R363" s="31" t="n">
        <x:v>72.26525185713628</x:v>
      </x:c>
      <x:c r="S363" s="31"/>
      <x:c r="T363" s="31"/>
      <x:c r="U363" s="31" t="n">
        <x:v>87.15435966688119</x:v>
      </x:c>
    </x:row>
    <x:row r="364">
      <x:c r="A364" s="31" t="n">
        <x:v>36.2</x:v>
      </x:c>
      <x:c r="B364" s="31" t="n">
        <x:v>62.1403934753351</x:v>
      </x:c>
      <x:c r="C364" s="31" t="n">
        <x:v>74.72224556368025</x:v>
      </x:c>
      <x:c r="D364" s="31" t="n">
        <x:v>64.68586790918773</x:v>
      </x:c>
      <x:c r="E364" s="31" t="n">
        <x:v>63.057846370959666</x:v>
      </x:c>
      <x:c r="F364" s="31" t="n">
        <x:v>66.58941008264182</x:v>
      </x:c>
      <x:c r="G364" s="31"/>
      <x:c r="H364" s="31" t="n">
        <x:v>76.06981553279765</x:v>
      </x:c>
      <x:c r="I364" s="31" t="n">
        <x:v>67.27755450939719</x:v>
      </x:c>
      <x:c r="J364" s="31"/>
      <x:c r="K364" s="31"/>
      <x:c r="L364" s="31" t="n">
        <x:v>82.37483391786651</x:v>
      </x:c>
      <x:c r="M364" s="31" t="n">
        <x:v>80.95738162178402</x:v>
      </x:c>
      <x:c r="N364" s="31" t="n">
        <x:v>85.93279679621423</x:v>
      </x:c>
      <x:c r="O364" s="31" t="n">
        <x:v>89.72841629867438</x:v>
      </x:c>
      <x:c r="P364" s="31" t="n">
        <x:v>62.01581585753622</x:v>
      </x:c>
      <x:c r="Q364" s="31"/>
      <x:c r="R364" s="31" t="n">
        <x:v>72.73553798765735</x:v>
      </x:c>
      <x:c r="S364" s="31"/>
      <x:c r="T364" s="31"/>
      <x:c r="U364" s="31" t="n">
        <x:v>77.66440930134534</x:v>
      </x:c>
    </x:row>
    <x:row r="365">
      <x:c r="A365" s="31" t="n">
        <x:v>36.300000000000004</x:v>
      </x:c>
      <x:c r="B365" s="31" t="n">
        <x:v>52.58354806394185</x:v>
      </x:c>
      <x:c r="C365" s="31" t="n">
        <x:v>74.72224556368025</x:v>
      </x:c>
      <x:c r="D365" s="31" t="n">
        <x:v>64.93084418953785</x:v>
      </x:c>
      <x:c r="E365" s="31" t="n">
        <x:v>65.21129759404312</x:v>
      </x:c>
      <x:c r="F365" s="31" t="n">
        <x:v>65.04813915617311</x:v>
      </x:c>
      <x:c r="G365" s="31"/>
      <x:c r="H365" s="31" t="n">
        <x:v>76.06981553279765</x:v>
      </x:c>
      <x:c r="I365" s="31" t="n">
        <x:v>62.48156817942855</x:v>
      </x:c>
      <x:c r="J365" s="31"/>
      <x:c r="K365" s="31"/>
      <x:c r="L365" s="31" t="n">
        <x:v>71.44011916361777</x:v>
      </x:c>
      <x:c r="M365" s="31" t="n">
        <x:v>80.89236801944759</x:v>
      </x:c>
      <x:c r="N365" s="31" t="n">
        <x:v>75.98248754786057</x:v>
      </x:c>
      <x:c r="O365" s="31" t="n">
        <x:v>87.75971229758835</x:v>
      </x:c>
      <x:c r="P365" s="31" t="n">
        <x:v>63.58031874649767</x:v>
      </x:c>
      <x:c r="Q365" s="31"/>
      <x:c r="R365" s="31" t="n">
        <x:v>72.73553798765735</x:v>
      </x:c>
      <x:c r="S365" s="31"/>
      <x:c r="T365" s="31"/>
      <x:c r="U365" s="31" t="n">
        <x:v>68.74427400048944</x:v>
      </x:c>
    </x:row>
    <x:row r="366">
      <x:c r="A366" s="31" t="n">
        <x:v>36.4</x:v>
      </x:c>
      <x:c r="B366" s="31" t="n">
        <x:v>59.74869658953316</x:v>
      </x:c>
      <x:c r="C366" s="31" t="n">
        <x:v>66.70514452530298</x:v>
      </x:c>
      <x:c r="D366" s="31" t="n">
        <x:v>64.70570818853119</x:v>
      </x:c>
      <x:c r="E366" s="31" t="n">
        <x:v>67.2561410593408</x:v>
      </x:c>
      <x:c r="F366" s="31" t="n">
        <x:v>65.04813915617311</x:v>
      </x:c>
      <x:c r="G366" s="31"/>
      <x:c r="H366" s="31" t="n">
        <x:v>74.58406304220308</x:v>
      </x:c>
      <x:c r="I366" s="31" t="n">
        <x:v>75.34935845951073</x:v>
      </x:c>
      <x:c r="J366" s="31"/>
      <x:c r="K366" s="31"/>
      <x:c r="L366" s="31" t="n">
        <x:v>50</x:v>
      </x:c>
      <x:c r="M366" s="31" t="n">
        <x:v>80.61079182892453</x:v>
      </x:c>
      <x:c r="N366" s="31" t="n">
        <x:v>50</x:v>
      </x:c>
      <x:c r="O366" s="31" t="n">
        <x:v>84.17264557271545</x:v>
      </x:c>
      <x:c r="P366" s="31" t="n">
        <x:v>63.58031874649767</x:v>
      </x:c>
      <x:c r="Q366" s="31"/>
      <x:c r="R366" s="31" t="n">
        <x:v>83.39277346507649</x:v>
      </x:c>
      <x:c r="S366" s="31"/>
      <x:c r="T366" s="31"/>
      <x:c r="U366" s="31" t="n">
        <x:v>68.74427400048944</x:v>
      </x:c>
    </x:row>
    <x:row r="367">
      <x:c r="A367" s="31" t="n">
        <x:v>36.5</x:v>
      </x:c>
      <x:c r="B367" s="31" t="n">
        <x:v>66.91384511512499</x:v>
      </x:c>
      <x:c r="C367" s="31" t="n">
        <x:v>61.48361010569854</x:v>
      </x:c>
      <x:c r="D367" s="31" t="n">
        <x:v>65.07414346967865</x:v>
      </x:c>
      <x:c r="E367" s="31" t="n">
        <x:v>67.2561410593408</x:v>
      </x:c>
      <x:c r="F367" s="31" t="n">
        <x:v>60.10813438664252</x:v>
      </x:c>
      <x:c r="G367" s="31"/>
      <x:c r="H367" s="31" t="n">
        <x:v>73.69596114106348</x:v>
      </x:c>
      <x:c r="I367" s="31" t="n">
        <x:v>75.34935845951073</x:v>
      </x:c>
      <x:c r="J367" s="31"/>
      <x:c r="K367" s="31"/>
      <x:c r="L367" s="31" t="n">
        <x:v>50</x:v>
      </x:c>
      <x:c r="M367" s="31" t="n">
        <x:v>81.08345317645453</x:v>
      </x:c>
      <x:c r="N367" s="31" t="n">
        <x:v>50</x:v>
      </x:c>
      <x:c r="O367" s="31" t="n">
        <x:v>80.4773541904622</x:v>
      </x:c>
      <x:c r="P367" s="31" t="n">
        <x:v>60.722727086554144</x:v>
      </x:c>
      <x:c r="Q367" s="31"/>
      <x:c r="R367" s="31" t="n">
        <x:v>83.39277346507649</x:v>
      </x:c>
      <x:c r="S367" s="31"/>
      <x:c r="T367" s="31"/>
      <x:c r="U367" s="31" t="n">
        <x:v>70.77370097316053</x:v>
      </x:c>
    </x:row>
    <x:row r="368">
      <x:c r="A368" s="31" t="n">
        <x:v>36.6</x:v>
      </x:c>
      <x:c r="B368" s="31" t="n">
        <x:v>74.0789936407168</x:v>
      </x:c>
      <x:c r="C368" s="31" t="n">
        <x:v>63.37430252548481</x:v>
      </x:c>
      <x:c r="D368" s="31" t="n">
        <x:v>65.48434230922275</x:v>
      </x:c>
      <x:c r="E368" s="31" t="n">
        <x:v>68.96092776222456</x:v>
      </x:c>
      <x:c r="F368" s="31" t="n">
        <x:v>50</x:v>
      </x:c>
      <x:c r="G368" s="31"/>
      <x:c r="H368" s="31" t="n">
        <x:v>69.70607009577837</x:v>
      </x:c>
      <x:c r="I368" s="31" t="n">
        <x:v>69.47515418443385</x:v>
      </x:c>
      <x:c r="J368" s="31"/>
      <x:c r="K368" s="31"/>
      <x:c r="L368" s="31" t="n">
        <x:v>50</x:v>
      </x:c>
      <x:c r="M368" s="31" t="n">
        <x:v>81.08345317645453</x:v>
      </x:c>
      <x:c r="N368" s="31" t="n">
        <x:v>69.17904836301994</x:v>
      </x:c>
      <x:c r="O368" s="31" t="n">
        <x:v>75.88708762164407</x:v>
      </x:c>
      <x:c r="P368" s="31" t="n">
        <x:v>59.999071714014974</x:v>
      </x:c>
      <x:c r="Q368" s="31"/>
      <x:c r="R368" s="31" t="n">
        <x:v>82.71398794016918</x:v>
      </x:c>
      <x:c r="S368" s="31"/>
      <x:c r="T368" s="31"/>
      <x:c r="U368" s="31" t="n">
        <x:v>70.77370097316053</x:v>
      </x:c>
    </x:row>
    <x:row r="369">
      <x:c r="A369" s="31" t="n">
        <x:v>36.7</x:v>
      </x:c>
      <x:c r="B369" s="31" t="n">
        <x:v>75.51202334583486</x:v>
      </x:c>
      <x:c r="C369" s="31" t="n">
        <x:v>63.37430252548481</x:v>
      </x:c>
      <x:c r="D369" s="31" t="n">
        <x:v>66.25444733417741</x:v>
      </x:c>
      <x:c r="E369" s="31" t="n">
        <x:v>69.1966400258495</x:v>
      </x:c>
      <x:c r="F369" s="31" t="n">
        <x:v>69.44486087085147</x:v>
      </x:c>
      <x:c r="G369" s="31"/>
      <x:c r="H369" s="31" t="n">
        <x:v>77.1322254449236</x:v>
      </x:c>
      <x:c r="I369" s="31" t="n">
        <x:v>66.3763967150852</x:v>
      </x:c>
      <x:c r="J369" s="31"/>
      <x:c r="K369" s="31"/>
      <x:c r="L369" s="31" t="n">
        <x:v>54.37580418859696</x:v>
      </x:c>
      <x:c r="M369" s="31" t="n">
        <x:v>90.70928418599038</x:v>
      </x:c>
      <x:c r="N369" s="31" t="n">
        <x:v>86.82785836259204</x:v>
      </x:c>
      <x:c r="O369" s="31" t="n">
        <x:v>75.1049510657495</x:v>
      </x:c>
      <x:c r="P369" s="31" t="n">
        <x:v>59.88304459670244</x:v>
      </x:c>
      <x:c r="Q369" s="31"/>
      <x:c r="R369" s="31" t="n">
        <x:v>76.3001193220815</x:v>
      </x:c>
      <x:c r="S369" s="31"/>
      <x:c r="T369" s="31"/>
      <x:c r="U369" s="31" t="n">
        <x:v>68.78259686247881</x:v>
      </x:c>
    </x:row>
    <x:row r="370">
      <x:c r="A370" s="31" t="n">
        <x:v>36.800000000000004</x:v>
      </x:c>
      <x:c r="B370" s="31" t="n">
        <x:v>75.01789194480943</x:v>
      </x:c>
      <x:c r="C370" s="31" t="n">
        <x:v>50</x:v>
      </x:c>
      <x:c r="D370" s="31" t="n">
        <x:v>66.25444733417741</x:v>
      </x:c>
      <x:c r="E370" s="31" t="n">
        <x:v>70.1579206105098</x:v>
      </x:c>
      <x:c r="F370" s="31" t="n">
        <x:v>69.44486087085147</x:v>
      </x:c>
      <x:c r="G370" s="31"/>
      <x:c r="H370" s="31" t="n">
        <x:v>81.51214433985344</x:v>
      </x:c>
      <x:c r="I370" s="31" t="n">
        <x:v>71.7772109134674</x:v>
      </x:c>
      <x:c r="J370" s="31"/>
      <x:c r="K370" s="31"/>
      <x:c r="L370" s="31" t="n">
        <x:v>65.31531466008781</x:v>
      </x:c>
      <x:c r="M370" s="31" t="n">
        <x:v>90.70928418599038</x:v>
      </x:c>
      <x:c r="N370" s="31" t="n">
        <x:v>88.07941845081459</x:v>
      </x:c>
      <x:c r="O370" s="31" t="n">
        <x:v>75.1049510657495</x:v>
      </x:c>
      <x:c r="P370" s="31"/>
      <x:c r="Q370" s="31"/>
      <x:c r="R370" s="31" t="n">
        <x:v>70.48835527442847</x:v>
      </x:c>
      <x:c r="S370" s="31"/>
      <x:c r="T370" s="31"/>
      <x:c r="U370" s="31" t="n">
        <x:v>68.61768178322394</x:v>
      </x:c>
    </x:row>
    <x:row r="371">
      <x:c r="A371" s="31" t="n">
        <x:v>36.9</x:v>
      </x:c>
      <x:c r="B371" s="31" t="n">
        <x:v>70.73013178728038</x:v>
      </x:c>
      <x:c r="C371" s="31" t="n">
        <x:v>53.64388579162064</x:v>
      </x:c>
      <x:c r="D371" s="31" t="n">
        <x:v>64.31398669296662</x:v>
      </x:c>
      <x:c r="E371" s="31" t="n">
        <x:v>70.1579206105098</x:v>
      </x:c>
      <x:c r="F371" s="31" t="n">
        <x:v>64.49057073788441</x:v>
      </x:c>
      <x:c r="G371" s="31"/>
      <x:c r="H371" s="31" t="n">
        <x:v>81.51214433985344</x:v>
      </x:c>
      <x:c r="I371" s="31" t="n">
        <x:v>71.79207042639204</x:v>
      </x:c>
      <x:c r="J371" s="31"/>
      <x:c r="K371" s="31"/>
      <x:c r="L371" s="31" t="n">
        <x:v>88.93821127566056</x:v>
      </x:c>
      <x:c r="M371" s="31" t="n">
        <x:v>86.45536336684864</x:v>
      </x:c>
      <x:c r="N371" s="31" t="n">
        <x:v>88.07941845081459</x:v>
      </x:c>
      <x:c r="O371" s="31" t="n">
        <x:v>74.96718291484535</x:v>
      </x:c>
      <x:c r="P371" s="31"/>
      <x:c r="Q371" s="31"/>
      <x:c r="R371" s="31" t="n">
        <x:v>63.696901555429875</x:v>
      </x:c>
      <x:c r="S371" s="31"/>
      <x:c r="T371" s="31"/>
      <x:c r="U371" s="31" t="n">
        <x:v>75.58633831788225</x:v>
      </x:c>
    </x:row>
    <x:row r="372">
      <x:c r="A372" s="31" t="n">
        <x:v>37</x:v>
      </x:c>
      <x:c r="B372" s="31" t="n">
        <x:v>64.98048626232561</x:v>
      </x:c>
      <x:c r="C372" s="31" t="n">
        <x:v>62.753600270672564</x:v>
      </x:c>
      <x:c r="D372" s="31" t="n">
        <x:v>60.77156207424815</x:v>
      </x:c>
      <x:c r="E372" s="31" t="n">
        <x:v>70.0834645746933</x:v>
      </x:c>
      <x:c r="F372" s="31" t="n">
        <x:v>50</x:v>
      </x:c>
      <x:c r="G372" s="31"/>
      <x:c r="H372" s="31" t="n">
        <x:v>71.39039561713604</x:v>
      </x:c>
      <x:c r="I372" s="31" t="n">
        <x:v>71.79207042639204</x:v>
      </x:c>
      <x:c r="J372" s="31"/>
      <x:c r="K372" s="31"/>
      <x:c r="L372" s="31" t="n">
        <x:v>89.75971206061105</x:v>
      </x:c>
      <x:c r="M372" s="31" t="n">
        <x:v>70.78572944698826</x:v>
      </x:c>
      <x:c r="N372" s="31" t="n">
        <x:v>84.71336517437788</x:v>
      </x:c>
      <x:c r="O372" s="31" t="n">
        <x:v>77.69897597609088</x:v>
      </x:c>
      <x:c r="P372" s="31"/>
      <x:c r="Q372" s="31"/>
      <x:c r="R372" s="31" t="n">
        <x:v>61.613533087424244</x:v>
      </x:c>
      <x:c r="S372" s="31"/>
      <x:c r="T372" s="31"/>
      <x:c r="U372" s="31" t="n">
        <x:v>85.32413805735456</x:v>
      </x:c>
    </x:row>
    <x:row r="373">
      <x:c r="A373" s="31" t="n">
        <x:v>37.1</x:v>
      </x:c>
      <x:c r="B373" s="31" t="n">
        <x:v>65.25517500868473</x:v>
      </x:c>
      <x:c r="C373" s="31" t="n">
        <x:v>62.753600270672564</x:v>
      </x:c>
      <x:c r="D373" s="31" t="n">
        <x:v>77.00967055459492</x:v>
      </x:c>
      <x:c r="E373" s="31" t="n">
        <x:v>69.89117040798256</x:v>
      </x:c>
      <x:c r="F373" s="31" t="n">
        <x:v>50</x:v>
      </x:c>
      <x:c r="G373" s="31"/>
      <x:c r="H373" s="31" t="n">
        <x:v>62.24509428617573</x:v>
      </x:c>
      <x:c r="I373" s="31" t="n">
        <x:v>71.4341817037375</x:v>
      </x:c>
      <x:c r="J373" s="31"/>
      <x:c r="K373" s="31"/>
      <x:c r="L373" s="31" t="n">
        <x:v>89.75971206061105</x:v>
      </x:c>
      <x:c r="M373" s="31" t="n">
        <x:v>50</x:v>
      </x:c>
      <x:c r="N373" s="31" t="n">
        <x:v>84.03829941216618</x:v>
      </x:c>
      <x:c r="O373" s="31" t="n">
        <x:v>80.87551231234146</x:v>
      </x:c>
      <x:c r="P373" s="31"/>
      <x:c r="Q373" s="31"/>
      <x:c r="R373" s="31" t="n">
        <x:v>61.218313995107266</x:v>
      </x:c>
      <x:c r="S373" s="31"/>
      <x:c r="T373" s="31"/>
      <x:c r="U373" s="31" t="n">
        <x:v>86.47147894908227</x:v>
      </x:c>
    </x:row>
    <x:row r="374">
      <x:c r="A374" s="31" t="n">
        <x:v>37.2</x:v>
      </x:c>
      <x:c r="B374" s="31" t="n">
        <x:v>66.6773708627874</x:v>
      </x:c>
      <x:c r="C374" s="31" t="n">
        <x:v>60.66730041404724</x:v>
      </x:c>
      <x:c r="D374" s="31" t="n">
        <x:v>78.3348773283717</x:v>
      </x:c>
      <x:c r="E374" s="31" t="n">
        <x:v>70.47309981692811</x:v>
      </x:c>
      <x:c r="F374" s="31" t="n">
        <x:v>64.5626109243734</x:v>
      </x:c>
      <x:c r="G374" s="31"/>
      <x:c r="H374" s="31" t="n">
        <x:v>64.4650637036507</x:v>
      </x:c>
      <x:c r="I374" s="31" t="n">
        <x:v>71.92049214542196</x:v>
      </x:c>
      <x:c r="J374" s="31"/>
      <x:c r="K374" s="31"/>
      <x:c r="L374" s="31" t="n">
        <x:v>82.50188837154798</x:v>
      </x:c>
      <x:c r="M374" s="31" t="n">
        <x:v>50</x:v>
      </x:c>
      <x:c r="N374" s="31" t="n">
        <x:v>81.22566725294246</x:v>
      </x:c>
      <x:c r="O374" s="31" t="n">
        <x:v>90.00614822245564</x:v>
      </x:c>
      <x:c r="P374" s="31"/>
      <x:c r="Q374" s="31"/>
      <x:c r="R374" s="31" t="n">
        <x:v>63.22551229238962</x:v>
      </x:c>
      <x:c r="S374" s="31"/>
      <x:c r="T374" s="31"/>
      <x:c r="U374" s="31" t="n">
        <x:v>85.90008133085452</x:v>
      </x:c>
    </x:row>
    <x:row r="375">
      <x:c r="A375" s="31" t="n">
        <x:v>37.300000000000004</x:v>
      </x:c>
      <x:c r="B375" s="31" t="n">
        <x:v>67.4327319875074</x:v>
      </x:c>
      <x:c r="C375" s="31" t="n">
        <x:v>50</x:v>
      </x:c>
      <x:c r="D375" s="31" t="n">
        <x:v>78.33487732837078</x:v>
      </x:c>
      <x:c r="E375" s="31" t="n">
        <x:v>70.47309981692811</x:v>
      </x:c>
      <x:c r="F375" s="31" t="n">
        <x:v>65.40790343165955</x:v>
      </x:c>
      <x:c r="G375" s="31"/>
      <x:c r="H375" s="31" t="n">
        <x:v>66.68503312112567</x:v>
      </x:c>
      <x:c r="I375" s="31" t="n">
        <x:v>72.7427766130028</x:v>
      </x:c>
      <x:c r="J375" s="31"/>
      <x:c r="K375" s="31"/>
      <x:c r="L375" s="31" t="n">
        <x:v>81.08577595817788</x:v>
      </x:c>
      <x:c r="M375" s="31" t="n">
        <x:v>50</x:v>
      </x:c>
      <x:c r="N375" s="31" t="n">
        <x:v>81.22566725294233</x:v>
      </x:c>
      <x:c r="O375" s="31" t="n">
        <x:v>90.00614822245564</x:v>
      </x:c>
      <x:c r="P375" s="31"/>
      <x:c r="Q375" s="31"/>
      <x:c r="R375" s="31" t="n">
        <x:v>64.97561748380879</x:v>
      </x:c>
      <x:c r="S375" s="31"/>
      <x:c r="T375" s="31"/>
      <x:c r="U375" s="31" t="n">
        <x:v>77.73685966729026</x:v>
      </x:c>
    </x:row>
    <x:row r="376">
      <x:c r="A376" s="31" t="n">
        <x:v>37.4</x:v>
      </x:c>
      <x:c r="B376" s="31" t="n">
        <x:v>66.7943288695438</x:v>
      </x:c>
      <x:c r="C376" s="31" t="n">
        <x:v>74.58380350210146</x:v>
      </x:c>
      <x:c r="D376" s="31" t="n">
        <x:v>67.72245838746215</x:v>
      </x:c>
      <x:c r="E376" s="31" t="n">
        <x:v>71.3731923619468</x:v>
      </x:c>
      <x:c r="F376" s="31" t="n">
        <x:v>65.40790343165955</x:v>
      </x:c>
      <x:c r="G376" s="31"/>
      <x:c r="H376" s="31" t="n">
        <x:v>68.90500253860048</x:v>
      </x:c>
      <x:c r="I376" s="31" t="n">
        <x:v>73.64001090454597</x:v>
      </x:c>
      <x:c r="J376" s="31"/>
      <x:c r="K376" s="31"/>
      <x:c r="L376" s="31" t="n">
        <x:v>78.25443406827956</x:v>
      </x:c>
      <x:c r="M376" s="31" t="n">
        <x:v>50</x:v>
      </x:c>
      <x:c r="N376" s="31" t="n">
        <x:v>80.87413944839722</x:v>
      </x:c>
      <x:c r="O376" s="31" t="n">
        <x:v>83.66621615038267</x:v>
      </x:c>
      <x:c r="P376" s="31"/>
      <x:c r="Q376" s="31"/>
      <x:c r="R376" s="31" t="n">
        <x:v>68.3077106093977</x:v>
      </x:c>
      <x:c r="S376" s="31"/>
      <x:c r="T376" s="31"/>
      <x:c r="U376" s="31" t="n">
        <x:v>74.83887789171408</x:v>
      </x:c>
    </x:row>
    <x:row r="377">
      <x:c r="A377" s="31" t="n">
        <x:v>37.5</x:v>
      </x:c>
      <x:c r="B377" s="31" t="n">
        <x:v>64.70057109427057</x:v>
      </x:c>
      <x:c r="C377" s="31" t="n">
        <x:v>75.86503768620844</x:v>
      </x:c>
      <x:c r="D377" s="31" t="n">
        <x:v>57.47837693991917</x:v>
      </x:c>
      <x:c r="E377" s="31" t="n">
        <x:v>77.00230869719658</x:v>
      </x:c>
      <x:c r="F377" s="31" t="n">
        <x:v>62.97528920492549</x:v>
      </x:c>
      <x:c r="G377" s="31"/>
      <x:c r="H377" s="31" t="n">
        <x:v>70.2369841890855</x:v>
      </x:c>
      <x:c r="I377" s="31" t="n">
        <x:v>73.64001090454597</x:v>
      </x:c>
      <x:c r="J377" s="31"/>
      <x:c r="K377" s="31"/>
      <x:c r="L377" s="31" t="n">
        <x:v>76.31000684549497</x:v>
      </x:c>
      <x:c r="M377" s="31" t="n">
        <x:v>86.94209979099547</x:v>
      </x:c>
      <x:c r="N377" s="31" t="n">
        <x:v>81.94843039466527</x:v>
      </x:c>
      <x:c r="O377" s="31" t="n">
        <x:v>75.38054750382827</x:v>
      </x:c>
      <x:c r="P377" s="31"/>
      <x:c r="Q377" s="31"/>
      <x:c r="R377" s="31" t="n">
        <x:v>75.94747059882525</x:v>
      </x:c>
      <x:c r="S377" s="31"/>
      <x:c r="T377" s="31"/>
      <x:c r="U377" s="31" t="n">
        <x:v>74.03759754166661</x:v>
      </x:c>
    </x:row>
    <x:row r="378">
      <x:c r="A378" s="31" t="n">
        <x:v>37.6</x:v>
      </x:c>
      <x:c r="B378" s="31" t="n">
        <x:v>64.70057109427057</x:v>
      </x:c>
      <x:c r="C378" s="31" t="n">
        <x:v>75.44649196963653</x:v>
      </x:c>
      <x:c r="D378" s="31" t="n">
        <x:v>53.92799430486643</x:v>
      </x:c>
      <x:c r="E378" s="31" t="n">
        <x:v>77.00230869719658</x:v>
      </x:c>
      <x:c r="F378" s="31" t="n">
        <x:v>66.06847849502387</x:v>
      </x:c>
      <x:c r="G378" s="31"/>
      <x:c r="H378" s="31" t="n">
        <x:v>74.01799449726502</x:v>
      </x:c>
      <x:c r="I378" s="31" t="n">
        <x:v>79.93529792319666</x:v>
      </x:c>
      <x:c r="J378" s="31"/>
      <x:c r="K378" s="31"/>
      <x:c r="L378" s="31" t="n">
        <x:v>77.03621160120161</x:v>
      </x:c>
      <x:c r="M378" s="31" t="n">
        <x:v>89.14533073069623</x:v>
      </x:c>
      <x:c r="N378" s="31" t="n">
        <x:v>81.97529112035423</x:v>
      </x:c>
      <x:c r="O378" s="31" t="n">
        <x:v>50</x:v>
      </x:c>
      <x:c r="P378" s="31"/>
      <x:c r="Q378" s="31"/>
      <x:c r="R378" s="31" t="n">
        <x:v>81.66531982682486</x:v>
      </x:c>
      <x:c r="S378" s="31"/>
      <x:c r="T378" s="31"/>
      <x:c r="U378" s="31" t="n">
        <x:v>73.44454845499536</x:v>
      </x:c>
    </x:row>
    <x:row r="379">
      <x:c r="A379" s="31" t="n">
        <x:v>37.7</x:v>
      </x:c>
      <x:c r="B379" s="31" t="n">
        <x:v>63.126289584642095</x:v>
      </x:c>
      <x:c r="C379" s="31" t="n">
        <x:v>70.23532102933828</x:v>
      </x:c>
      <x:c r="D379" s="31" t="n">
        <x:v>50</x:v>
      </x:c>
      <x:c r="E379" s="31" t="n">
        <x:v>69.15361616867068</x:v>
      </x:c>
      <x:c r="F379" s="31" t="n">
        <x:v>66.79928867368127</x:v>
      </x:c>
      <x:c r="G379" s="31"/>
      <x:c r="H379" s="31" t="n">
        <x:v>74.76941645250548</x:v>
      </x:c>
      <x:c r="I379" s="31" t="n">
        <x:v>84.15664204825364</x:v>
      </x:c>
      <x:c r="J379" s="31"/>
      <x:c r="K379" s="31"/>
      <x:c r="L379" s="31" t="n">
        <x:v>77.03621160120161</x:v>
      </x:c>
      <x:c r="M379" s="31" t="n">
        <x:v>89.14533073069623</x:v>
      </x:c>
      <x:c r="N379" s="31" t="n">
        <x:v>82.0110938121714</x:v>
      </x:c>
      <x:c r="O379" s="31" t="n">
        <x:v>50</x:v>
      </x:c>
      <x:c r="P379" s="31"/>
      <x:c r="Q379" s="31"/>
      <x:c r="R379" s="31" t="n">
        <x:v>81.66531982682486</x:v>
      </x:c>
      <x:c r="S379" s="31"/>
      <x:c r="T379" s="31"/>
      <x:c r="U379" s="31" t="n">
        <x:v>71.23172015646878</x:v>
      </x:c>
    </x:row>
    <x:row r="380">
      <x:c r="A380" s="31" t="n">
        <x:v>37.800000000000004</x:v>
      </x:c>
      <x:c r="B380" s="31" t="n">
        <x:v>63.97524828359465</x:v>
      </x:c>
      <x:c r="C380" s="31" t="n">
        <x:v>63.13296653830883</x:v>
      </x:c>
      <x:c r="D380" s="31" t="n">
        <x:v>50</x:v>
      </x:c>
      <x:c r="E380" s="31" t="n">
        <x:v>57.665141926868564</x:v>
      </x:c>
      <x:c r="F380" s="31" t="n">
        <x:v>66.14165152932256</x:v>
      </x:c>
      <x:c r="G380" s="31"/>
      <x:c r="H380" s="31" t="n">
        <x:v>74.08143959510727</x:v>
      </x:c>
      <x:c r="I380" s="31" t="n">
        <x:v>84.15664204825364</x:v>
      </x:c>
      <x:c r="J380" s="31"/>
      <x:c r="K380" s="31"/>
      <x:c r="L380" s="31" t="n">
        <x:v>74.9572369964773</x:v>
      </x:c>
      <x:c r="M380" s="31" t="n">
        <x:v>83.64460923746718</x:v>
      </x:c>
      <x:c r="N380" s="31" t="n">
        <x:v>82.0110938121714</x:v>
      </x:c>
      <x:c r="O380" s="31" t="n">
        <x:v>71.02515523161873</x:v>
      </x:c>
      <x:c r="P380" s="31"/>
      <x:c r="Q380" s="31"/>
      <x:c r="R380" s="31" t="n">
        <x:v>76.04681398077005</x:v>
      </x:c>
      <x:c r="S380" s="31"/>
      <x:c r="T380" s="31"/>
      <x:c r="U380" s="31" t="n">
        <x:v>71.23172015646878</x:v>
      </x:c>
    </x:row>
    <x:row r="381">
      <x:c r="A381" s="31" t="n">
        <x:v>37.9</x:v>
      </x:c>
      <x:c r="B381" s="31" t="n">
        <x:v>63.97524828359465</x:v>
      </x:c>
      <x:c r="C381" s="31" t="n">
        <x:v>65.94121776117225</x:v>
      </x:c>
      <x:c r="D381" s="31" t="n">
        <x:v>53.722198881456976</x:v>
      </x:c>
      <x:c r="E381" s="31" t="n">
        <x:v>64.19862389355939</x:v>
      </x:c>
      <x:c r="F381" s="31" t="n">
        <x:v>66.24148324593355</x:v>
      </x:c>
      <x:c r="G381" s="31"/>
      <x:c r="H381" s="31" t="n">
        <x:v>63.13886557374512</x:v>
      </x:c>
      <x:c r="I381" s="31" t="n">
        <x:v>77.0612636986366</x:v>
      </x:c>
      <x:c r="J381" s="31"/>
      <x:c r="K381" s="31"/>
      <x:c r="L381" s="31" t="n">
        <x:v>76.20056558674789</x:v>
      </x:c>
      <x:c r="M381" s="31" t="n">
        <x:v>82.53966526180368</x:v>
      </x:c>
      <x:c r="N381" s="31" t="n">
        <x:v>82.00280616054164</x:v>
      </x:c>
      <x:c r="O381" s="31" t="n">
        <x:v>77.36177062863732</x:v>
      </x:c>
      <x:c r="P381" s="31"/>
      <x:c r="Q381" s="31"/>
      <x:c r="R381" s="31" t="n">
        <x:v>61.9751714303274</x:v>
      </x:c>
      <x:c r="S381" s="31"/>
      <x:c r="T381" s="31"/>
      <x:c r="U381" s="31" t="n">
        <x:v>72.4182639766642</x:v>
      </x:c>
    </x:row>
    <x:row r="382">
      <x:c r="A382" s="31" t="n">
        <x:v>38</x:v>
      </x:c>
      <x:c r="B382" s="31" t="n">
        <x:v>66.17488023126236</x:v>
      </x:c>
      <x:c r="C382" s="31" t="n">
        <x:v>68.12900600039907</x:v>
      </x:c>
      <x:c r="D382" s="31" t="n">
        <x:v>62.638756145522066</x:v>
      </x:c>
      <x:c r="E382" s="31" t="n">
        <x:v>64.19862389355939</x:v>
      </x:c>
      <x:c r="F382" s="31" t="n">
        <x:v>82.11541408542648</x:v>
      </x:c>
      <x:c r="G382" s="31"/>
      <x:c r="H382" s="31" t="n">
        <x:v>69.54404472325291</x:v>
      </x:c>
      <x:c r="I382" s="31" t="n">
        <x:v>67.74604547423633</x:v>
      </x:c>
      <x:c r="J382" s="31"/>
      <x:c r="K382" s="31"/>
      <x:c r="L382" s="31" t="n">
        <x:v>76.92173586690923</x:v>
      </x:c>
      <x:c r="M382" s="31" t="n">
        <x:v>81.0904620957003</x:v>
      </x:c>
      <x:c r="N382" s="31" t="n">
        <x:v>78.0061436214033</x:v>
      </x:c>
      <x:c r="O382" s="31" t="n">
        <x:v>77.36177062863732</x:v>
      </x:c>
      <x:c r="P382" s="31"/>
      <x:c r="Q382" s="31"/>
      <x:c r="R382" s="31" t="n">
        <x:v>50.272519553702395</x:v>
      </x:c>
      <x:c r="S382" s="31"/>
      <x:c r="T382" s="31"/>
      <x:c r="U382" s="31" t="n">
        <x:v>73.66286964274188</x:v>
      </x:c>
    </x:row>
    <x:row r="383">
      <x:c r="A383" s="31" t="n">
        <x:v>38.1</x:v>
      </x:c>
      <x:c r="B383" s="31" t="n">
        <x:v>66.17488023126236</x:v>
      </x:c>
      <x:c r="C383" s="31" t="n">
        <x:v>69.10021098669316</x:v>
      </x:c>
      <x:c r="D383" s="31" t="n">
        <x:v>62.638756145522066</x:v>
      </x:c>
      <x:c r="E383" s="31" t="n">
        <x:v>64.33288976086993</x:v>
      </x:c>
      <x:c r="F383" s="31" t="n">
        <x:v>86.44706753100849</x:v>
      </x:c>
      <x:c r="G383" s="31"/>
      <x:c r="H383" s="31" t="n">
        <x:v>72.37165809686175</x:v>
      </x:c>
      <x:c r="I383" s="31" t="n">
        <x:v>50</x:v>
      </x:c>
      <x:c r="J383" s="31"/>
      <x:c r="K383" s="31"/>
      <x:c r="L383" s="31" t="n">
        <x:v>79.36041439802183</x:v>
      </x:c>
      <x:c r="M383" s="31" t="n">
        <x:v>82.30722099359988</x:v>
      </x:c>
      <x:c r="N383" s="31" t="n">
        <x:v>90.34165622873832</x:v>
      </x:c>
      <x:c r="O383" s="31" t="n">
        <x:v>74.05371054187597</x:v>
      </x:c>
      <x:c r="P383" s="31"/>
      <x:c r="Q383" s="31"/>
      <x:c r="R383" s="31" t="n">
        <x:v>50.953818437958404</x:v>
      </x:c>
      <x:c r="S383" s="31"/>
      <x:c r="T383" s="31"/>
      <x:c r="U383" s="31" t="n">
        <x:v>74.87966182921852</x:v>
      </x:c>
    </x:row>
    <x:row r="384">
      <x:c r="A384" s="31" t="n">
        <x:v>38.2</x:v>
      </x:c>
      <x:c r="B384" s="31" t="n">
        <x:v>63.145857552725126</x:v>
      </x:c>
      <x:c r="C384" s="31" t="n">
        <x:v>69.10021098669316</x:v>
      </x:c>
      <x:c r="D384" s="31" t="n">
        <x:v>63.13739783499517</x:v>
      </x:c>
      <x:c r="E384" s="31" t="n">
        <x:v>64.50072209500813</x:v>
      </x:c>
      <x:c r="F384" s="31" t="n">
        <x:v>86.44706753100849</x:v>
      </x:c>
      <x:c r="G384" s="31"/>
      <x:c r="H384" s="31" t="n">
        <x:v>73.7627429014409</x:v>
      </x:c>
      <x:c r="I384" s="31" t="n">
        <x:v>58.75865816334238</x:v>
      </x:c>
      <x:c r="J384" s="31"/>
      <x:c r="K384" s="31"/>
      <x:c r="L384" s="31" t="n">
        <x:v>79.36041439802183</x:v>
      </x:c>
      <x:c r="M384" s="31" t="n">
        <x:v>82.30722099359988</x:v>
      </x:c>
      <x:c r="N384" s="31" t="n">
        <x:v>90.34165622873832</x:v>
      </x:c>
      <x:c r="O384" s="31" t="n">
        <x:v>74.32430701006997</x:v>
      </x:c>
      <x:c r="P384" s="31"/>
      <x:c r="Q384" s="31"/>
      <x:c r="R384" s="31" t="n">
        <x:v>57.607931503827714</x:v>
      </x:c>
      <x:c r="S384" s="31"/>
      <x:c r="T384" s="31"/>
      <x:c r="U384" s="31" t="n">
        <x:v>81.8168828747352</x:v>
      </x:c>
    </x:row>
    <x:row r="385">
      <x:c r="A385" s="31" t="n">
        <x:v>38.300000000000004</x:v>
      </x:c>
      <x:c r="B385" s="31" t="n">
        <x:v>64.3739673952123</x:v>
      </x:c>
      <x:c r="C385" s="31" t="n">
        <x:v>68.71560947813968</x:v>
      </x:c>
      <x:c r="D385" s="31" t="n">
        <x:v>70.47223030271543</x:v>
      </x:c>
      <x:c r="E385" s="31" t="n">
        <x:v>64.50072209500874</x:v>
      </x:c>
      <x:c r="F385" s="31" t="n">
        <x:v>78.48087649396712</x:v>
      </x:c>
      <x:c r="G385" s="31"/>
      <x:c r="H385" s="31" t="n">
        <x:v>74.63519486137332</x:v>
      </x:c>
      <x:c r="I385" s="31" t="n">
        <x:v>67.51731632668373</x:v>
      </x:c>
      <x:c r="J385" s="31"/>
      <x:c r="K385" s="31"/>
      <x:c r="L385" s="31" t="n">
        <x:v>93.95423639833933</x:v>
      </x:c>
      <x:c r="M385" s="31" t="n">
        <x:v>81.08435853546428</x:v>
      </x:c>
      <x:c r="N385" s="31" t="n">
        <x:v>87.758734189582</x:v>
      </x:c>
      <x:c r="O385" s="31" t="n">
        <x:v>73.88703650740237</x:v>
      </x:c>
      <x:c r="P385" s="31"/>
      <x:c r="Q385" s="31"/>
      <x:c r="R385" s="31" t="n">
        <x:v>80.67966256275922</x:v>
      </x:c>
      <x:c r="S385" s="31"/>
      <x:c r="T385" s="31"/>
      <x:c r="U385" s="31" t="n">
        <x:v>86.99936684006241</x:v>
      </x:c>
    </x:row>
    <x:row r="386">
      <x:c r="A386" s="31" t="n">
        <x:v>38.400000000000006</x:v>
      </x:c>
      <x:c r="B386" s="31" t="n">
        <x:v>65.03037764846829</x:v>
      </x:c>
      <x:c r="C386" s="31" t="n">
        <x:v>68.71560947813967</x:v>
      </x:c>
      <x:c r="D386" s="31" t="n">
        <x:v>71.1591073910607</x:v>
      </x:c>
      <x:c r="E386" s="31" t="n">
        <x:v>73.15360433046833</x:v>
      </x:c>
      <x:c r="F386" s="31" t="n">
        <x:v>71.16378593586091</x:v>
      </x:c>
      <x:c r="G386" s="31"/>
      <x:c r="H386" s="31" t="n">
        <x:v>74.63519486137366</x:v>
      </x:c>
      <x:c r="I386" s="31" t="n">
        <x:v>67.51731632668182</x:v>
      </x:c>
      <x:c r="J386" s="31"/>
      <x:c r="K386" s="31"/>
      <x:c r="L386" s="31" t="n">
        <x:v>93.95423639833933</x:v>
      </x:c>
      <x:c r="M386" s="31" t="n">
        <x:v>82.23678561877014</x:v>
      </x:c>
      <x:c r="N386" s="31" t="n">
        <x:v>77.09168799618914</x:v>
      </x:c>
      <x:c r="O386" s="31" t="n">
        <x:v>73.0060287635452</x:v>
      </x:c>
      <x:c r="P386" s="31"/>
      <x:c r="Q386" s="31"/>
      <x:c r="R386" s="31" t="n">
        <x:v>81.19332775921318</x:v>
      </x:c>
      <x:c r="S386" s="31"/>
      <x:c r="T386" s="31"/>
      <x:c r="U386" s="31" t="n">
        <x:v>86.99936684006241</x:v>
      </x:c>
    </x:row>
    <x:row r="387">
      <x:c r="A387" s="31" t="n">
        <x:v>38.5</x:v>
      </x:c>
      <x:c r="B387" s="31" t="n">
        <x:v>64.8539318421368</x:v>
      </x:c>
      <x:c r="C387" s="31" t="n">
        <x:v>68.65332922916605</x:v>
      </x:c>
      <x:c r="D387" s="31" t="n">
        <x:v>71.1591073910607</x:v>
      </x:c>
      <x:c r="E387" s="31" t="n">
        <x:v>76.61475722465143</x:v>
      </x:c>
      <x:c r="F387" s="31" t="n">
        <x:v>70.17804479411637</x:v>
      </x:c>
      <x:c r="G387" s="31"/>
      <x:c r="H387" s="31" t="n">
        <x:v>75.6132451299164</x:v>
      </x:c>
      <x:c r="I387" s="31" t="n">
        <x:v>78.28098807897098</x:v>
      </x:c>
      <x:c r="J387" s="31"/>
      <x:c r="K387" s="31"/>
      <x:c r="L387" s="31" t="n">
        <x:v>92.1825747095803</x:v>
      </x:c>
      <x:c r="M387" s="31" t="n">
        <x:v>82.23678561877014</x:v>
      </x:c>
      <x:c r="N387" s="31" t="n">
        <x:v>50</x:v>
      </x:c>
      <x:c r="O387" s="31" t="n">
        <x:v>73.0060287635452</x:v>
      </x:c>
      <x:c r="P387" s="31"/>
      <x:c r="Q387" s="31"/>
      <x:c r="R387" s="31" t="n">
        <x:v>80.88799837560222</x:v>
      </x:c>
      <x:c r="S387" s="31"/>
      <x:c r="T387" s="31"/>
      <x:c r="U387" s="31" t="n">
        <x:v>79.94761943114408</x:v>
      </x:c>
    </x:row>
    <x:row r="388">
      <x:c r="A388" s="31" t="n">
        <x:v>38.6</x:v>
      </x:c>
      <x:c r="B388" s="31" t="n">
        <x:v>86.72705636967626</x:v>
      </x:c>
      <x:c r="C388" s="31" t="n">
        <x:v>68.89690363392558</x:v>
      </x:c>
      <x:c r="D388" s="31" t="n">
        <x:v>65.26073293360241</x:v>
      </x:c>
      <x:c r="E388" s="31" t="n">
        <x:v>76.61475722465143</x:v>
      </x:c>
      <x:c r="F388" s="31" t="n">
        <x:v>68.31786495194578</x:v>
      </x:c>
      <x:c r="G388" s="31"/>
      <x:c r="H388" s="31" t="n">
        <x:v>75.46987512927522</x:v>
      </x:c>
      <x:c r="I388" s="31" t="n">
        <x:v>78.28098807897098</x:v>
      </x:c>
      <x:c r="J388" s="31"/>
      <x:c r="K388" s="31"/>
      <x:c r="L388" s="31" t="n">
        <x:v>83.10866689767961</x:v>
      </x:c>
      <x:c r="M388" s="31" t="n">
        <x:v>81.48346466112295</x:v>
      </x:c>
      <x:c r="N388" s="31" t="n">
        <x:v>50</x:v>
      </x:c>
      <x:c r="O388" s="31" t="n">
        <x:v>74.50494890177262</x:v>
      </x:c>
      <x:c r="P388" s="31"/>
      <x:c r="Q388" s="31"/>
      <x:c r="R388" s="31" t="n">
        <x:v>71.61385069415473</x:v>
      </x:c>
      <x:c r="S388" s="31"/>
      <x:c r="T388" s="31"/>
      <x:c r="U388" s="31" t="n">
        <x:v>78.26057536340923</x:v>
      </x:c>
    </x:row>
    <x:row r="389">
      <x:c r="A389" s="31" t="n">
        <x:v>38.7</x:v>
      </x:c>
      <x:c r="B389" s="31" t="n">
        <x:v>86.72705636967626</x:v>
      </x:c>
      <x:c r="C389" s="31" t="n">
        <x:v>90.99944227835972</x:v>
      </x:c>
      <x:c r="D389" s="31" t="n">
        <x:v>59.58806246365525</x:v>
      </x:c>
      <x:c r="E389" s="31" t="n">
        <x:v>71.15040893201073</x:v>
      </x:c>
      <x:c r="F389" s="31" t="n">
        <x:v>65.22256208780391</x:v>
      </x:c>
      <x:c r="G389" s="31"/>
      <x:c r="H389" s="31" t="n">
        <x:v>75.46987512927522</x:v>
      </x:c>
      <x:c r="I389" s="31" t="n">
        <x:v>76.86486219830832</x:v>
      </x:c>
      <x:c r="J389" s="31"/>
      <x:c r="K389" s="31"/>
      <x:c r="L389" s="31" t="n">
        <x:v>76.1508958321556</x:v>
      </x:c>
      <x:c r="M389" s="31" t="n">
        <x:v>81.4229736700158</x:v>
      </x:c>
      <x:c r="N389" s="31" t="n">
        <x:v>50</x:v>
      </x:c>
      <x:c r="O389" s="31" t="n">
        <x:v>76.38834294962791</x:v>
      </x:c>
      <x:c r="P389" s="31"/>
      <x:c r="Q389" s="31"/>
      <x:c r="R389" s="31" t="n">
        <x:v>71.23721652116693</x:v>
      </x:c>
      <x:c r="S389" s="31"/>
      <x:c r="T389" s="31"/>
      <x:c r="U389" s="31" t="n">
        <x:v>76.3928198167893</x:v>
      </x:c>
    </x:row>
    <x:row r="390">
      <x:c r="A390" s="31" t="n">
        <x:v>38.800000000000004</x:v>
      </x:c>
      <x:c r="B390" s="31" t="n">
        <x:v>84.72515617837136</x:v>
      </x:c>
      <x:c r="C390" s="31" t="n">
        <x:v>90.99944227835972</x:v>
      </x:c>
      <x:c r="D390" s="31" t="n">
        <x:v>62.3969178741319</x:v>
      </x:c>
      <x:c r="E390" s="31" t="n">
        <x:v>63.03254439271953</x:v>
      </x:c>
      <x:c r="F390" s="31" t="n">
        <x:v>63.271309015761865</x:v>
      </x:c>
      <x:c r="G390" s="31"/>
      <x:c r="H390" s="31" t="n">
        <x:v>75.25031733723551</x:v>
      </x:c>
      <x:c r="I390" s="31" t="n">
        <x:v>50.000000000004</x:v>
      </x:c>
      <x:c r="J390" s="31"/>
      <x:c r="K390" s="31"/>
      <x:c r="L390" s="31" t="n">
        <x:v>50</x:v>
      </x:c>
      <x:c r="M390" s="31" t="n">
        <x:v>80.71546448004193</x:v>
      </x:c>
      <x:c r="N390" s="31" t="n">
        <x:v>84.54989824521076</x:v>
      </x:c>
      <x:c r="O390" s="31" t="n">
        <x:v>76.66547878965412</x:v>
      </x:c>
      <x:c r="P390" s="31"/>
      <x:c r="Q390" s="31"/>
      <x:c r="R390" s="31" t="n">
        <x:v>68.15156862005088</x:v>
      </x:c>
      <x:c r="S390" s="31"/>
      <x:c r="T390" s="31"/>
      <x:c r="U390" s="31" t="n">
        <x:v>76.3928198167893</x:v>
      </x:c>
    </x:row>
    <x:row r="391">
      <x:c r="A391" s="31" t="n">
        <x:v>38.900000000000006</x:v>
      </x:c>
      <x:c r="B391" s="31" t="n">
        <x:v>74.40786598976261</x:v>
      </x:c>
      <x:c r="C391" s="31" t="n">
        <x:v>87.0688781134418</x:v>
      </x:c>
      <x:c r="D391" s="31" t="n">
        <x:v>63.80500097891673</x:v>
      </x:c>
      <x:c r="E391" s="31" t="n">
        <x:v>66.24856723505431</x:v>
      </x:c>
      <x:c r="F391" s="31" t="n">
        <x:v>62.46332928282219</x:v>
      </x:c>
      <x:c r="G391" s="31"/>
      <x:c r="H391" s="31" t="n">
        <x:v>74.48434571767032</x:v>
      </x:c>
      <x:c r="I391" s="31" t="n">
        <x:v>70.16671734584094</x:v>
      </x:c>
      <x:c r="J391" s="31"/>
      <x:c r="K391" s="31"/>
      <x:c r="L391" s="31" t="n">
        <x:v>50</x:v>
      </x:c>
      <x:c r="M391" s="31" t="n">
        <x:v>79.42667750306514</x:v>
      </x:c>
      <x:c r="N391" s="31" t="n">
        <x:v>89.5145023640107</x:v>
      </x:c>
      <x:c r="O391" s="31" t="n">
        <x:v>76.81169817021537</x:v>
      </x:c>
      <x:c r="P391" s="31"/>
      <x:c r="Q391" s="31"/>
      <x:c r="R391" s="31" t="n">
        <x:v>67.47683187899402</x:v>
      </x:c>
      <x:c r="S391" s="31"/>
      <x:c r="T391" s="31"/>
      <x:c r="U391" s="31"/>
    </x:row>
    <x:row r="392">
      <x:c r="A392" s="31" t="n">
        <x:v>39</x:v>
      </x:c>
      <x:c r="B392" s="31" t="n">
        <x:v>64.38088399198807</x:v>
      </x:c>
      <x:c r="C392" s="31" t="n">
        <x:v>76.71851630368727</x:v>
      </x:c>
      <x:c r="D392" s="31" t="n">
        <x:v>63.974595244708794</x:v>
      </x:c>
      <x:c r="E392" s="31" t="n">
        <x:v>67.38348286914297</x:v>
      </x:c>
      <x:c r="F392" s="31" t="n">
        <x:v>62.92405858225502</x:v>
      </x:c>
      <x:c r="G392" s="31"/>
      <x:c r="H392" s="31" t="n">
        <x:v>73.49804557937927</x:v>
      </x:c>
      <x:c r="I392" s="31" t="n">
        <x:v>72.13082211832423</x:v>
      </x:c>
      <x:c r="J392" s="31"/>
      <x:c r="K392" s="31"/>
      <x:c r="L392" s="31" t="n">
        <x:v>50</x:v>
      </x:c>
      <x:c r="M392" s="31" t="n">
        <x:v>76.95333669127697</x:v>
      </x:c>
      <x:c r="N392" s="31" t="n">
        <x:v>89.5145023640107</x:v>
      </x:c>
      <x:c r="O392" s="31" t="n">
        <x:v>90.02978374181858</x:v>
      </x:c>
      <x:c r="P392" s="31"/>
      <x:c r="Q392" s="31"/>
      <x:c r="R392" s="31" t="n">
        <x:v>67.47683187899402</x:v>
      </x:c>
      <x:c r="S392" s="31"/>
      <x:c r="T392" s="31"/>
      <x:c r="U392" s="31"/>
    </x:row>
    <x:row r="393">
      <x:c r="A393" s="31" t="n">
        <x:v>39.1</x:v>
      </x:c>
      <x:c r="B393" s="31" t="n">
        <x:v>63.19111768652664</x:v>
      </x:c>
      <x:c r="C393" s="31" t="n">
        <x:v>74.60972463637214</x:v>
      </x:c>
      <x:c r="D393" s="31" t="n">
        <x:v>63.989662979349966</x:v>
      </x:c>
      <x:c r="E393" s="31" t="n">
        <x:v>67.38348286914297</x:v>
      </x:c>
      <x:c r="F393" s="31" t="n">
        <x:v>67.38560411846095</x:v>
      </x:c>
      <x:c r="G393" s="31"/>
      <x:c r="H393" s="31" t="n">
        <x:v>72.19128348891785</x:v>
      </x:c>
      <x:c r="I393" s="31" t="n">
        <x:v>72.13082211832423</x:v>
      </x:c>
      <x:c r="J393" s="31"/>
      <x:c r="K393" s="31"/>
      <x:c r="L393" s="31" t="n">
        <x:v>67.69641502023362</x:v>
      </x:c>
      <x:c r="M393" s="31" t="n">
        <x:v>87.46103536854335</x:v>
      </x:c>
      <x:c r="N393" s="31" t="n">
        <x:v>85.54388774938623</x:v>
      </x:c>
      <x:c r="O393" s="31" t="n">
        <x:v>90.02978374181858</x:v>
      </x:c>
      <x:c r="P393" s="31"/>
      <x:c r="Q393" s="31"/>
      <x:c r="R393" s="31" t="n">
        <x:v>67.04533827467988</x:v>
      </x:c>
      <x:c r="S393" s="31"/>
      <x:c r="T393" s="31"/>
      <x:c r="U393" s="31"/>
    </x:row>
    <x:row r="394">
      <x:c r="A394" s="31" t="n">
        <x:v>39.2</x:v>
      </x:c>
      <x:c r="B394" s="31" t="n">
        <x:v>53.09946742714736</x:v>
      </x:c>
      <x:c r="C394" s="31" t="n">
        <x:v>74.60972463637214</x:v>
      </x:c>
      <x:c r="D394" s="31" t="n">
        <x:v>63.989662979349966</x:v>
      </x:c>
      <x:c r="E394" s="31" t="n">
        <x:v>67.73638742510767</x:v>
      </x:c>
      <x:c r="F394" s="31" t="n">
        <x:v>65.6766474359653</x:v>
      </x:c>
      <x:c r="G394" s="31"/>
      <x:c r="H394" s="31" t="n">
        <x:v>63.47029495365402</x:v>
      </x:c>
      <x:c r="I394" s="31" t="n">
        <x:v>71.78473290692392</x:v>
      </x:c>
      <x:c r="J394" s="31"/>
      <x:c r="K394" s="31"/>
      <x:c r="L394" s="31" t="n">
        <x:v>67.69641502023362</x:v>
      </x:c>
      <x:c r="M394" s="31" t="n">
        <x:v>87.72898020650966</x:v>
      </x:c>
      <x:c r="N394" s="31" t="n">
        <x:v>83.85468036448779</x:v>
      </x:c>
      <x:c r="O394" s="31" t="n">
        <x:v>86.64008606628663</x:v>
      </x:c>
      <x:c r="P394" s="31"/>
      <x:c r="Q394" s="31"/>
      <x:c r="R394" s="31" t="n">
        <x:v>69.30520542145865</x:v>
      </x:c>
      <x:c r="S394" s="31"/>
      <x:c r="T394" s="31"/>
      <x:c r="U394" s="31"/>
    </x:row>
    <x:row r="395">
      <x:c r="A395" s="31" t="n">
        <x:v>39.300000000000004</x:v>
      </x:c>
      <x:c r="B395" s="31" t="n">
        <x:v>61.72781021607345</x:v>
      </x:c>
      <x:c r="C395" s="31" t="n">
        <x:v>65.30720291566001</x:v>
      </x:c>
      <x:c r="D395" s="31" t="n">
        <x:v>64.28727802699848</x:v>
      </x:c>
      <x:c r="E395" s="31" t="n">
        <x:v>67.90282193229638</x:v>
      </x:c>
      <x:c r="F395" s="31" t="n">
        <x:v>50</x:v>
      </x:c>
      <x:c r="G395" s="31"/>
      <x:c r="H395" s="31" t="n">
        <x:v>81.74916934925322</x:v>
      </x:c>
      <x:c r="I395" s="31" t="n">
        <x:v>72.55358217233254</x:v>
      </x:c>
      <x:c r="J395" s="31"/>
      <x:c r="K395" s="31"/>
      <x:c r="L395" s="31" t="n">
        <x:v>85.10769954043134</x:v>
      </x:c>
      <x:c r="M395" s="31" t="n">
        <x:v>84.98587858840033</x:v>
      </x:c>
      <x:c r="N395" s="31" t="n">
        <x:v>81.75064185236167</x:v>
      </x:c>
      <x:c r="O395" s="31" t="n">
        <x:v>74.75667285446917</x:v>
      </x:c>
      <x:c r="P395" s="31"/>
      <x:c r="Q395" s="31"/>
      <x:c r="R395" s="31" t="n">
        <x:v>70.25453633130553</x:v>
      </x:c>
      <x:c r="S395" s="31"/>
      <x:c r="T395" s="31"/>
      <x:c r="U395" s="31"/>
    </x:row>
    <x:row r="396">
      <x:c r="A396" s="31" t="n">
        <x:v>39.400000000000006</x:v>
      </x:c>
      <x:c r="B396" s="31" t="n">
        <x:v>61.72781021607345</x:v>
      </x:c>
      <x:c r="C396" s="31" t="n">
        <x:v>65.30720291566001</x:v>
      </x:c>
      <x:c r="D396" s="31" t="n">
        <x:v>64.28727802699848</x:v>
      </x:c>
      <x:c r="E396" s="31" t="n">
        <x:v>69.48597747647177</x:v>
      </x:c>
      <x:c r="F396" s="31" t="n">
        <x:v>50.00000000000044</x:v>
      </x:c>
      <x:c r="G396" s="31"/>
      <x:c r="H396" s="31" t="n">
        <x:v>81.74916934925322</x:v>
      </x:c>
      <x:c r="I396" s="31" t="n">
        <x:v>72.55358217233258</x:v>
      </x:c>
      <x:c r="J396" s="31"/>
      <x:c r="K396" s="31"/>
      <x:c r="L396" s="31" t="n">
        <x:v>91.04825291292407</x:v>
      </x:c>
      <x:c r="M396" s="31" t="n">
        <x:v>72.5593530319342</x:v>
      </x:c>
      <x:c r="N396" s="31" t="n">
        <x:v>80.32132774888319</x:v>
      </x:c>
      <x:c r="O396" s="31" t="n">
        <x:v>50</x:v>
      </x:c>
      <x:c r="P396" s="31"/>
      <x:c r="Q396" s="31"/>
      <x:c r="R396" s="31" t="n">
        <x:v>70.25453633130579</x:v>
      </x:c>
      <x:c r="S396" s="31"/>
      <x:c r="T396" s="31"/>
      <x:c r="U396" s="31"/>
    </x:row>
    <x:row r="397">
      <x:c r="A397" s="31" t="n">
        <x:v>39.5</x:v>
      </x:c>
      <x:c r="B397" s="31" t="n">
        <x:v>64.62579974727205</x:v>
      </x:c>
      <x:c r="C397" s="31" t="n">
        <x:v>60.20898450049181</x:v>
      </x:c>
      <x:c r="D397" s="31" t="n">
        <x:v>62.377556790373426</x:v>
      </x:c>
      <x:c r="E397" s="31" t="n">
        <x:v>69.48597747647177</x:v>
      </x:c>
      <x:c r="F397" s="31" t="n">
        <x:v>64.17960616125765</x:v>
      </x:c>
      <x:c r="G397" s="31"/>
      <x:c r="H397" s="31" t="n">
        <x:v>73.46048412721427</x:v>
      </x:c>
      <x:c r="I397" s="31" t="n">
        <x:v>73.80036497204793</x:v>
      </x:c>
      <x:c r="J397" s="31"/>
      <x:c r="K397" s="31"/>
      <x:c r="L397" s="31" t="n">
        <x:v>91.04825291292407</x:v>
      </x:c>
      <x:c r="M397" s="31" t="n">
        <x:v>50</x:v>
      </x:c>
      <x:c r="N397" s="31" t="n">
        <x:v>81.66816755239934</x:v>
      </x:c>
      <x:c r="O397" s="31" t="n">
        <x:v>51.998907535789215</x:v>
      </x:c>
      <x:c r="P397" s="31"/>
      <x:c r="Q397" s="31"/>
      <x:c r="R397" s="31" t="n">
        <x:v>82.67530706274113</x:v>
      </x:c>
      <x:c r="S397" s="31"/>
      <x:c r="T397" s="31"/>
      <x:c r="U397" s="31"/>
    </x:row>
    <x:row r="398">
      <x:c r="A398" s="31" t="n">
        <x:v>39.6</x:v>
      </x:c>
      <x:c r="B398" s="31" t="n">
        <x:v>64.62579974727205</x:v>
      </x:c>
      <x:c r="C398" s="31" t="n">
        <x:v>60.20898450049181</x:v>
      </x:c>
      <x:c r="D398" s="31" t="n">
        <x:v>62.95998471687048</x:v>
      </x:c>
      <x:c r="E398" s="31" t="n">
        <x:v>68.39230428761104</x:v>
      </x:c>
      <x:c r="F398" s="31" t="n">
        <x:v>65.12988993692204</x:v>
      </x:c>
      <x:c r="G398" s="31"/>
      <x:c r="H398" s="31" t="n">
        <x:v>65.46677916858638</x:v>
      </x:c>
      <x:c r="I398" s="31" t="n">
        <x:v>73.80036497204793</x:v>
      </x:c>
      <x:c r="J398" s="31"/>
      <x:c r="K398" s="31"/>
      <x:c r="L398" s="31" t="n">
        <x:v>86.54079128665366</x:v>
      </x:c>
      <x:c r="M398" s="31" t="n">
        <x:v>50</x:v>
      </x:c>
      <x:c r="N398" s="31" t="n">
        <x:v>81.66816755239934</x:v>
      </x:c>
      <x:c r="O398" s="31" t="n">
        <x:v>57.995630143156156</x:v>
      </x:c>
      <x:c r="P398" s="31"/>
      <x:c r="Q398" s="31"/>
      <x:c r="R398" s="31" t="n">
        <x:v>82.67530706274113</x:v>
      </x:c>
      <x:c r="S398" s="31"/>
      <x:c r="T398" s="31"/>
      <x:c r="U398" s="31"/>
    </x:row>
    <x:row r="399">
      <x:c r="A399" s="31" t="n">
        <x:v>39.7</x:v>
      </x:c>
      <x:c r="B399" s="31" t="n">
        <x:v>60.133548520919646</x:v>
      </x:c>
      <x:c r="C399" s="31" t="n">
        <x:v>50</x:v>
      </x:c>
      <x:c r="D399" s="31" t="n">
        <x:v>82.98980774907852</x:v>
      </x:c>
      <x:c r="E399" s="31" t="n">
        <x:v>91.47870486616966</x:v>
      </x:c>
      <x:c r="F399" s="31" t="n">
        <x:v>65.12988993692204</x:v>
      </x:c>
      <x:c r="G399" s="31"/>
      <x:c r="H399" s="31" t="n">
        <x:v>54.92436644784834</x:v>
      </x:c>
      <x:c r="I399" s="31" t="n">
        <x:v>72.22318305667311</x:v>
      </x:c>
      <x:c r="J399" s="31"/>
      <x:c r="K399" s="31"/>
      <x:c r="L399" s="31" t="n">
        <x:v>82.86517943203093</x:v>
      </x:c>
      <x:c r="M399" s="31" t="n">
        <x:v>50</x:v>
      </x:c>
      <x:c r="N399" s="31" t="n">
        <x:v>81.70599063867232</x:v>
      </x:c>
      <x:c r="O399" s="31" t="n">
        <x:v>85.58662257276744</x:v>
      </x:c>
      <x:c r="P399" s="31"/>
      <x:c r="Q399" s="31"/>
      <x:c r="R399" s="31" t="n">
        <x:v>79.1209234240041</x:v>
      </x:c>
      <x:c r="S399" s="31"/>
      <x:c r="T399" s="31"/>
      <x:c r="U399" s="31"/>
    </x:row>
    <x:row r="400">
      <x:c r="A400" s="31" t="n">
        <x:v>39.800000000000004</x:v>
      </x:c>
      <x:c r="B400" s="31" t="n">
        <x:v>57.52049636317548</x:v>
      </x:c>
      <x:c r="C400" s="31" t="n">
        <x:v>50</x:v>
      </x:c>
      <x:c r="D400" s="31" t="n">
        <x:v>87.88915527494896</x:v>
      </x:c>
      <x:c r="E400" s="31" t="n">
        <x:v>91.47870486616966</x:v>
      </x:c>
      <x:c r="F400" s="31" t="n">
        <x:v>65.29961781060643</x:v>
      </x:c>
      <x:c r="G400" s="31"/>
      <x:c r="H400" s="31" t="n">
        <x:v>50</x:v>
      </x:c>
      <x:c r="I400" s="31" t="n">
        <x:v>69.65773919247493</x:v>
      </x:c>
      <x:c r="J400" s="31"/>
      <x:c r="K400" s="31"/>
      <x:c r="L400" s="31" t="n">
        <x:v>79.83080170768429</x:v>
      </x:c>
      <x:c r="M400" s="31" t="n">
        <x:v>50.00000000000234</x:v>
      </x:c>
      <x:c r="N400" s="31" t="n">
        <x:v>83.082722356962</x:v>
      </x:c>
      <x:c r="O400" s="31" t="n">
        <x:v>89.4791848476535</x:v>
      </x:c>
      <x:c r="P400" s="31"/>
      <x:c r="Q400" s="31"/>
      <x:c r="R400" s="31" t="n">
        <x:v>68.8022807104194</x:v>
      </x:c>
      <x:c r="S400" s="31"/>
      <x:c r="T400" s="31"/>
      <x:c r="U400" s="31"/>
    </x:row>
    <x:row r="401">
      <x:c r="A401" s="31" t="n">
        <x:v>39.900000000000006</x:v>
      </x:c>
      <x:c r="B401" s="31" t="n">
        <x:v>58.008026781340746</x:v>
      </x:c>
      <x:c r="C401" s="31" t="n">
        <x:v>74.61174907702812</x:v>
      </x:c>
      <x:c r="D401" s="31" t="n">
        <x:v>87.88915527494896</x:v>
      </x:c>
      <x:c r="E401" s="31" t="n">
        <x:v>84.73993108784364</x:v>
      </x:c>
      <x:c r="F401" s="31" t="n">
        <x:v>65.29961781060668</x:v>
      </x:c>
      <x:c r="G401" s="31"/>
      <x:c r="H401" s="31" t="n">
        <x:v>55.58026739312551</x:v>
      </x:c>
      <x:c r="I401" s="31" t="n">
        <x:v>84.1947859916348</x:v>
      </x:c>
      <x:c r="J401" s="31"/>
      <x:c r="K401" s="31"/>
      <x:c r="L401" s="31" t="n">
        <x:v>75.39647472597873</x:v>
      </x:c>
      <x:c r="M401" s="31" t="n">
        <x:v>83.46380391671634</x:v>
      </x:c>
      <x:c r="N401" s="31" t="n">
        <x:v>83.082722356962</x:v>
      </x:c>
      <x:c r="O401" s="31" t="n">
        <x:v>89.4791848476535</x:v>
      </x:c>
      <x:c r="P401" s="31"/>
      <x:c r="Q401" s="31"/>
      <x:c r="R401" s="31" t="n">
        <x:v>57.851288800899155</x:v>
      </x:c>
      <x:c r="S401" s="31"/>
      <x:c r="T401" s="31"/>
      <x:c r="U401" s="31"/>
    </x:row>
    <x:row r="402">
      <x:c r="A402" s="31" t="n">
        <x:v>40</x:v>
      </x:c>
      <x:c r="B402" s="31" t="n">
        <x:v>76.34062312899948</x:v>
      </x:c>
      <x:c r="C402" s="31" t="n">
        <x:v>74.61174907702812</x:v>
      </x:c>
      <x:c r="D402" s="31" t="n">
        <x:v>80.15078305770611</x:v>
      </x:c>
      <x:c r="E402" s="31" t="n">
        <x:v>77.41337034086473</x:v>
      </x:c>
      <x:c r="F402" s="31" t="n">
        <x:v>66.80262615326654</x:v>
      </x:c>
      <x:c r="G402" s="31"/>
      <x:c r="H402" s="31" t="n">
        <x:v>69.53093587593632</x:v>
      </x:c>
      <x:c r="I402" s="31" t="n">
        <x:v>84.1947859916348</x:v>
      </x:c>
      <x:c r="J402" s="31"/>
      <x:c r="K402" s="31"/>
      <x:c r="L402" s="31" t="n">
        <x:v>75.39647472597873</x:v>
      </x:c>
      <x:c r="M402" s="31" t="n">
        <x:v>90.33954333290824</x:v>
      </x:c>
      <x:c r="N402" s="31" t="n">
        <x:v>79.7911652038273</x:v>
      </x:c>
      <x:c r="O402" s="31" t="n">
        <x:v>83.51521523649959</x:v>
      </x:c>
      <x:c r="P402" s="31"/>
      <x:c r="Q402" s="31"/>
      <x:c r="R402" s="31" t="n">
        <x:v>50</x:v>
      </x:c>
      <x:c r="S402" s="31"/>
      <x:c r="T402" s="31"/>
      <x:c r="U402" s="31"/>
    </x:row>
    <x:row r="403">
      <x:c r="A403" s="31" t="n">
        <x:v>40.1</x:v>
      </x:c>
      <x:c r="B403" s="31" t="n">
        <x:v>77.05730906012366</x:v>
      </x:c>
      <x:c r="C403" s="31" t="n">
        <x:v>71.45769590780645</x:v>
      </x:c>
      <x:c r="D403" s="31" t="n">
        <x:v>73.2625504273608</x:v>
      </x:c>
      <x:c r="E403" s="31" t="n">
        <x:v>73.8183304448462</x:v>
      </x:c>
      <x:c r="F403" s="31" t="n">
        <x:v>67.45077571817419</x:v>
      </x:c>
      <x:c r="G403" s="31"/>
      <x:c r="H403" s="31" t="n">
        <x:v>73.89704896582883</x:v>
      </x:c>
      <x:c r="I403" s="31" t="n">
        <x:v>76.8615264015734</x:v>
      </x:c>
      <x:c r="J403" s="31"/>
      <x:c r="K403" s="31"/>
      <x:c r="L403" s="31" t="n">
        <x:v>77.2380488811917</x:v>
      </x:c>
      <x:c r="M403" s="31" t="n">
        <x:v>90.33954333290824</x:v>
      </x:c>
      <x:c r="N403" s="31" t="n">
        <x:v>78.24227062474165</x:v>
      </x:c>
      <x:c r="O403" s="31" t="n">
        <x:v>83.21261243063161</x:v>
      </x:c>
      <x:c r="P403" s="31"/>
      <x:c r="Q403" s="31"/>
      <x:c r="R403" s="31" t="n">
        <x:v>50</x:v>
      </x:c>
      <x:c r="S403" s="31"/>
      <x:c r="T403" s="31"/>
      <x:c r="U403" s="31"/>
    </x:row>
    <x:row r="404">
      <x:c r="A404" s="31" t="n">
        <x:v>40.2</x:v>
      </x:c>
      <x:c r="B404" s="31" t="n">
        <x:v>77.05730906012366</x:v>
      </x:c>
      <x:c r="C404" s="31" t="n">
        <x:v>65.20574711553041</x:v>
      </x:c>
      <x:c r="D404" s="31" t="n">
        <x:v>71.09437238073696</x:v>
      </x:c>
      <x:c r="E404" s="31" t="n">
        <x:v>69.95797303407997</x:v>
      </x:c>
      <x:c r="F404" s="31" t="n">
        <x:v>67.45077571817419</x:v>
      </x:c>
      <x:c r="G404" s="31"/>
      <x:c r="H404" s="31" t="n">
        <x:v>75.39702016933924</x:v>
      </x:c>
      <x:c r="I404" s="31" t="n">
        <x:v>65.18710501263699</x:v>
      </x:c>
      <x:c r="J404" s="31"/>
      <x:c r="K404" s="31"/>
      <x:c r="L404" s="31" t="n">
        <x:v>77.78526225177824</x:v>
      </x:c>
      <x:c r="M404" s="31" t="n">
        <x:v>85.05490067601417</x:v>
      </x:c>
      <x:c r="N404" s="31" t="n">
        <x:v>74.53674484232835</x:v>
      </x:c>
      <x:c r="O404" s="31" t="n">
        <x:v>79.12221031450957</x:v>
      </x:c>
      <x:c r="P404" s="31"/>
      <x:c r="Q404" s="31"/>
      <x:c r="R404" s="31" t="n">
        <x:v>50</x:v>
      </x:c>
      <x:c r="S404" s="31"/>
      <x:c r="T404" s="31"/>
      <x:c r="U404" s="31"/>
    </x:row>
    <x:row r="405">
      <x:c r="A405" s="31" t="n">
        <x:v>40.300000000000004</x:v>
      </x:c>
      <x:c r="B405" s="31" t="n">
        <x:v>73.14896482422252</x:v>
      </x:c>
      <x:c r="C405" s="31" t="n">
        <x:v>50</x:v>
      </x:c>
      <x:c r="D405" s="31" t="n">
        <x:v>69.02840405069541</x:v>
      </x:c>
      <x:c r="E405" s="31" t="n">
        <x:v>69.95797303407997</x:v>
      </x:c>
      <x:c r="F405" s="31" t="n">
        <x:v>67.29753949118327</x:v>
      </x:c>
      <x:c r="G405" s="31"/>
      <x:c r="H405" s="31" t="n">
        <x:v>75.39702016933855</x:v>
      </x:c>
      <x:c r="I405" s="31" t="n">
        <x:v>50</x:v>
      </x:c>
      <x:c r="J405" s="31"/>
      <x:c r="K405" s="31"/>
      <x:c r="L405" s="31" t="n">
        <x:v>78.45429017417287</x:v>
      </x:c>
      <x:c r="M405" s="31" t="n">
        <x:v>83.29938246633111</x:v>
      </x:c>
      <x:c r="N405" s="31" t="n">
        <x:v>81.8767895513588</x:v>
      </x:c>
      <x:c r="O405" s="31" t="n">
        <x:v>77.76413976713383</x:v>
      </x:c>
      <x:c r="P405" s="31"/>
      <x:c r="Q405" s="31"/>
      <x:c r="R405" s="31" t="n">
        <x:v>50.000000000000746</x:v>
      </x:c>
      <x:c r="S405" s="31"/>
      <x:c r="T405" s="31"/>
      <x:c r="U405" s="31"/>
    </x:row>
    <x:row r="406">
      <x:c r="A406" s="31" t="n">
        <x:v>40.400000000000006</x:v>
      </x:c>
      <x:c r="B406" s="31" t="n">
        <x:v>67.16216838026679</x:v>
      </x:c>
      <x:c r="C406" s="31" t="n">
        <x:v>67.50511516415034</x:v>
      </x:c>
      <x:c r="D406" s="31" t="n">
        <x:v>67.80248717794261</x:v>
      </x:c>
      <x:c r="E406" s="31" t="n">
        <x:v>66.97176552587884</x:v>
      </x:c>
      <x:c r="F406" s="31" t="n">
        <x:v>66.2392651949784</x:v>
      </x:c>
      <x:c r="G406" s="31"/>
      <x:c r="H406" s="31" t="n">
        <x:v>68.3386921877821</x:v>
      </x:c>
      <x:c r="I406" s="31" t="n">
        <x:v>50.00000000000117</x:v>
      </x:c>
      <x:c r="J406" s="31"/>
      <x:c r="K406" s="31"/>
      <x:c r="L406" s="31" t="n">
        <x:v>78.73784886236888</x:v>
      </x:c>
      <x:c r="M406" s="31" t="n">
        <x:v>82.06669207788173</x:v>
      </x:c>
      <x:c r="N406" s="31" t="n">
        <x:v>90.44058312974728</x:v>
      </x:c>
      <x:c r="O406" s="31" t="n">
        <x:v>78.94771518656461</x:v>
      </x:c>
      <x:c r="P406" s="31"/>
      <x:c r="Q406" s="31"/>
      <x:c r="R406" s="31" t="n">
        <x:v>60.487555136751</x:v>
      </x:c>
      <x:c r="S406" s="31"/>
      <x:c r="T406" s="31"/>
      <x:c r="U406" s="31"/>
    </x:row>
    <x:row r="407">
      <x:c r="A407" s="31" t="n">
        <x:v>40.5</x:v>
      </x:c>
      <x:c r="B407" s="31" t="n">
        <x:v>58.817726503621046</x:v>
      </x:c>
      <x:c r="C407" s="31" t="n">
        <x:v>68.20507915029337</x:v>
      </x:c>
      <x:c r="D407" s="31" t="n">
        <x:v>63.919405789825475</x:v>
      </x:c>
      <x:c r="E407" s="31" t="n">
        <x:v>53.87991821283271</x:v>
      </x:c>
      <x:c r="F407" s="31" t="n">
        <x:v>83.11273180764758</x:v>
      </x:c>
      <x:c r="G407" s="31"/>
      <x:c r="H407" s="31" t="n">
        <x:v>70.21646893146979</x:v>
      </x:c>
      <x:c r="I407" s="31" t="n">
        <x:v>66.47914801323891</x:v>
      </x:c>
      <x:c r="J407" s="31"/>
      <x:c r="K407" s="31"/>
      <x:c r="L407" s="31" t="n">
        <x:v>79.29476183775621</x:v>
      </x:c>
      <x:c r="M407" s="31" t="n">
        <x:v>82.06669207788173</x:v>
      </x:c>
      <x:c r="N407" s="31" t="n">
        <x:v>90.44058312974728</x:v>
      </x:c>
      <x:c r="O407" s="31" t="n">
        <x:v>78.94771518656461</x:v>
      </x:c>
      <x:c r="P407" s="31"/>
      <x:c r="Q407" s="31"/>
      <x:c r="R407" s="31" t="n">
        <x:v>66.78008821880056</x:v>
      </x:c>
      <x:c r="S407" s="31"/>
      <x:c r="T407" s="31"/>
      <x:c r="U407" s="31"/>
    </x:row>
    <x:row r="408">
      <x:c r="A408" s="31" t="n">
        <x:v>40.6</x:v>
      </x:c>
      <x:c r="B408" s="31" t="n">
        <x:v>63.905440569631686</x:v>
      </x:c>
      <x:c r="C408" s="31" t="n">
        <x:v>68.20507915029337</x:v>
      </x:c>
      <x:c r="D408" s="31" t="n">
        <x:v>63.919405789825475</x:v>
      </x:c>
      <x:c r="E408" s="31" t="n">
        <x:v>50.92051363591597</x:v>
      </x:c>
      <x:c r="F408" s="31" t="n">
        <x:v>83.11273180764758</x:v>
      </x:c>
      <x:c r="G408" s="31"/>
      <x:c r="H408" s="31" t="n">
        <x:v>75.74396786661188</x:v>
      </x:c>
      <x:c r="I408" s="31" t="n">
        <x:v>73.52010071523144</x:v>
      </x:c>
      <x:c r="J408" s="31"/>
      <x:c r="K408" s="31"/>
      <x:c r="L408" s="31" t="n">
        <x:v>79.29476183775621</x:v>
      </x:c>
      <x:c r="M408" s="31" t="n">
        <x:v>82.58577507800692</x:v>
      </x:c>
      <x:c r="N408" s="31" t="n">
        <x:v>76.46598672509933</x:v>
      </x:c>
      <x:c r="O408" s="31" t="n">
        <x:v>77.29575965210557</x:v>
      </x:c>
      <x:c r="P408" s="31"/>
      <x:c r="Q408" s="31"/>
      <x:c r="R408" s="31" t="n">
        <x:v>66.78008821880056</x:v>
      </x:c>
      <x:c r="S408" s="31"/>
      <x:c r="T408" s="31"/>
      <x:c r="U408" s="31"/>
    </x:row>
    <x:row r="409">
      <x:c r="A409" s="31" t="n">
        <x:v>40.7</x:v>
      </x:c>
      <x:c r="B409" s="31" t="n">
        <x:v>66.31986461593219</x:v>
      </x:c>
      <x:c r="C409" s="31" t="n">
        <x:v>68.05558255827158</x:v>
      </x:c>
      <x:c r="D409" s="31" t="n">
        <x:v>62.21806610934506</x:v>
      </x:c>
      <x:c r="E409" s="31" t="n">
        <x:v>68.94940629766353</x:v>
      </x:c>
      <x:c r="F409" s="31" t="n">
        <x:v>77.77249676543593</x:v>
      </x:c>
      <x:c r="G409" s="31"/>
      <x:c r="H409" s="31" t="n">
        <x:v>75.9366205484679</x:v>
      </x:c>
      <x:c r="I409" s="31" t="n">
        <x:v>75.70060185196256</x:v>
      </x:c>
      <x:c r="J409" s="31"/>
      <x:c r="K409" s="31"/>
      <x:c r="L409" s="31" t="n">
        <x:v>91.44619549168199</x:v>
      </x:c>
      <x:c r="M409" s="31" t="n">
        <x:v>82.58577507800692</x:v>
      </x:c>
      <x:c r="N409" s="31" t="n">
        <x:v>50</x:v>
      </x:c>
      <x:c r="O409" s="31" t="n">
        <x:v>77.29575965210557</x:v>
      </x:c>
      <x:c r="P409" s="31"/>
      <x:c r="Q409" s="31"/>
      <x:c r="R409" s="31" t="n">
        <x:v>66.1001871451963</x:v>
      </x:c>
      <x:c r="S409" s="31"/>
      <x:c r="T409" s="31"/>
      <x:c r="U409" s="31"/>
    </x:row>
    <x:row r="410">
      <x:c r="A410" s="31" t="n">
        <x:v>40.800000000000004</x:v>
      </x:c>
      <x:c r="B410" s="31" t="n">
        <x:v>66.3198646159319</x:v>
      </x:c>
      <x:c r="C410" s="31" t="n">
        <x:v>67.91578969118785</x:v>
      </x:c>
      <x:c r="D410" s="31" t="n">
        <x:v>53.705799695511004</x:v>
      </x:c>
      <x:c r="E410" s="31" t="n">
        <x:v>75.20740141884448</x:v>
      </x:c>
      <x:c r="F410" s="31" t="n">
        <x:v>69.97309961487584</x:v>
      </x:c>
      <x:c r="G410" s="31"/>
      <x:c r="H410" s="31" t="n">
        <x:v>75.93662054846772</x:v>
      </x:c>
      <x:c r="I410" s="31" t="n">
        <x:v>75.70060185196235</x:v>
      </x:c>
      <x:c r="J410" s="31"/>
      <x:c r="K410" s="31"/>
      <x:c r="L410" s="31" t="n">
        <x:v>92.48884652160912</x:v>
      </x:c>
      <x:c r="M410" s="31" t="n">
        <x:v>81.64295766661769</x:v>
      </x:c>
      <x:c r="N410" s="31" t="n">
        <x:v>50</x:v>
      </x:c>
      <x:c r="O410" s="31" t="n">
        <x:v>77.39021162658295</x:v>
      </x:c>
      <x:c r="P410" s="31"/>
      <x:c r="Q410" s="31"/>
      <x:c r="R410" s="31" t="n">
        <x:v>66.51804709601669</x:v>
      </x:c>
      <x:c r="S410" s="31"/>
      <x:c r="T410" s="31"/>
      <x:c r="U410" s="31"/>
    </x:row>
    <x:row r="411">
      <x:c r="A411" s="31" t="n">
        <x:v>40.900000000000006</x:v>
      </x:c>
      <x:c r="B411" s="31" t="n">
        <x:v>63.47360361591497</x:v>
      </x:c>
      <x:c r="C411" s="31" t="n">
        <x:v>68.5727619731675</x:v>
      </x:c>
      <x:c r="D411" s="31" t="n">
        <x:v>68.53922138352934</x:v>
      </x:c>
      <x:c r="E411" s="31" t="n">
        <x:v>75.20740141884448</x:v>
      </x:c>
      <x:c r="F411" s="31" t="n">
        <x:v>64.7149200983356</x:v>
      </x:c>
      <x:c r="G411" s="31"/>
      <x:c r="H411" s="31" t="n">
        <x:v>74.84775277264639</x:v>
      </x:c>
      <x:c r="I411" s="31" t="n">
        <x:v>60.45780859696971</x:v>
      </x:c>
      <x:c r="J411" s="31"/>
      <x:c r="K411" s="31"/>
      <x:c r="L411" s="31" t="n">
        <x:v>92.48884652160874</x:v>
      </x:c>
      <x:c r="M411" s="31" t="n">
        <x:v>81.64295766661763</x:v>
      </x:c>
      <x:c r="N411" s="31" t="n">
        <x:v>55.84499456823875</x:v>
      </x:c>
      <x:c r="O411" s="31" t="n">
        <x:v>88.621171382124</x:v>
      </x:c>
      <x:c r="P411" s="31"/>
      <x:c r="Q411" s="31"/>
      <x:c r="R411" s="31" t="n">
        <x:v>67.36330505819366</x:v>
      </x:c>
      <x:c r="S411" s="31"/>
      <x:c r="T411" s="31"/>
      <x:c r="U411" s="31"/>
    </x:row>
    <x:row r="412">
      <x:c r="A412" s="31" t="n">
        <x:v>41</x:v>
      </x:c>
      <x:c r="B412" s="31" t="n">
        <x:v>65.10968877116387</x:v>
      </x:c>
      <x:c r="C412" s="31" t="n">
        <x:v>68.5727619731675</x:v>
      </x:c>
      <x:c r="D412" s="31" t="n">
        <x:v>71.38081739362866</x:v>
      </x:c>
      <x:c r="E412" s="31" t="n">
        <x:v>63.989268353937746</x:v>
      </x:c>
      <x:c r="F412" s="31" t="n">
        <x:v>57.15445678849679</x:v>
      </x:c>
      <x:c r="G412" s="31"/>
      <x:c r="H412" s="31" t="n">
        <x:v>76.76047285729206</x:v>
      </x:c>
      <x:c r="I412" s="31" t="n">
        <x:v>66.87863303788276</x:v>
      </x:c>
      <x:c r="J412" s="31"/>
      <x:c r="K412" s="31"/>
      <x:c r="L412" s="31" t="n">
        <x:v>82.46386903786103</x:v>
      </x:c>
      <x:c r="M412" s="31" t="n">
        <x:v>82.44102380390588</x:v>
      </x:c>
      <x:c r="N412" s="31" t="n">
        <x:v>70.45748098883249</x:v>
      </x:c>
      <x:c r="O412" s="31" t="n">
        <x:v>88.99851495170478</x:v>
      </x:c>
      <x:c r="P412" s="31"/>
      <x:c r="Q412" s="31"/>
      <x:c r="R412" s="31" t="n">
        <x:v>67.36330505819366</x:v>
      </x:c>
      <x:c r="S412" s="31"/>
      <x:c r="T412" s="31"/>
      <x:c r="U412" s="31"/>
    </x:row>
    <x:row r="413">
      <x:c r="A413" s="31" t="n">
        <x:v>41.1</x:v>
      </x:c>
      <x:c r="B413" s="31" t="n">
        <x:v>64.95290146729874</x:v>
      </x:c>
      <x:c r="C413" s="31" t="n">
        <x:v>69.58553330503075</x:v>
      </x:c>
      <x:c r="D413" s="31" t="n">
        <x:v>71.38081739362866</x:v>
      </x:c>
      <x:c r="E413" s="31" t="n">
        <x:v>62.74433966054342</x:v>
      </x:c>
      <x:c r="F413" s="31" t="n">
        <x:v>50</x:v>
      </x:c>
      <x:c r="G413" s="31"/>
      <x:c r="H413" s="31" t="n">
        <x:v>76.76047285729206</x:v>
      </x:c>
      <x:c r="I413" s="31" t="n">
        <x:v>70.16572121750312</x:v>
      </x:c>
      <x:c r="J413" s="31"/>
      <x:c r="K413" s="31"/>
      <x:c r="L413" s="31" t="n">
        <x:v>75.8450141580876</x:v>
      </x:c>
      <x:c r="M413" s="31" t="n">
        <x:v>82.44102380390588</x:v>
      </x:c>
      <x:c r="N413" s="31" t="n">
        <x:v>91.58179855006395</x:v>
      </x:c>
      <x:c r="O413" s="31" t="n">
        <x:v>87.70847406739951</x:v>
      </x:c>
      <x:c r="P413" s="31"/>
      <x:c r="Q413" s="31"/>
      <x:c r="R413" s="31" t="n">
        <x:v>66.9888844154358</x:v>
      </x:c>
      <x:c r="S413" s="31"/>
      <x:c r="T413" s="31"/>
      <x:c r="U413" s="31"/>
    </x:row>
    <x:row r="414">
      <x:c r="A414" s="31" t="n">
        <x:v>41.2</x:v>
      </x:c>
      <x:c r="B414" s="31" t="n">
        <x:v>65.94284040955985</x:v>
      </x:c>
      <x:c r="C414" s="31" t="n">
        <x:v>69.58553330503075</x:v>
      </x:c>
      <x:c r="D414" s="31" t="n">
        <x:v>60.90211740472454</x:v>
      </x:c>
      <x:c r="E414" s="31" t="n">
        <x:v>64.76590246566326</x:v>
      </x:c>
      <x:c r="F414" s="31" t="n">
        <x:v>57.38466105787431</x:v>
      </x:c>
      <x:c r="G414" s="31"/>
      <x:c r="H414" s="31" t="n">
        <x:v>75.97155008158396</x:v>
      </x:c>
      <x:c r="I414" s="31" t="n">
        <x:v>72.90464759961178</x:v>
      </x:c>
      <x:c r="J414" s="31"/>
      <x:c r="K414" s="31"/>
      <x:c r="L414" s="31" t="n">
        <x:v>50</x:v>
      </x:c>
      <x:c r="M414" s="31" t="n">
        <x:v>89.1296912609106</x:v>
      </x:c>
      <x:c r="N414" s="31" t="n">
        <x:v>91.58179855006395</x:v>
      </x:c>
      <x:c r="O414" s="31" t="n">
        <x:v>74.7063456629235</x:v>
      </x:c>
      <x:c r="P414" s="31"/>
      <x:c r="Q414" s="31"/>
      <x:c r="R414" s="31" t="n">
        <x:v>66.9888844154358</x:v>
      </x:c>
      <x:c r="S414" s="31"/>
      <x:c r="T414" s="31"/>
      <x:c r="U414" s="31"/>
    </x:row>
    <x:row r="415">
      <x:c r="A415" s="31" t="n">
        <x:v>41.300000000000004</x:v>
      </x:c>
      <x:c r="B415" s="31" t="n">
        <x:v>65.94284040955985</x:v>
      </x:c>
      <x:c r="C415" s="31" t="n">
        <x:v>68.51585925198401</x:v>
      </x:c>
      <x:c r="D415" s="31" t="n">
        <x:v>50</x:v>
      </x:c>
      <x:c r="E415" s="31" t="n">
        <x:v>66.58605447929757</x:v>
      </x:c>
      <x:c r="F415" s="31" t="n">
        <x:v>59.84621474383183</x:v>
      </x:c>
      <x:c r="G415" s="31"/>
      <x:c r="H415" s="31" t="n">
        <x:v>76.30057642407208</x:v>
      </x:c>
      <x:c r="I415" s="31" t="n">
        <x:v>72.90464759961178</x:v>
      </x:c>
      <x:c r="J415" s="31"/>
      <x:c r="K415" s="31"/>
      <x:c r="L415" s="31" t="n">
        <x:v>50</x:v>
      </x:c>
      <x:c r="M415" s="31" t="n">
        <x:v>92.59362108596375</x:v>
      </x:c>
      <x:c r="N415" s="31" t="n">
        <x:v>88.91044287554935</x:v>
      </x:c>
      <x:c r="O415" s="31" t="n">
        <x:v>50</x:v>
      </x:c>
      <x:c r="P415" s="31"/>
      <x:c r="Q415" s="31"/>
      <x:c r="R415" s="31" t="n">
        <x:v>67.26908100647807</x:v>
      </x:c>
      <x:c r="S415" s="31"/>
      <x:c r="T415" s="31"/>
      <x:c r="U415" s="31"/>
    </x:row>
    <x:row r="416">
      <x:c r="A416" s="31" t="n">
        <x:v>41.400000000000006</x:v>
      </x:c>
      <x:c r="B416" s="31" t="n">
        <x:v>64.80552224291887</x:v>
      </x:c>
      <x:c r="C416" s="31" t="n">
        <x:v>82.61979851062762</x:v>
      </x:c>
      <x:c r="D416" s="31" t="n">
        <x:v>55.33215844389641</x:v>
      </x:c>
      <x:c r="E416" s="31" t="n">
        <x:v>67.8519768731322</x:v>
      </x:c>
      <x:c r="F416" s="31" t="n">
        <x:v>50</x:v>
      </x:c>
      <x:c r="G416" s="31"/>
      <x:c r="H416" s="31" t="n">
        <x:v>76.30057642407208</x:v>
      </x:c>
      <x:c r="I416" s="31" t="n">
        <x:v>70.32375139521741</x:v>
      </x:c>
      <x:c r="J416" s="31"/>
      <x:c r="K416" s="31"/>
      <x:c r="L416" s="31" t="n">
        <x:v>50</x:v>
      </x:c>
      <x:c r="M416" s="31" t="n">
        <x:v>92.59362108596372</x:v>
      </x:c>
      <x:c r="N416" s="31" t="n">
        <x:v>83.24339218446889</x:v>
      </x:c>
      <x:c r="O416" s="31" t="n">
        <x:v>50</x:v>
      </x:c>
      <x:c r="P416" s="31"/>
      <x:c r="Q416" s="31"/>
      <x:c r="R416" s="31" t="n">
        <x:v>69.69294326525947</x:v>
      </x:c>
      <x:c r="S416" s="31"/>
      <x:c r="T416" s="31"/>
      <x:c r="U416" s="31"/>
    </x:row>
    <x:row r="417">
      <x:c r="A417" s="31" t="n">
        <x:v>41.5</x:v>
      </x:c>
      <x:c r="B417" s="31" t="n">
        <x:v>67.38884646906298</x:v>
      </x:c>
      <x:c r="C417" s="31" t="n">
        <x:v>84.19036815028126</x:v>
      </x:c>
      <x:c r="D417" s="31" t="n">
        <x:v>62.44426952362546</x:v>
      </x:c>
      <x:c r="E417" s="31" t="n">
        <x:v>67.8519768731322</x:v>
      </x:c>
      <x:c r="F417" s="31" t="n">
        <x:v>59.9348647595982</x:v>
      </x:c>
      <x:c r="G417" s="31"/>
      <x:c r="H417" s="31" t="n">
        <x:v>74.46792813477751</x:v>
      </x:c>
      <x:c r="I417" s="31" t="n">
        <x:v>72.47968406072052</x:v>
      </x:c>
      <x:c r="J417" s="31"/>
      <x:c r="K417" s="31"/>
      <x:c r="L417" s="31" t="n">
        <x:v>61.26481131618124</x:v>
      </x:c>
      <x:c r="M417" s="31" t="n">
        <x:v>84.46518360964598</x:v>
      </x:c>
      <x:c r="N417" s="31" t="n">
        <x:v>82.6866643216213</x:v>
      </x:c>
      <x:c r="O417" s="31" t="n">
        <x:v>75.37436243067611</x:v>
      </x:c>
      <x:c r="P417" s="31"/>
      <x:c r="Q417" s="31"/>
      <x:c r="R417" s="31" t="n">
        <x:v>85.2628325645438</x:v>
      </x:c>
      <x:c r="S417" s="31"/>
      <x:c r="T417" s="31"/>
      <x:c r="U417" s="31"/>
    </x:row>
    <x:row r="418">
      <x:c r="A418" s="31" t="n">
        <x:v>41.6</x:v>
      </x:c>
      <x:c r="B418" s="31" t="n">
        <x:v>67.38884646906298</x:v>
      </x:c>
      <x:c r="C418" s="31" t="n">
        <x:v>84.19036815028126</x:v>
      </x:c>
      <x:c r="D418" s="31" t="n">
        <x:v>62.5198587922955</x:v>
      </x:c>
      <x:c r="E418" s="31" t="n">
        <x:v>67.3566227263334</x:v>
      </x:c>
      <x:c r="F418" s="31" t="n">
        <x:v>69.8697295191964</x:v>
      </x:c>
      <x:c r="G418" s="31"/>
      <x:c r="H418" s="31" t="n">
        <x:v>71.90834408973444</x:v>
      </x:c>
      <x:c r="I418" s="31" t="n">
        <x:v>73.03294154621102</x:v>
      </x:c>
      <x:c r="J418" s="31"/>
      <x:c r="K418" s="31"/>
      <x:c r="L418" s="31" t="n">
        <x:v>64.89298154287229</x:v>
      </x:c>
      <x:c r="M418" s="31" t="n">
        <x:v>50</x:v>
      </x:c>
      <x:c r="N418" s="31" t="n">
        <x:v>82.43702591099587</x:v>
      </x:c>
      <x:c r="O418" s="31" t="n">
        <x:v>90.37256127095903</x:v>
      </x:c>
      <x:c r="P418" s="31"/>
      <x:c r="Q418" s="31"/>
      <x:c r="R418" s="31" t="n">
        <x:v>85.9413400358325</x:v>
      </x:c>
      <x:c r="S418" s="31"/>
      <x:c r="T418" s="31"/>
      <x:c r="U418" s="31"/>
    </x:row>
    <x:row r="419">
      <x:c r="A419" s="31" t="n">
        <x:v>41.7</x:v>
      </x:c>
      <x:c r="B419" s="31" t="n">
        <x:v>66.9999247782104</x:v>
      </x:c>
      <x:c r="C419" s="31" t="n">
        <x:v>74.50749147051236</x:v>
      </x:c>
      <x:c r="D419" s="31" t="n">
        <x:v>62.40463181946859</x:v>
      </x:c>
      <x:c r="E419" s="31" t="n">
        <x:v>69.32725638281607</x:v>
      </x:c>
      <x:c r="F419" s="31" t="n">
        <x:v>69.8697295191964</x:v>
      </x:c>
      <x:c r="G419" s="31"/>
      <x:c r="H419" s="31" t="n">
        <x:v>66.52541564334626</x:v>
      </x:c>
      <x:c r="I419" s="31" t="n">
        <x:v>73.03666090329463</x:v>
      </x:c>
      <x:c r="J419" s="31"/>
      <x:c r="K419" s="31"/>
      <x:c r="L419" s="31" t="n">
        <x:v>57.636149278892866</x:v>
      </x:c>
      <x:c r="M419" s="31" t="n">
        <x:v>50</x:v>
      </x:c>
      <x:c r="N419" s="31" t="n">
        <x:v>82.02973315536</x:v>
      </x:c>
      <x:c r="O419" s="31" t="n">
        <x:v>90.37256127095903</x:v>
      </x:c>
      <x:c r="P419" s="31"/>
      <x:c r="Q419" s="31"/>
      <x:c r="R419" s="31" t="n">
        <x:v>85.66087514527732</x:v>
      </x:c>
      <x:c r="S419" s="31"/>
      <x:c r="T419" s="31"/>
      <x:c r="U419" s="31"/>
    </x:row>
    <x:row r="420">
      <x:c r="A420" s="31" t="n">
        <x:v>41.800000000000004</x:v>
      </x:c>
      <x:c r="B420" s="31" t="n">
        <x:v>68.35904100296662</x:v>
      </x:c>
      <x:c r="C420" s="31" t="n">
        <x:v>67.37258735371663</x:v>
      </x:c>
      <x:c r="D420" s="31" t="n">
        <x:v>60.660067006019425</x:v>
      </x:c>
      <x:c r="E420" s="31" t="n">
        <x:v>69.32725638281593</x:v>
      </x:c>
      <x:c r="F420" s="31" t="n">
        <x:v>58.604911880185995</x:v>
      </x:c>
      <x:c r="G420" s="31"/>
      <x:c r="H420" s="31" t="n">
        <x:v>82.27122390143523</x:v>
      </x:c>
      <x:c r="I420" s="31" t="n">
        <x:v>73.18887739309795</x:v>
      </x:c>
      <x:c r="J420" s="31"/>
      <x:c r="K420" s="31"/>
      <x:c r="L420" s="31" t="n">
        <x:v>90.42757692998839</x:v>
      </x:c>
      <x:c r="M420" s="31" t="n">
        <x:v>50</x:v>
      </x:c>
      <x:c r="N420" s="31" t="n">
        <x:v>82.02973315535999</x:v>
      </x:c>
      <x:c r="O420" s="31" t="n">
        <x:v>85.67234302667364</x:v>
      </x:c>
      <x:c r="P420" s="31"/>
      <x:c r="Q420" s="31"/>
      <x:c r="R420" s="31" t="n">
        <x:v>76.77078467846123</x:v>
      </x:c>
      <x:c r="S420" s="31"/>
      <x:c r="T420" s="31"/>
      <x:c r="U420" s="31"/>
    </x:row>
    <x:row r="421">
      <x:c r="A421" s="31" t="n">
        <x:v>41.900000000000006</x:v>
      </x:c>
      <x:c r="B421" s="31" t="n">
        <x:v>68.35904100296662</x:v>
      </x:c>
      <x:c r="C421" s="31" t="n">
        <x:v>66.90143535642818</x:v>
      </x:c>
      <x:c r="D421" s="31" t="n">
        <x:v>60.660067006019254</x:v>
      </x:c>
      <x:c r="E421" s="31" t="n">
        <x:v>69.8516384845229</x:v>
      </x:c>
      <x:c r="F421" s="31" t="n">
        <x:v>55.84106782591446</x:v>
      </x:c>
      <x:c r="G421" s="31"/>
      <x:c r="H421" s="31" t="n">
        <x:v>82.3530627828916</x:v>
      </x:c>
      <x:c r="I421" s="31" t="n">
        <x:v>73.18887739309795</x:v>
      </x:c>
      <x:c r="J421" s="31"/>
      <x:c r="K421" s="31"/>
      <x:c r="L421" s="31" t="n">
        <x:v>90.42757692998839</x:v>
      </x:c>
      <x:c r="M421" s="31" t="n">
        <x:v>50</x:v>
      </x:c>
      <x:c r="N421" s="31" t="n">
        <x:v>81.97684843322234</x:v>
      </x:c>
      <x:c r="O421" s="31" t="n">
        <x:v>80.91967974213117</x:v>
      </x:c>
      <x:c r="P421" s="31"/>
      <x:c r="Q421" s="31"/>
      <x:c r="R421" s="31" t="n">
        <x:v>66.85848613181076</x:v>
      </x:c>
      <x:c r="S421" s="31"/>
      <x:c r="T421" s="31"/>
      <x:c r="U421" s="31"/>
    </x:row>
    <x:row r="422">
      <x:c r="A422" s="31" t="n">
        <x:v>42</x:v>
      </x:c>
      <x:c r="B422" s="31" t="n">
        <x:v>65.83959619754792</x:v>
      </x:c>
      <x:c r="C422" s="31" t="n">
        <x:v>60.81659710162897</x:v>
      </x:c>
      <x:c r="D422" s="31" t="n">
        <x:v>60.00527804797167</x:v>
      </x:c>
      <x:c r="E422" s="31" t="n">
        <x:v>70.21670386556215</x:v>
      </x:c>
      <x:c r="F422" s="31" t="n">
        <x:v>61.52967047431092</x:v>
      </x:c>
      <x:c r="G422" s="31"/>
      <x:c r="H422" s="31" t="n">
        <x:v>79.55874350672579</x:v>
      </x:c>
      <x:c r="I422" s="31" t="n">
        <x:v>70.22935494265478</x:v>
      </x:c>
      <x:c r="J422" s="31"/>
      <x:c r="K422" s="31"/>
      <x:c r="L422" s="31" t="n">
        <x:v>87.30647386969686</x:v>
      </x:c>
      <x:c r="M422" s="31" t="n">
        <x:v>50</x:v>
      </x:c>
      <x:c r="N422" s="31" t="n">
        <x:v>82.25288581026584</x:v>
      </x:c>
      <x:c r="O422" s="31" t="n">
        <x:v>79.07611703595614</x:v>
      </x:c>
      <x:c r="P422" s="31"/>
      <x:c r="Q422" s="31"/>
      <x:c r="R422" s="31" t="n">
        <x:v>50</x:v>
      </x:c>
      <x:c r="S422" s="31"/>
      <x:c r="T422" s="31"/>
      <x:c r="U422" s="31"/>
    </x:row>
    <x:row r="423">
      <x:c r="A423" s="31" t="n">
        <x:v>42.1</x:v>
      </x:c>
      <x:c r="B423" s="31" t="n">
        <x:v>82.02538604927207</x:v>
      </x:c>
      <x:c r="C423" s="31" t="n">
        <x:v>58.84493784367291</x:v>
      </x:c>
      <x:c r="D423" s="31" t="n">
        <x:v>59.31652474638302</x:v>
      </x:c>
      <x:c r="E423" s="31" t="n">
        <x:v>85.09747546448617</x:v>
      </x:c>
      <x:c r="F423" s="31" t="n">
        <x:v>65.64119596619915</x:v>
      </x:c>
      <x:c r="G423" s="31"/>
      <x:c r="H423" s="31" t="n">
        <x:v>66.23200864216203</x:v>
      </x:c>
      <x:c r="I423" s="31" t="n">
        <x:v>83.50024429212166</x:v>
      </x:c>
      <x:c r="J423" s="31"/>
      <x:c r="K423" s="31"/>
      <x:c r="L423" s="31" t="n">
        <x:v>83.90830490303055</x:v>
      </x:c>
      <x:c r="M423" s="31" t="n">
        <x:v>87.95303464710335</x:v>
      </x:c>
      <x:c r="N423" s="31" t="n">
        <x:v>82.86108746747183</x:v>
      </x:c>
      <x:c r="O423" s="31" t="n">
        <x:v>78.1404368905528</x:v>
      </x:c>
      <x:c r="P423" s="31"/>
      <x:c r="Q423" s="31"/>
      <x:c r="R423" s="31" t="n">
        <x:v>60.497389085413424</x:v>
      </x:c>
      <x:c r="S423" s="31"/>
      <x:c r="T423" s="31"/>
      <x:c r="U423" s="31"/>
    </x:row>
    <x:row r="424">
      <x:c r="A424" s="31" t="n">
        <x:v>42.2</x:v>
      </x:c>
      <x:c r="B424" s="31" t="n">
        <x:v>84.59099953924401</x:v>
      </x:c>
      <x:c r="C424" s="31" t="n">
        <x:v>59.181306933272324</x:v>
      </x:c>
      <x:c r="D424" s="31" t="n">
        <x:v>62.255898891687934</x:v>
      </x:c>
      <x:c r="E424" s="31" t="n">
        <x:v>85.2268229311935</x:v>
      </x:c>
      <x:c r="F424" s="31" t="n">
        <x:v>65.64119596619915</x:v>
      </x:c>
      <x:c r="G424" s="31"/>
      <x:c r="H424" s="31" t="n">
        <x:v>54.105339855814265</x:v>
      </x:c>
      <x:c r="I424" s="31" t="n">
        <x:v>83.9691683819135</x:v>
      </x:c>
      <x:c r="J424" s="31"/>
      <x:c r="K424" s="31"/>
      <x:c r="L424" s="31" t="n">
        <x:v>78.12770746136442</x:v>
      </x:c>
      <x:c r="M424" s="31" t="n">
        <x:v>87.95303464710335</x:v>
      </x:c>
      <x:c r="N424" s="31" t="n">
        <x:v>89.41001198506748</x:v>
      </x:c>
      <x:c r="O424" s="31" t="n">
        <x:v>77.33774466950916</x:v>
      </x:c>
      <x:c r="P424" s="31"/>
      <x:c r="Q424" s="31"/>
      <x:c r="R424" s="31" t="n">
        <x:v>62.38814554532655</x:v>
      </x:c>
      <x:c r="S424" s="31"/>
      <x:c r="T424" s="31"/>
      <x:c r="U424" s="31"/>
    </x:row>
    <x:row r="425">
      <x:c r="A425" s="31" t="n">
        <x:v>42.300000000000004</x:v>
      </x:c>
      <x:c r="B425" s="31" t="n">
        <x:v>84.59099953924401</x:v>
      </x:c>
      <x:c r="C425" s="31" t="n">
        <x:v>59.18130693327113</x:v>
      </x:c>
      <x:c r="D425" s="31" t="n">
        <x:v>62.25589889168854</x:v>
      </x:c>
      <x:c r="E425" s="31" t="n">
        <x:v>82.50571283559744</x:v>
      </x:c>
      <x:c r="F425" s="31" t="n">
        <x:v>64.59877120528141</x:v>
      </x:c>
      <x:c r="G425" s="31"/>
      <x:c r="H425" s="31" t="n">
        <x:v>50</x:v>
      </x:c>
      <x:c r="I425" s="31" t="n">
        <x:v>82.80070750207348</x:v>
      </x:c>
      <x:c r="J425" s="31"/>
      <x:c r="K425" s="31"/>
      <x:c r="L425" s="31" t="n">
        <x:v>76.38835504267813</x:v>
      </x:c>
      <x:c r="M425" s="31" t="n">
        <x:v>84.79204781533315</x:v>
      </x:c>
      <x:c r="N425" s="31" t="n">
        <x:v>94.54362657434942</x:v>
      </x:c>
      <x:c r="O425" s="31" t="n">
        <x:v>77.21664086380389</x:v>
      </x:c>
      <x:c r="P425" s="31"/>
      <x:c r="Q425" s="31"/>
      <x:c r="R425" s="31" t="n">
        <x:v>82.10000067984302</x:v>
      </x:c>
      <x:c r="S425" s="31"/>
      <x:c r="T425" s="31"/>
      <x:c r="U425" s="31"/>
    </x:row>
    <x:row r="426">
      <x:c r="A426" s="31" t="n">
        <x:v>42.400000000000006</x:v>
      </x:c>
      <x:c r="B426" s="31" t="n">
        <x:v>76.48836058070586</x:v>
      </x:c>
      <x:c r="C426" s="31" t="n">
        <x:v>50</x:v>
      </x:c>
      <x:c r="D426" s="31" t="n">
        <x:v>64.78837523082973</x:v>
      </x:c>
      <x:c r="E426" s="31" t="n">
        <x:v>72.22070388450655</x:v>
      </x:c>
      <x:c r="F426" s="31" t="n">
        <x:v>65.92412444607457</x:v>
      </x:c>
      <x:c r="G426" s="31"/>
      <x:c r="H426" s="31" t="n">
        <x:v>52.71292077560851</x:v>
      </x:c>
      <x:c r="I426" s="31" t="n">
        <x:v>72.27608585455792</x:v>
      </x:c>
      <x:c r="J426" s="31"/>
      <x:c r="K426" s="31"/>
      <x:c r="L426" s="31" t="n">
        <x:v>75.04352480515769</x:v>
      </x:c>
      <x:c r="M426" s="31" t="n">
        <x:v>83.33454280735229</x:v>
      </x:c>
      <x:c r="N426" s="31" t="n">
        <x:v>94.54362657434942</x:v>
      </x:c>
      <x:c r="O426" s="31" t="n">
        <x:v>78.22852322726776</x:v>
      </x:c>
      <x:c r="P426" s="31"/>
      <x:c r="Q426" s="31"/>
      <x:c r="R426" s="31" t="n">
        <x:v>82.10000067984302</x:v>
      </x:c>
      <x:c r="S426" s="31"/>
      <x:c r="T426" s="31"/>
      <x:c r="U426" s="31"/>
    </x:row>
    <x:row r="427">
      <x:c r="A427" s="31" t="n">
        <x:v>42.5</x:v>
      </x:c>
      <x:c r="B427" s="31" t="n">
        <x:v>68.83671568325612</x:v>
      </x:c>
      <x:c r="C427" s="31" t="n">
        <x:v>74.51776985060222</x:v>
      </x:c>
      <x:c r="D427" s="31" t="n">
        <x:v>87.73350376406805</x:v>
      </x:c>
      <x:c r="E427" s="31" t="n">
        <x:v>67.63455488312205</x:v>
      </x:c>
      <x:c r="F427" s="31" t="n">
        <x:v>66.30020244385341</x:v>
      </x:c>
      <x:c r="G427" s="31"/>
      <x:c r="H427" s="31" t="n">
        <x:v>66.27752465364814</x:v>
      </x:c>
      <x:c r="I427" s="31" t="n">
        <x:v>60.01680643594775</x:v>
      </x:c>
      <x:c r="J427" s="31"/>
      <x:c r="K427" s="31"/>
      <x:c r="L427" s="31" t="n">
        <x:v>76.90531250378785</x:v>
      </x:c>
      <x:c r="M427" s="31" t="n">
        <x:v>82.6720695162085</x:v>
      </x:c>
      <x:c r="N427" s="31" t="n">
        <x:v>90.24395031584424</x:v>
      </x:c>
      <x:c r="O427" s="31" t="n">
        <x:v>78.56080562405279</x:v>
      </x:c>
      <x:c r="P427" s="31"/>
      <x:c r="Q427" s="31"/>
      <x:c r="R427" s="31" t="n">
        <x:v>75.3229701428263</x:v>
      </x:c>
      <x:c r="S427" s="31"/>
      <x:c r="T427" s="31"/>
      <x:c r="U427" s="31"/>
    </x:row>
    <x:row r="428">
      <x:c r="A428" s="31" t="n">
        <x:v>42.6</x:v>
      </x:c>
      <x:c r="B428" s="31" t="n">
        <x:v>66.38087541282916</x:v>
      </x:c>
      <x:c r="C428" s="31" t="n">
        <x:v>76.35097636533297</x:v>
      </x:c>
      <x:c r="D428" s="31" t="n">
        <x:v>87.73350376406805</x:v>
      </x:c>
      <x:c r="E428" s="31" t="n">
        <x:v>66.7757967365461</x:v>
      </x:c>
      <x:c r="F428" s="31" t="n">
        <x:v>65.73486031796958</x:v>
      </x:c>
      <x:c r="G428" s="31"/>
      <x:c r="H428" s="31" t="n">
        <x:v>68.99044542925665</x:v>
      </x:c>
      <x:c r="I428" s="31" t="n">
        <x:v>50</x:v>
      </x:c>
      <x:c r="J428" s="31"/>
      <x:c r="K428" s="31"/>
      <x:c r="L428" s="31" t="n">
        <x:v>77.20529589556645</x:v>
      </x:c>
      <x:c r="M428" s="31" t="n">
        <x:v>80.26457519704252</x:v>
      </x:c>
      <x:c r="N428" s="31" t="n">
        <x:v>78.49830292551505</x:v>
      </x:c>
      <x:c r="O428" s="31" t="n">
        <x:v>79.74898755830549</x:v>
      </x:c>
      <x:c r="P428" s="31"/>
      <x:c r="Q428" s="31"/>
      <x:c r="R428" s="31" t="n">
        <x:v>71.42369146058843</x:v>
      </x:c>
      <x:c r="S428" s="31"/>
      <x:c r="T428" s="31"/>
      <x:c r="U428" s="31"/>
    </x:row>
    <x:row r="429">
      <x:c r="A429" s="31" t="n">
        <x:v>42.7</x:v>
      </x:c>
      <x:c r="B429" s="31" t="n">
        <x:v>65.35269953238668</x:v>
      </x:c>
      <x:c r="C429" s="31" t="n">
        <x:v>76.35097636533297</x:v>
      </x:c>
      <x:c r="D429" s="31" t="n">
        <x:v>83.93035765111279</x:v>
      </x:c>
      <x:c r="E429" s="31" t="n">
        <x:v>65.91703858997015</x:v>
      </x:c>
      <x:c r="F429" s="31" t="n">
        <x:v>66.6494207988157</x:v>
      </x:c>
      <x:c r="G429" s="31"/>
      <x:c r="H429" s="31" t="n">
        <x:v>77.07313684373732</x:v>
      </x:c>
      <x:c r="I429" s="31" t="n">
        <x:v>67.33095494995212</x:v>
      </x:c>
      <x:c r="J429" s="31"/>
      <x:c r="K429" s="31"/>
      <x:c r="L429" s="31" t="n">
        <x:v>77.20529589556645</x:v>
      </x:c>
      <x:c r="M429" s="31" t="n">
        <x:v>80.26457519704252</x:v>
      </x:c>
      <x:c r="N429" s="31" t="n">
        <x:v>50</x:v>
      </x:c>
      <x:c r="O429" s="31" t="n">
        <x:v>79.74898755830549</x:v>
      </x:c>
      <x:c r="P429" s="31"/>
      <x:c r="Q429" s="31"/>
      <x:c r="R429" s="31" t="n">
        <x:v>68.95291514824179</x:v>
      </x:c>
      <x:c r="S429" s="31"/>
      <x:c r="T429" s="31"/>
      <x:c r="U429" s="31"/>
    </x:row>
    <x:row r="430">
      <x:c r="A430" s="31" t="n">
        <x:v>42.800000000000004</x:v>
      </x:c>
      <x:c r="B430" s="31" t="n">
        <x:v>64.95342959222097</x:v>
      </x:c>
      <x:c r="C430" s="31" t="n">
        <x:v>70.51247660396338</x:v>
      </x:c>
      <x:c r="D430" s="31" t="n">
        <x:v>75.44902256850688</x:v>
      </x:c>
      <x:c r="E430" s="31" t="n">
        <x:v>65.40178370202463</x:v>
      </x:c>
      <x:c r="F430" s="31" t="n">
        <x:v>68.0566272871168</x:v>
      </x:c>
      <x:c r="G430" s="31"/>
      <x:c r="H430" s="31" t="n">
        <x:v>77.07313684373732</x:v>
      </x:c>
      <x:c r="I430" s="31" t="n">
        <x:v>67.46308781652003</x:v>
      </x:c>
      <x:c r="J430" s="31"/>
      <x:c r="K430" s="31"/>
      <x:c r="L430" s="31" t="n">
        <x:v>77.65174718537577</x:v>
      </x:c>
      <x:c r="M430" s="31" t="n">
        <x:v>81.38549417754996</x:v>
      </x:c>
      <x:c r="N430" s="31" t="n">
        <x:v>50</x:v>
      </x:c>
      <x:c r="O430" s="31" t="n">
        <x:v>87.24555777204091</x:v>
      </x:c>
      <x:c r="P430" s="31"/>
      <x:c r="Q430" s="31"/>
      <x:c r="R430" s="31" t="n">
        <x:v>67.64218571892843</x:v>
      </x:c>
      <x:c r="S430" s="31"/>
      <x:c r="T430" s="31"/>
      <x:c r="U430" s="31"/>
    </x:row>
    <x:row r="431">
      <x:c r="A431" s="31" t="n">
        <x:v>42.900000000000006</x:v>
      </x:c>
      <x:c r="B431" s="31" t="n">
        <x:v>65.06513274343702</x:v>
      </x:c>
      <x:c r="C431" s="31" t="n">
        <x:v>61.20550700212295</x:v>
      </x:c>
      <x:c r="D431" s="31" t="n">
        <x:v>74.01905757146979</x:v>
      </x:c>
      <x:c r="E431" s="31" t="n">
        <x:v>65.40178370202462</x:v>
      </x:c>
      <x:c r="F431" s="31" t="n">
        <x:v>68.0566272871168</x:v>
      </x:c>
      <x:c r="G431" s="31"/>
      <x:c r="H431" s="31" t="n">
        <x:v>69.73686871477126</x:v>
      </x:c>
      <x:c r="I431" s="31" t="n">
        <x:v>74.96299329966527</x:v>
      </x:c>
      <x:c r="J431" s="31"/>
      <x:c r="K431" s="31"/>
      <x:c r="L431" s="31" t="n">
        <x:v>77.66353000605719</x:v>
      </x:c>
      <x:c r="M431" s="31" t="n">
        <x:v>81.38549417754996</x:v>
      </x:c>
      <x:c r="N431" s="31" t="n">
        <x:v>50</x:v>
      </x:c>
      <x:c r="O431" s="31" t="n">
        <x:v>89.04416735351646</x:v>
      </x:c>
      <x:c r="P431" s="31"/>
      <x:c r="Q431" s="31"/>
      <x:c r="R431" s="31" t="n">
        <x:v>66.52904306546682</x:v>
      </x:c>
      <x:c r="S431" s="31"/>
      <x:c r="T431" s="31"/>
      <x:c r="U431" s="31"/>
    </x:row>
    <x:row r="432">
      <x:c r="A432" s="31" t="n">
        <x:v>43</x:v>
      </x:c>
      <x:c r="B432" s="31" t="n">
        <x:v>65.6236484995171</x:v>
      </x:c>
      <x:c r="C432" s="31" t="n">
        <x:v>64.39001682803493</x:v>
      </x:c>
      <x:c r="D432" s="31" t="n">
        <x:v>72.32374590458673</x:v>
      </x:c>
      <x:c r="E432" s="31" t="n">
        <x:v>67.38090762011204</x:v>
      </x:c>
      <x:c r="F432" s="31" t="n">
        <x:v>82.66327598725684</x:v>
      </x:c>
      <x:c r="G432" s="31"/>
      <x:c r="H432" s="31" t="n">
        <x:v>66.92228257963876</x:v>
      </x:c>
      <x:c r="I432" s="31" t="n">
        <x:v>74.96299329966527</x:v>
      </x:c>
      <x:c r="J432" s="31"/>
      <x:c r="K432" s="31"/>
      <x:c r="L432" s="31" t="n">
        <x:v>77.69404584035726</x:v>
      </x:c>
      <x:c r="M432" s="31" t="n">
        <x:v>81.84439862324695</x:v>
      </x:c>
      <x:c r="N432" s="31" t="n">
        <x:v>50</x:v>
      </x:c>
      <x:c r="O432" s="31" t="n">
        <x:v>89.04416735351646</x:v>
      </x:c>
      <x:c r="P432" s="31"/>
      <x:c r="Q432" s="31"/>
      <x:c r="R432" s="31" t="n">
        <x:v>66.8058583370812</x:v>
      </x:c>
      <x:c r="S432" s="31"/>
      <x:c r="T432" s="31"/>
      <x:c r="U432" s="31"/>
    </x:row>
    <x:row r="433">
      <x:c r="A433" s="31" t="n">
        <x:v>43.1</x:v>
      </x:c>
      <x:c r="B433" s="31" t="n">
        <x:v>67.81753125097825</x:v>
      </x:c>
      <x:c r="C433" s="31" t="n">
        <x:v>67.47008074445068</x:v>
      </x:c>
      <x:c r="D433" s="31" t="n">
        <x:v>70.72794698407394</x:v>
      </x:c>
      <x:c r="E433" s="31" t="n">
        <x:v>75.37315260522868</x:v>
      </x:c>
      <x:c r="F433" s="31" t="n">
        <x:v>83.04645193162258</x:v>
      </x:c>
      <x:c r="G433" s="31"/>
      <x:c r="H433" s="31" t="n">
        <x:v>73.34615683607406</x:v>
      </x:c>
      <x:c r="I433" s="31" t="n">
        <x:v>50</x:v>
      </x:c>
      <x:c r="J433" s="31"/>
      <x:c r="K433" s="31"/>
      <x:c r="L433" s="31" t="n">
        <x:v>77.69404584035726</x:v>
      </x:c>
      <x:c r="M433" s="31" t="n">
        <x:v>81.84439862324695</x:v>
      </x:c>
      <x:c r="N433" s="31" t="n">
        <x:v>89.13360302353226</x:v>
      </x:c>
      <x:c r="O433" s="31" t="n">
        <x:v>80.97705526340629</x:v>
      </x:c>
      <x:c r="P433" s="31"/>
      <x:c r="Q433" s="31"/>
      <x:c r="R433" s="31" t="n">
        <x:v>66.8058583370812</x:v>
      </x:c>
      <x:c r="S433" s="31"/>
      <x:c r="T433" s="31"/>
      <x:c r="U433" s="31"/>
    </x:row>
    <x:row r="434">
      <x:c r="A434" s="31" t="n">
        <x:v>43.2</x:v>
      </x:c>
      <x:c r="B434" s="31" t="n">
        <x:v>67.81753125097825</x:v>
      </x:c>
      <x:c r="C434" s="31" t="n">
        <x:v>67.76080602971714</x:v>
      </x:c>
      <x:c r="D434" s="31" t="n">
        <x:v>65.3151762454679</x:v>
      </x:c>
      <x:c r="E434" s="31" t="n">
        <x:v>75.37315260522868</x:v>
      </x:c>
      <x:c r="F434" s="31" t="n">
        <x:v>82.9771193116669</x:v>
      </x:c>
      <x:c r="G434" s="31"/>
      <x:c r="H434" s="31" t="n">
        <x:v>76.25717478360316</x:v>
      </x:c>
      <x:c r="I434" s="31" t="n">
        <x:v>64.77850053226773</x:v>
      </x:c>
      <x:c r="J434" s="31"/>
      <x:c r="K434" s="31"/>
      <x:c r="L434" s="31" t="n">
        <x:v>81.97402783135313</x:v>
      </x:c>
      <x:c r="M434" s="31" t="n">
        <x:v>81.64585700951935</x:v>
      </x:c>
      <x:c r="N434" s="31" t="n">
        <x:v>89.80113491743467</x:v>
      </x:c>
      <x:c r="O434" s="31" t="n">
        <x:v>50</x:v>
      </x:c>
      <x:c r="P434" s="31"/>
      <x:c r="Q434" s="31"/>
      <x:c r="R434" s="31" t="n">
        <x:v>67.52654177826724</x:v>
      </x:c>
      <x:c r="S434" s="31"/>
      <x:c r="T434" s="31"/>
      <x:c r="U434" s="31"/>
    </x:row>
    <x:row r="435">
      <x:c r="A435" s="31" t="n">
        <x:v>43.300000000000004</x:v>
      </x:c>
      <x:c r="B435" s="31" t="n">
        <x:v>65.97055812803613</x:v>
      </x:c>
      <x:c r="C435" s="31" t="n">
        <x:v>69.4239765819215</x:v>
      </x:c>
      <x:c r="D435" s="31" t="n">
        <x:v>65.90819014146344</x:v>
      </x:c>
      <x:c r="E435" s="31" t="n">
        <x:v>70.12480530249825</x:v>
      </x:c>
      <x:c r="F435" s="31" t="n">
        <x:v>73.71988530134034</x:v>
      </x:c>
      <x:c r="G435" s="31"/>
      <x:c r="H435" s="31" t="n">
        <x:v>76.72982061834631</x:v>
      </x:c>
      <x:c r="I435" s="31" t="n">
        <x:v>71.94935411558761</x:v>
      </x:c>
      <x:c r="J435" s="31"/>
      <x:c r="K435" s="31"/>
      <x:c r="L435" s="31" t="n">
        <x:v>89.41494577959061</x:v>
      </x:c>
      <x:c r="M435" s="31" t="n">
        <x:v>81.50116143859024</x:v>
      </x:c>
      <x:c r="N435" s="31" t="n">
        <x:v>89.32036078907578</x:v>
      </x:c>
      <x:c r="O435" s="31" t="n">
        <x:v>50</x:v>
      </x:c>
      <x:c r="P435" s="31"/>
      <x:c r="Q435" s="31"/>
      <x:c r="R435" s="31" t="n">
        <x:v>67.80437439481571</x:v>
      </x:c>
      <x:c r="S435" s="31"/>
      <x:c r="T435" s="31"/>
      <x:c r="U435" s="31"/>
    </x:row>
    <x:row r="436">
      <x:c r="A436" s="31" t="n">
        <x:v>43.400000000000006</x:v>
      </x:c>
      <x:c r="B436" s="31"/>
      <x:c r="C436" s="31" t="n">
        <x:v>69.4239765819215</x:v>
      </x:c>
      <x:c r="D436" s="31" t="n">
        <x:v>65.90819014146324</x:v>
      </x:c>
      <x:c r="E436" s="31" t="n">
        <x:v>63.95575482866617</x:v>
      </x:c>
      <x:c r="F436" s="31" t="n">
        <x:v>64.51491073488215</x:v>
      </x:c>
      <x:c r="G436" s="31"/>
      <x:c r="H436" s="31" t="n">
        <x:v>76.7298206183461</x:v>
      </x:c>
      <x:c r="I436" s="31" t="n">
        <x:v>71.94935411558761</x:v>
      </x:c>
      <x:c r="J436" s="31"/>
      <x:c r="K436" s="31"/>
      <x:c r="L436" s="31" t="n">
        <x:v>89.41494577959061</x:v>
      </x:c>
      <x:c r="M436" s="31" t="n">
        <x:v>79.35476525828831</x:v>
      </x:c>
      <x:c r="N436" s="31" t="n">
        <x:v>86.28046483213151</x:v>
      </x:c>
      <x:c r="O436" s="31" t="n">
        <x:v>50</x:v>
      </x:c>
      <x:c r="P436" s="31"/>
      <x:c r="Q436" s="31"/>
      <x:c r="R436" s="31" t="n">
        <x:v>67.80437439481571</x:v>
      </x:c>
      <x:c r="S436" s="31"/>
      <x:c r="T436" s="31"/>
      <x:c r="U436" s="31"/>
    </x:row>
    <x:row r="437">
      <x:c r="A437" s="31" t="n">
        <x:v>43.5</x:v>
      </x:c>
      <x:c r="B437" s="31"/>
      <x:c r="C437" s="31" t="n">
        <x:v>69.27997499805505</x:v>
      </x:c>
      <x:c r="D437" s="31" t="n">
        <x:v>62.43493369986244</x:v>
      </x:c>
      <x:c r="E437" s="31" t="n">
        <x:v>59.170603732759034</x:v>
      </x:c>
      <x:c r="F437" s="31" t="n">
        <x:v>61.872653273590295</x:v>
      </x:c>
      <x:c r="G437" s="31"/>
      <x:c r="H437" s="31" t="n">
        <x:v>75.6225697957602</x:v>
      </x:c>
      <x:c r="I437" s="31" t="n">
        <x:v>71.75107072192199</x:v>
      </x:c>
      <x:c r="J437" s="31"/>
      <x:c r="K437" s="31"/>
      <x:c r="L437" s="31" t="n">
        <x:v>84.43493708849056</x:v>
      </x:c>
      <x:c r="M437" s="31" t="n">
        <x:v>89.23556904774973</x:v>
      </x:c>
      <x:c r="N437" s="31" t="n">
        <x:v>84.98220489007876</x:v>
      </x:c>
      <x:c r="O437" s="31" t="n">
        <x:v>50</x:v>
      </x:c>
      <x:c r="P437" s="31"/>
      <x:c r="Q437" s="31"/>
      <x:c r="R437" s="31" t="n">
        <x:v>67.19803821567163</x:v>
      </x:c>
      <x:c r="S437" s="31"/>
      <x:c r="T437" s="31"/>
      <x:c r="U437" s="31"/>
    </x:row>
    <x:row r="438">
      <x:c r="A438" s="31" t="n">
        <x:v>43.6</x:v>
      </x:c>
      <x:c r="B438" s="31"/>
      <x:c r="C438" s="31" t="n">
        <x:v>69.27997499805505</x:v>
      </x:c>
      <x:c r="D438" s="31" t="n">
        <x:v>72.91693368243918</x:v>
      </x:c>
      <x:c r="E438" s="31" t="n">
        <x:v>66.60832012214969</x:v>
      </x:c>
      <x:c r="F438" s="31" t="n">
        <x:v>50</x:v>
      </x:c>
      <x:c r="G438" s="31"/>
      <x:c r="H438" s="31" t="n">
        <x:v>76.35395246136865</x:v>
      </x:c>
      <x:c r="I438" s="31" t="n">
        <x:v>72.64304951389327</x:v>
      </x:c>
      <x:c r="J438" s="31"/>
      <x:c r="K438" s="31"/>
      <x:c r="L438" s="31" t="n">
        <x:v>75.83655412193418</x:v>
      </x:c>
      <x:c r="M438" s="31" t="n">
        <x:v>89.23556904774973</x:v>
      </x:c>
      <x:c r="N438" s="31" t="n">
        <x:v>81.95065514339265</x:v>
      </x:c>
      <x:c r="O438" s="31" t="n">
        <x:v>91.77138137156732</x:v>
      </x:c>
      <x:c r="P438" s="31"/>
      <x:c r="Q438" s="31"/>
      <x:c r="R438" s="31" t="n">
        <x:v>76.9650244705951</x:v>
      </x:c>
      <x:c r="S438" s="31"/>
      <x:c r="T438" s="31"/>
      <x:c r="U438" s="31"/>
    </x:row>
    <x:row r="439">
      <x:c r="A439" s="31" t="n">
        <x:v>43.7</x:v>
      </x:c>
      <x:c r="B439" s="31"/>
      <x:c r="C439" s="31" t="n">
        <x:v>68.82681122428198</x:v>
      </x:c>
      <x:c r="D439" s="31" t="n">
        <x:v>72.91693368243918</x:v>
      </x:c>
      <x:c r="E439" s="31" t="n">
        <x:v>66.60832012214969</x:v>
      </x:c>
      <x:c r="F439" s="31" t="n">
        <x:v>59.74610644206175</x:v>
      </x:c>
      <x:c r="G439" s="31"/>
      <x:c r="H439" s="31" t="n">
        <x:v>76.35395246136865</x:v>
      </x:c>
      <x:c r="I439" s="31" t="n">
        <x:v>72.64304951389327</x:v>
      </x:c>
      <x:c r="J439" s="31"/>
      <x:c r="K439" s="31"/>
      <x:c r="L439" s="31" t="n">
        <x:v>50</x:v>
      </x:c>
      <x:c r="M439" s="31" t="n">
        <x:v>84.22881276671205</x:v>
      </x:c>
      <x:c r="N439" s="31" t="n">
        <x:v>81.8185725931273</x:v>
      </x:c>
      <x:c r="O439" s="31" t="n">
        <x:v>91.77138137156732</x:v>
      </x:c>
      <x:c r="P439" s="31"/>
      <x:c r="Q439" s="31"/>
      <x:c r="R439" s="31" t="n">
        <x:v>79.41393187552694</x:v>
      </x:c>
      <x:c r="S439" s="31"/>
      <x:c r="T439" s="31"/>
      <x:c r="U439" s="31"/>
    </x:row>
    <x:row r="440">
      <x:c r="A440" s="31" t="n">
        <x:v>43.800000000000004</x:v>
      </x:c>
      <x:c r="B440" s="31"/>
      <x:c r="C440" s="31" t="n">
        <x:v>68.58171152655751</x:v>
      </x:c>
      <x:c r="D440" s="31" t="n">
        <x:v>69.65637963756289</x:v>
      </x:c>
      <x:c r="E440" s="31" t="n">
        <x:v>67.36552667537404</x:v>
      </x:c>
      <x:c r="F440" s="31" t="n">
        <x:v>63.644549018886316</x:v>
      </x:c>
      <x:c r="G440" s="31"/>
      <x:c r="H440" s="31" t="n">
        <x:v>76.58524432656544</x:v>
      </x:c>
      <x:c r="I440" s="31" t="n">
        <x:v>73.10269135285365</x:v>
      </x:c>
      <x:c r="J440" s="31"/>
      <x:c r="K440" s="31"/>
      <x:c r="L440" s="31" t="n">
        <x:v>50</x:v>
      </x:c>
      <x:c r="M440" s="31" t="n">
        <x:v>73.2920001092251</x:v>
      </x:c>
      <x:c r="N440" s="31" t="n">
        <x:v>81.36108636483371</x:v>
      </x:c>
      <x:c r="O440" s="31" t="n">
        <x:v>89.17304999819014</x:v>
      </x:c>
      <x:c r="P440" s="31"/>
      <x:c r="Q440" s="31"/>
      <x:c r="R440" s="31" t="n">
        <x:v>79.41393187552688</x:v>
      </x:c>
      <x:c r="S440" s="31"/>
      <x:c r="T440" s="31"/>
      <x:c r="U440" s="31"/>
    </x:row>
    <x:row r="441">
      <x:c r="A441" s="31" t="n">
        <x:v>43.900000000000006</x:v>
      </x:c>
      <x:c r="B441" s="31"/>
      <x:c r="C441" s="31" t="n">
        <x:v>68.58171152655751</x:v>
      </x:c>
      <x:c r="D441" s="31" t="n">
        <x:v>62.6353589503499</x:v>
      </x:c>
      <x:c r="E441" s="31" t="n">
        <x:v>67.93590643393784</x:v>
      </x:c>
      <x:c r="F441" s="31" t="n">
        <x:v>63.21403531076052</x:v>
      </x:c>
      <x:c r="G441" s="31"/>
      <x:c r="H441" s="31" t="n">
        <x:v>77.11463085403389</x:v>
      </x:c>
      <x:c r="I441" s="31" t="n">
        <x:v>73.10269135285365</x:v>
      </x:c>
      <x:c r="J441" s="31"/>
      <x:c r="K441" s="31"/>
      <x:c r="L441" s="31" t="n">
        <x:v>50</x:v>
      </x:c>
      <x:c r="M441" s="31" t="n">
        <x:v>50</x:v>
      </x:c>
      <x:c r="N441" s="31" t="n">
        <x:v>81.7301826260453</x:v>
      </x:c>
      <x:c r="O441" s="31" t="n">
        <x:v>86.71096386763331</x:v>
      </x:c>
      <x:c r="P441" s="31"/>
      <x:c r="Q441" s="31"/>
      <x:c r="R441" s="31" t="n">
        <x:v>71.1391171779386</x:v>
      </x:c>
      <x:c r="S441" s="31"/>
      <x:c r="T441" s="31"/>
      <x:c r="U441" s="31"/>
    </x:row>
    <x:row r="442">
      <x:c r="A442" s="31" t="n">
        <x:v>44</x:v>
      </x:c>
      <x:c r="B442" s="31"/>
      <x:c r="C442" s="31" t="n">
        <x:v>68.10870466567543</x:v>
      </x:c>
      <x:c r="D442" s="31" t="n">
        <x:v>50</x:v>
      </x:c>
      <x:c r="E442" s="31" t="n">
        <x:v>68.19123155630157</x:v>
      </x:c>
      <x:c r="F442" s="31" t="n">
        <x:v>67.60049540958408</x:v>
      </x:c>
      <x:c r="G442" s="31"/>
      <x:c r="H442" s="31" t="n">
        <x:v>77.11463085403389</x:v>
      </x:c>
      <x:c r="I442" s="31" t="n">
        <x:v>73.02057868616873</x:v>
      </x:c>
      <x:c r="J442" s="31"/>
      <x:c r="K442" s="31"/>
      <x:c r="L442" s="31" t="n">
        <x:v>50</x:v>
      </x:c>
      <x:c r="M442" s="31" t="n">
        <x:v>50</x:v>
      </x:c>
      <x:c r="N442" s="31" t="n">
        <x:v>82.60780505727843</x:v>
      </x:c>
      <x:c r="O442" s="31" t="n">
        <x:v>79.7634706585796</x:v>
      </x:c>
      <x:c r="P442" s="31"/>
      <x:c r="Q442" s="31"/>
      <x:c r="R442" s="31" t="n">
        <x:v>50</x:v>
      </x:c>
      <x:c r="S442" s="31"/>
      <x:c r="T442" s="31"/>
      <x:c r="U442" s="31"/>
    </x:row>
    <x:row r="443">
      <x:c r="A443" s="31" t="n">
        <x:v>44.1</x:v>
      </x:c>
      <x:c r="B443" s="31"/>
      <x:c r="C443" s="31" t="n">
        <x:v>68.66169288103656</x:v>
      </x:c>
      <x:c r="D443" s="31" t="n">
        <x:v>50.83479379817862</x:v>
      </x:c>
      <x:c r="E443" s="31" t="n">
        <x:v>69.02797314886325</x:v>
      </x:c>
      <x:c r="F443" s="31" t="n">
        <x:v>67.60049540958408</x:v>
      </x:c>
      <x:c r="G443" s="31"/>
      <x:c r="H443" s="31" t="n">
        <x:v>80.54176055623984</x:v>
      </x:c>
      <x:c r="I443" s="31" t="n">
        <x:v>70.50712975378761</x:v>
      </x:c>
      <x:c r="J443" s="31"/>
      <x:c r="K443" s="31"/>
      <x:c r="L443" s="31" t="n">
        <x:v>50</x:v>
      </x:c>
      <x:c r="M443" s="31" t="n">
        <x:v>50</x:v>
      </x:c>
      <x:c r="N443" s="31" t="n">
        <x:v>82.73955479714228</x:v>
      </x:c>
      <x:c r="O443" s="31" t="n">
        <x:v>78.92630454320013</x:v>
      </x:c>
      <x:c r="P443" s="31"/>
      <x:c r="Q443" s="31"/>
      <x:c r="R443" s="31" t="n">
        <x:v>50</x:v>
      </x:c>
      <x:c r="S443" s="31"/>
      <x:c r="T443" s="31"/>
      <x:c r="U443" s="31"/>
    </x:row>
    <x:row r="444">
      <x:c r="A444" s="31" t="n">
        <x:v>44.2</x:v>
      </x:c>
      <x:c r="B444" s="31"/>
      <x:c r="C444" s="31" t="n">
        <x:v>80.28055984701757</x:v>
      </x:c>
      <x:c r="D444" s="31" t="n">
        <x:v>61.94930798489099</x:v>
      </x:c>
      <x:c r="E444" s="31" t="n">
        <x:v>69.53839736555459</x:v>
      </x:c>
      <x:c r="F444" s="31" t="n">
        <x:v>63.6772535959131</x:v>
      </x:c>
      <x:c r="G444" s="31"/>
      <x:c r="H444" s="31" t="n">
        <x:v>84.51938831536259</x:v>
      </x:c>
      <x:c r="I444" s="31" t="n">
        <x:v>68.52648711593389</x:v>
      </x:c>
      <x:c r="J444" s="31"/>
      <x:c r="K444" s="31"/>
      <x:c r="L444" s="31" t="n">
        <x:v>87.4696306630496</x:v>
      </x:c>
      <x:c r="M444" s="31" t="n">
        <x:v>61.3952194203949</x:v>
      </x:c>
      <x:c r="N444" s="31" t="n">
        <x:v>82.73955479714228</x:v>
      </x:c>
      <x:c r="O444" s="31" t="n">
        <x:v>77.21507589831766</x:v>
      </x:c>
      <x:c r="P444" s="31"/>
      <x:c r="Q444" s="31"/>
      <x:c r="R444" s="31" t="n">
        <x:v>52.934744487536676</x:v>
      </x:c>
      <x:c r="S444" s="31"/>
      <x:c r="T444" s="31"/>
      <x:c r="U444" s="31"/>
    </x:row>
    <x:row r="445">
      <x:c r="A445" s="31" t="n">
        <x:v>44.300000000000004</x:v>
      </x:c>
      <x:c r="B445" s="31"/>
      <x:c r="C445" s="31" t="n">
        <x:v>80.28055984701757</x:v>
      </x:c>
      <x:c r="D445" s="31" t="n">
        <x:v>63.60717402992974</x:v>
      </x:c>
      <x:c r="E445" s="31" t="n">
        <x:v>69.17859835279978</x:v>
      </x:c>
      <x:c r="F445" s="31" t="n">
        <x:v>51.78157932196565</x:v>
      </x:c>
      <x:c r="G445" s="31"/>
      <x:c r="H445" s="31" t="n">
        <x:v>84.51938831536252</x:v>
      </x:c>
      <x:c r="I445" s="31" t="n">
        <x:v>79.99614911362362</x:v>
      </x:c>
      <x:c r="J445" s="31"/>
      <x:c r="K445" s="31"/>
      <x:c r="L445" s="31" t="n">
        <x:v>89.02531588386316</x:v>
      </x:c>
      <x:c r="M445" s="31" t="n">
        <x:v>72.7904388407898</x:v>
      </x:c>
      <x:c r="N445" s="31" t="n">
        <x:v>90.87378736326414</x:v>
      </x:c>
      <x:c r="O445" s="31" t="n">
        <x:v>79.08999543270839</x:v>
      </x:c>
      <x:c r="P445" s="31"/>
      <x:c r="Q445" s="31"/>
      <x:c r="R445" s="31" t="n">
        <x:v>59.93333881399387</x:v>
      </x:c>
      <x:c r="S445" s="31"/>
      <x:c r="T445" s="31"/>
      <x:c r="U445" s="31"/>
    </x:row>
    <x:row r="446">
      <x:c r="A446" s="31" t="n">
        <x:v>44.400000000000006</x:v>
      </x:c>
      <x:c r="B446" s="31"/>
      <x:c r="C446" s="31" t="n">
        <x:v>72.45618740628956</x:v>
      </x:c>
      <x:c r="D446" s="31" t="n">
        <x:v>63.35045309757826</x:v>
      </x:c>
      <x:c r="E446" s="31" t="n">
        <x:v>69.49177772642983</x:v>
      </x:c>
      <x:c r="F446" s="31" t="n">
        <x:v>62.211616042300804</x:v>
      </x:c>
      <x:c r="G446" s="31"/>
      <x:c r="H446" s="31" t="n">
        <x:v>75.83974852365571</x:v>
      </x:c>
      <x:c r="I446" s="31" t="n">
        <x:v>81.00170686290528</x:v>
      </x:c>
      <x:c r="J446" s="31"/>
      <x:c r="K446" s="31"/>
      <x:c r="L446" s="31" t="n">
        <x:v>89.02531588386286</x:v>
      </x:c>
      <x:c r="M446" s="31" t="n">
        <x:v>76.43726010219908</x:v>
      </x:c>
      <x:c r="N446" s="31" t="n">
        <x:v>90.87378736326414</x:v>
      </x:c>
      <x:c r="O446" s="31" t="n">
        <x:v>79.3475577323675</x:v>
      </x:c>
      <x:c r="P446" s="31"/>
      <x:c r="Q446" s="31"/>
      <x:c r="R446" s="31" t="n">
        <x:v>80.25069486708212</x:v>
      </x:c>
      <x:c r="S446" s="31"/>
      <x:c r="T446" s="31"/>
      <x:c r="U446" s="31"/>
    </x:row>
    <x:row r="447">
      <x:c r="A447" s="31" t="n">
        <x:v>44.5</x:v>
      </x:c>
      <x:c r="B447" s="31"/>
      <x:c r="C447" s="31" t="n">
        <x:v>62.63507779539814</x:v>
      </x:c>
      <x:c r="D447" s="31" t="n">
        <x:v>60.7702623398961</x:v>
      </x:c>
      <x:c r="E447" s="31" t="n">
        <x:v>79.40954139140453</x:v>
      </x:c>
      <x:c r="F447" s="31" t="n">
        <x:v>62.40330675411741</x:v>
      </x:c>
      <x:c r="G447" s="31"/>
      <x:c r="H447" s="31" t="n">
        <x:v>64.1648505036585</x:v>
      </x:c>
      <x:c r="I447" s="31" t="n">
        <x:v>80.85508563281577</x:v>
      </x:c>
      <x:c r="J447" s="31"/>
      <x:c r="K447" s="31"/>
      <x:c r="L447" s="31" t="n">
        <x:v>82.4905274258829</x:v>
      </x:c>
      <x:c r="M447" s="31" t="n">
        <x:v>76.43726010219908</x:v>
      </x:c>
      <x:c r="N447" s="31" t="n">
        <x:v>88.46203599147671</x:v>
      </x:c>
      <x:c r="O447" s="31" t="n">
        <x:v>79.3475577323675</x:v>
      </x:c>
      <x:c r="P447" s="31"/>
      <x:c r="Q447" s="31"/>
      <x:c r="R447" s="31" t="n">
        <x:v>80.30965364122298</x:v>
      </x:c>
      <x:c r="S447" s="31"/>
      <x:c r="T447" s="31"/>
      <x:c r="U447" s="31"/>
    </x:row>
    <x:row r="448">
      <x:c r="A448" s="31" t="n">
        <x:v>44.6</x:v>
      </x:c>
      <x:c r="B448" s="31"/>
      <x:c r="C448" s="31" t="n">
        <x:v>61.1525912965604</x:v>
      </x:c>
      <x:c r="D448" s="31" t="n">
        <x:v>61.593728802927046</x:v>
      </x:c>
      <x:c r="E448" s="31" t="n">
        <x:v>81.22572283678917</x:v>
      </x:c>
      <x:c r="F448" s="31" t="n">
        <x:v>65.35727535980956</x:v>
      </x:c>
      <x:c r="G448" s="31"/>
      <x:c r="H448" s="31" t="n">
        <x:v>50</x:v>
      </x:c>
      <x:c r="I448" s="31" t="n">
        <x:v>72.17548242671585</x:v>
      </x:c>
      <x:c r="J448" s="31"/>
      <x:c r="K448" s="31"/>
      <x:c r="L448" s="31" t="n">
        <x:v>79.50866178343966</x:v>
      </x:c>
      <x:c r="M448" s="31" t="n">
        <x:v>79.41949298697088</x:v>
      </x:c>
      <x:c r="N448" s="31" t="n">
        <x:v>78.92188830472028</x:v>
      </x:c>
      <x:c r="O448" s="31" t="n">
        <x:v>79.60510315037479</x:v>
      </x:c>
      <x:c r="P448" s="31"/>
      <x:c r="Q448" s="31"/>
      <x:c r="R448" s="31" t="n">
        <x:v>77.06735272698369</x:v>
      </x:c>
      <x:c r="S448" s="31"/>
      <x:c r="T448" s="31"/>
      <x:c r="U448" s="31"/>
    </x:row>
    <x:row r="449">
      <x:c r="A449" s="31" t="n">
        <x:v>44.7</x:v>
      </x:c>
      <x:c r="B449" s="31"/>
      <x:c r="C449" s="31" t="n">
        <x:v>61.1525912965604</x:v>
      </x:c>
      <x:c r="D449" s="31" t="n">
        <x:v>61.593728802927046</x:v>
      </x:c>
      <x:c r="E449" s="31" t="n">
        <x:v>81.22572283678917</x:v>
      </x:c>
      <x:c r="F449" s="31" t="n">
        <x:v>66.57684871676676</x:v>
      </x:c>
      <x:c r="G449" s="31"/>
      <x:c r="H449" s="31" t="n">
        <x:v>50</x:v>
      </x:c>
      <x:c r="I449" s="31" t="n">
        <x:v>64.92469851400762</x:v>
      </x:c>
      <x:c r="J449" s="31"/>
      <x:c r="K449" s="31"/>
      <x:c r="L449" s="31" t="n">
        <x:v>77.43369485504404</x:v>
      </x:c>
      <x:c r="M449" s="31" t="n">
        <x:v>81.37295674913555</x:v>
      </x:c>
      <x:c r="N449" s="31" t="n">
        <x:v>50</x:v>
      </x:c>
      <x:c r="O449" s="31" t="n">
        <x:v>79.60510315037479</x:v>
      </x:c>
      <x:c r="P449" s="31"/>
      <x:c r="Q449" s="31"/>
      <x:c r="R449" s="31" t="n">
        <x:v>69.65264924903124</x:v>
      </x:c>
      <x:c r="S449" s="31"/>
      <x:c r="T449" s="31"/>
      <x:c r="U449" s="31"/>
    </x:row>
    <x:row r="450">
      <x:c r="A450" s="31" t="n">
        <x:v>44.800000000000004</x:v>
      </x:c>
      <x:c r="B450" s="31"/>
      <x:c r="C450" s="31" t="n">
        <x:v>55.79500625308731</x:v>
      </x:c>
      <x:c r="D450" s="31" t="n">
        <x:v>63.48991278201221</x:v>
      </x:c>
      <x:c r="E450" s="31" t="n">
        <x:v>69.14015823916137</x:v>
      </x:c>
      <x:c r="F450" s="31" t="n">
        <x:v>66.62592217226248</x:v>
      </x:c>
      <x:c r="G450" s="31"/>
      <x:c r="H450" s="31" t="n">
        <x:v>65.93994236202819</x:v>
      </x:c>
      <x:c r="I450" s="31" t="n">
        <x:v>56.35949107899833</x:v>
      </x:c>
      <x:c r="J450" s="31"/>
      <x:c r="K450" s="31"/>
      <x:c r="L450" s="31" t="n">
        <x:v>75.71493646265216</x:v>
      </x:c>
      <x:c r="M450" s="31" t="n">
        <x:v>81.37295674913555</x:v>
      </x:c>
      <x:c r="N450" s="31" t="n">
        <x:v>50</x:v>
      </x:c>
      <x:c r="O450" s="31" t="n">
        <x:v>84.58330980935163</x:v>
      </x:c>
      <x:c r="P450" s="31"/>
      <x:c r="Q450" s="31"/>
      <x:c r="R450" s="31" t="n">
        <x:v>69.06118484650774</x:v>
      </x:c>
      <x:c r="S450" s="31"/>
      <x:c r="T450" s="31"/>
      <x:c r="U450" s="31"/>
    </x:row>
    <x:row r="451">
      <x:c r="A451" s="31" t="n">
        <x:v>44.900000000000006</x:v>
      </x:c>
      <x:c r="B451" s="31"/>
      <x:c r="C451" s="31" t="n">
        <x:v>59.18765754046815</x:v>
      </x:c>
      <x:c r="D451" s="31" t="n">
        <x:v>63.48991278201221</x:v>
      </x:c>
      <x:c r="E451" s="31" t="n">
        <x:v>65.38570973963547</x:v>
      </x:c>
      <x:c r="F451" s="31" t="n">
        <x:v>66.62592217226246</x:v>
      </x:c>
      <x:c r="G451" s="31"/>
      <x:c r="H451" s="31" t="n">
        <x:v>66.59355101388348</x:v>
      </x:c>
      <x:c r="I451" s="31" t="n">
        <x:v>66.09549676889534</x:v>
      </x:c>
      <x:c r="J451" s="31"/>
      <x:c r="K451" s="31"/>
      <x:c r="L451" s="31" t="n">
        <x:v>73.8801611499842</x:v>
      </x:c>
      <x:c r="M451" s="31" t="n">
        <x:v>81.55794222137234</x:v>
      </x:c>
      <x:c r="N451" s="31" t="n">
        <x:v>50</x:v>
      </x:c>
      <x:c r="O451" s="31" t="n">
        <x:v>89.46041952231954</x:v>
      </x:c>
      <x:c r="P451" s="31"/>
      <x:c r="Q451" s="31"/>
      <x:c r="R451" s="31" t="n">
        <x:v>68.13022482677358</x:v>
      </x:c>
      <x:c r="S451" s="31"/>
      <x:c r="T451" s="31"/>
      <x:c r="U451" s="31"/>
    </x:row>
    <x:row r="452">
      <x:c r="A452" s="31" t="n">
        <x:v>45</x:v>
      </x:c>
      <x:c r="B452" s="31"/>
      <x:c r="C452" s="31" t="n">
        <x:v>61.901778570372485</x:v>
      </x:c>
      <x:c r="D452" s="31" t="n">
        <x:v>60.71129761051971</x:v>
      </x:c>
      <x:c r="E452" s="31" t="n">
        <x:v>60.65970503330264</x:v>
      </x:c>
      <x:c r="F452" s="31" t="n">
        <x:v>66.49663646268489</x:v>
      </x:c>
      <x:c r="G452" s="31"/>
      <x:c r="H452" s="31" t="n">
        <x:v>76.59733488394852</x:v>
      </x:c>
      <x:c r="I452" s="31" t="n">
        <x:v>69.81100159858099</x:v>
      </x:c>
      <x:c r="J452" s="31"/>
      <x:c r="K452" s="31"/>
      <x:c r="L452" s="31" t="n">
        <x:v>73.82933403369114</x:v>
      </x:c>
      <x:c r="M452" s="31" t="n">
        <x:v>81.55794222137234</x:v>
      </x:c>
      <x:c r="N452" s="31" t="n">
        <x:v>50</x:v>
      </x:c>
      <x:c r="O452" s="31" t="n">
        <x:v>89.46041952231954</x:v>
      </x:c>
      <x:c r="P452" s="31"/>
      <x:c r="Q452" s="31"/>
      <x:c r="R452" s="31" t="n">
        <x:v>68.13022482677358</x:v>
      </x:c>
      <x:c r="S452" s="31"/>
      <x:c r="T452" s="31"/>
      <x:c r="U452" s="31"/>
    </x:row>
    <x:row r="453">
      <x:c r="A453" s="31" t="n">
        <x:v>45.1</x:v>
      </x:c>
      <x:c r="B453" s="31"/>
      <x:c r="C453" s="31" t="n">
        <x:v>61.901778570372485</x:v>
      </x:c>
      <x:c r="D453" s="31" t="n">
        <x:v>63.446490435109446</x:v>
      </x:c>
      <x:c r="E453" s="31" t="n">
        <x:v>71.71714791076869</x:v>
      </x:c>
      <x:c r="F453" s="31" t="n">
        <x:v>67.29190333941443</x:v>
      </x:c>
      <x:c r="G453" s="31"/>
      <x:c r="H453" s="31" t="n">
        <x:v>76.59733488394852</x:v>
      </x:c>
      <x:c r="I453" s="31" t="n">
        <x:v>69.81100159858099</x:v>
      </x:c>
      <x:c r="J453" s="31"/>
      <x:c r="K453" s="31"/>
      <x:c r="L453" s="31" t="n">
        <x:v>76.43250856274301</x:v>
      </x:c>
      <x:c r="M453" s="31" t="n">
        <x:v>81.35074536754405</x:v>
      </x:c>
      <x:c r="N453" s="31" t="n">
        <x:v>86.35496709972635</x:v>
      </x:c>
      <x:c r="O453" s="31" t="n">
        <x:v>81.72025468117505</x:v>
      </x:c>
      <x:c r="P453" s="31"/>
      <x:c r="Q453" s="31"/>
      <x:c r="R453" s="31" t="n">
        <x:v>66.64561223994565</x:v>
      </x:c>
      <x:c r="S453" s="31"/>
      <x:c r="T453" s="31"/>
      <x:c r="U453" s="31"/>
    </x:row>
    <x:row r="454">
      <x:c r="A454" s="31" t="n">
        <x:v>45.2</x:v>
      </x:c>
      <x:c r="B454" s="31"/>
      <x:c r="C454" s="31" t="n">
        <x:v>60.57805940773821</x:v>
      </x:c>
      <x:c r="D454" s="31" t="n">
        <x:v>86.86237636812962</x:v>
      </x:c>
      <x:c r="E454" s="31" t="n">
        <x:v>72.3035874863522</x:v>
      </x:c>
      <x:c r="F454" s="31" t="n">
        <x:v>67.29190333941443</x:v>
      </x:c>
      <x:c r="G454" s="31"/>
      <x:c r="H454" s="31" t="n">
        <x:v>75.22793196769001</x:v>
      </x:c>
      <x:c r="I454" s="31" t="n">
        <x:v>77.37236276482358</x:v>
      </x:c>
      <x:c r="J454" s="31"/>
      <x:c r="K454" s="31"/>
      <x:c r="L454" s="31" t="n">
        <x:v>77.50206588141472</x:v>
      </x:c>
      <x:c r="M454" s="31" t="n">
        <x:v>81.40687157555445</x:v>
      </x:c>
      <x:c r="N454" s="31" t="n">
        <x:v>91.17797776773583</x:v>
      </x:c>
      <x:c r="O454" s="31" t="n">
        <x:v>50</x:v>
      </x:c>
      <x:c r="P454" s="31"/>
      <x:c r="Q454" s="31"/>
      <x:c r="R454" s="31" t="n">
        <x:v>69.47366790506914</x:v>
      </x:c>
      <x:c r="S454" s="31"/>
      <x:c r="T454" s="31"/>
      <x:c r="U454" s="31"/>
    </x:row>
    <x:row r="455">
      <x:c r="A455" s="31" t="n">
        <x:v>45.300000000000004</x:v>
      </x:c>
      <x:c r="B455" s="31"/>
      <x:c r="C455" s="31" t="n">
        <x:v>60.04857174268856</x:v>
      </x:c>
      <x:c r="D455" s="31" t="n">
        <x:v>88.06761152119319</x:v>
      </x:c>
      <x:c r="E455" s="31" t="n">
        <x:v>72.7975018647184</x:v>
      </x:c>
      <x:c r="F455" s="31" t="n">
        <x:v>66.58344242835038</x:v>
      </x:c>
      <x:c r="G455" s="31"/>
      <x:c r="H455" s="31" t="n">
        <x:v>66.2547858537855</x:v>
      </x:c>
      <x:c r="I455" s="31" t="n">
        <x:v>77.37236276482358</x:v>
      </x:c>
      <x:c r="J455" s="31"/>
      <x:c r="K455" s="31"/>
      <x:c r="L455" s="31" t="n">
        <x:v>77.52907683347331</x:v>
      </x:c>
      <x:c r="M455" s="31" t="n">
        <x:v>81.40687157555445</x:v>
      </x:c>
      <x:c r="N455" s="31" t="n">
        <x:v>91.17797776773583</x:v>
      </x:c>
      <x:c r="O455" s="31" t="n">
        <x:v>50</x:v>
      </x:c>
      <x:c r="P455" s="31"/>
      <x:c r="Q455" s="31"/>
      <x:c r="R455" s="31" t="n">
        <x:v>69.49867412578726</x:v>
      </x:c>
      <x:c r="S455" s="31"/>
      <x:c r="T455" s="31"/>
      <x:c r="U455" s="31"/>
    </x:row>
    <x:row r="456">
      <x:c r="A456" s="31" t="n">
        <x:v>45.400000000000006</x:v>
      </x:c>
      <x:c r="B456" s="31"/>
      <x:c r="C456" s="31" t="n">
        <x:v>74.6217821943505</x:v>
      </x:c>
      <x:c r="D456" s="31" t="n">
        <x:v>88.06761152119223</x:v>
      </x:c>
      <x:c r="E456" s="31" t="n">
        <x:v>71.6098542729212</x:v>
      </x:c>
      <x:c r="F456" s="31" t="n">
        <x:v>64.60603016709783</x:v>
      </x:c>
      <x:c r="G456" s="31"/>
      <x:c r="H456" s="31" t="n">
        <x:v>74.51890069673233</x:v>
      </x:c>
      <x:c r="I456" s="31" t="n">
        <x:v>72.64188291971082</x:v>
      </x:c>
      <x:c r="J456" s="31"/>
      <x:c r="K456" s="31"/>
      <x:c r="L456" s="31" t="n">
        <x:v>77.94495985041767</x:v>
      </x:c>
      <x:c r="M456" s="31" t="n">
        <x:v>82.497539911025</x:v>
      </x:c>
      <x:c r="N456" s="31" t="n">
        <x:v>87.72506793620903</x:v>
      </x:c>
      <x:c r="O456" s="31" t="n">
        <x:v>50</x:v>
      </x:c>
      <x:c r="P456" s="31"/>
      <x:c r="Q456" s="31"/>
      <x:c r="R456" s="31" t="n">
        <x:v>69.26484535102752</x:v>
      </x:c>
      <x:c r="S456" s="31"/>
      <x:c r="T456" s="31"/>
      <x:c r="U456" s="31"/>
    </x:row>
    <x:row r="457">
      <x:c r="A457" s="31" t="n">
        <x:v>45.5</x:v>
      </x:c>
      <x:c r="B457" s="31"/>
      <x:c r="C457" s="31" t="n">
        <x:v>74.6217821943505</x:v>
      </x:c>
      <x:c r="D457" s="31" t="n">
        <x:v>78.21157237331359</x:v>
      </x:c>
      <x:c r="E457" s="31" t="n">
        <x:v>73.64197652443247</x:v>
      </x:c>
      <x:c r="F457" s="31" t="n">
        <x:v>64.568966846707</x:v>
      </x:c>
      <x:c r="G457" s="31"/>
      <x:c r="H457" s="31" t="n">
        <x:v>75.0980448334916</x:v>
      </x:c>
      <x:c r="I457" s="31" t="n">
        <x:v>55.03237758637706</x:v>
      </x:c>
      <x:c r="J457" s="31"/>
      <x:c r="K457" s="31"/>
      <x:c r="L457" s="31" t="n">
        <x:v>77.68104322722202</x:v>
      </x:c>
      <x:c r="M457" s="31" t="n">
        <x:v>82.497539911025</x:v>
      </x:c>
      <x:c r="N457" s="31" t="n">
        <x:v>84.59513580085874</x:v>
      </x:c>
      <x:c r="O457" s="31" t="n">
        <x:v>87.8261331876549</x:v>
      </x:c>
      <x:c r="P457" s="31"/>
      <x:c r="Q457" s="31"/>
      <x:c r="R457" s="31" t="n">
        <x:v>68.83829662222837</x:v>
      </x:c>
      <x:c r="S457" s="31"/>
      <x:c r="T457" s="31"/>
      <x:c r="U457" s="31"/>
    </x:row>
    <x:row r="458">
      <x:c r="A458" s="31" t="n">
        <x:v>45.6</x:v>
      </x:c>
      <x:c r="B458" s="31"/>
      <x:c r="C458" s="31" t="n">
        <x:v>71.42990087031762</x:v>
      </x:c>
      <x:c r="D458" s="31" t="n">
        <x:v>71.61551428481324</x:v>
      </x:c>
      <x:c r="E458" s="31" t="n">
        <x:v>74.2517317685467</x:v>
      </x:c>
      <x:c r="F458" s="31" t="n">
        <x:v>74.72148339357639</x:v>
      </x:c>
      <x:c r="G458" s="31"/>
      <x:c r="H458" s="31" t="n">
        <x:v>75.936149166643</x:v>
      </x:c>
      <x:c r="I458" s="31" t="n">
        <x:v>73.5362803169669</x:v>
      </x:c>
      <x:c r="J458" s="31"/>
      <x:c r="K458" s="31"/>
      <x:c r="L458" s="31" t="n">
        <x:v>76.33304658046822</x:v>
      </x:c>
      <x:c r="M458" s="31" t="n">
        <x:v>81.52257796343575</x:v>
      </x:c>
      <x:c r="N458" s="31" t="n">
        <x:v>80.72453549005766</x:v>
      </x:c>
      <x:c r="O458" s="31" t="n">
        <x:v>89.23579978557093</x:v>
      </x:c>
      <x:c r="P458" s="31"/>
      <x:c r="Q458" s="31"/>
      <x:c r="R458" s="31" t="n">
        <x:v>66.56967168175677</x:v>
      </x:c>
      <x:c r="S458" s="31"/>
      <x:c r="T458" s="31"/>
      <x:c r="U458" s="31"/>
    </x:row>
    <x:row r="459">
      <x:c r="A459" s="31" t="n">
        <x:v>45.7</x:v>
      </x:c>
      <x:c r="B459" s="31"/>
      <x:c r="C459" s="31" t="n">
        <x:v>68.09577539631049</x:v>
      </x:c>
      <x:c r="D459" s="31" t="n">
        <x:v>70.04077743867973</x:v>
      </x:c>
      <x:c r="E459" s="31" t="n">
        <x:v>74.24992480460574</x:v>
      </x:c>
      <x:c r="F459" s="31" t="n">
        <x:v>78.62427587462317</x:v>
      </x:c>
      <x:c r="G459" s="31"/>
      <x:c r="H459" s="31" t="n">
        <x:v>76.33854144266377</x:v>
      </x:c>
      <x:c r="I459" s="31" t="n">
        <x:v>73.5362803169669</x:v>
      </x:c>
      <x:c r="J459" s="31"/>
      <x:c r="K459" s="31"/>
      <x:c r="L459" s="31" t="n">
        <x:v>72.75282334905512</x:v>
      </x:c>
      <x:c r="M459" s="31" t="n">
        <x:v>91.78450517703467</x:v>
      </x:c>
      <x:c r="N459" s="31" t="n">
        <x:v>81.35120577214067</x:v>
      </x:c>
      <x:c r="O459" s="31" t="n">
        <x:v>89.17063904157139</x:v>
      </x:c>
      <x:c r="P459" s="31"/>
      <x:c r="Q459" s="31"/>
      <x:c r="R459" s="31" t="n">
        <x:v>63.05063691527334</x:v>
      </x:c>
      <x:c r="S459" s="31"/>
      <x:c r="T459" s="31"/>
      <x:c r="U459" s="31"/>
    </x:row>
    <x:row r="460">
      <x:c r="A460" s="31" t="n">
        <x:v>45.800000000000004</x:v>
      </x:c>
      <x:c r="B460" s="31"/>
      <x:c r="C460" s="31" t="n">
        <x:v>66.01146720922014</x:v>
      </x:c>
      <x:c r="D460" s="31" t="n">
        <x:v>66.74694579067727</x:v>
      </x:c>
      <x:c r="E460" s="31" t="n">
        <x:v>62.609045757216734</x:v>
      </x:c>
      <x:c r="F460" s="31" t="n">
        <x:v>78.62427587462317</x:v>
      </x:c>
      <x:c r="G460" s="31"/>
      <x:c r="H460" s="31" t="n">
        <x:v>76.3659510662503</x:v>
      </x:c>
      <x:c r="I460" s="31" t="n">
        <x:v>72.94760997580657</x:v>
      </x:c>
      <x:c r="J460" s="31"/>
      <x:c r="K460" s="31"/>
      <x:c r="L460" s="31" t="n">
        <x:v>89.70459664862506</x:v>
      </x:c>
      <x:c r="M460" s="31" t="n">
        <x:v>91.78450517703467</x:v>
      </x:c>
      <x:c r="N460" s="31" t="n">
        <x:v>81.35120577214067</x:v>
      </x:c>
      <x:c r="O460" s="31" t="n">
        <x:v>79.85062918919135</x:v>
      </x:c>
      <x:c r="P460" s="31"/>
      <x:c r="Q460" s="31"/>
      <x:c r="R460" s="31" t="n">
        <x:v>79.52248308691557</x:v>
      </x:c>
      <x:c r="S460" s="31"/>
      <x:c r="T460" s="31"/>
      <x:c r="U460" s="31"/>
    </x:row>
    <x:row r="461">
      <x:c r="A461" s="31" t="n">
        <x:v>45.900000000000006</x:v>
      </x:c>
      <x:c r="B461" s="31"/>
      <x:c r="C461" s="31" t="n">
        <x:v>66.44519593026337</x:v>
      </x:c>
      <x:c r="D461" s="31" t="n">
        <x:v>64.74242494163812</x:v>
      </x:c>
      <x:c r="E461" s="31" t="n">
        <x:v>50.00000000000392</x:v>
      </x:c>
      <x:c r="F461" s="31" t="n">
        <x:v>68.42742612871967</x:v>
      </x:c>
      <x:c r="G461" s="31"/>
      <x:c r="H461" s="31" t="n">
        <x:v>75.57644461416308</x:v>
      </x:c>
      <x:c r="I461" s="31" t="n">
        <x:v>70.91798242975277</x:v>
      </x:c>
      <x:c r="J461" s="31"/>
      <x:c r="K461" s="31"/>
      <x:c r="L461" s="31" t="n">
        <x:v>89.70459664862506</x:v>
      </x:c>
      <x:c r="M461" s="31" t="n">
        <x:v>90.65398349544672</x:v>
      </x:c>
      <x:c r="N461" s="31" t="n">
        <x:v>81.05716485025515</x:v>
      </x:c>
      <x:c r="O461" s="31" t="n">
        <x:v>78.70339174212694</x:v>
      </x:c>
      <x:c r="P461" s="31"/>
      <x:c r="Q461" s="31"/>
      <x:c r="R461" s="31" t="n">
        <x:v>79.52248308691557</x:v>
      </x:c>
      <x:c r="S461" s="31"/>
      <x:c r="T461" s="31"/>
      <x:c r="U461" s="31"/>
    </x:row>
    <x:row r="462">
      <x:c r="A462" s="31" t="n">
        <x:v>46</x:v>
      </x:c>
      <x:c r="B462" s="31"/>
      <x:c r="C462" s="31" t="n">
        <x:v>67.5643960604778</x:v>
      </x:c>
      <x:c r="D462" s="31" t="n">
        <x:v>63.3960940860389</x:v>
      </x:c>
      <x:c r="E462" s="31" t="n">
        <x:v>62.7766283539125</x:v>
      </x:c>
      <x:c r="F462" s="31" t="n">
        <x:v>61.023922236924456</x:v>
      </x:c>
      <x:c r="G462" s="31"/>
      <x:c r="H462" s="31" t="n">
        <x:v>73.69077212875457</x:v>
      </x:c>
      <x:c r="I462" s="31" t="n">
        <x:v>70.68112495010702</x:v>
      </x:c>
      <x:c r="J462" s="31"/>
      <x:c r="K462" s="31"/>
      <x:c r="L462" s="31" t="n">
        <x:v>87.7591907712447</x:v>
      </x:c>
      <x:c r="M462" s="31" t="n">
        <x:v>79.276457256902</x:v>
      </x:c>
      <x:c r="N462" s="31" t="n">
        <x:v>81.73330488974764</x:v>
      </x:c>
      <x:c r="O462" s="31" t="n">
        <x:v>78.227444975498</x:v>
      </x:c>
      <x:c r="P462" s="31"/>
      <x:c r="Q462" s="31"/>
      <x:c r="R462" s="31" t="n">
        <x:v>73.68181396871474</x:v>
      </x:c>
      <x:c r="S462" s="31"/>
      <x:c r="T462" s="31"/>
      <x:c r="U462" s="31"/>
    </x:row>
    <x:row r="463">
      <x:c r="A463" s="31" t="n">
        <x:v>46.1</x:v>
      </x:c>
      <x:c r="B463" s="31"/>
      <x:c r="C463" s="31" t="n">
        <x:v>67.67517287100861</x:v>
      </x:c>
      <x:c r="D463" s="31" t="n">
        <x:v>63.3960940860389</x:v>
      </x:c>
      <x:c r="E463" s="31" t="n">
        <x:v>67.84548831192804</x:v>
      </x:c>
      <x:c r="F463" s="31" t="n">
        <x:v>60.993115825203404</x:v>
      </x:c>
      <x:c r="G463" s="31"/>
      <x:c r="H463" s="31" t="n">
        <x:v>77.02498866160377</x:v>
      </x:c>
      <x:c r="I463" s="31" t="n">
        <x:v>70.80512351790432</x:v>
      </x:c>
      <x:c r="J463" s="31"/>
      <x:c r="K463" s="31"/>
      <x:c r="L463" s="31" t="n">
        <x:v>76.56597824752437</x:v>
      </x:c>
      <x:c r="M463" s="31" t="n">
        <x:v>50</x:v>
      </x:c>
      <x:c r="N463" s="31" t="n">
        <x:v>84.04545148610585</x:v>
      </x:c>
      <x:c r="O463" s="31" t="n">
        <x:v>79.72475424779205</x:v>
      </x:c>
      <x:c r="P463" s="31"/>
      <x:c r="Q463" s="31"/>
      <x:c r="R463" s="31" t="n">
        <x:v>50</x:v>
      </x:c>
      <x:c r="S463" s="31"/>
      <x:c r="T463" s="31"/>
      <x:c r="U463" s="31"/>
    </x:row>
    <x:row r="464">
      <x:c r="A464" s="31" t="n">
        <x:v>46.2</x:v>
      </x:c>
      <x:c r="B464" s="31"/>
      <x:c r="C464" s="31" t="n">
        <x:v>67.67517287100861</x:v>
      </x:c>
      <x:c r="D464" s="31" t="n">
        <x:v>58.352398742033245</x:v>
      </x:c>
      <x:c r="E464" s="31" t="n">
        <x:v>67.84548831192804</x:v>
      </x:c>
      <x:c r="F464" s="31" t="n">
        <x:v>60.96230941348235</x:v>
      </x:c>
      <x:c r="G464" s="31"/>
      <x:c r="H464" s="31" t="n">
        <x:v>77.02498866160377</x:v>
      </x:c>
      <x:c r="I464" s="31" t="n">
        <x:v>86.3901527657479</x:v>
      </x:c>
      <x:c r="J464" s="31"/>
      <x:c r="K464" s="31"/>
      <x:c r="L464" s="31" t="n">
        <x:v>66.51346411055302</x:v>
      </x:c>
      <x:c r="M464" s="31" t="n">
        <x:v>50</x:v>
      </x:c>
      <x:c r="N464" s="31" t="n">
        <x:v>83.74136287888722</x:v>
      </x:c>
      <x:c r="O464" s="31" t="n">
        <x:v>80.23467359861013</x:v>
      </x:c>
      <x:c r="P464" s="31"/>
      <x:c r="Q464" s="31"/>
      <x:c r="R464" s="31" t="n">
        <x:v>50</x:v>
      </x:c>
      <x:c r="S464" s="31"/>
      <x:c r="T464" s="31"/>
      <x:c r="U464" s="31"/>
    </x:row>
    <x:row r="465">
      <x:c r="A465" s="31" t="n">
        <x:v>46.300000000000004</x:v>
      </x:c>
      <x:c r="B465" s="31"/>
      <x:c r="C465" s="31" t="n">
        <x:v>67.45038634708563</x:v>
      </x:c>
      <x:c r="D465" s="31" t="n">
        <x:v>50</x:v>
      </x:c>
      <x:c r="E465" s="31" t="n">
        <x:v>69.07662674775192</x:v>
      </x:c>
      <x:c r="F465" s="31" t="n">
        <x:v>60.93150300176131</x:v>
      </x:c>
      <x:c r="G465" s="31"/>
      <x:c r="H465" s="31" t="n">
        <x:v>75.79656365870002</x:v>
      </x:c>
      <x:c r="I465" s="31" t="n">
        <x:v>90.98583886109873</x:v>
      </x:c>
      <x:c r="J465" s="31"/>
      <x:c r="K465" s="31"/>
      <x:c r="L465" s="31" t="n">
        <x:v>50</x:v>
      </x:c>
      <x:c r="M465" s="31" t="n">
        <x:v>50</x:v>
      </x:c>
      <x:c r="N465" s="31" t="n">
        <x:v>83.52648197798533</x:v>
      </x:c>
      <x:c r="O465" s="31" t="n">
        <x:v>80.21676586192687</x:v>
      </x:c>
      <x:c r="P465" s="31"/>
      <x:c r="Q465" s="31"/>
      <x:c r="R465" s="31" t="n">
        <x:v>50</x:v>
      </x:c>
      <x:c r="S465" s="31"/>
      <x:c r="T465" s="31"/>
      <x:c r="U465" s="31"/>
    </x:row>
    <x:row r="466">
      <x:c r="A466" s="31" t="n">
        <x:v>46.400000000000006</x:v>
      </x:c>
      <x:c r="B466" s="31"/>
      <x:c r="C466" s="31" t="n">
        <x:v>67.45038634708563</x:v>
      </x:c>
      <x:c r="D466" s="31" t="n">
        <x:v>72.30367153981432</x:v>
      </x:c>
      <x:c r="E466" s="31" t="n">
        <x:v>69.07662674775192</x:v>
      </x:c>
      <x:c r="F466" s="31" t="n">
        <x:v>60.900696590040255</x:v>
      </x:c>
      <x:c r="G466" s="31"/>
      <x:c r="H466" s="31" t="n">
        <x:v>74.01550541780091</x:v>
      </x:c>
      <x:c r="I466" s="31" t="n">
        <x:v>90.98583886109873</x:v>
      </x:c>
      <x:c r="J466" s="31"/>
      <x:c r="K466" s="31"/>
      <x:c r="L466" s="31" t="n">
        <x:v>50</x:v>
      </x:c>
      <x:c r="M466" s="31" t="n">
        <x:v>50</x:v>
      </x:c>
      <x:c r="N466" s="31" t="n">
        <x:v>83.52648197798533</x:v>
      </x:c>
      <x:c r="O466" s="31" t="n">
        <x:v>80.63282511565599</x:v>
      </x:c>
      <x:c r="P466" s="31"/>
      <x:c r="Q466" s="31"/>
      <x:c r="R466" s="31" t="n">
        <x:v>54.16836769230814</x:v>
      </x:c>
      <x:c r="S466" s="31"/>
      <x:c r="T466" s="31"/>
      <x:c r="U466" s="31"/>
    </x:row>
    <x:row r="467">
      <x:c r="A467" s="31" t="n">
        <x:v>46.5</x:v>
      </x:c>
      <x:c r="B467" s="31"/>
      <x:c r="C467" s="31" t="n">
        <x:v>67.31713129549338</x:v>
      </x:c>
      <x:c r="D467" s="31" t="n">
        <x:v>73.10078059706925</x:v>
      </x:c>
      <x:c r="E467" s="31" t="n">
        <x:v>68.89531145250793</x:v>
      </x:c>
      <x:c r="F467" s="31" t="n">
        <x:v>60.88837402535184</x:v>
      </x:c>
      <x:c r="G467" s="31"/>
      <x:c r="H467" s="31" t="n">
        <x:v>85.43750836477977</x:v>
      </x:c>
      <x:c r="I467" s="31" t="n">
        <x:v>83.45570699466616</x:v>
      </x:c>
      <x:c r="J467" s="31"/>
      <x:c r="K467" s="31"/>
      <x:c r="L467" s="31" t="n">
        <x:v>50</x:v>
      </x:c>
      <x:c r="M467" s="31" t="n">
        <x:v>82.28838915879919</x:v>
      </x:c>
      <x:c r="N467" s="31" t="n">
        <x:v>81.34569488877109</x:v>
      </x:c>
      <x:c r="O467" s="31" t="n">
        <x:v>80.63282511565599</x:v>
      </x:c>
      <x:c r="P467" s="31"/>
      <x:c r="Q467" s="31"/>
      <x:c r="R467" s="31" t="n">
        <x:v>77.15092373574271</x:v>
      </x:c>
      <x:c r="S467" s="31"/>
      <x:c r="T467" s="31"/>
      <x:c r="U467" s="31"/>
    </x:row>
    <x:row r="468">
      <x:c r="A468" s="31" t="n">
        <x:v>46.6</x:v>
      </x:c>
      <x:c r="B468" s="31"/>
      <x:c r="C468" s="31" t="n">
        <x:v>67.23005192182704</x:v>
      </x:c>
      <x:c r="D468" s="31" t="n">
        <x:v>71.52429752596976</x:v>
      </x:c>
      <x:c r="E468" s="31" t="n">
        <x:v>68.89531145250793</x:v>
      </x:c>
      <x:c r="F468" s="31" t="n">
        <x:v>66.49000261047591</x:v>
      </x:c>
      <x:c r="G468" s="31"/>
      <x:c r="H468" s="31" t="n">
        <x:v>85.43750836477977</x:v>
      </x:c>
      <x:c r="I468" s="31" t="n">
        <x:v>78.63602995613628</x:v>
      </x:c>
      <x:c r="J468" s="31"/>
      <x:c r="K468" s="31"/>
      <x:c r="L468" s="31" t="n">
        <x:v>58.57905842722023</x:v>
      </x:c>
      <x:c r="M468" s="31" t="n">
        <x:v>89.0325774128022</x:v>
      </x:c>
      <x:c r="N468" s="31" t="n">
        <x:v>78.09869042674426</x:v>
      </x:c>
      <x:c r="O468" s="31" t="n">
        <x:v>79.99052390222616</x:v>
      </x:c>
      <x:c r="P468" s="31"/>
      <x:c r="Q468" s="31"/>
      <x:c r="R468" s="31" t="n">
        <x:v>79.16427546933463</x:v>
      </x:c>
      <x:c r="S468" s="31"/>
      <x:c r="T468" s="31"/>
      <x:c r="U468" s="31"/>
    </x:row>
    <x:row r="469">
      <x:c r="A469" s="31" t="n">
        <x:v>46.7</x:v>
      </x:c>
      <x:c r="B469" s="31"/>
      <x:c r="C469" s="31" t="n">
        <x:v>67.74666583827025</x:v>
      </x:c>
      <x:c r="D469" s="31" t="n">
        <x:v>60.45613935730424</x:v>
      </x:c>
      <x:c r="E469" s="31" t="n">
        <x:v>72.54400689549485</x:v>
      </x:c>
      <x:c r="F469" s="31" t="n">
        <x:v>69.29081690303795</x:v>
      </x:c>
      <x:c r="G469" s="31"/>
      <x:c r="H469" s="31" t="n">
        <x:v>79.85434076381893</x:v>
      </x:c>
      <x:c r="I469" s="31" t="n">
        <x:v>76.65925761651748</x:v>
      </x:c>
      <x:c r="J469" s="31"/>
      <x:c r="K469" s="31"/>
      <x:c r="L469" s="31" t="n">
        <x:v>82.98631589131408</x:v>
      </x:c>
      <x:c r="M469" s="31" t="n">
        <x:v>89.0325774128022</x:v>
      </x:c>
      <x:c r="N469" s="31" t="n">
        <x:v>76.32155639547852</x:v>
      </x:c>
      <x:c r="O469" s="31" t="n">
        <x:v>79.56072449211285</x:v>
      </x:c>
      <x:c r="P469" s="31"/>
      <x:c r="Q469" s="31"/>
      <x:c r="R469" s="31" t="n">
        <x:v>79.16427546933463</x:v>
      </x:c>
      <x:c r="S469" s="31"/>
      <x:c r="T469" s="31"/>
      <x:c r="U469" s="31"/>
    </x:row>
    <x:row r="470">
      <x:c r="A470" s="31" t="n">
        <x:v>46.800000000000004</x:v>
      </x:c>
      <x:c r="B470" s="31"/>
      <x:c r="C470" s="31" t="n">
        <x:v>68.23568213609543</x:v>
      </x:c>
      <x:c r="D470" s="31" t="n">
        <x:v>50</x:v>
      </x:c>
      <x:c r="E470" s="31" t="n">
        <x:v>72.54400689549485</x:v>
      </x:c>
      <x:c r="F470" s="31" t="n">
        <x:v>68.40848972969687</x:v>
      </x:c>
      <x:c r="G470" s="31"/>
      <x:c r="H470" s="31" t="n">
        <x:v>70.91507311398303</x:v>
      </x:c>
      <x:c r="I470" s="31" t="n">
        <x:v>76.65925761651698</x:v>
      </x:c>
      <x:c r="J470" s="31"/>
      <x:c r="K470" s="31"/>
      <x:c r="L470" s="31" t="n">
        <x:v>89.80675611576495</x:v>
      </x:c>
      <x:c r="M470" s="31" t="n">
        <x:v>83.60039185372909</x:v>
      </x:c>
      <x:c r="N470" s="31" t="n">
        <x:v>74.54442236421279</x:v>
      </x:c>
      <x:c r="O470" s="31" t="n">
        <x:v>78.33301152349384</x:v>
      </x:c>
      <x:c r="P470" s="31"/>
      <x:c r="Q470" s="31"/>
      <x:c r="R470" s="31" t="n">
        <x:v>71.82846196342203</x:v>
      </x:c>
      <x:c r="S470" s="31"/>
      <x:c r="T470" s="31"/>
      <x:c r="U470" s="31"/>
    </x:row>
    <x:row r="471">
      <x:c r="A471" s="31" t="n">
        <x:v>46.900000000000006</x:v>
      </x:c>
      <x:c r="B471" s="31"/>
      <x:c r="C471" s="31" t="n">
        <x:v>68.72438283007897</x:v>
      </x:c>
      <x:c r="D471" s="31" t="n">
        <x:v>61.35148413012655</x:v>
      </x:c>
      <x:c r="E471" s="31" t="n">
        <x:v>71.8611803592024</x:v>
      </x:c>
      <x:c r="F471" s="31" t="n">
        <x:v>57.76431939242977</x:v>
      </x:c>
      <x:c r="G471" s="31"/>
      <x:c r="H471" s="31" t="n">
        <x:v>50</x:v>
      </x:c>
      <x:c r="I471" s="31" t="n">
        <x:v>75.25487545078879</x:v>
      </x:c>
      <x:c r="J471" s="31"/>
      <x:c r="K471" s="31"/>
      <x:c r="L471" s="31" t="n">
        <x:v>89.80675611576495</x:v>
      </x:c>
      <x:c r="M471" s="31" t="n">
        <x:v>83.60039185372902</x:v>
      </x:c>
      <x:c r="N471" s="31" t="n">
        <x:v>73.47814194545346</x:v>
      </x:c>
      <x:c r="O471" s="31" t="n">
        <x:v>89.16651885860533</x:v>
      </x:c>
      <x:c r="P471" s="31"/>
      <x:c r="Q471" s="31"/>
      <x:c r="R471" s="31" t="n">
        <x:v>71.64387604705587</x:v>
      </x:c>
      <x:c r="S471" s="31"/>
      <x:c r="T471" s="31"/>
      <x:c r="U471" s="31"/>
    </x:row>
    <x:row r="472">
      <x:c r="A472" s="31" t="n">
        <x:v>47</x:v>
      </x:c>
      <x:c r="B472" s="31"/>
      <x:c r="C472" s="31" t="n">
        <x:v>79.24623543072204</x:v>
      </x:c>
      <x:c r="D472" s="31" t="n">
        <x:v>62.90081979466099</x:v>
      </x:c>
      <x:c r="E472" s="31" t="n">
        <x:v>72.08500278120694</x:v>
      </x:c>
      <x:c r="F472" s="31" t="n">
        <x:v>57.76431939242977</x:v>
      </x:c>
      <x:c r="G472" s="31"/>
      <x:c r="H472" s="31" t="n">
        <x:v>50</x:v>
      </x:c>
      <x:c r="I472" s="31" t="n">
        <x:v>72.4642522365044</x:v>
      </x:c>
      <x:c r="J472" s="31"/>
      <x:c r="K472" s="31"/>
      <x:c r="L472" s="31" t="n">
        <x:v>83.1319716264883</x:v>
      </x:c>
      <x:c r="M472" s="31" t="n">
        <x:v>82.05990692668288</x:v>
      </x:c>
      <x:c r="N472" s="31" t="n">
        <x:v>73.36143993075048</x:v>
      </x:c>
      <x:c r="O472" s="31" t="n">
        <x:v>89.16651885860533</x:v>
      </x:c>
      <x:c r="P472" s="31"/>
      <x:c r="Q472" s="31"/>
      <x:c r="R472" s="31" t="n">
        <x:v>68.38213386355372</x:v>
      </x:c>
      <x:c r="S472" s="31"/>
      <x:c r="T472" s="31"/>
      <x:c r="U472" s="31"/>
    </x:row>
    <x:row r="473">
      <x:c r="A473" s="31" t="n">
        <x:v>47.1</x:v>
      </x:c>
      <x:c r="B473" s="31"/>
      <x:c r="C473" s="31" t="n">
        <x:v>79.47478641132946</x:v>
      </x:c>
      <x:c r="D473" s="31" t="n">
        <x:v>63.63305665134693</x:v>
      </x:c>
      <x:c r="E473" s="31" t="n">
        <x:v>79.22868486830974</x:v>
      </x:c>
      <x:c r="F473" s="31" t="n">
        <x:v>62.916775700933094</x:v>
      </x:c>
      <x:c r="G473" s="31"/>
      <x:c r="H473" s="31" t="n">
        <x:v>60.684509196307005</x:v>
      </x:c>
      <x:c r="I473" s="31" t="n">
        <x:v>77.43662214590037</x:v>
      </x:c>
      <x:c r="J473" s="31"/>
      <x:c r="K473" s="31"/>
      <x:c r="L473" s="31" t="n">
        <x:v>82.9815039322142</x:v>
      </x:c>
      <x:c r="M473" s="31" t="n">
        <x:v>82.94630660745838</x:v>
      </x:c>
      <x:c r="N473" s="31" t="n">
        <x:v>78.08559275713012</x:v>
      </x:c>
      <x:c r="O473" s="31" t="n">
        <x:v>85.62511418790004</x:v>
      </x:c>
      <x:c r="P473" s="31"/>
      <x:c r="Q473" s="31"/>
      <x:c r="R473" s="31" t="n">
        <x:v>68.02035097861621</x:v>
      </x:c>
      <x:c r="S473" s="31"/>
      <x:c r="T473" s="31"/>
      <x:c r="U473" s="31"/>
    </x:row>
    <x:row r="474">
      <x:c r="A474" s="31" t="n">
        <x:v>47.2</x:v>
      </x:c>
      <x:c r="B474" s="31"/>
      <x:c r="C474" s="31" t="n">
        <x:v>77.40982612934046</x:v>
      </x:c>
      <x:c r="D474" s="31" t="n">
        <x:v>63.63305665134693</x:v>
      </x:c>
      <x:c r="E474" s="31" t="n">
        <x:v>79.22868486830974</x:v>
      </x:c>
      <x:c r="F474" s="31" t="n">
        <x:v>66.39916047575323</x:v>
      </x:c>
      <x:c r="G474" s="31"/>
      <x:c r="H474" s="31" t="n">
        <x:v>68.69789109353678</x:v>
      </x:c>
      <x:c r="I474" s="31" t="n">
        <x:v>77.92125570617655</x:v>
      </x:c>
      <x:c r="J474" s="31"/>
      <x:c r="K474" s="31"/>
      <x:c r="L474" s="31" t="n">
        <x:v>76.28003243564821</x:v>
      </x:c>
      <x:c r="M474" s="31" t="n">
        <x:v>82.94630660745838</x:v>
      </x:c>
      <x:c r="N474" s="31" t="n">
        <x:v>80.51521168542646</x:v>
      </x:c>
      <x:c r="O474" s="31"/>
      <x:c r="P474" s="31"/>
      <x:c r="Q474" s="31"/>
      <x:c r="R474" s="31" t="n">
        <x:v>67.52357779485564</x:v>
      </x:c>
      <x:c r="S474" s="31"/>
      <x:c r="T474" s="31"/>
      <x:c r="U474" s="31"/>
    </x:row>
    <x:row r="475">
      <x:c r="A475" s="31" t="n">
        <x:v>47.300000000000004</x:v>
      </x:c>
      <x:c r="B475" s="31"/>
      <x:c r="C475" s="31" t="n">
        <x:v>67.58115597828618</x:v>
      </x:c>
      <x:c r="D475" s="31" t="n">
        <x:v>62.63465747020338</x:v>
      </x:c>
      <x:c r="E475" s="31" t="n">
        <x:v>73.89181913467014</x:v>
      </x:c>
      <x:c r="F475" s="31" t="n">
        <x:v>66.39916047575323</x:v>
      </x:c>
      <x:c r="G475" s="31"/>
      <x:c r="H475" s="31" t="n">
        <x:v>73.6509228691167</x:v>
      </x:c>
      <x:c r="I475" s="31" t="n">
        <x:v>77.20343478965097</x:v>
      </x:c>
      <x:c r="J475" s="31"/>
      <x:c r="K475" s="31"/>
      <x:c r="L475" s="31" t="n">
        <x:v>75.73192935615947</x:v>
      </x:c>
      <x:c r="M475" s="31" t="n">
        <x:v>81.83673331974404</x:v>
      </x:c>
      <x:c r="N475" s="31" t="n">
        <x:v>81.18735597878776</x:v>
      </x:c>
      <x:c r="O475" s="31"/>
      <x:c r="P475" s="31"/>
      <x:c r="Q475" s="31"/>
      <x:c r="R475" s="31" t="n">
        <x:v>67.52357779485564</x:v>
      </x:c>
      <x:c r="S475" s="31"/>
      <x:c r="T475" s="31"/>
      <x:c r="U475" s="31"/>
    </x:row>
    <x:row r="476">
      <x:c r="A476" s="31" t="n">
        <x:v>47.400000000000006</x:v>
      </x:c>
      <x:c r="B476" s="31"/>
      <x:c r="C476" s="31" t="n">
        <x:v>50</x:v>
      </x:c>
      <x:c r="D476" s="31" t="n">
        <x:v>64.09408169154126</x:v>
      </x:c>
      <x:c r="E476" s="31" t="n">
        <x:v>67.5122711232648</x:v>
      </x:c>
      <x:c r="F476" s="31" t="n">
        <x:v>66.33182863312712</x:v>
      </x:c>
      <x:c r="G476" s="31"/>
      <x:c r="H476" s="31" t="n">
        <x:v>75.81936342591163</x:v>
      </x:c>
      <x:c r="I476" s="31" t="n">
        <x:v>59.89475292332234</x:v>
      </x:c>
      <x:c r="J476" s="31"/>
      <x:c r="K476" s="31"/>
      <x:c r="L476" s="31" t="n">
        <x:v>76.87905428077248</x:v>
      </x:c>
      <x:c r="M476" s="31" t="n">
        <x:v>82.08589118032938</x:v>
      </x:c>
      <x:c r="N476" s="31" t="n">
        <x:v>81.18735597878776</x:v>
      </x:c>
      <x:c r="O476" s="31"/>
      <x:c r="P476" s="31"/>
      <x:c r="Q476" s="31"/>
      <x:c r="R476" s="31" t="n">
        <x:v>68.2432250901413</x:v>
      </x:c>
      <x:c r="S476" s="31"/>
      <x:c r="T476" s="31"/>
      <x:c r="U476" s="31"/>
    </x:row>
    <x:row r="477">
      <x:c r="A477" s="31" t="n">
        <x:v>47.5</x:v>
      </x:c>
      <x:c r="B477" s="31"/>
      <x:c r="C477" s="31" t="n">
        <x:v>50</x:v>
      </x:c>
      <x:c r="D477" s="31" t="n">
        <x:v>64.57506496304626</x:v>
      </x:c>
      <x:c r="E477" s="31" t="n">
        <x:v>64.61214273945828</x:v>
      </x:c>
      <x:c r="F477" s="31" t="n">
        <x:v>67.29429113346885</x:v>
      </x:c>
      <x:c r="G477" s="31"/>
      <x:c r="H477" s="31" t="n">
        <x:v>75.81936342591163</x:v>
      </x:c>
      <x:c r="I477" s="31" t="n">
        <x:v>64.48990806326785</x:v>
      </x:c>
      <x:c r="J477" s="31"/>
      <x:c r="K477" s="31"/>
      <x:c r="L477" s="31" t="n">
        <x:v>77.07523011000829</x:v>
      </x:c>
      <x:c r="M477" s="31" t="n">
        <x:v>82.08589118032938</x:v>
      </x:c>
      <x:c r="N477" s="31" t="n">
        <x:v>81.8780215579414</x:v>
      </x:c>
      <x:c r="O477" s="31"/>
      <x:c r="P477" s="31"/>
      <x:c r="Q477" s="31"/>
      <x:c r="R477" s="31" t="n">
        <x:v>68.90553997047478</x:v>
      </x:c>
      <x:c r="S477" s="31"/>
      <x:c r="T477" s="31"/>
      <x:c r="U477" s="31"/>
    </x:row>
    <x:row r="478">
      <x:c r="A478" s="31" t="n">
        <x:v>47.6</x:v>
      </x:c>
      <x:c r="B478" s="31"/>
      <x:c r="C478" s="31" t="n">
        <x:v>59.30388062000097</x:v>
      </x:c>
      <x:c r="D478" s="31" t="n">
        <x:v>64.6859285297212</x:v>
      </x:c>
      <x:c r="E478" s="31" t="n">
        <x:v>50</x:v>
      </x:c>
      <x:c r="F478" s="31" t="n">
        <x:v>67.29429113346885</x:v>
      </x:c>
      <x:c r="G478" s="31"/>
      <x:c r="H478" s="31" t="n">
        <x:v>65.04452980358718</x:v>
      </x:c>
      <x:c r="I478" s="31" t="n">
        <x:v>68.96050211138368</x:v>
      </x:c>
      <x:c r="J478" s="31"/>
      <x:c r="K478" s="31"/>
      <x:c r="L478" s="31" t="n">
        <x:v>77.13834946879172</x:v>
      </x:c>
      <x:c r="M478" s="31" t="n">
        <x:v>83.46175851996747</x:v>
      </x:c>
      <x:c r="N478" s="31" t="n">
        <x:v>88.33448786962823</x:v>
      </x:c>
      <x:c r="O478" s="31"/>
      <x:c r="P478" s="31"/>
      <x:c r="Q478" s="31"/>
      <x:c r="R478" s="31" t="n">
        <x:v>68.90553997047478</x:v>
      </x:c>
      <x:c r="S478" s="31"/>
      <x:c r="T478" s="31"/>
      <x:c r="U478" s="31"/>
    </x:row>
    <x:row r="479">
      <x:c r="A479" s="31" t="n">
        <x:v>47.7</x:v>
      </x:c>
      <x:c r="B479" s="31"/>
      <x:c r="C479" s="31" t="n">
        <x:v>62.80423519986093</x:v>
      </x:c>
      <x:c r="D479" s="31" t="n">
        <x:v>66.39533856839518</x:v>
      </x:c>
      <x:c r="E479" s="31" t="n">
        <x:v>50</x:v>
      </x:c>
      <x:c r="F479" s="31" t="n">
        <x:v>66.25416311188971</x:v>
      </x:c>
      <x:c r="G479" s="31"/>
      <x:c r="H479" s="31" t="n">
        <x:v>71.98147402212136</x:v>
      </x:c>
      <x:c r="I479" s="31" t="n">
        <x:v>68.96050211138368</x:v>
      </x:c>
      <x:c r="J479" s="31"/>
      <x:c r="K479" s="31"/>
      <x:c r="L479" s="31" t="n">
        <x:v>77.13834946879172</x:v>
      </x:c>
      <x:c r="M479" s="31" t="n">
        <x:v>83.58771117984153</x:v>
      </x:c>
      <x:c r="N479" s="31" t="n">
        <x:v>88.33448786962823</x:v>
      </x:c>
      <x:c r="O479" s="31"/>
      <x:c r="P479" s="31"/>
      <x:c r="Q479" s="31"/>
      <x:c r="R479" s="31" t="n">
        <x:v>66.97379362691451</x:v>
      </x:c>
      <x:c r="S479" s="31"/>
      <x:c r="T479" s="31"/>
      <x:c r="U479" s="31"/>
    </x:row>
    <x:row r="480">
      <x:c r="A480" s="31" t="n">
        <x:v>47.800000000000004</x:v>
      </x:c>
      <x:c r="B480" s="31"/>
      <x:c r="C480" s="31" t="n">
        <x:v>62.80423519986093</x:v>
      </x:c>
      <x:c r="D480" s="31" t="n">
        <x:v>66.39533856839518</x:v>
      </x:c>
      <x:c r="E480" s="31" t="n">
        <x:v>56.15863730371188</x:v>
      </x:c>
      <x:c r="F480" s="31" t="n">
        <x:v>66.70829191012014</x:v>
      </x:c>
      <x:c r="G480" s="31"/>
      <x:c r="H480" s="31" t="n">
        <x:v>74.91727553069849</x:v>
      </x:c>
      <x:c r="I480" s="31" t="n">
        <x:v>70.1148642705103</x:v>
      </x:c>
      <x:c r="J480" s="31"/>
      <x:c r="K480" s="31"/>
      <x:c r="L480" s="31" t="n">
        <x:v>75.51301282653958</x:v>
      </x:c>
      <x:c r="M480" s="31" t="n">
        <x:v>82.80552940323763</x:v>
      </x:c>
      <x:c r="N480" s="31" t="n">
        <x:v>85.90488719851864</x:v>
      </x:c>
      <x:c r="O480" s="31"/>
      <x:c r="P480" s="31"/>
      <x:c r="Q480" s="31"/>
      <x:c r="R480" s="31" t="n">
        <x:v>66.43324969736196</x:v>
      </x:c>
      <x:c r="S480" s="31"/>
      <x:c r="T480" s="31"/>
      <x:c r="U480" s="31"/>
    </x:row>
    <x:row r="481">
      <x:c r="A481" s="31" t="n">
        <x:v>47.900000000000006</x:v>
      </x:c>
      <x:c r="B481" s="31"/>
      <x:c r="C481" s="31" t="n">
        <x:v>61.04858185738375</x:v>
      </x:c>
      <x:c r="D481" s="31" t="n">
        <x:v>65.88709787712948</x:v>
      </x:c>
      <x:c r="E481" s="31" t="n">
        <x:v>71.552632139289</x:v>
      </x:c>
      <x:c r="F481" s="31" t="n">
        <x:v>67.77782924730164</x:v>
      </x:c>
      <x:c r="G481" s="31"/>
      <x:c r="H481" s="31" t="n">
        <x:v>74.91727553069849</x:v>
      </x:c>
      <x:c r="I481" s="31" t="n">
        <x:v>70.2644026150032</x:v>
      </x:c>
      <x:c r="J481" s="31"/>
      <x:c r="K481" s="31"/>
      <x:c r="L481" s="31" t="n">
        <x:v>75.71072664268024</x:v>
      </x:c>
      <x:c r="M481" s="31" t="n">
        <x:v>78.62779555166533</x:v>
      </x:c>
      <x:c r="N481" s="31" t="n">
        <x:v>79.68661472619434</x:v>
      </x:c>
      <x:c r="O481" s="31"/>
      <x:c r="P481" s="31"/>
      <x:c r="Q481" s="31"/>
      <x:c r="R481" s="31" t="n">
        <x:v>62.71061632872543</x:v>
      </x:c>
      <x:c r="S481" s="31"/>
      <x:c r="T481" s="31"/>
      <x:c r="U481" s="31"/>
    </x:row>
    <x:row r="482">
      <x:c r="A482" s="31" t="n">
        <x:v>48</x:v>
      </x:c>
      <x:c r="B482" s="31"/>
      <x:c r="C482" s="31" t="n">
        <x:v>51.64015699133739</x:v>
      </x:c>
      <x:c r="D482" s="31" t="n">
        <x:v>65.88709787712948</x:v>
      </x:c>
      <x:c r="E482" s="31" t="n">
        <x:v>72.47535476205438</x:v>
      </x:c>
      <x:c r="F482" s="31" t="n">
        <x:v>67.77782924730164</x:v>
      </x:c>
      <x:c r="G482" s="31"/>
      <x:c r="H482" s="31" t="n">
        <x:v>74.84208656420313</x:v>
      </x:c>
      <x:c r="I482" s="31" t="n">
        <x:v>70.2644026150032</x:v>
      </x:c>
      <x:c r="J482" s="31"/>
      <x:c r="K482" s="31"/>
      <x:c r="L482" s="31" t="n">
        <x:v>75.71072664268024</x:v>
      </x:c>
      <x:c r="M482" s="31" t="n">
        <x:v>89.20853445451054</x:v>
      </x:c>
      <x:c r="N482" s="31" t="n">
        <x:v>72.4481042550374</x:v>
      </x:c>
      <x:c r="O482" s="31"/>
      <x:c r="P482" s="31"/>
      <x:c r="Q482" s="31"/>
      <x:c r="R482" s="31" t="n">
        <x:v>77.81449025804834</x:v>
      </x:c>
      <x:c r="S482" s="31"/>
      <x:c r="T482" s="31"/>
      <x:c r="U482" s="31"/>
    </x:row>
    <x:row r="483">
      <x:c r="A483" s="31" t="n">
        <x:v>48.1</x:v>
      </x:c>
      <x:c r="B483" s="31"/>
      <x:c r="C483" s="31" t="n">
        <x:v>50</x:v>
      </x:c>
      <x:c r="D483" s="31" t="n">
        <x:v>85.75507562541748</x:v>
      </x:c>
      <x:c r="E483" s="31" t="n">
        <x:v>76.85425169642306</x:v>
      </x:c>
      <x:c r="F483" s="31" t="n">
        <x:v>66.93237509996865</x:v>
      </x:c>
      <x:c r="G483" s="31"/>
      <x:c r="H483" s="31" t="n">
        <x:v>74.3057598522731</x:v>
      </x:c>
      <x:c r="I483" s="31" t="n">
        <x:v>71.09653409293018</x:v>
      </x:c>
      <x:c r="J483" s="31"/>
      <x:c r="K483" s="31"/>
      <x:c r="L483" s="31" t="n">
        <x:v>75.26953155378104</x:v>
      </x:c>
      <x:c r="M483" s="31" t="n">
        <x:v>90.19864045446441</x:v>
      </x:c>
      <x:c r="N483" s="31" t="n">
        <x:v>72.21964784782585</x:v>
      </x:c>
      <x:c r="O483" s="31"/>
      <x:c r="P483" s="31"/>
      <x:c r="Q483" s="31"/>
      <x:c r="R483" s="31" t="n">
        <x:v>77.81449025804834</x:v>
      </x:c>
      <x:c r="S483" s="31"/>
      <x:c r="T483" s="31"/>
      <x:c r="U483" s="31"/>
    </x:row>
    <x:row r="484">
      <x:c r="A484" s="31" t="n">
        <x:v>48.2</x:v>
      </x:c>
      <x:c r="B484" s="31"/>
      <x:c r="C484" s="31" t="n">
        <x:v>74.01836784255597</x:v>
      </x:c>
      <x:c r="D484" s="31" t="n">
        <x:v>85.75507562541748</x:v>
      </x:c>
      <x:c r="E484" s="31" t="n">
        <x:v>76.85425169642306</x:v>
      </x:c>
      <x:c r="F484" s="31" t="n">
        <x:v>60.27069061356975</x:v>
      </x:c>
      <x:c r="G484" s="31"/>
      <x:c r="H484" s="31" t="n">
        <x:v>77.10295360247714</x:v>
      </x:c>
      <x:c r="I484" s="31" t="n">
        <x:v>71.3555781912606</x:v>
      </x:c>
      <x:c r="J484" s="31"/>
      <x:c r="K484" s="31"/>
      <x:c r="L484" s="31" t="n">
        <x:v>72.82526447034199</x:v>
      </x:c>
      <x:c r="M484" s="31" t="n">
        <x:v>90.19864045446441</x:v>
      </x:c>
      <x:c r="N484" s="31" t="n">
        <x:v>72.21964784782585</x:v>
      </x:c>
      <x:c r="O484" s="31"/>
      <x:c r="P484" s="31"/>
      <x:c r="Q484" s="31"/>
      <x:c r="R484" s="31" t="n">
        <x:v>75.10851332451671</x:v>
      </x:c>
      <x:c r="S484" s="31"/>
      <x:c r="T484" s="31"/>
      <x:c r="U484" s="31"/>
    </x:row>
    <x:row r="485">
      <x:c r="A485" s="31" t="n">
        <x:v>48.300000000000004</x:v>
      </x:c>
      <x:c r="B485" s="31"/>
      <x:c r="C485" s="31" t="n">
        <x:v>74.86197781217324</x:v>
      </x:c>
      <x:c r="D485" s="31" t="n">
        <x:v>77.67328002717225</x:v>
      </x:c>
      <x:c r="E485" s="31" t="n">
        <x:v>72.13604877342024</x:v>
      </x:c>
      <x:c r="F485" s="31" t="n">
        <x:v>79.60842934803121</x:v>
      </x:c>
      <x:c r="G485" s="31"/>
      <x:c r="H485" s="31" t="n">
        <x:v>77.28937665226528</x:v>
      </x:c>
      <x:c r="I485" s="31" t="n">
        <x:v>88.26235379662623</x:v>
      </x:c>
      <x:c r="J485" s="31"/>
      <x:c r="K485" s="31"/>
      <x:c r="L485" s="31" t="n">
        <x:v>70.43310808451274</x:v>
      </x:c>
      <x:c r="M485" s="31" t="n">
        <x:v>78.90314671589185</x:v>
      </x:c>
      <x:c r="N485" s="31" t="n">
        <x:v>72.33413062058492</x:v>
      </x:c>
      <x:c r="O485" s="31"/>
      <x:c r="P485" s="31"/>
      <x:c r="Q485" s="31"/>
      <x:c r="R485" s="31" t="n">
        <x:v>68.49800968121858</x:v>
      </x:c>
      <x:c r="S485" s="31"/>
      <x:c r="T485" s="31"/>
      <x:c r="U485" s="31"/>
    </x:row>
    <x:row r="486">
      <x:c r="A486" s="31" t="n">
        <x:v>48.400000000000006</x:v>
      </x:c>
      <x:c r="B486" s="31"/>
      <x:c r="C486" s="31" t="n">
        <x:v>74.05310403452256</x:v>
      </x:c>
      <x:c r="D486" s="31" t="n">
        <x:v>70.22766549940013</x:v>
      </x:c>
      <x:c r="E486" s="31" t="n">
        <x:v>66.6636699745654</x:v>
      </x:c>
      <x:c r="F486" s="31" t="n">
        <x:v>79.60842934803121</x:v>
      </x:c>
      <x:c r="G486" s="31"/>
      <x:c r="H486" s="31" t="n">
        <x:v>76.9885403983998</x:v>
      </x:c>
      <x:c r="I486" s="31" t="n">
        <x:v>88.26235379662623</x:v>
      </x:c>
      <x:c r="J486" s="31"/>
      <x:c r="K486" s="31"/>
      <x:c r="L486" s="31" t="n">
        <x:v>87.92623328718518</x:v>
      </x:c>
      <x:c r="M486" s="31" t="n">
        <x:v>50</x:v>
      </x:c>
      <x:c r="N486" s="31" t="n">
        <x:v>74.56116854106861</x:v>
      </x:c>
      <x:c r="O486" s="31"/>
      <x:c r="P486" s="31"/>
      <x:c r="Q486" s="31"/>
      <x:c r="R486" s="31" t="n">
        <x:v>66.969253909356</x:v>
      </x:c>
      <x:c r="S486" s="31"/>
      <x:c r="T486" s="31"/>
      <x:c r="U486" s="31"/>
    </x:row>
    <x:row r="487">
      <x:c r="A487" s="31" t="n">
        <x:v>48.5</x:v>
      </x:c>
      <x:c r="B487" s="31"/>
      <x:c r="C487" s="31" t="n">
        <x:v>67.83869903729966</x:v>
      </x:c>
      <x:c r="D487" s="31" t="n">
        <x:v>65.39430112722741</x:v>
      </x:c>
      <x:c r="E487" s="31" t="n">
        <x:v>63.66984795216706</x:v>
      </x:c>
      <x:c r="F487" s="31" t="n">
        <x:v>75.20580522388073</x:v>
      </x:c>
      <x:c r="G487" s="31"/>
      <x:c r="H487" s="31" t="n">
        <x:v>76.93621972670805</x:v>
      </x:c>
      <x:c r="I487" s="31" t="n">
        <x:v>84.31833428052278</x:v>
      </x:c>
      <x:c r="J487" s="31"/>
      <x:c r="K487" s="31"/>
      <x:c r="L487" s="31" t="n">
        <x:v>89.53392697045132</x:v>
      </x:c>
      <x:c r="M487" s="31" t="n">
        <x:v>50</x:v>
      </x:c>
      <x:c r="N487" s="31" t="n">
        <x:v>74.56116854106861</x:v>
      </x:c>
      <x:c r="O487" s="31"/>
      <x:c r="P487" s="31"/>
      <x:c r="Q487" s="31"/>
      <x:c r="R487" s="31" t="n">
        <x:v>65.44049813749352</x:v>
      </x:c>
      <x:c r="S487" s="31"/>
      <x:c r="T487" s="31"/>
      <x:c r="U487" s="31"/>
    </x:row>
    <x:row r="488">
      <x:c r="A488" s="31" t="n">
        <x:v>48.6</x:v>
      </x:c>
      <x:c r="B488" s="31"/>
      <x:c r="C488" s="31" t="n">
        <x:v>63.69599338619631</x:v>
      </x:c>
      <x:c r="D488" s="31" t="n">
        <x:v>59.645154654329396</x:v>
      </x:c>
      <x:c r="E488" s="31" t="n">
        <x:v>65.8046186412513</x:v>
      </x:c>
      <x:c r="F488" s="31" t="n">
        <x:v>65.57450117926567</x:v>
      </x:c>
      <x:c r="G488" s="31"/>
      <x:c r="H488" s="31" t="n">
        <x:v>76.60214984033777</x:v>
      </x:c>
      <x:c r="I488" s="31" t="n">
        <x:v>74.40883212919493</x:v>
      </x:c>
      <x:c r="J488" s="31"/>
      <x:c r="K488" s="31"/>
      <x:c r="L488" s="31" t="n">
        <x:v>89.53392697045132</x:v>
      </x:c>
      <x:c r="M488" s="31" t="n">
        <x:v>56.518508031273605</x:v>
      </x:c>
      <x:c r="N488" s="31" t="n">
        <x:v>73.790455622613</x:v>
      </x:c>
      <x:c r="O488" s="31"/>
      <x:c r="P488" s="31"/>
      <x:c r="Q488" s="31"/>
      <x:c r="R488" s="31" t="n">
        <x:v>63.91174236563094</x:v>
      </x:c>
      <x:c r="S488" s="31"/>
      <x:c r="T488" s="31"/>
      <x:c r="U488" s="31"/>
    </x:row>
    <x:row r="489">
      <x:c r="A489" s="31" t="n">
        <x:v>48.7</x:v>
      </x:c>
      <x:c r="B489" s="31"/>
      <x:c r="C489" s="31" t="n">
        <x:v>66.19674254802815</x:v>
      </x:c>
      <x:c r="D489" s="31" t="n">
        <x:v>57.68958142760468</x:v>
      </x:c>
      <x:c r="E489" s="31" t="n">
        <x:v>66.1127045430617</x:v>
      </x:c>
      <x:c r="F489" s="31" t="n">
        <x:v>52.57537711715547</x:v>
      </x:c>
      <x:c r="G489" s="31"/>
      <x:c r="H489" s="31" t="n">
        <x:v>75.67167184250623</x:v>
      </x:c>
      <x:c r="I489" s="31" t="n">
        <x:v>69.51705766011588</x:v>
      </x:c>
      <x:c r="J489" s="31"/>
      <x:c r="K489" s="31"/>
      <x:c r="L489" s="31" t="n">
        <x:v>77.9668443429741</x:v>
      </x:c>
      <x:c r="M489" s="31" t="n">
        <x:v>67.38268808339603</x:v>
      </x:c>
      <x:c r="N489" s="31" t="n">
        <x:v>70.09065449553933</x:v>
      </x:c>
      <x:c r="O489" s="31"/>
      <x:c r="P489" s="31"/>
      <x:c r="Q489" s="31"/>
      <x:c r="R489" s="31" t="n">
        <x:v>70.33827915061337</x:v>
      </x:c>
      <x:c r="S489" s="31"/>
      <x:c r="T489" s="31"/>
      <x:c r="U489" s="31"/>
    </x:row>
    <x:row r="490">
      <x:c r="A490" s="31" t="n">
        <x:v>48.800000000000004</x:v>
      </x:c>
      <x:c r="B490" s="31"/>
      <x:c r="C490" s="31" t="n">
        <x:v>68.56920246101313</x:v>
      </x:c>
      <x:c r="D490" s="31" t="n">
        <x:v>57.331719976706296</x:v>
      </x:c>
      <x:c r="E490" s="31" t="n">
        <x:v>68.21241199006894</x:v>
      </x:c>
      <x:c r="F490" s="31" t="n">
        <x:v>50</x:v>
      </x:c>
      <x:c r="G490" s="31"/>
      <x:c r="H490" s="31" t="n">
        <x:v>75.04628748681073</x:v>
      </x:c>
      <x:c r="I490" s="31" t="n">
        <x:v>50.000000000005436</x:v>
      </x:c>
      <x:c r="J490" s="31"/>
      <x:c r="K490" s="31"/>
      <x:c r="L490" s="31" t="n">
        <x:v>58.3167709734489</x:v>
      </x:c>
      <x:c r="M490" s="31" t="n">
        <x:v>73.90119611467199</x:v>
      </x:c>
      <x:c r="N490" s="31" t="n">
        <x:v>79.27392244305648</x:v>
      </x:c>
      <x:c r="O490" s="31"/>
      <x:c r="P490" s="31"/>
      <x:c r="Q490" s="31"/>
      <x:c r="R490" s="31" t="n">
        <x:v>77.71509483760562</x:v>
      </x:c>
      <x:c r="S490" s="31"/>
      <x:c r="T490" s="31"/>
      <x:c r="U490" s="31"/>
    </x:row>
    <x:row r="491">
      <x:c r="A491" s="31" t="n">
        <x:v>48.900000000000006</x:v>
      </x:c>
      <x:c r="B491" s="31"/>
      <x:c r="C491" s="31" t="n">
        <x:v>68.69258786473614</x:v>
      </x:c>
      <x:c r="D491" s="31" t="n">
        <x:v>63.394574290383005</x:v>
      </x:c>
      <x:c r="E491" s="31" t="n">
        <x:v>68.21241199006894</x:v>
      </x:c>
      <x:c r="F491" s="31" t="n">
        <x:v>50</x:v>
      </x:c>
      <x:c r="G491" s="31"/>
      <x:c r="H491" s="31" t="n">
        <x:v>73.36145612779453</x:v>
      </x:c>
      <x:c r="I491" s="31" t="n">
        <x:v>68.47587046796659</x:v>
      </x:c>
      <x:c r="J491" s="31"/>
      <x:c r="K491" s="31"/>
      <x:c r="L491" s="31" t="n">
        <x:v>50</x:v>
      </x:c>
      <x:c r="M491" s="31" t="n">
        <x:v>89.72367363305472</x:v>
      </x:c>
      <x:c r="N491" s="31" t="n">
        <x:v>84.78388321156623</x:v>
      </x:c>
      <x:c r="O491" s="31"/>
      <x:c r="P491" s="31"/>
      <x:c r="Q491" s="31"/>
      <x:c r="R491" s="31" t="n">
        <x:v>77.71509483760562</x:v>
      </x:c>
      <x:c r="S491" s="31"/>
      <x:c r="T491" s="31"/>
      <x:c r="U491" s="31"/>
    </x:row>
    <x:row r="492">
      <x:c r="A492" s="31" t="n">
        <x:v>49</x:v>
      </x:c>
      <x:c r="B492" s="31"/>
      <x:c r="C492" s="31" t="n">
        <x:v>68.76082215553826</x:v>
      </x:c>
      <x:c r="D492" s="31" t="n">
        <x:v>63.394574290383005</x:v>
      </x:c>
      <x:c r="E492" s="31" t="n">
        <x:v>67.63692501566007</x:v>
      </x:c>
      <x:c r="F492" s="31" t="n">
        <x:v>53.23527631486305</x:v>
      </x:c>
      <x:c r="G492" s="31"/>
      <x:c r="H492" s="31" t="n">
        <x:v>84.02725550354644</x:v>
      </x:c>
      <x:c r="I492" s="31" t="n">
        <x:v>70.16777801859652</x:v>
      </x:c>
      <x:c r="J492" s="31"/>
      <x:c r="K492" s="31"/>
      <x:c r="L492" s="31" t="n">
        <x:v>50</x:v>
      </x:c>
      <x:c r="M492" s="31" t="n">
        <x:v>89.72367363305472</x:v>
      </x:c>
      <x:c r="N492" s="31" t="n">
        <x:v>84.78388321156623</x:v>
      </x:c>
      <x:c r="O492" s="31"/>
      <x:c r="P492" s="31"/>
      <x:c r="Q492" s="31"/>
      <x:c r="R492" s="31" t="n">
        <x:v>71.7907311750711</x:v>
      </x:c>
      <x:c r="S492" s="31"/>
      <x:c r="T492" s="31"/>
      <x:c r="U492" s="31"/>
    </x:row>
    <x:row r="493">
      <x:c r="A493" s="31" t="n">
        <x:v>49.1</x:v>
      </x:c>
      <x:c r="B493" s="31"/>
      <x:c r="C493" s="31" t="n">
        <x:v>68.76082215553826</x:v>
      </x:c>
      <x:c r="D493" s="31" t="n">
        <x:v>53.90534115954349</x:v>
      </x:c>
      <x:c r="E493" s="31" t="n">
        <x:v>67.73511918752573</x:v>
      </x:c>
      <x:c r="F493" s="31" t="n">
        <x:v>58.08819078715792</x:v>
      </x:c>
      <x:c r="G493" s="31"/>
      <x:c r="H493" s="31" t="n">
        <x:v>84.03659604226854</x:v>
      </x:c>
      <x:c r="I493" s="31" t="n">
        <x:v>76.83580435505127</x:v>
      </x:c>
      <x:c r="J493" s="31"/>
      <x:c r="K493" s="31"/>
      <x:c r="L493" s="31" t="n">
        <x:v>50</x:v>
      </x:c>
      <x:c r="M493" s="31" t="n">
        <x:v>87.42839111950661</x:v>
      </x:c>
      <x:c r="N493" s="31" t="n">
        <x:v>72.92092671485607</x:v>
      </x:c>
      <x:c r="O493" s="31"/>
      <x:c r="P493" s="31"/>
      <x:c r="Q493" s="31"/>
      <x:c r="R493" s="31" t="n">
        <x:v>70.88159271009303</x:v>
      </x:c>
      <x:c r="S493" s="31"/>
      <x:c r="T493" s="31"/>
      <x:c r="U493" s="31"/>
    </x:row>
    <x:row r="494">
      <x:c r="A494" s="31" t="n">
        <x:v>49.2</x:v>
      </x:c>
      <x:c r="B494" s="31"/>
      <x:c r="C494" s="31" t="n">
        <x:v>66.98000593125172</x:v>
      </x:c>
      <x:c r="D494" s="31" t="n">
        <x:v>60.78251953335727</x:v>
      </x:c>
      <x:c r="E494" s="31" t="n">
        <x:v>68.38271559806601</x:v>
      </x:c>
      <x:c r="F494" s="31" t="n">
        <x:v>64.49458294731926</x:v>
      </x:c>
      <x:c r="G494" s="31"/>
      <x:c r="H494" s="31" t="n">
        <x:v>81.88171783328832</x:v>
      </x:c>
      <x:c r="I494" s="31" t="n">
        <x:v>76.83580435505127</x:v>
      </x:c>
      <x:c r="J494" s="31"/>
      <x:c r="K494" s="31"/>
      <x:c r="L494" s="31" t="n">
        <x:v>50</x:v>
      </x:c>
      <x:c r="M494" s="31" t="n">
        <x:v>84.05052684822246</x:v>
      </x:c>
      <x:c r="N494" s="31" t="n">
        <x:v>50</x:v>
      </x:c>
      <x:c r="O494" s="31"/>
      <x:c r="P494" s="31"/>
      <x:c r="Q494" s="31"/>
      <x:c r="R494" s="31" t="n">
        <x:v>68.21460882297978</x:v>
      </x:c>
      <x:c r="S494" s="31"/>
      <x:c r="T494" s="31"/>
      <x:c r="U494" s="31"/>
    </x:row>
    <x:row r="495">
      <x:c r="A495" s="31" t="n">
        <x:v>49.300000000000004</x:v>
      </x:c>
      <x:c r="B495" s="31"/>
      <x:c r="C495" s="31" t="n">
        <x:v>68.49162357987217</x:v>
      </x:c>
      <x:c r="D495" s="31" t="n">
        <x:v>71.09828709407549</x:v>
      </x:c>
      <x:c r="E495" s="31" t="n">
        <x:v>69.38752559499221</x:v>
      </x:c>
      <x:c r="F495" s="31" t="n">
        <x:v>67.61904992553974</x:v>
      </x:c>
      <x:c r="G495" s="31"/>
      <x:c r="H495" s="31" t="n">
        <x:v>71.29886823874854</x:v>
      </x:c>
      <x:c r="I495" s="31" t="n">
        <x:v>50</x:v>
      </x:c>
      <x:c r="J495" s="31"/>
      <x:c r="K495" s="31"/>
      <x:c r="L495" s="31" t="n">
        <x:v>66.68112129460786</x:v>
      </x:c>
      <x:c r="M495" s="31" t="n">
        <x:v>82.8246577143629</x:v>
      </x:c>
      <x:c r="N495" s="31" t="n">
        <x:v>52.87898027234952</x:v>
      </x:c>
      <x:c r="O495" s="31"/>
      <x:c r="P495" s="31"/>
      <x:c r="Q495" s="31"/>
      <x:c r="R495" s="31" t="n">
        <x:v>68.38040025921985</x:v>
      </x:c>
      <x:c r="S495" s="31"/>
      <x:c r="T495" s="31"/>
      <x:c r="U495" s="31"/>
    </x:row>
    <x:row r="496">
      <x:c r="A496" s="31" t="n">
        <x:v>49.400000000000006</x:v>
      </x:c>
      <x:c r="B496" s="31"/>
      <x:c r="C496" s="31" t="n">
        <x:v>68.49162357987217</x:v>
      </x:c>
      <x:c r="D496" s="31" t="n">
        <x:v>71.09828709407547</x:v>
      </x:c>
      <x:c r="E496" s="31" t="n">
        <x:v>86.73382777319605</x:v>
      </x:c>
      <x:c r="F496" s="31" t="n">
        <x:v>67.61904992553974</x:v>
      </x:c>
      <x:c r="G496" s="31"/>
      <x:c r="H496" s="31" t="n">
        <x:v>51.37640399892957</x:v>
      </x:c>
      <x:c r="I496" s="31" t="n">
        <x:v>66.14256751448893</x:v>
      </x:c>
      <x:c r="J496" s="31"/>
      <x:c r="K496" s="31"/>
      <x:c r="L496" s="31" t="n">
        <x:v>88.46307336994862</x:v>
      </x:c>
      <x:c r="M496" s="31" t="n">
        <x:v>82.15684909449796</x:v>
      </x:c>
      <x:c r="N496" s="31" t="n">
        <x:v>57.67728072626529</x:v>
      </x:c>
      <x:c r="O496" s="31"/>
      <x:c r="P496" s="31"/>
      <x:c r="Q496" s="31"/>
      <x:c r="R496" s="31" t="n">
        <x:v>68.28252047969318</x:v>
      </x:c>
      <x:c r="S496" s="31"/>
      <x:c r="T496" s="31"/>
      <x:c r="U496" s="31"/>
    </x:row>
    <x:row r="497">
      <x:c r="A497" s="31" t="n">
        <x:v>49.5</x:v>
      </x:c>
      <x:c r="B497" s="31"/>
      <x:c r="C497" s="31" t="n">
        <x:v>67.81524477006514</x:v>
      </x:c>
      <x:c r="D497" s="31" t="n">
        <x:v>64.75994798817305</x:v>
      </x:c>
      <x:c r="E497" s="31" t="n">
        <x:v>86.73382777319605</x:v>
      </x:c>
      <x:c r="F497" s="31" t="n">
        <x:v>59.580066886615114</x:v>
      </x:c>
      <x:c r="G497" s="31"/>
      <x:c r="H497" s="31" t="n">
        <x:v>58.25842399357596</x:v>
      </x:c>
      <x:c r="I497" s="31" t="n">
        <x:v>72.03990066614395</x:v>
      </x:c>
      <x:c r="J497" s="31"/>
      <x:c r="K497" s="31"/>
      <x:c r="L497" s="31" t="n">
        <x:v>88.46307336994862</x:v>
      </x:c>
      <x:c r="M497" s="31" t="n">
        <x:v>82.74305704186287</x:v>
      </x:c>
      <x:c r="N497" s="31" t="n">
        <x:v>62.475581180180704</x:v>
      </x:c>
      <x:c r="O497" s="31"/>
      <x:c r="P497" s="31"/>
      <x:c r="Q497" s="31"/>
      <x:c r="R497" s="31" t="n">
        <x:v>67.90673653077718</x:v>
      </x:c>
      <x:c r="S497" s="31"/>
      <x:c r="T497" s="31"/>
      <x:c r="U497" s="31"/>
    </x:row>
    <x:row r="498">
      <x:c r="A498" s="31" t="n">
        <x:v>49.6</x:v>
      </x:c>
      <x:c r="B498" s="31"/>
      <x:c r="C498" s="31" t="n">
        <x:v>66.80562800175328</x:v>
      </x:c>
      <x:c r="D498" s="31" t="n">
        <x:v>51.88180101764843</x:v>
      </x:c>
      <x:c r="E498" s="31" t="n">
        <x:v>83.57363126924432</x:v>
      </x:c>
      <x:c r="F498" s="31" t="n">
        <x:v>56.94969112261571</x:v>
      </x:c>
      <x:c r="G498" s="31"/>
      <x:c r="H498" s="31" t="n">
        <x:v>65.14044398822284</x:v>
      </x:c>
      <x:c r="I498" s="31" t="n">
        <x:v>72.03990066614395</x:v>
      </x:c>
      <x:c r="J498" s="31"/>
      <x:c r="K498" s="31"/>
      <x:c r="L498" s="31" t="n">
        <x:v>86.08970819465613</x:v>
      </x:c>
      <x:c r="M498" s="31" t="n">
        <x:v>82.74305704186287</x:v>
      </x:c>
      <x:c r="N498" s="31" t="n">
        <x:v>82.6035609017766</x:v>
      </x:c>
      <x:c r="O498" s="31"/>
      <x:c r="P498" s="31"/>
      <x:c r="Q498" s="31"/>
      <x:c r="R498" s="31" t="n">
        <x:v>67.90673653077718</x:v>
      </x:c>
      <x:c r="S498" s="31"/>
      <x:c r="T498" s="31"/>
      <x:c r="U498" s="31"/>
    </x:row>
    <x:row r="499">
      <x:c r="A499" s="31" t="n">
        <x:v>49.7</x:v>
      </x:c>
      <x:c r="B499" s="31"/>
      <x:c r="C499" s="31" t="n">
        <x:v>66.80562800175328</x:v>
      </x:c>
      <x:c r="D499" s="31" t="n">
        <x:v>60.906545866563555</x:v>
      </x:c>
      <x:c r="E499" s="31" t="n">
        <x:v>74.69310143679354</x:v>
      </x:c>
      <x:c r="F499" s="31" t="n">
        <x:v>64.00620413400752</x:v>
      </x:c>
      <x:c r="G499" s="31"/>
      <x:c r="H499" s="31" t="n">
        <x:v>70.64605998394015</x:v>
      </x:c>
      <x:c r="I499" s="31" t="n">
        <x:v>71.80302793836466</x:v>
      </x:c>
      <x:c r="J499" s="31"/>
      <x:c r="K499" s="31"/>
      <x:c r="L499" s="31" t="n">
        <x:v>81.32054915449663</x:v>
      </x:c>
      <x:c r="M499" s="31" t="n">
        <x:v>82.31777331738445</x:v>
      </x:c>
      <x:c r="N499" s="31" t="n">
        <x:v>82.6035609017766</x:v>
      </x:c>
      <x:c r="O499" s="31"/>
      <x:c r="P499" s="31"/>
      <x:c r="Q499" s="31"/>
      <x:c r="R499" s="31" t="n">
        <x:v>69.82424391540766</x:v>
      </x:c>
      <x:c r="S499" s="31"/>
      <x:c r="T499" s="31"/>
      <x:c r="U499" s="31"/>
    </x:row>
    <x:row r="500">
      <x:c r="A500" s="31" t="n">
        <x:v>49.800000000000004</x:v>
      </x:c>
      <x:c r="B500" s="31"/>
      <x:c r="C500" s="31" t="n">
        <x:v>65.84491896381277</x:v>
      </x:c>
      <x:c r="D500" s="31" t="n">
        <x:v>64.13677962970107</x:v>
      </x:c>
      <x:c r="E500" s="31" t="n">
        <x:v>69.17894778723162</x:v>
      </x:c>
      <x:c r="F500" s="31" t="n">
        <x:v>65.08577420433276</x:v>
      </x:c>
      <x:c r="G500" s="31"/>
      <x:c r="H500" s="31" t="n">
        <x:v>70.64605998394138</x:v>
      </x:c>
      <x:c r="I500" s="31" t="n">
        <x:v>70.24320129207214</x:v>
      </x:c>
      <x:c r="J500" s="31"/>
      <x:c r="K500" s="31"/>
      <x:c r="L500" s="31" t="n">
        <x:v>78.19195511307902</x:v>
      </x:c>
      <x:c r="M500" s="31" t="n">
        <x:v>83.69331968024787</x:v>
      </x:c>
      <x:c r="N500" s="31" t="n">
        <x:v>81.71829266012594</x:v>
      </x:c>
      <x:c r="O500" s="31"/>
      <x:c r="P500" s="31"/>
      <x:c r="Q500" s="31"/>
      <x:c r="R500" s="31" t="n">
        <x:v>69.82424391540766</x:v>
      </x:c>
      <x:c r="S500" s="31"/>
      <x:c r="T500" s="31"/>
      <x:c r="U500" s="31"/>
    </x:row>
    <x:row r="501">
      <x:c r="A501" s="31" t="n">
        <x:v>49.900000000000006</x:v>
      </x:c>
      <x:c r="B501" s="31"/>
      <x:c r="C501" s="31" t="n">
        <x:v>68.3642303590411</x:v>
      </x:c>
      <x:c r="D501" s="31" t="n">
        <x:v>64.13677962970107</x:v>
      </x:c>
      <x:c r="E501" s="31" t="n">
        <x:v>62.58237891557874</x:v>
      </x:c>
      <x:c r="F501" s="31" t="n">
        <x:v>65.0857742043326</x:v>
      </x:c>
      <x:c r="G501" s="31"/>
      <x:c r="H501" s="31" t="n">
        <x:v>77.06630981055866</x:v>
      </x:c>
      <x:c r="I501" s="31" t="n">
        <x:v>70.23061543126113</x:v>
      </x:c>
      <x:c r="J501" s="31"/>
      <x:c r="K501" s="31"/>
      <x:c r="L501" s="31" t="n">
        <x:v>74.09406572925762</x:v>
      </x:c>
      <x:c r="M501" s="31" t="n">
        <x:v>83.69331968024787</x:v>
      </x:c>
      <x:c r="N501" s="31" t="n">
        <x:v>78.84819731268016</x:v>
      </x:c>
      <x:c r="O501" s="31"/>
      <x:c r="P501" s="31"/>
      <x:c r="Q501" s="31"/>
      <x:c r="R501" s="31" t="n">
        <x:v>68.84257331042495</x:v>
      </x:c>
      <x:c r="S501" s="31"/>
      <x:c r="T501" s="31"/>
      <x:c r="U501" s="31"/>
    </x:row>
    <x:row r="502">
      <x:c r="A502" s="31" t="n">
        <x:v>50</x:v>
      </x:c>
      <x:c r="B502" s="31"/>
      <x:c r="C502" s="31" t="n">
        <x:v>75.76275062159147</x:v>
      </x:c>
      <x:c r="D502" s="31" t="n">
        <x:v>64.7332279127355</x:v>
      </x:c>
      <x:c r="E502" s="31" t="n">
        <x:v>66.74562235200804</x:v>
      </x:c>
      <x:c r="F502" s="31" t="n">
        <x:v>66.04678464791732</x:v>
      </x:c>
      <x:c r="G502" s="31"/>
      <x:c r="H502" s="31" t="n">
        <x:v>77.06630981055866</x:v>
      </x:c>
      <x:c r="I502" s="31" t="n">
        <x:v>70.3920740850467</x:v>
      </x:c>
      <x:c r="J502" s="31"/>
      <x:c r="K502" s="31"/>
      <x:c r="L502" s="31" t="n">
        <x:v>74.95650302060704</x:v>
      </x:c>
      <x:c r="M502" s="31"/>
      <x:c r="N502" s="31" t="n">
        <x:v>75.77578986097404</x:v>
      </x:c>
      <x:c r="O502" s="31"/>
      <x:c r="P502" s="31"/>
      <x:c r="Q502" s="31"/>
      <x:c r="R502" s="31" t="n">
        <x:v>67.43931123882962</x:v>
      </x:c>
      <x:c r="S502" s="31"/>
      <x:c r="T502" s="31"/>
      <x:c r="U502" s="31"/>
    </x:row>
    <x:row r="503">
      <x:c r="A503" s="31" t="n">
        <x:v>50.1</x:v>
      </x:c>
      <x:c r="B503" s="31"/>
      <x:c r="C503" s="31" t="n">
        <x:v>75.76275062159147</x:v>
      </x:c>
      <x:c r="D503" s="31" t="n">
        <x:v>65.46914544092228</x:v>
      </x:c>
      <x:c r="E503" s="31" t="n">
        <x:v>66.74562235200804</x:v>
      </x:c>
      <x:c r="F503" s="31" t="n">
        <x:v>66.68671209292326</x:v>
      </x:c>
      <x:c r="G503" s="31"/>
      <x:c r="H503" s="31" t="n">
        <x:v>71.76743309487736</x:v>
      </x:c>
      <x:c r="I503" s="31" t="n">
        <x:v>72.13629624231315</x:v>
      </x:c>
      <x:c r="J503" s="31"/>
      <x:c r="K503" s="31"/>
      <x:c r="L503" s="31" t="n">
        <x:v>76.73173582594347</x:v>
      </x:c>
      <x:c r="M503" s="31"/>
      <x:c r="N503" s="31" t="n">
        <x:v>75.04362156149895</x:v>
      </x:c>
      <x:c r="O503" s="31"/>
      <x:c r="P503" s="31"/>
      <x:c r="Q503" s="31"/>
      <x:c r="R503" s="31" t="n">
        <x:v>63.67149149305262</x:v>
      </x:c>
      <x:c r="S503" s="31"/>
      <x:c r="T503" s="31"/>
      <x:c r="U503" s="31"/>
    </x:row>
    <x:row r="504">
      <x:c r="A504" s="31" t="n">
        <x:v>50.2</x:v>
      </x:c>
      <x:c r="B504" s="31"/>
      <x:c r="C504" s="31" t="n">
        <x:v>64.54547266162687</x:v>
      </x:c>
      <x:c r="D504" s="31" t="n">
        <x:v>65.46914544092228</x:v>
      </x:c>
      <x:c r="E504" s="31" t="n">
        <x:v>65.06970598740902</x:v>
      </x:c>
      <x:c r="F504" s="31" t="n">
        <x:v>67.16997734656566</x:v>
      </x:c>
      <x:c r="G504" s="31"/>
      <x:c r="H504" s="31" t="n">
        <x:v>74.7793269355067</x:v>
      </x:c>
      <x:c r="I504" s="31" t="n">
        <x:v>88.78808513275504</x:v>
      </x:c>
      <x:c r="J504" s="31"/>
      <x:c r="K504" s="31"/>
      <x:c r="L504" s="31" t="n">
        <x:v>77.84010825592998</x:v>
      </x:c>
      <x:c r="M504" s="31"/>
      <x:c r="N504" s="31" t="n">
        <x:v>76.24251606037171</x:v>
      </x:c>
      <x:c r="O504" s="31"/>
      <x:c r="P504" s="31"/>
      <x:c r="Q504" s="31"/>
      <x:c r="R504" s="31" t="n">
        <x:v>76.8261077318562</x:v>
      </x:c>
      <x:c r="S504" s="31"/>
      <x:c r="T504" s="31"/>
      <x:c r="U504" s="31"/>
    </x:row>
    <x:row r="505">
      <x:c r="A505" s="31" t="n">
        <x:v>50.300000000000004</x:v>
      </x:c>
      <x:c r="B505" s="31"/>
      <x:c r="C505" s="31" t="n">
        <x:v>59.85812477398551</x:v>
      </x:c>
      <x:c r="D505" s="31" t="n">
        <x:v>66.5616496460559</x:v>
      </x:c>
      <x:c r="E505" s="31" t="n">
        <x:v>70.84473799253189</x:v>
      </x:c>
      <x:c r="F505" s="31" t="n">
        <x:v>67.16997734656547</x:v>
      </x:c>
      <x:c r="G505" s="31"/>
      <x:c r="H505" s="31" t="n">
        <x:v>75.69724519560546</x:v>
      </x:c>
      <x:c r="I505" s="31" t="n">
        <x:v>89.31359549543852</x:v>
      </x:c>
      <x:c r="J505" s="31"/>
      <x:c r="K505" s="31"/>
      <x:c r="L505" s="31" t="n">
        <x:v>78.2650633499596</x:v>
      </x:c>
      <x:c r="M505" s="31"/>
      <x:c r="N505" s="31" t="n">
        <x:v>76.54355927467756</x:v>
      </x:c>
      <x:c r="O505" s="31"/>
      <x:c r="P505" s="31"/>
      <x:c r="Q505" s="31"/>
      <x:c r="R505" s="31" t="n">
        <x:v>78.09326839040064</x:v>
      </x:c>
      <x:c r="S505" s="31"/>
      <x:c r="T505" s="31"/>
      <x:c r="U505" s="31"/>
    </x:row>
    <x:row r="506">
      <x:c r="A506" s="31" t="n">
        <x:v>50.400000000000006</x:v>
      </x:c>
      <x:c r="B506" s="31"/>
      <x:c r="C506" s="31" t="n">
        <x:v>61.511228416968876</x:v>
      </x:c>
      <x:c r="D506" s="31" t="n">
        <x:v>66.5616496460559</x:v>
      </x:c>
      <x:c r="E506" s="31" t="n">
        <x:v>75.74376276545887</x:v>
      </x:c>
      <x:c r="F506" s="31" t="n">
        <x:v>66.86146271500809</x:v>
      </x:c>
      <x:c r="G506" s="31"/>
      <x:c r="H506" s="31" t="n">
        <x:v>75.92674945964418</x:v>
      </x:c>
      <x:c r="I506" s="31" t="n">
        <x:v>87.91774090530448</x:v>
      </x:c>
      <x:c r="J506" s="31"/>
      <x:c r="K506" s="31"/>
      <x:c r="L506" s="31" t="n">
        <x:v>78.26506334995955</x:v>
      </x:c>
      <x:c r="M506" s="31"/>
      <x:c r="N506" s="31" t="n">
        <x:v>76.54355927467756</x:v>
      </x:c>
      <x:c r="O506" s="31"/>
      <x:c r="P506" s="31"/>
      <x:c r="Q506" s="31"/>
      <x:c r="R506" s="31" t="n">
        <x:v>78.09326839039997</x:v>
      </x:c>
      <x:c r="S506" s="31"/>
      <x:c r="T506" s="31"/>
      <x:c r="U506" s="31"/>
    </x:row>
    <x:row r="507">
      <x:c r="A507" s="31" t="n">
        <x:v>50.5</x:v>
      </x:c>
      <x:c r="B507" s="31"/>
      <x:c r="C507" s="31" t="n">
        <x:v>63.617434011533575</x:v>
      </x:c>
      <x:c r="D507" s="31" t="n">
        <x:v>65.76301131754539</x:v>
      </x:c>
      <x:c r="E507" s="31" t="n">
        <x:v>75.74376276545887</x:v>
      </x:c>
      <x:c r="F507" s="31" t="n">
        <x:v>66.86146271500809</x:v>
      </x:c>
      <x:c r="G507" s="31"/>
      <x:c r="H507" s="31" t="n">
        <x:v>75.50276033489378</x:v>
      </x:c>
      <x:c r="I507" s="31" t="n">
        <x:v>78.238018975063</x:v>
      </x:c>
      <x:c r="J507" s="31"/>
      <x:c r="K507" s="31"/>
      <x:c r="L507" s="31" t="n">
        <x:v>78.2196076776612</x:v>
      </x:c>
      <x:c r="M507" s="31"/>
      <x:c r="N507" s="31" t="n">
        <x:v>78.08930665781882</x:v>
      </x:c>
      <x:c r="O507" s="31"/>
      <x:c r="P507" s="31"/>
      <x:c r="Q507" s="31"/>
      <x:c r="R507" s="31" t="n">
        <x:v>67.09223093631113</x:v>
      </x:c>
      <x:c r="S507" s="31"/>
      <x:c r="T507" s="31"/>
      <x:c r="U507" s="31"/>
    </x:row>
    <x:row r="508">
      <x:c r="A508" s="31" t="n">
        <x:v>50.6</x:v>
      </x:c>
      <x:c r="B508" s="31"/>
      <x:c r="C508" s="31" t="n">
        <x:v>63.617434011533575</x:v>
      </x:c>
      <x:c r="D508" s="31" t="n">
        <x:v>65.76301131754539</x:v>
      </x:c>
      <x:c r="E508" s="31" t="n">
        <x:v>71.87543272505565</x:v>
      </x:c>
      <x:c r="F508" s="31" t="n">
        <x:v>66.61258780552045</x:v>
      </x:c>
      <x:c r="G508" s="31"/>
      <x:c r="H508" s="31" t="n">
        <x:v>75.84191035438252</x:v>
      </x:c>
      <x:c r="I508" s="31" t="n">
        <x:v>70.97129420046758</x:v>
      </x:c>
      <x:c r="J508" s="31"/>
      <x:c r="K508" s="31"/>
      <x:c r="L508" s="31" t="n">
        <x:v>78.2196076776612</x:v>
      </x:c>
      <x:c r="M508" s="31"/>
      <x:c r="N508" s="31" t="n">
        <x:v>78.37721701832369</x:v>
      </x:c>
      <x:c r="O508" s="31"/>
      <x:c r="P508" s="31"/>
      <x:c r="Q508" s="31"/>
      <x:c r="R508" s="31" t="n">
        <x:v>63.04805778463458</x:v>
      </x:c>
      <x:c r="S508" s="31"/>
      <x:c r="T508" s="31"/>
      <x:c r="U508" s="31"/>
    </x:row>
    <x:row r="509">
      <x:c r="A509" s="31" t="n">
        <x:v>50.7</x:v>
      </x:c>
      <x:c r="B509" s="31"/>
      <x:c r="C509" s="31" t="n">
        <x:v>59.721314700518434</x:v>
      </x:c>
      <x:c r="D509" s="31" t="n">
        <x:v>66.2687156515559</x:v>
      </x:c>
      <x:c r="E509" s="31" t="n">
        <x:v>69.12304236208531</x:v>
      </x:c>
      <x:c r="F509" s="31" t="n">
        <x:v>62.701477040746965</x:v>
      </x:c>
      <x:c r="G509" s="31"/>
      <x:c r="H509" s="31" t="n">
        <x:v>75.84191035438252</x:v>
      </x:c>
      <x:c r="I509" s="31" t="n">
        <x:v>67.49505684242975</x:v>
      </x:c>
      <x:c r="J509" s="31"/>
      <x:c r="K509" s="31"/>
      <x:c r="L509" s="31" t="n">
        <x:v>77.1154653812577</x:v>
      </x:c>
      <x:c r="M509" s="31"/>
      <x:c r="N509" s="31" t="n">
        <x:v>78.37721701832369</x:v>
      </x:c>
      <x:c r="O509" s="31"/>
      <x:c r="P509" s="31"/>
      <x:c r="Q509" s="31"/>
      <x:c r="R509" s="31" t="n">
        <x:v>63.81108353220297</x:v>
      </x:c>
      <x:c r="S509" s="31"/>
      <x:c r="T509" s="31"/>
      <x:c r="U509" s="31"/>
    </x:row>
    <x:row r="510">
      <x:c r="A510" s="31" t="n">
        <x:v>50.800000000000004</x:v>
      </x:c>
      <x:c r="B510" s="31"/>
      <x:c r="C510" s="31" t="n">
        <x:v>51.94426294010327</x:v>
      </x:c>
      <x:c r="D510" s="31" t="n">
        <x:v>67.02890867014398</x:v>
      </x:c>
      <x:c r="E510" s="31" t="n">
        <x:v>67.97003443302724</x:v>
      </x:c>
      <x:c r="F510" s="31" t="n">
        <x:v>60.50474793188512</x:v>
      </x:c>
      <x:c r="G510" s="31"/>
      <x:c r="H510" s="31" t="n">
        <x:v>77.05310856870922</x:v>
      </x:c>
      <x:c r="I510" s="31" t="n">
        <x:v>63.35847154317647</x:v>
      </x:c>
      <x:c r="J510" s="31"/>
      <x:c r="K510" s="31"/>
      <x:c r="L510" s="31" t="n">
        <x:v>72.90353834839956</x:v>
      </x:c>
      <x:c r="M510" s="31"/>
      <x:c r="N510" s="31" t="n">
        <x:v>76.31516885376394</x:v>
      </x:c>
      <x:c r="O510" s="31"/>
      <x:c r="P510" s="31"/>
      <x:c r="Q510" s="31"/>
      <x:c r="R510" s="31" t="n">
        <x:v>64.57410927977135</x:v>
      </x:c>
      <x:c r="S510" s="31"/>
      <x:c r="T510" s="31"/>
      <x:c r="U510" s="31"/>
    </x:row>
    <x:row r="511">
      <x:c r="A511" s="31" t="n">
        <x:v>50.900000000000006</x:v>
      </x:c>
      <x:c r="B511" s="31"/>
      <x:c r="C511" s="31" t="n">
        <x:v>50</x:v>
      </x:c>
      <x:c r="D511" s="31" t="n">
        <x:v>66.06956611292725</x:v>
      </x:c>
      <x:c r="E511" s="31" t="n">
        <x:v>68.97711047169221</x:v>
      </x:c>
      <x:c r="F511" s="31" t="n">
        <x:v>59.7274712657838</x:v>
      </x:c>
      <x:c r="G511" s="31"/>
      <x:c r="H511" s="31" t="n">
        <x:v>77.05310856870922</x:v>
      </x:c>
      <x:c r="I511" s="31" t="n">
        <x:v>63.01821672191087</x:v>
      </x:c>
      <x:c r="J511" s="31"/>
      <x:c r="K511" s="31"/>
      <x:c r="L511" s="31" t="n">
        <x:v>71.82921671899074</x:v>
      </x:c>
      <x:c r="M511" s="31"/>
      <x:c r="N511" s="31" t="n">
        <x:v>75.66985482255993</x:v>
      </x:c>
      <x:c r="O511" s="31"/>
      <x:c r="P511" s="31"/>
      <x:c r="Q511" s="31"/>
      <x:c r="R511" s="31" t="n">
        <x:v>65.33713502733974</x:v>
      </x:c>
      <x:c r="S511" s="31"/>
      <x:c r="T511" s="31"/>
      <x:c r="U511" s="31"/>
    </x:row>
    <x:row r="512">
      <x:c r="A512" s="31" t="n">
        <x:v>51</x:v>
      </x:c>
      <x:c r="B512" s="31"/>
      <x:c r="C512" s="31" t="n">
        <x:v>50</x:v>
      </x:c>
      <x:c r="D512" s="31" t="n">
        <x:v>81.45558182044047</x:v>
      </x:c>
      <x:c r="E512" s="31" t="n">
        <x:v>69.45769644637762</x:v>
      </x:c>
      <x:c r="F512" s="31" t="n">
        <x:v>74.86030441211005</x:v>
      </x:c>
      <x:c r="G512" s="31"/>
      <x:c r="H512" s="31" t="n">
        <x:v>75.75053706703847</x:v>
      </x:c>
      <x:c r="I512" s="31" t="n">
        <x:v>68.31678212911783</x:v>
      </x:c>
      <x:c r="J512" s="31"/>
      <x:c r="K512" s="31"/>
      <x:c r="L512" s="31" t="n">
        <x:v>70.73408293310891</x:v>
      </x:c>
      <x:c r="M512" s="31"/>
      <x:c r="N512" s="31" t="n">
        <x:v>86.78006162628266</x:v>
      </x:c>
      <x:c r="O512" s="31"/>
      <x:c r="P512" s="31"/>
      <x:c r="Q512" s="31"/>
      <x:c r="R512" s="31" t="n">
        <x:v>79.36926594556734</x:v>
      </x:c>
      <x:c r="S512" s="31"/>
      <x:c r="T512" s="31"/>
      <x:c r="U512" s="31"/>
    </x:row>
    <x:row r="513">
      <x:c r="A513" s="31" t="n">
        <x:v>51.1</x:v>
      </x:c>
      <x:c r="B513" s="31"/>
      <x:c r="C513" s="31" t="n">
        <x:v>64.10079340432078</x:v>
      </x:c>
      <x:c r="D513" s="31" t="n">
        <x:v>81.88660435970328</x:v>
      </x:c>
      <x:c r="E513" s="31" t="n">
        <x:v>69.48258953211302</x:v>
      </x:c>
      <x:c r="F513" s="31" t="n">
        <x:v>76.38052676496713</x:v>
      </x:c>
      <x:c r="G513" s="31"/>
      <x:c r="H513" s="31" t="n">
        <x:v>76.56459940028407</x:v>
      </x:c>
      <x:c r="I513" s="31" t="n">
        <x:v>77.94667785670877</x:v>
      </x:c>
      <x:c r="J513" s="31"/>
      <x:c r="K513" s="31"/>
      <x:c r="L513" s="31" t="n">
        <x:v>76.2409638943059</x:v>
      </x:c>
      <x:c r="M513" s="31"/>
      <x:c r="N513" s="31" t="n">
        <x:v>86.78006162628266</x:v>
      </x:c>
      <x:c r="O513" s="31"/>
      <x:c r="P513" s="31"/>
      <x:c r="Q513" s="31"/>
      <x:c r="R513" s="31" t="n">
        <x:v>79.36926594556734</x:v>
      </x:c>
      <x:c r="S513" s="31"/>
      <x:c r="T513" s="31"/>
      <x:c r="U513" s="31"/>
    </x:row>
    <x:row r="514">
      <x:c r="A514" s="31" t="n">
        <x:v>51.2</x:v>
      </x:c>
      <x:c r="B514" s="31"/>
      <x:c r="C514" s="31" t="n">
        <x:v>73.211877082747</x:v>
      </x:c>
      <x:c r="D514" s="31" t="n">
        <x:v>80.54055565845255</x:v>
      </x:c>
      <x:c r="E514" s="31"/>
      <x:c r="F514" s="31" t="n">
        <x:v>76.38052676496713</x:v>
      </x:c>
      <x:c r="G514" s="31"/>
      <x:c r="H514" s="31" t="n">
        <x:v>76.56459940028407</x:v>
      </x:c>
      <x:c r="I514" s="31" t="n">
        <x:v>77.94667785670877</x:v>
      </x:c>
      <x:c r="J514" s="31"/>
      <x:c r="K514" s="31"/>
      <x:c r="L514" s="31" t="n">
        <x:v>89.3462329271519</x:v>
      </x:c>
      <x:c r="M514" s="31"/>
      <x:c r="N514" s="31" t="n">
        <x:v>81.73386328786644</x:v>
      </x:c>
      <x:c r="O514" s="31"/>
      <x:c r="P514" s="31"/>
      <x:c r="Q514" s="31"/>
      <x:c r="R514" s="31" t="n">
        <x:v>75.55992518007741</x:v>
      </x:c>
      <x:c r="S514" s="31"/>
      <x:c r="T514" s="31"/>
      <x:c r="U514" s="31"/>
    </x:row>
    <x:row r="515">
      <x:c r="A515" s="31" t="n">
        <x:v>51.300000000000004</x:v>
      </x:c>
      <x:c r="B515" s="31"/>
      <x:c r="C515" s="31" t="n">
        <x:v>73.211877082747</x:v>
      </x:c>
      <x:c r="D515" s="31" t="n">
        <x:v>69.98528282374293</x:v>
      </x:c>
      <x:c r="E515" s="31"/>
      <x:c r="F515" s="31" t="n">
        <x:v>65.84089334648986</x:v>
      </x:c>
      <x:c r="G515" s="31"/>
      <x:c r="H515" s="31" t="n">
        <x:v>72.8851884722174</x:v>
      </x:c>
      <x:c r="I515" s="31" t="n">
        <x:v>70.97085116510327</x:v>
      </x:c>
      <x:c r="J515" s="31"/>
      <x:c r="K515" s="31"/>
      <x:c r="L515" s="31" t="n">
        <x:v>89.3462329271519</x:v>
      </x:c>
      <x:c r="M515" s="31"/>
      <x:c r="N515" s="31" t="n">
        <x:v>74.7086465631328</x:v>
      </x:c>
      <x:c r="O515" s="31"/>
      <x:c r="P515" s="31"/>
      <x:c r="Q515" s="31"/>
      <x:c r="R515" s="31" t="n">
        <x:v>70.12703817066875</x:v>
      </x:c>
      <x:c r="S515" s="31"/>
      <x:c r="T515" s="31"/>
      <x:c r="U515" s="31"/>
    </x:row>
    <x:row r="516">
      <x:c r="A516" s="31" t="n">
        <x:v>51.400000000000006</x:v>
      </x:c>
      <x:c r="B516" s="31"/>
      <x:c r="C516" s="31" t="n">
        <x:v>72.29319333742443</x:v>
      </x:c>
      <x:c r="D516" s="31" t="n">
        <x:v>64.38477819522902</x:v>
      </x:c>
      <x:c r="E516" s="31"/>
      <x:c r="F516" s="31" t="n">
        <x:v>61.86351564064679</x:v>
      </x:c>
      <x:c r="G516" s="31"/>
      <x:c r="H516" s="31" t="n">
        <x:v>68.80028774656314</x:v>
      </x:c>
      <x:c r="I516" s="31" t="n">
        <x:v>67.14688366775123</x:v>
      </x:c>
      <x:c r="J516" s="31"/>
      <x:c r="K516" s="31"/>
      <x:c r="L516" s="31" t="n">
        <x:v>81.87037562674752</x:v>
      </x:c>
      <x:c r="M516" s="31"/>
      <x:c r="N516" s="31" t="n">
        <x:v>71.35749872355785</x:v>
      </x:c>
      <x:c r="O516" s="31"/>
      <x:c r="P516" s="31"/>
      <x:c r="Q516" s="31"/>
      <x:c r="R516" s="31" t="n">
        <x:v>68.33787460516153</x:v>
      </x:c>
      <x:c r="S516" s="31"/>
      <x:c r="T516" s="31"/>
      <x:c r="U516" s="31"/>
    </x:row>
    <x:row r="517">
      <x:c r="A517" s="31" t="n">
        <x:v>51.5</x:v>
      </x:c>
      <x:c r="B517" s="31"/>
      <x:c r="C517" s="31" t="n">
        <x:v>65.86646001577526</x:v>
      </x:c>
      <x:c r="D517" s="31" t="n">
        <x:v>58.38011049132822</x:v>
      </x:c>
      <x:c r="E517" s="31"/>
      <x:c r="F517" s="31" t="n">
        <x:v>61.13221789409398</x:v>
      </x:c>
      <x:c r="G517" s="31"/>
      <x:c r="H517" s="31" t="n">
        <x:v>73.89821183890031</x:v>
      </x:c>
      <x:c r="I517" s="31" t="n">
        <x:v>72.34445013561164</x:v>
      </x:c>
      <x:c r="J517" s="31"/>
      <x:c r="K517" s="31"/>
      <x:c r="L517" s="31" t="n">
        <x:v>69.34305565393186</x:v>
      </x:c>
      <x:c r="M517" s="31"/>
      <x:c r="N517" s="31"/>
      <x:c r="O517" s="31"/>
      <x:c r="P517" s="31"/>
      <x:c r="Q517" s="31"/>
      <x:c r="R517" s="31" t="n">
        <x:v>67.92567399567405</x:v>
      </x:c>
      <x:c r="S517" s="31"/>
      <x:c r="T517" s="31"/>
      <x:c r="U517" s="31"/>
    </x:row>
    <x:row r="518">
      <x:c r="A518" s="31" t="n">
        <x:v>51.6</x:v>
      </x:c>
      <x:c r="B518" s="31"/>
      <x:c r="C518" s="31" t="n">
        <x:v>63.98136784256354</x:v>
      </x:c>
      <x:c r="D518" s="31" t="n">
        <x:v>54.570969358906225</x:v>
      </x:c>
      <x:c r="E518" s="31"/>
      <x:c r="F518" s="31" t="n">
        <x:v>60.40092014754112</x:v>
      </x:c>
      <x:c r="G518" s="31"/>
      <x:c r="H518" s="31" t="n">
        <x:v>82.85125305475447</x:v>
      </x:c>
      <x:c r="I518" s="31" t="n">
        <x:v>72.88277062031392</x:v>
      </x:c>
      <x:c r="J518" s="31"/>
      <x:c r="K518" s="31"/>
      <x:c r="L518" s="31" t="n">
        <x:v>61.745429521165285</x:v>
      </x:c>
      <x:c r="M518" s="31"/>
      <x:c r="N518" s="31"/>
      <x:c r="O518" s="31"/>
      <x:c r="P518" s="31"/>
      <x:c r="Q518" s="31"/>
      <x:c r="R518" s="31" t="n">
        <x:v>68.36029332836193</x:v>
      </x:c>
      <x:c r="S518" s="31"/>
      <x:c r="T518" s="31"/>
      <x:c r="U518" s="31"/>
    </x:row>
    <x:row r="519">
      <x:c r="A519" s="31" t="n">
        <x:v>51.7</x:v>
      </x:c>
      <x:c r="B519" s="31"/>
      <x:c r="C519" s="31" t="n">
        <x:v>66.4540359564317</x:v>
      </x:c>
      <x:c r="D519" s="31" t="n">
        <x:v>50.76182822648424</x:v>
      </x:c>
      <x:c r="E519" s="31"/>
      <x:c r="F519" s="31" t="n">
        <x:v>59.66962240098826</x:v>
      </x:c>
      <x:c r="G519" s="31"/>
      <x:c r="H519" s="31" t="n">
        <x:v>82.85125305475447</x:v>
      </x:c>
      <x:c r="I519" s="31" t="n">
        <x:v>72.88277062031392</x:v>
      </x:c>
      <x:c r="J519" s="31"/>
      <x:c r="K519" s="31"/>
      <x:c r="L519" s="31" t="n">
        <x:v>50</x:v>
      </x:c>
      <x:c r="M519" s="31"/>
      <x:c r="N519" s="31"/>
      <x:c r="O519" s="31"/>
      <x:c r="P519" s="31"/>
      <x:c r="Q519" s="31"/>
      <x:c r="R519" s="31" t="n">
        <x:v>68.36029332836193</x:v>
      </x:c>
      <x:c r="S519" s="31"/>
      <x:c r="T519" s="31"/>
      <x:c r="U519" s="31"/>
    </x:row>
    <x:row r="520">
      <x:c r="A520" s="31" t="n">
        <x:v>51.800000000000004</x:v>
      </x:c>
      <x:c r="B520" s="31"/>
      <x:c r="C520" s="31" t="n">
        <x:v>68.04466474712605</x:v>
      </x:c>
      <x:c r="D520" s="31" t="n">
        <x:v>58.435876255048605</x:v>
      </x:c>
      <x:c r="E520" s="31"/>
      <x:c r="F520" s="31" t="n">
        <x:v>58.938324654435405</x:v>
      </x:c>
      <x:c r="G520" s="31"/>
      <x:c r="H520" s="31" t="n">
        <x:v>73.338524556739</x:v>
      </x:c>
      <x:c r="I520" s="31" t="n">
        <x:v>70.6340789120814</x:v>
      </x:c>
      <x:c r="J520" s="31"/>
      <x:c r="K520" s="31"/>
      <x:c r="L520" s="31" t="n">
        <x:v>50.00000000000095</x:v>
      </x:c>
      <x:c r="M520" s="31"/>
      <x:c r="N520" s="31"/>
      <x:c r="O520" s="31"/>
      <x:c r="P520" s="31"/>
      <x:c r="Q520" s="31"/>
      <x:c r="R520" s="31" t="n">
        <x:v>67.91589685286272</x:v>
      </x:c>
      <x:c r="S520" s="31"/>
      <x:c r="T520" s="31"/>
      <x:c r="U520" s="31"/>
    </x:row>
    <x:row r="521">
      <x:c r="A521" s="31" t="n">
        <x:v>51.900000000000006</x:v>
      </x:c>
      <x:c r="B521" s="31"/>
      <x:c r="C521" s="31" t="n">
        <x:v>68.51710506358084</x:v>
      </x:c>
      <x:c r="D521" s="31" t="n">
        <x:v>62.653814382572534</x:v>
      </x:c>
      <x:c r="E521" s="31"/>
      <x:c r="F521" s="31" t="n">
        <x:v>58.64580555581427</x:v>
      </x:c>
      <x:c r="G521" s="31"/>
      <x:c r="H521" s="31" t="n">
        <x:v>59.56490684098908</x:v>
      </x:c>
      <x:c r="I521" s="31" t="n">
        <x:v>72.3577706821161</x:v>
      </x:c>
      <x:c r="J521" s="31"/>
      <x:c r="K521" s="31"/>
      <x:c r="L521" s="31" t="n">
        <x:v>63.369360071451794</x:v>
      </x:c>
      <x:c r="M521" s="31"/>
      <x:c r="N521" s="31"/>
      <x:c r="O521" s="31"/>
      <x:c r="P521" s="31"/>
      <x:c r="Q521" s="31"/>
      <x:c r="R521" s="31" t="n">
        <x:v>70.37037219196762</x:v>
      </x:c>
      <x:c r="S521" s="31"/>
      <x:c r="T521" s="31"/>
      <x:c r="U521" s="31"/>
    </x:row>
    <x:row r="522">
      <x:c r="A522" s="31" t="n">
        <x:v>52</x:v>
      </x:c>
      <x:c r="B522" s="31"/>
      <x:c r="C522" s="31" t="n">
        <x:v>69.00208947828102</x:v>
      </x:c>
      <x:c r="D522" s="31" t="n">
        <x:v>59.96313041319414</x:v>
      </x:c>
      <x:c r="E522" s="31"/>
      <x:c r="F522" s="31" t="n">
        <x:v>63.76781994778933</x:v>
      </x:c>
      <x:c r="G522" s="31"/>
      <x:c r="H522" s="31" t="n">
        <x:v>62.46891944938936</x:v>
      </x:c>
      <x:c r="I522" s="31" t="n">
        <x:v>72.74513675237134</x:v>
      </x:c>
      <x:c r="J522" s="31"/>
      <x:c r="K522" s="31"/>
      <x:c r="L522" s="31" t="n">
        <x:v>74.47419488851672</x:v>
      </x:c>
      <x:c r="M522" s="31"/>
      <x:c r="N522" s="31"/>
      <x:c r="O522" s="31"/>
      <x:c r="P522" s="31"/>
      <x:c r="Q522" s="31"/>
      <x:c r="R522" s="31" t="n">
        <x:v>70.37037219196762</x:v>
      </x:c>
      <x:c r="S522" s="31"/>
      <x:c r="T522" s="31"/>
      <x:c r="U522" s="31"/>
    </x:row>
    <x:row r="523">
      <x:c r="A523" s="31" t="n">
        <x:v>52.1</x:v>
      </x:c>
      <x:c r="B523" s="31"/>
      <x:c r="C523" s="31" t="n">
        <x:v>69.35277123988712</x:v>
      </x:c>
      <x:c r="D523" s="31" t="n">
        <x:v>56.78052386932002</x:v>
      </x:c>
      <x:c r="E523" s="31"/>
      <x:c r="F523" s="31" t="n">
        <x:v>70.17033793775838</x:v>
      </x:c>
      <x:c r="G523" s="31"/>
      <x:c r="H523" s="31" t="n">
        <x:v>65.37293205778985</x:v>
      </x:c>
      <x:c r="I523" s="31" t="n">
        <x:v>73.58871667461844</x:v>
      </x:c>
      <x:c r="J523" s="31"/>
      <x:c r="K523" s="31"/>
      <x:c r="L523" s="31" t="n">
        <x:v>87.73966829069302</x:v>
      </x:c>
      <x:c r="M523" s="31"/>
      <x:c r="N523" s="31"/>
      <x:c r="O523" s="31"/>
      <x:c r="P523" s="31"/>
      <x:c r="Q523" s="31"/>
      <x:c r="R523" s="31" t="n">
        <x:v>69.6691282910698</x:v>
      </x:c>
      <x:c r="S523" s="31"/>
      <x:c r="T523" s="31"/>
      <x:c r="U523" s="31"/>
    </x:row>
    <x:row r="524">
      <x:c r="A524" s="31" t="n">
        <x:v>52.2</x:v>
      </x:c>
      <x:c r="B524" s="31"/>
      <x:c r="C524" s="31" t="n">
        <x:v>69.35277123988712</x:v>
      </x:c>
      <x:c r="D524" s="31" t="n">
        <x:v>71.59462386446408</x:v>
      </x:c>
      <x:c r="E524" s="31"/>
      <x:c r="F524" s="31" t="n">
        <x:v>70.17033793775838</x:v>
      </x:c>
      <x:c r="G524" s="31"/>
      <x:c r="H524" s="31" t="n">
        <x:v>68.27694466619035</x:v>
      </x:c>
      <x:c r="I524" s="31" t="n">
        <x:v>73.58871667461844</x:v>
      </x:c>
      <x:c r="J524" s="31"/>
      <x:c r="K524" s="31"/>
      <x:c r="L524" s="31" t="n">
        <x:v>89.37598579708721</x:v>
      </x:c>
      <x:c r="M524" s="31"/>
      <x:c r="N524" s="31"/>
      <x:c r="O524" s="31"/>
      <x:c r="P524" s="31"/>
      <x:c r="Q524" s="31"/>
      <x:c r="R524" s="31" t="n">
        <x:v>68.49254355582771</x:v>
      </x:c>
      <x:c r="S524" s="31"/>
      <x:c r="T524" s="31"/>
      <x:c r="U524" s="31"/>
    </x:row>
    <x:row r="525">
      <x:c r="A525" s="31" t="n">
        <x:v>52.300000000000004</x:v>
      </x:c>
      <x:c r="B525" s="31"/>
      <x:c r="C525" s="31" t="n">
        <x:v>68.79049195702048</x:v>
      </x:c>
      <x:c r="D525" s="31" t="n">
        <x:v>71.59462386446408</x:v>
      </x:c>
      <x:c r="E525" s="31"/>
      <x:c r="F525" s="31" t="n">
        <x:v>65.61509372349408</x:v>
      </x:c>
      <x:c r="G525" s="31"/>
      <x:c r="H525" s="31" t="n">
        <x:v>69.4385497095505</x:v>
      </x:c>
      <x:c r="I525" s="31" t="n">
        <x:v>82.824415955994</x:v>
      </x:c>
      <x:c r="J525" s="31"/>
      <x:c r="K525" s="31"/>
      <x:c r="L525" s="31" t="n">
        <x:v>88.97995123315195</x:v>
      </x:c>
      <x:c r="M525" s="31"/>
      <x:c r="N525" s="31"/>
      <x:c r="O525" s="31"/>
      <x:c r="P525" s="31"/>
      <x:c r="Q525" s="31"/>
      <x:c r="R525" s="31" t="n">
        <x:v>75.1888127628381</x:v>
      </x:c>
      <x:c r="S525" s="31"/>
      <x:c r="T525" s="31"/>
      <x:c r="U525" s="31"/>
    </x:row>
    <x:row r="526">
      <x:c r="A526" s="31" t="n">
        <x:v>52.400000000000006</x:v>
      </x:c>
      <x:c r="B526" s="31"/>
      <x:c r="C526" s="31" t="n">
        <x:v>68.67076723304942</x:v>
      </x:c>
      <x:c r="D526" s="31" t="n">
        <x:v>70.7074873908012</x:v>
      </x:c>
      <x:c r="E526" s="31"/>
      <x:c r="F526" s="31" t="n">
        <x:v>58.357661673827586</x:v>
      </x:c>
      <x:c r="G526" s="31"/>
      <x:c r="H526" s="31" t="n">
        <x:v>75.1435777685023</x:v>
      </x:c>
      <x:c r="I526" s="31" t="n">
        <x:v>84.52286974764631</x:v>
      </x:c>
      <x:c r="J526" s="31"/>
      <x:c r="K526" s="31"/>
      <x:c r="L526" s="31" t="n">
        <x:v>84.68691644510169</x:v>
      </x:c>
      <x:c r="M526" s="31"/>
      <x:c r="N526" s="31"/>
      <x:c r="O526" s="31"/>
      <x:c r="P526" s="31"/>
      <x:c r="Q526" s="31"/>
      <x:c r="R526" s="31" t="n">
        <x:v>79.91651110318396</x:v>
      </x:c>
      <x:c r="S526" s="31"/>
      <x:c r="T526" s="31"/>
      <x:c r="U526" s="31"/>
    </x:row>
    <x:row r="527">
      <x:c r="A527" s="31" t="n">
        <x:v>52.5</x:v>
      </x:c>
      <x:c r="B527" s="31"/>
      <x:c r="C527" s="31" t="n">
        <x:v>68.5376532989649</x:v>
      </x:c>
      <x:c r="D527" s="31" t="n">
        <x:v>63.729965076308865</x:v>
      </x:c>
      <x:c r="E527" s="31"/>
      <x:c r="F527" s="31" t="n">
        <x:v>60.65113307439968</x:v>
      </x:c>
      <x:c r="G527" s="31"/>
      <x:c r="H527" s="31" t="n">
        <x:v>75.1435777685023</x:v>
      </x:c>
      <x:c r="I527" s="31" t="n">
        <x:v>84.52286974764631</x:v>
      </x:c>
      <x:c r="J527" s="31"/>
      <x:c r="K527" s="31"/>
      <x:c r="L527" s="31" t="n">
        <x:v>81.93316383524949</x:v>
      </x:c>
      <x:c r="M527" s="31"/>
      <x:c r="N527" s="31"/>
      <x:c r="O527" s="31"/>
      <x:c r="P527" s="31"/>
      <x:c r="Q527" s="31"/>
      <x:c r="R527" s="31" t="n">
        <x:v>79.91651110318396</x:v>
      </x:c>
      <x:c r="S527" s="31"/>
      <x:c r="T527" s="31"/>
      <x:c r="U527" s="31"/>
    </x:row>
    <x:row r="528">
      <x:c r="A528" s="31" t="n">
        <x:v>52.6</x:v>
      </x:c>
      <x:c r="B528" s="31"/>
      <x:c r="C528" s="31" t="n">
        <x:v>68.36267431650603</x:v>
      </x:c>
      <x:c r="D528" s="31" t="n">
        <x:v>61.27985049944138</x:v>
      </x:c>
      <x:c r="E528" s="31"/>
      <x:c r="F528" s="31" t="n">
        <x:v>63.22949604131746</x:v>
      </x:c>
      <x:c r="G528" s="31"/>
      <x:c r="H528" s="31" t="n">
        <x:v>73.1175403417628</x:v>
      </x:c>
      <x:c r="I528" s="31" t="n">
        <x:v>76.67769656692184</x:v>
      </x:c>
      <x:c r="J528" s="31"/>
      <x:c r="K528" s="31"/>
      <x:c r="L528" s="31" t="n">
        <x:v>78.51222610471545</x:v>
      </x:c>
      <x:c r="M528" s="31"/>
      <x:c r="N528" s="31"/>
      <x:c r="O528" s="31"/>
      <x:c r="P528" s="31"/>
      <x:c r="Q528" s="31"/>
      <x:c r="R528" s="31" t="n">
        <x:v>73.26214546695016</x:v>
      </x:c>
      <x:c r="S528" s="31"/>
      <x:c r="T528" s="31"/>
      <x:c r="U528" s="31"/>
    </x:row>
    <x:row r="529">
      <x:c r="A529" s="31" t="n">
        <x:v>52.7</x:v>
      </x:c>
      <x:c r="B529" s="31"/>
      <x:c r="C529" s="31" t="n">
        <x:v>69.77191809091815</x:v>
      </x:c>
      <x:c r="D529" s="31" t="n">
        <x:v>65.07472649687051</x:v>
      </x:c>
      <x:c r="E529" s="31"/>
      <x:c r="F529" s="31" t="n">
        <x:v>65.17651778162136</x:v>
      </x:c>
      <x:c r="G529" s="31"/>
      <x:c r="H529" s="31" t="n">
        <x:v>66.26996384561167</x:v>
      </x:c>
      <x:c r="I529" s="31" t="n">
        <x:v>61.17359825385665</x:v>
      </x:c>
      <x:c r="J529" s="31"/>
      <x:c r="K529" s="31"/>
      <x:c r="L529" s="31" t="n">
        <x:v>78.51222610471545</x:v>
      </x:c>
      <x:c r="M529" s="31"/>
      <x:c r="N529" s="31"/>
      <x:c r="O529" s="31"/>
      <x:c r="P529" s="31"/>
      <x:c r="Q529" s="31"/>
      <x:c r="R529" s="31" t="n">
        <x:v>50</x:v>
      </x:c>
      <x:c r="S529" s="31"/>
      <x:c r="T529" s="31"/>
      <x:c r="U529" s="31"/>
    </x:row>
    <x:row r="530">
      <x:c r="A530" s="31" t="n">
        <x:v>52.800000000000004</x:v>
      </x:c>
      <x:c r="B530" s="31"/>
      <x:c r="C530" s="31" t="n">
        <x:v>69.8180064489797</x:v>
      </x:c>
      <x:c r="D530" s="31" t="n">
        <x:v>65.6646131309201</x:v>
      </x:c>
      <x:c r="E530" s="31"/>
      <x:c r="F530" s="31" t="n">
        <x:v>65.85950208057685</x:v>
      </x:c>
      <x:c r="G530" s="31"/>
      <x:c r="H530" s="31" t="n">
        <x:v>74.34435995651063</x:v>
      </x:c>
      <x:c r="I530" s="31" t="n">
        <x:v>50</x:v>
      </x:c>
      <x:c r="J530" s="31"/>
      <x:c r="K530" s="31"/>
      <x:c r="L530" s="31" t="n">
        <x:v>78.43994985263376</x:v>
      </x:c>
      <x:c r="M530" s="31"/>
      <x:c r="N530" s="31"/>
      <x:c r="O530" s="31"/>
      <x:c r="P530" s="31"/>
      <x:c r="Q530" s="31"/>
      <x:c r="R530" s="31" t="n">
        <x:v>52.25997049797398</x:v>
      </x:c>
      <x:c r="S530" s="31"/>
      <x:c r="T530" s="31"/>
      <x:c r="U530" s="31"/>
    </x:row>
    <x:row r="531">
      <x:c r="A531" s="31" t="n">
        <x:v>52.900000000000006</x:v>
      </x:c>
      <x:c r="B531" s="31"/>
      <x:c r="C531" s="31" t="n">
        <x:v>77.50041606312607</x:v>
      </x:c>
      <x:c r="D531" s="31" t="n">
        <x:v>65.66461313091997</x:v>
      </x:c>
      <x:c r="E531" s="31"/>
      <x:c r="F531" s="31" t="n">
        <x:v>66.39596685251125</x:v>
      </x:c>
      <x:c r="G531" s="31"/>
      <x:c r="H531" s="31" t="n">
        <x:v>74.89263895357566</x:v>
      </x:c>
      <x:c r="I531" s="31" t="n">
        <x:v>67.37187350954586</x:v>
      </x:c>
      <x:c r="J531" s="31"/>
      <x:c r="K531" s="31"/>
      <x:c r="L531" s="31" t="n">
        <x:v>78.35692376567282</x:v>
      </x:c>
      <x:c r="M531" s="31"/>
      <x:c r="N531" s="31"/>
      <x:c r="O531" s="31"/>
      <x:c r="P531" s="31"/>
      <x:c r="Q531" s="31"/>
      <x:c r="R531" s="31" t="n">
        <x:v>56.026587994597186</x:v>
      </x:c>
      <x:c r="S531" s="31"/>
      <x:c r="T531" s="31"/>
      <x:c r="U531" s="31"/>
    </x:row>
    <x:row r="532">
      <x:c r="A532" s="31" t="n">
        <x:v>53</x:v>
      </x:c>
      <x:c r="B532" s="31"/>
      <x:c r="C532" s="31" t="n">
        <x:v>77.50041606312607</x:v>
      </x:c>
      <x:c r="D532" s="31" t="n">
        <x:v>65.17879271468678</x:v>
      </x:c>
      <x:c r="E532" s="31"/>
      <x:c r="F532" s="31" t="n">
        <x:v>66.60020513666431</x:v>
      </x:c>
      <x:c r="G532" s="31"/>
      <x:c r="H532" s="31" t="n">
        <x:v>75.56037888281391</x:v>
      </x:c>
      <x:c r="I532" s="31" t="n">
        <x:v>68.38003650140683</x:v>
      </x:c>
      <x:c r="J532" s="31"/>
      <x:c r="K532" s="31"/>
      <x:c r="L532" s="31"/>
      <x:c r="M532" s="31"/>
      <x:c r="N532" s="31"/>
      <x:c r="O532" s="31"/>
      <x:c r="P532" s="31"/>
      <x:c r="Q532" s="31"/>
      <x:c r="R532" s="31" t="n">
        <x:v>59.79320549122012</x:v>
      </x:c>
      <x:c r="S532" s="31"/>
      <x:c r="T532" s="31"/>
      <x:c r="U532" s="31"/>
    </x:row>
    <x:row r="533">
      <x:c r="A533" s="31" t="n">
        <x:v>53.1</x:v>
      </x:c>
      <x:c r="B533" s="31"/>
      <x:c r="C533" s="31" t="n">
        <x:v>73.59814697640152</x:v>
      </x:c>
      <x:c r="D533" s="31" t="n">
        <x:v>65.17879271468678</x:v>
      </x:c>
      <x:c r="E533" s="31"/>
      <x:c r="F533" s="31" t="n">
        <x:v>66.90695210727486</x:v>
      </x:c>
      <x:c r="G533" s="31"/>
      <x:c r="H533" s="31" t="n">
        <x:v>75.70641397586989</x:v>
      </x:c>
      <x:c r="I533" s="31" t="n">
        <x:v>74.511237405953</x:v>
      </x:c>
      <x:c r="J533" s="31"/>
      <x:c r="K533" s="31"/>
      <x:c r="L533" s="31"/>
      <x:c r="M533" s="31"/>
      <x:c r="N533" s="31"/>
      <x:c r="O533" s="31"/>
      <x:c r="P533" s="31"/>
      <x:c r="Q533" s="31"/>
      <x:c r="R533" s="31" t="n">
        <x:v>78.21814615587849</x:v>
      </x:c>
      <x:c r="S533" s="31"/>
      <x:c r="T533" s="31"/>
      <x:c r="U533" s="31"/>
    </x:row>
    <x:row r="534">
      <x:c r="A534" s="31" t="n">
        <x:v>53.2</x:v>
      </x:c>
      <x:c r="B534" s="31"/>
      <x:c r="C534" s="31" t="n">
        <x:v>65.76068835585177</x:v>
      </x:c>
      <x:c r="D534" s="31" t="n">
        <x:v>65.67993974072172</x:v>
      </x:c>
      <x:c r="E534" s="31"/>
      <x:c r="F534" s="31" t="n">
        <x:v>67.16429389445679</x:v>
      </x:c>
      <x:c r="G534" s="31"/>
      <x:c r="H534" s="31" t="n">
        <x:v>75.67622558614296</x:v>
      </x:c>
      <x:c r="I534" s="31" t="n">
        <x:v>74.511237405953</x:v>
      </x:c>
      <x:c r="J534" s="31"/>
      <x:c r="K534" s="31"/>
      <x:c r="L534" s="31"/>
      <x:c r="M534" s="31"/>
      <x:c r="N534" s="31"/>
      <x:c r="O534" s="31"/>
      <x:c r="P534" s="31"/>
      <x:c r="Q534" s="31"/>
      <x:c r="R534" s="31" t="n">
        <x:v>78.74445546445658</x:v>
      </x:c>
      <x:c r="S534" s="31"/>
      <x:c r="T534" s="31"/>
      <x:c r="U534" s="31"/>
    </x:row>
    <x:row r="535">
      <x:c r="A535" s="31" t="n">
        <x:v>53.300000000000004</x:v>
      </x:c>
      <x:c r="B535" s="31"/>
      <x:c r="C535" s="31" t="n">
        <x:v>59.63645969564588</x:v>
      </x:c>
      <x:c r="D535" s="31" t="n">
        <x:v>65.67993974072155</x:v>
      </x:c>
      <x:c r="E535" s="31"/>
      <x:c r="F535" s="31" t="n">
        <x:v>67.37392635674536</x:v>
      </x:c>
      <x:c r="G535" s="31"/>
      <x:c r="H535" s="31" t="n">
        <x:v>77.00468021481592</x:v>
      </x:c>
      <x:c r="I535" s="31" t="n">
        <x:v>67.52658018742991</x:v>
      </x:c>
      <x:c r="J535" s="31"/>
      <x:c r="K535" s="31"/>
      <x:c r="L535" s="31"/>
      <x:c r="M535" s="31"/>
      <x:c r="N535" s="31"/>
      <x:c r="O535" s="31"/>
      <x:c r="P535" s="31"/>
      <x:c r="Q535" s="31"/>
      <x:c r="R535" s="31" t="n">
        <x:v>77.9136885432488</x:v>
      </x:c>
      <x:c r="S535" s="31"/>
      <x:c r="T535" s="31"/>
      <x:c r="U535" s="31"/>
    </x:row>
    <x:row r="536">
      <x:c r="A536" s="31" t="n">
        <x:v>53.400000000000006</x:v>
      </x:c>
      <x:c r="B536" s="31"/>
      <x:c r="C536" s="31" t="n">
        <x:v>51.650145687497975</x:v>
      </x:c>
      <x:c r="D536" s="31" t="n">
        <x:v>65.65618483046723</x:v>
      </x:c>
      <x:c r="E536" s="31"/>
      <x:c r="F536" s="31" t="n">
        <x:v>67.75479899412655</x:v>
      </x:c>
      <x:c r="G536" s="31"/>
      <x:c r="H536" s="31" t="n">
        <x:v>77.00468021481592</x:v>
      </x:c>
      <x:c r="I536" s="31" t="n">
        <x:v>66.17272302697103</x:v>
      </x:c>
      <x:c r="J536" s="31"/>
      <x:c r="K536" s="31"/>
      <x:c r="L536" s="31"/>
      <x:c r="M536" s="31"/>
      <x:c r="N536" s="31"/>
      <x:c r="O536" s="31"/>
      <x:c r="P536" s="31"/>
      <x:c r="Q536" s="31"/>
      <x:c r="R536" s="31" t="n">
        <x:v>72.23779886181933</x:v>
      </x:c>
      <x:c r="S536" s="31"/>
      <x:c r="T536" s="31"/>
      <x:c r="U536" s="31"/>
    </x:row>
    <x:row r="537">
      <x:c r="A537" s="31" t="n">
        <x:v>53.5</x:v>
      </x:c>
      <x:c r="B537" s="31"/>
      <x:c r="C537" s="31" t="n">
        <x:v>50.77954791932986</x:v>
      </x:c>
      <x:c r="D537" s="31" t="n">
        <x:v>65.65618483046723</x:v>
      </x:c>
      <x:c r="E537" s="31"/>
      <x:c r="F537" s="31" t="n">
        <x:v>67.13710553634495</x:v>
      </x:c>
      <x:c r="G537" s="31"/>
      <x:c r="H537" s="31" t="n">
        <x:v>76.7399965691661</x:v>
      </x:c>
      <x:c r="I537" s="31" t="n">
        <x:v>67.69171033204692</x:v>
      </x:c>
      <x:c r="J537" s="31"/>
      <x:c r="K537" s="31"/>
      <x:c r="L537" s="31"/>
      <x:c r="M537" s="31"/>
      <x:c r="N537" s="31"/>
      <x:c r="O537" s="31"/>
      <x:c r="P537" s="31"/>
      <x:c r="Q537" s="31"/>
      <x:c r="R537" s="31" t="n">
        <x:v>72.23779886181933</x:v>
      </x:c>
      <x:c r="S537" s="31"/>
      <x:c r="T537" s="31"/>
      <x:c r="U537" s="31"/>
    </x:row>
    <x:row r="538">
      <x:c r="A538" s="31" t="n">
        <x:v>53.6</x:v>
      </x:c>
      <x:c r="B538" s="31"/>
      <x:c r="C538" s="31" t="n">
        <x:v>54.67728751597859</x:v>
      </x:c>
      <x:c r="D538" s="31" t="n">
        <x:v>65.89902262246521</x:v>
      </x:c>
      <x:c r="E538" s="31"/>
      <x:c r="F538" s="31" t="n">
        <x:v>62.93072406039083</x:v>
      </x:c>
      <x:c r="G538" s="31"/>
      <x:c r="H538" s="31" t="n">
        <x:v>76.66072270367783</x:v>
      </x:c>
      <x:c r="I538" s="31" t="n">
        <x:v>71.54765530853591</x:v>
      </x:c>
      <x:c r="J538" s="31"/>
      <x:c r="K538" s="31"/>
      <x:c r="L538" s="31"/>
      <x:c r="M538" s="31"/>
      <x:c r="N538" s="31"/>
      <x:c r="O538" s="31"/>
      <x:c r="P538" s="31"/>
      <x:c r="Q538" s="31"/>
      <x:c r="R538" s="31" t="n">
        <x:v>68.81996144356076</x:v>
      </x:c>
      <x:c r="S538" s="31"/>
      <x:c r="T538" s="31"/>
      <x:c r="U538" s="31"/>
    </x:row>
    <x:row r="539">
      <x:c r="A539" s="31" t="n">
        <x:v>53.7</x:v>
      </x:c>
      <x:c r="B539" s="31"/>
      <x:c r="C539" s="31" t="n">
        <x:v>58.575027112627325</x:v>
      </x:c>
      <x:c r="D539" s="31" t="n">
        <x:v>65.89902262246521</x:v>
      </x:c>
      <x:c r="E539" s="31"/>
      <x:c r="F539" s="31" t="n">
        <x:v>60.051408441018225</x:v>
      </x:c>
      <x:c r="G539" s="31"/>
      <x:c r="H539" s="31" t="n">
        <x:v>76.66072270367783</x:v>
      </x:c>
      <x:c r="I539" s="31" t="n">
        <x:v>71.54765530853591</x:v>
      </x:c>
      <x:c r="J539" s="31"/>
      <x:c r="K539" s="31"/>
      <x:c r="L539" s="31"/>
      <x:c r="M539" s="31"/>
      <x:c r="N539" s="31"/>
      <x:c r="O539" s="31"/>
      <x:c r="P539" s="31"/>
      <x:c r="Q539" s="31"/>
      <x:c r="R539" s="31" t="n">
        <x:v>68.48554799186728</x:v>
      </x:c>
      <x:c r="S539" s="31"/>
      <x:c r="T539" s="31"/>
      <x:c r="U539" s="31"/>
    </x:row>
    <x:row r="540">
      <x:c r="A540" s="31" t="n">
        <x:v>53.800000000000004</x:v>
      </x:c>
      <x:c r="B540" s="31"/>
      <x:c r="C540" s="31" t="n">
        <x:v>62.47276670927606</x:v>
      </x:c>
      <x:c r="D540" s="31" t="n">
        <x:v>64.61019901661915</x:v>
      </x:c>
      <x:c r="E540" s="31"/>
      <x:c r="F540" s="31" t="n">
        <x:v>71.17924856154424</x:v>
      </x:c>
      <x:c r="G540" s="31"/>
      <x:c r="H540" s="31" t="n">
        <x:v>75.44085607509444</x:v>
      </x:c>
      <x:c r="I540" s="31" t="n">
        <x:v>71.43310782785372</x:v>
      </x:c>
      <x:c r="J540" s="31"/>
      <x:c r="K540" s="31"/>
      <x:c r="L540" s="31"/>
      <x:c r="M540" s="31"/>
      <x:c r="N540" s="31"/>
      <x:c r="O540" s="31"/>
      <x:c r="P540" s="31"/>
      <x:c r="Q540" s="31"/>
      <x:c r="R540" s="31" t="n">
        <x:v>68.09287857489691</x:v>
      </x:c>
      <x:c r="S540" s="31"/>
      <x:c r="T540" s="31"/>
      <x:c r="U540" s="31"/>
    </x:row>
    <x:row r="541">
      <x:c r="A541" s="31" t="n">
        <x:v>53.900000000000006</x:v>
      </x:c>
      <x:c r="B541" s="31"/>
      <x:c r="C541" s="31" t="n">
        <x:v>66.37050630592479</x:v>
      </x:c>
      <x:c r="D541" s="31" t="n">
        <x:v>63.83516489775409</x:v>
      </x:c>
      <x:c r="E541" s="31"/>
      <x:c r="F541" s="31" t="n">
        <x:v>76.40620922538056</x:v>
      </x:c>
      <x:c r="G541" s="31"/>
      <x:c r="H541" s="31" t="n">
        <x:v>93.0725738915998</x:v>
      </x:c>
      <x:c r="I541" s="31" t="n">
        <x:v>71.64320116029018</x:v>
      </x:c>
      <x:c r="J541" s="31"/>
      <x:c r="K541" s="31"/>
      <x:c r="L541" s="31"/>
      <x:c r="M541" s="31"/>
      <x:c r="N541" s="31"/>
      <x:c r="O541" s="31"/>
      <x:c r="P541" s="31"/>
      <x:c r="Q541" s="31"/>
      <x:c r="R541" s="31" t="n">
        <x:v>68.48609488938354</x:v>
      </x:c>
      <x:c r="S541" s="31"/>
      <x:c r="T541" s="31"/>
      <x:c r="U541" s="31"/>
    </x:row>
    <x:row r="542">
      <x:c r="A542" s="31" t="n">
        <x:v>54</x:v>
      </x:c>
      <x:c r="B542" s="31"/>
      <x:c r="C542" s="31" t="n">
        <x:v>70.26824590257326</x:v>
      </x:c>
      <x:c r="D542" s="31" t="n">
        <x:v>77.16558646159531</x:v>
      </x:c>
      <x:c r="E542" s="31"/>
      <x:c r="F542" s="31" t="n">
        <x:v>76.40620922538056</x:v>
      </x:c>
      <x:c r="G542" s="31"/>
      <x:c r="H542" s="31" t="n">
        <x:v>93.0725738915998</x:v>
      </x:c>
      <x:c r="I542" s="31" t="n">
        <x:v>72.54297468013081</x:v>
      </x:c>
      <x:c r="J542" s="31"/>
      <x:c r="K542" s="31"/>
      <x:c r="L542" s="31"/>
      <x:c r="M542" s="31"/>
      <x:c r="N542" s="31"/>
      <x:c r="O542" s="31"/>
      <x:c r="P542" s="31"/>
      <x:c r="Q542" s="31"/>
      <x:c r="R542" s="31" t="n">
        <x:v>70.62647956218517</x:v>
      </x:c>
      <x:c r="S542" s="31"/>
      <x:c r="T542" s="31"/>
      <x:c r="U542" s="31"/>
    </x:row>
    <x:row r="543">
      <x:c r="A543" s="31" t="n">
        <x:v>54.1</x:v>
      </x:c>
      <x:c r="B543" s="31"/>
      <x:c r="C543" s="31" t="n">
        <x:v>74.16598549922199</x:v>
      </x:c>
      <x:c r="D543" s="31" t="n">
        <x:v>80.30399449979086</x:v>
      </x:c>
      <x:c r="E543" s="31"/>
      <x:c r="F543" s="31" t="n">
        <x:v>66.93860223197274</x:v>
      </x:c>
      <x:c r="G543" s="31"/>
      <x:c r="H543" s="31" t="n">
        <x:v>86.8541384209511</x:v>
      </x:c>
      <x:c r="I543" s="31" t="n">
        <x:v>74.72734780596528</x:v>
      </x:c>
      <x:c r="J543" s="31"/>
      <x:c r="K543" s="31"/>
      <x:c r="L543" s="31"/>
      <x:c r="M543" s="31"/>
      <x:c r="N543" s="31"/>
      <x:c r="O543" s="31"/>
      <x:c r="P543" s="31"/>
      <x:c r="Q543" s="31"/>
      <x:c r="R543" s="31" t="n">
        <x:v>70.82420293600458</x:v>
      </x:c>
      <x:c r="S543" s="31"/>
      <x:c r="T543" s="31"/>
      <x:c r="U543" s="31"/>
    </x:row>
    <x:row r="544">
      <x:c r="A544" s="31" t="n">
        <x:v>54.2</x:v>
      </x:c>
      <x:c r="B544" s="31"/>
      <x:c r="C544" s="31" t="n">
        <x:v>74.94553341855156</x:v>
      </x:c>
      <x:c r="D544" s="31" t="n">
        <x:v>80.30399449979086</x:v>
      </x:c>
      <x:c r="E544" s="31"/>
      <x:c r="F544" s="31" t="n">
        <x:v>56.41955281342567</x:v>
      </x:c>
      <x:c r="G544" s="31"/>
      <x:c r="H544" s="31" t="n">
        <x:v>80.15119415234527</x:v>
      </x:c>
      <x:c r="I544" s="31" t="n">
        <x:v>74.72734780596528</x:v>
      </x:c>
      <x:c r="J544" s="31"/>
      <x:c r="K544" s="31"/>
      <x:c r="L544" s="31"/>
      <x:c r="M544" s="31"/>
      <x:c r="N544" s="31"/>
      <x:c r="O544" s="31"/>
      <x:c r="P544" s="31"/>
      <x:c r="Q544" s="31"/>
      <x:c r="R544" s="31" t="n">
        <x:v>70.74994208470493</x:v>
      </x:c>
      <x:c r="S544" s="31"/>
      <x:c r="T544" s="31"/>
      <x:c r="U544" s="31"/>
    </x:row>
    <x:row r="545">
      <x:c r="A545" s="31" t="n">
        <x:v>54.300000000000004</x:v>
      </x:c>
      <x:c r="B545" s="31"/>
      <x:c r="C545" s="31" t="n">
        <x:v>74.36669740019123</x:v>
      </x:c>
      <x:c r="D545" s="31" t="n">
        <x:v>72.96691055220398</x:v>
      </x:c>
      <x:c r="E545" s="31"/>
      <x:c r="F545" s="31" t="n">
        <x:v>54.444305793909926</x:v>
      </x:c>
      <x:c r="G545" s="31"/>
      <x:c r="H545" s="31" t="n">
        <x:v>77.02420286236412</x:v>
      </x:c>
      <x:c r="I545" s="31" t="n">
        <x:v>71.75469169276269</x:v>
      </x:c>
      <x:c r="J545" s="31"/>
      <x:c r="K545" s="31"/>
      <x:c r="L545" s="31"/>
      <x:c r="M545" s="31"/>
      <x:c r="N545" s="31"/>
      <x:c r="O545" s="31"/>
      <x:c r="P545" s="31"/>
      <x:c r="Q545" s="31"/>
      <x:c r="R545" s="31" t="n">
        <x:v>68.35293691746871</x:v>
      </x:c>
      <x:c r="S545" s="31"/>
      <x:c r="T545" s="31"/>
      <x:c r="U545" s="31"/>
    </x:row>
    <x:row r="546">
      <x:c r="A546" s="31" t="n">
        <x:v>54.400000000000006</x:v>
      </x:c>
      <x:c r="B546" s="31"/>
      <x:c r="C546" s="31" t="n">
        <x:v>68.2811459607659</x:v>
      </x:c>
      <x:c r="D546" s="31" t="n">
        <x:v>63.76385145726443</x:v>
      </x:c>
      <x:c r="E546" s="31"/>
      <x:c r="F546" s="31" t="n">
        <x:v>51.975247019515386</x:v>
      </x:c>
      <x:c r="G546" s="31"/>
      <x:c r="H546" s="31" t="n">
        <x:v>77.02420286236395</x:v>
      </x:c>
      <x:c r="I546" s="31" t="n">
        <x:v>78.12707217887962</x:v>
      </x:c>
      <x:c r="J546" s="31"/>
      <x:c r="K546" s="31"/>
      <x:c r="L546" s="31"/>
      <x:c r="M546" s="31"/>
      <x:c r="N546" s="31"/>
      <x:c r="O546" s="31"/>
      <x:c r="P546" s="31"/>
      <x:c r="Q546" s="31"/>
      <x:c r="R546" s="31" t="n">
        <x:v>68.14858951743489</x:v>
      </x:c>
      <x:c r="S546" s="31"/>
      <x:c r="T546" s="31"/>
      <x:c r="U546" s="31"/>
    </x:row>
    <x:row r="547">
      <x:c r="A547" s="31" t="n">
        <x:v>54.5</x:v>
      </x:c>
      <x:c r="B547" s="31"/>
      <x:c r="C547" s="31" t="n">
        <x:v>63.62529967429702</x:v>
      </x:c>
      <x:c r="D547" s="31" t="n">
        <x:v>53.09515668014649</x:v>
      </x:c>
      <x:c r="E547" s="31"/>
      <x:c r="F547" s="31" t="n">
        <x:v>51.57065199594949</x:v>
      </x:c>
      <x:c r="G547" s="31"/>
      <x:c r="H547" s="31" t="n">
        <x:v>73.14947042836053</x:v>
      </x:c>
      <x:c r="I547" s="31" t="n">
        <x:v>84.70390654424475</x:v>
      </x:c>
      <x:c r="J547" s="31"/>
      <x:c r="K547" s="31"/>
      <x:c r="L547" s="31"/>
      <x:c r="M547" s="31"/>
      <x:c r="N547" s="31"/>
      <x:c r="O547" s="31"/>
      <x:c r="P547" s="31"/>
      <x:c r="Q547" s="31"/>
      <x:c r="R547" s="31" t="n">
        <x:v>80.04170686047206</x:v>
      </x:c>
      <x:c r="S547" s="31"/>
      <x:c r="T547" s="31"/>
      <x:c r="U547" s="31"/>
    </x:row>
    <x:row r="548">
      <x:c r="A548" s="31" t="n">
        <x:v>54.6</x:v>
      </x:c>
      <x:c r="B548" s="31"/>
      <x:c r="C548" s="31" t="n">
        <x:v>65.99186585273877</x:v>
      </x:c>
      <x:c r="D548" s="31" t="n">
        <x:v>50</x:v>
      </x:c>
      <x:c r="E548" s="31"/>
      <x:c r="F548" s="31" t="n">
        <x:v>59.423911975695844</x:v>
      </x:c>
      <x:c r="G548" s="31"/>
      <x:c r="H548" s="31" t="n">
        <x:v>72.73137178836477</x:v>
      </x:c>
      <x:c r="I548" s="31" t="n">
        <x:v>84.70390654424475</x:v>
      </x:c>
      <x:c r="J548" s="31"/>
      <x:c r="K548" s="31"/>
      <x:c r="L548" s="31"/>
      <x:c r="M548" s="31"/>
      <x:c r="N548" s="31"/>
      <x:c r="O548" s="31"/>
      <x:c r="P548" s="31"/>
      <x:c r="Q548" s="31"/>
      <x:c r="R548" s="31" t="n">
        <x:v>80.04170686047206</x:v>
      </x:c>
      <x:c r="S548" s="31"/>
      <x:c r="T548" s="31"/>
      <x:c r="U548" s="31"/>
    </x:row>
    <x:row r="549">
      <x:c r="A549" s="31" t="n">
        <x:v>54.7</x:v>
      </x:c>
      <x:c r="B549" s="31"/>
      <x:c r="C549" s="31" t="n">
        <x:v>68.19025808421806</x:v>
      </x:c>
      <x:c r="D549" s="31" t="n">
        <x:v>50</x:v>
      </x:c>
      <x:c r="E549" s="31"/>
      <x:c r="F549" s="31" t="n">
        <x:v>62.56521596759427</x:v>
      </x:c>
      <x:c r="G549" s="31"/>
      <x:c r="H549" s="31" t="n">
        <x:v>75.88888294696426</x:v>
      </x:c>
      <x:c r="I549" s="31" t="n">
        <x:v>74.91245861694182</x:v>
      </x:c>
      <x:c r="J549" s="31"/>
      <x:c r="K549" s="31"/>
      <x:c r="L549" s="31"/>
      <x:c r="M549" s="31"/>
      <x:c r="N549" s="31"/>
      <x:c r="O549" s="31"/>
      <x:c r="P549" s="31"/>
      <x:c r="Q549" s="31"/>
      <x:c r="R549" s="31" t="n">
        <x:v>75.5183752970138</x:v>
      </x:c>
      <x:c r="S549" s="31"/>
      <x:c r="T549" s="31"/>
      <x:c r="U549" s="31"/>
    </x:row>
    <x:row r="550">
      <x:c r="A550" s="31" t="n">
        <x:v>54.800000000000004</x:v>
      </x:c>
      <x:c r="B550" s="31"/>
      <x:c r="C550" s="31" t="n">
        <x:v>68.19025808421806</x:v>
      </x:c>
      <x:c r="D550" s="31" t="n">
        <x:v>50.00000000000155</x:v>
      </x:c>
      <x:c r="E550" s="31"/>
      <x:c r="F550" s="31" t="n">
        <x:v>69.52518163981627</x:v>
      </x:c>
      <x:c r="G550" s="31"/>
      <x:c r="H550" s="31" t="n">
        <x:v>77.92849245128403</x:v>
      </x:c>
      <x:c r="I550" s="31" t="n">
        <x:v>66.75840026943291</x:v>
      </x:c>
      <x:c r="J550" s="31"/>
      <x:c r="K550" s="31"/>
      <x:c r="L550" s="31"/>
      <x:c r="M550" s="31"/>
      <x:c r="N550" s="31"/>
      <x:c r="O550" s="31"/>
      <x:c r="P550" s="31"/>
      <x:c r="Q550" s="31"/>
      <x:c r="R550" s="31" t="n">
        <x:v>66.92247763088716</x:v>
      </x:c>
      <x:c r="S550" s="31"/>
      <x:c r="T550" s="31"/>
      <x:c r="U550" s="31"/>
    </x:row>
    <x:row r="551">
      <x:c r="A551" s="31" t="n">
        <x:v>54.900000000000006</x:v>
      </x:c>
      <x:c r="B551" s="31"/>
      <x:c r="C551" s="31" t="n">
        <x:v>68.15005374752272</x:v>
      </x:c>
      <x:c r="D551" s="31" t="n">
        <x:v>62.78797247037791</x:v>
      </x:c>
      <x:c r="E551" s="31"/>
      <x:c r="F551" s="31" t="n">
        <x:v>70.54865803506932</x:v>
      </x:c>
      <x:c r="G551" s="31"/>
      <x:c r="H551" s="31" t="n">
        <x:v>77.9284924512832</x:v>
      </x:c>
      <x:c r="I551" s="31" t="n">
        <x:v>50</x:v>
      </x:c>
      <x:c r="J551" s="31"/>
      <x:c r="K551" s="31"/>
      <x:c r="L551" s="31"/>
      <x:c r="M551" s="31"/>
      <x:c r="N551" s="31"/>
      <x:c r="O551" s="31"/>
      <x:c r="P551" s="31"/>
      <x:c r="Q551" s="31"/>
      <x:c r="R551" s="31" t="n">
        <x:v>67.43715217394883</x:v>
      </x:c>
      <x:c r="S551" s="31"/>
      <x:c r="T551" s="31"/>
      <x:c r="U551" s="31"/>
    </x:row>
    <x:row r="552">
      <x:c r="A552" s="31" t="n">
        <x:v>55</x:v>
      </x:c>
      <x:c r="B552" s="31"/>
      <x:c r="C552" s="31" t="n">
        <x:v>68.78037839108461</x:v>
      </x:c>
      <x:c r="D552" s="31" t="n">
        <x:v>62.78797247037791</x:v>
      </x:c>
      <x:c r="E552" s="31"/>
      <x:c r="F552" s="31" t="n">
        <x:v>70.3560289277315</x:v>
      </x:c>
      <x:c r="G552" s="31"/>
      <x:c r="H552" s="31" t="n">
        <x:v>50</x:v>
      </x:c>
      <x:c r="I552" s="31" t="n">
        <x:v>50</x:v>
      </x:c>
      <x:c r="J552" s="31"/>
      <x:c r="K552" s="31"/>
      <x:c r="L552" s="31"/>
      <x:c r="M552" s="31"/>
      <x:c r="N552" s="31"/>
      <x:c r="O552" s="31"/>
      <x:c r="P552" s="31"/>
      <x:c r="Q552" s="31"/>
      <x:c r="R552" s="31" t="n">
        <x:v>67.95182671701048</x:v>
      </x:c>
      <x:c r="S552" s="31"/>
      <x:c r="T552" s="31"/>
      <x:c r="U552" s="31"/>
    </x:row>
    <x:row r="553">
      <x:c r="A553" s="31" t="n">
        <x:v>55.1</x:v>
      </x:c>
      <x:c r="B553" s="31"/>
      <x:c r="C553" s="31" t="n">
        <x:v>68.78037839108461</x:v>
      </x:c>
      <x:c r="D553" s="31" t="n">
        <x:v>69.7536139352558</x:v>
      </x:c>
      <x:c r="E553" s="31"/>
      <x:c r="F553" s="31" t="n">
        <x:v>61.36585495453619</x:v>
      </x:c>
      <x:c r="G553" s="31"/>
      <x:c r="H553" s="31" t="n">
        <x:v>70.46665513178701</x:v>
      </x:c>
      <x:c r="I553" s="31" t="n">
        <x:v>61.347712262803114</x:v>
      </x:c>
      <x:c r="J553" s="31"/>
      <x:c r="K553" s="31"/>
      <x:c r="L553" s="31"/>
      <x:c r="M553" s="31"/>
      <x:c r="N553" s="31"/>
      <x:c r="O553" s="31"/>
      <x:c r="P553" s="31"/>
      <x:c r="Q553" s="31"/>
      <x:c r="R553" s="31" t="n">
        <x:v>68.46650126007216</x:v>
      </x:c>
      <x:c r="S553" s="31"/>
      <x:c r="T553" s="31"/>
      <x:c r="U553" s="31"/>
    </x:row>
    <x:row r="554">
      <x:c r="A554" s="31" t="n">
        <x:v>55.2</x:v>
      </x:c>
      <x:c r="B554" s="31"/>
      <x:c r="C554" s="31" t="n">
        <x:v>69.31386318303973</x:v>
      </x:c>
      <x:c r="D554" s="31" t="n">
        <x:v>72.87223186555096</x:v>
      </x:c>
      <x:c r="E554" s="31"/>
      <x:c r="F554" s="31" t="n">
        <x:v>58.11428926040288</x:v>
      </x:c>
      <x:c r="G554" s="31"/>
      <x:c r="H554" s="31" t="n">
        <x:v>72.13803399590424</x:v>
      </x:c>
      <x:c r="I554" s="31" t="n">
        <x:v>76.43272710407524</x:v>
      </x:c>
      <x:c r="J554" s="31"/>
      <x:c r="K554" s="31"/>
      <x:c r="L554" s="31"/>
      <x:c r="M554" s="31"/>
      <x:c r="N554" s="31"/>
      <x:c r="O554" s="31"/>
      <x:c r="P554" s="31"/>
      <x:c r="Q554" s="31"/>
      <x:c r="R554" s="31" t="n">
        <x:v>68.98117580313385</x:v>
      </x:c>
      <x:c r="S554" s="31"/>
      <x:c r="T554" s="31"/>
      <x:c r="U554" s="31"/>
    </x:row>
    <x:row r="555">
      <x:c r="A555" s="31" t="n">
        <x:v>55.300000000000004</x:v>
      </x:c>
      <x:c r="B555" s="31"/>
      <x:c r="C555" s="31" t="n">
        <x:v>70.1282010554818</x:v>
      </x:c>
      <x:c r="D555" s="31" t="n">
        <x:v>72.87223186555075</x:v>
      </x:c>
      <x:c r="E555" s="31"/>
      <x:c r="F555" s="31" t="n">
        <x:v>65.3221881321262</x:v>
      </x:c>
      <x:c r="G555" s="31"/>
      <x:c r="H555" s="31" t="n">
        <x:v>75.27580402903598</x:v>
      </x:c>
      <x:c r="I555" s="31" t="n">
        <x:v>77.46788312699496</x:v>
      </x:c>
      <x:c r="J555" s="31"/>
      <x:c r="K555" s="31"/>
      <x:c r="L555" s="31"/>
      <x:c r="M555" s="31"/>
      <x:c r="N555" s="31"/>
      <x:c r="O555" s="31"/>
      <x:c r="P555" s="31"/>
      <x:c r="Q555" s="31"/>
      <x:c r="R555" s="31" t="n">
        <x:v>69.49585034619552</x:v>
      </x:c>
      <x:c r="S555" s="31"/>
      <x:c r="T555" s="31"/>
      <x:c r="U555" s="31"/>
    </x:row>
    <x:row r="556">
      <x:c r="A556" s="31" t="n">
        <x:v>55.400000000000006</x:v>
      </x:c>
      <x:c r="B556" s="31"/>
      <x:c r="C556" s="31" t="n">
        <x:v>70.02424394584718</x:v>
      </x:c>
      <x:c r="D556" s="31" t="n">
        <x:v>68.79954965457736</x:v>
      </x:c>
      <x:c r="E556" s="31"/>
      <x:c r="F556" s="31" t="n">
        <x:v>65.9496333980815</x:v>
      </x:c>
      <x:c r="G556" s="31"/>
      <x:c r="H556" s="31" t="n">
        <x:v>75.27580402903574</x:v>
      </x:c>
      <x:c r="I556" s="31" t="n">
        <x:v>76.76808322017257</x:v>
      </x:c>
      <x:c r="J556" s="31"/>
      <x:c r="K556" s="31"/>
      <x:c r="L556" s="31"/>
      <x:c r="M556" s="31"/>
      <x:c r="N556" s="31"/>
      <x:c r="O556" s="31"/>
      <x:c r="P556" s="31"/>
      <x:c r="Q556" s="31"/>
      <x:c r="R556" s="31" t="n">
        <x:v>70.01052488925721</x:v>
      </x:c>
      <x:c r="S556" s="31"/>
      <x:c r="T556" s="31"/>
      <x:c r="U556" s="31"/>
    </x:row>
    <x:row r="557">
      <x:c r="A557" s="31" t="n">
        <x:v>55.5</x:v>
      </x:c>
      <x:c r="B557" s="31"/>
      <x:c r="C557" s="31" t="n">
        <x:v>70.02424394584718</x:v>
      </x:c>
      <x:c r="D557" s="31" t="n">
        <x:v>63.69038709332966</x:v>
      </x:c>
      <x:c r="E557" s="31"/>
      <x:c r="F557" s="31" t="n">
        <x:v>65.9496333980815</x:v>
      </x:c>
      <x:c r="G557" s="31"/>
      <x:c r="H557" s="31" t="n">
        <x:v>74.75094649562914</x:v>
      </x:c>
      <x:c r="I557" s="31" t="n">
        <x:v>66.8607661024009</x:v>
      </x:c>
      <x:c r="J557" s="31"/>
      <x:c r="K557" s="31"/>
      <x:c r="L557" s="31"/>
      <x:c r="M557" s="31"/>
      <x:c r="N557" s="31"/>
      <x:c r="O557" s="31"/>
      <x:c r="P557" s="31"/>
      <x:c r="Q557" s="31"/>
      <x:c r="R557" s="31" t="n">
        <x:v>70.11345979786952</x:v>
      </x:c>
      <x:c r="S557" s="31"/>
      <x:c r="T557" s="31"/>
      <x:c r="U557" s="31"/>
    </x:row>
    <x:row r="558">
      <x:c r="A558" s="31" t="n">
        <x:v>55.6</x:v>
      </x:c>
      <x:c r="B558" s="31"/>
      <x:c r="C558" s="31" t="n">
        <x:v>70.90568183673105</x:v>
      </x:c>
      <x:c r="D558" s="31" t="n">
        <x:v>63.06377962035385</x:v>
      </x:c>
      <x:c r="E558" s="31"/>
      <x:c r="F558" s="31" t="n">
        <x:v>65.17525611239782</x:v>
      </x:c>
      <x:c r="G558" s="31"/>
      <x:c r="H558" s="31" t="n">
        <x:v>74.75094649562914</x:v>
      </x:c>
      <x:c r="I558" s="31" t="n">
        <x:v>69.88172086930157</x:v>
      </x:c>
      <x:c r="J558" s="31"/>
      <x:c r="K558" s="31"/>
      <x:c r="L558" s="31"/>
      <x:c r="M558" s="31"/>
      <x:c r="N558" s="31"/>
      <x:c r="O558" s="31"/>
      <x:c r="P558" s="31"/>
      <x:c r="Q558" s="31"/>
      <x:c r="R558" s="31" t="n">
        <x:v>66.71214916914565</x:v>
      </x:c>
      <x:c r="S558" s="31"/>
      <x:c r="T558" s="31"/>
      <x:c r="U558" s="31"/>
    </x:row>
    <x:row r="559">
      <x:c r="A559" s="31" t="n">
        <x:v>55.7</x:v>
      </x:c>
      <x:c r="B559" s="31"/>
      <x:c r="C559" s="31" t="n">
        <x:v>70.90568183673105</x:v>
      </x:c>
      <x:c r="D559" s="31" t="n">
        <x:v>63.52594885872736</x:v>
      </x:c>
      <x:c r="E559" s="31"/>
      <x:c r="F559" s="31" t="n">
        <x:v>66.00921018340564</x:v>
      </x:c>
      <x:c r="G559" s="31"/>
      <x:c r="H559" s="31" t="n">
        <x:v>75.68555251384839</x:v>
      </x:c>
      <x:c r="I559" s="31" t="n">
        <x:v>72.31281743717213</x:v>
      </x:c>
      <x:c r="J559" s="31"/>
      <x:c r="K559" s="31"/>
      <x:c r="L559" s="31"/>
      <x:c r="M559" s="31"/>
      <x:c r="N559" s="31"/>
      <x:c r="O559" s="31"/>
      <x:c r="P559" s="31"/>
      <x:c r="Q559" s="31"/>
      <x:c r="R559" s="31" t="n">
        <x:v>68.20940457917138</x:v>
      </x:c>
      <x:c r="S559" s="31"/>
      <x:c r="T559" s="31"/>
      <x:c r="U559" s="31"/>
    </x:row>
    <x:row r="560">
      <x:c r="A560" s="31" t="n">
        <x:v>55.800000000000004</x:v>
      </x:c>
      <x:c r="B560" s="31"/>
      <x:c r="C560" s="31" t="n">
        <x:v>75.83464065810108</x:v>
      </x:c>
      <x:c r="D560" s="31" t="n">
        <x:v>64.46462531473883</x:v>
      </x:c>
      <x:c r="E560" s="31"/>
      <x:c r="F560" s="31" t="n">
        <x:v>67.35547309717364</x:v>
      </x:c>
      <x:c r="G560" s="31"/>
      <x:c r="H560" s="31" t="n">
        <x:v>76.56504309790638</x:v>
      </x:c>
      <x:c r="I560" s="31" t="n">
        <x:v>72.35293299963375</x:v>
      </x:c>
      <x:c r="J560" s="31"/>
      <x:c r="K560" s="31"/>
      <x:c r="L560" s="31"/>
      <x:c r="M560" s="31"/>
      <x:c r="N560" s="31"/>
      <x:c r="O560" s="31"/>
      <x:c r="P560" s="31"/>
      <x:c r="Q560" s="31"/>
      <x:c r="R560" s="31" t="n">
        <x:v>68.32793833749301</x:v>
      </x:c>
      <x:c r="S560" s="31"/>
      <x:c r="T560" s="31"/>
      <x:c r="U560" s="31"/>
    </x:row>
    <x:row r="561">
      <x:c r="A561" s="31" t="n">
        <x:v>55.900000000000006</x:v>
      </x:c>
      <x:c r="B561" s="31"/>
      <x:c r="C561" s="31" t="n">
        <x:v>76.69548121510815</x:v>
      </x:c>
      <x:c r="D561" s="31" t="n">
        <x:v>64.46462531473883</x:v>
      </x:c>
      <x:c r="E561" s="31"/>
      <x:c r="F561" s="31" t="n">
        <x:v>67.35547309717364</x:v>
      </x:c>
      <x:c r="G561" s="31"/>
      <x:c r="H561" s="31" t="n">
        <x:v>77.2849749704551</x:v>
      </x:c>
      <x:c r="I561" s="31" t="n">
        <x:v>72.35293299963375</x:v>
      </x:c>
      <x:c r="J561" s="31"/>
      <x:c r="K561" s="31"/>
      <x:c r="L561" s="31"/>
      <x:c r="M561" s="31"/>
      <x:c r="N561" s="31"/>
      <x:c r="O561" s="31"/>
      <x:c r="P561" s="31"/>
      <x:c r="Q561" s="31"/>
      <x:c r="R561" s="31" t="n">
        <x:v>68.32793833749301</x:v>
      </x:c>
      <x:c r="S561" s="31"/>
      <x:c r="T561" s="31"/>
      <x:c r="U561" s="31"/>
    </x:row>
    <x:row r="562">
      <x:c r="A562" s="31" t="n">
        <x:v>56</x:v>
      </x:c>
      <x:c r="B562" s="31"/>
      <x:c r="C562" s="31" t="n">
        <x:v>75.79571949337985</x:v>
      </x:c>
      <x:c r="D562" s="31" t="n">
        <x:v>64.93026497450292</x:v>
      </x:c>
      <x:c r="E562" s="31"/>
      <x:c r="F562" s="31" t="n">
        <x:v>66.74805322939321</x:v>
      </x:c>
      <x:c r="G562" s="31"/>
      <x:c r="H562" s="31" t="n">
        <x:v>77.2849749704551</x:v>
      </x:c>
      <x:c r="I562" s="31" t="n">
        <x:v>70.76255172977747</x:v>
      </x:c>
      <x:c r="J562" s="31"/>
      <x:c r="K562" s="31"/>
      <x:c r="L562" s="31"/>
      <x:c r="M562" s="31"/>
      <x:c r="N562" s="31"/>
      <x:c r="O562" s="31"/>
      <x:c r="P562" s="31"/>
      <x:c r="Q562" s="31"/>
      <x:c r="R562" s="31" t="n">
        <x:v>69.00704788729502</x:v>
      </x:c>
      <x:c r="S562" s="31"/>
      <x:c r="T562" s="31"/>
      <x:c r="U562" s="31"/>
    </x:row>
    <x:row r="563">
      <x:c r="A563" s="31" t="n">
        <x:v>56.1</x:v>
      </x:c>
      <x:c r="B563" s="31"/>
      <x:c r="C563" s="31" t="n">
        <x:v>62.75120568603927</x:v>
      </x:c>
      <x:c r="D563" s="31" t="n">
        <x:v>64.93026497450292</x:v>
      </x:c>
      <x:c r="E563" s="31"/>
      <x:c r="F563" s="31" t="n">
        <x:v>67.6480459269708</x:v>
      </x:c>
      <x:c r="G563" s="31"/>
      <x:c r="H563" s="31" t="n">
        <x:v>76.18173972325897</x:v>
      </x:c>
      <x:c r="I563" s="31" t="n">
        <x:v>71.9392777395858</x:v>
      </x:c>
      <x:c r="J563" s="31"/>
      <x:c r="K563" s="31"/>
      <x:c r="L563" s="31"/>
      <x:c r="M563" s="31"/>
      <x:c r="N563" s="31"/>
      <x:c r="O563" s="31"/>
      <x:c r="P563" s="31"/>
      <x:c r="Q563" s="31"/>
      <x:c r="R563" s="31" t="n">
        <x:v>69.09974317864902</x:v>
      </x:c>
      <x:c r="S563" s="31"/>
      <x:c r="T563" s="31"/>
      <x:c r="U563" s="31"/>
    </x:row>
    <x:row r="564">
      <x:c r="A564" s="31" t="n">
        <x:v>56.2</x:v>
      </x:c>
      <x:c r="B564" s="31"/>
      <x:c r="C564" s="31" t="n">
        <x:v>53.016285632300026</x:v>
      </x:c>
      <x:c r="D564" s="31" t="n">
        <x:v>65.0058132440339</x:v>
      </x:c>
      <x:c r="E564" s="31"/>
      <x:c r="F564" s="31" t="n">
        <x:v>66.82886869843092</x:v>
      </x:c>
      <x:c r="G564" s="31"/>
      <x:c r="H564" s="31" t="n">
        <x:v>85.17921154994255</x:v>
      </x:c>
      <x:c r="I564" s="31" t="n">
        <x:v>72.14456562393124</x:v>
      </x:c>
      <x:c r="J564" s="31"/>
      <x:c r="K564" s="31"/>
      <x:c r="L564" s="31"/>
      <x:c r="M564" s="31"/>
      <x:c r="N564" s="31"/>
      <x:c r="O564" s="31"/>
      <x:c r="P564" s="31"/>
      <x:c r="Q564" s="31"/>
      <x:c r="R564" s="31" t="n">
        <x:v>69.09974317864902</x:v>
      </x:c>
      <x:c r="S564" s="31"/>
      <x:c r="T564" s="31"/>
      <x:c r="U564" s="31"/>
    </x:row>
    <x:row r="565">
      <x:c r="A565" s="31" t="n">
        <x:v>56.300000000000004</x:v>
      </x:c>
      <x:c r="B565" s="31"/>
      <x:c r="C565" s="31" t="n">
        <x:v>53.016285632300026</x:v>
      </x:c>
      <x:c r="D565" s="31" t="n">
        <x:v>65.47042018235337</x:v>
      </x:c>
      <x:c r="E565" s="31"/>
      <x:c r="F565" s="31" t="n">
        <x:v>65.53953770098676</x:v>
      </x:c>
      <x:c r="G565" s="31"/>
      <x:c r="H565" s="31" t="n">
        <x:v>85.17921154994255</x:v>
      </x:c>
      <x:c r="I565" s="31" t="n">
        <x:v>72.14456562393124</x:v>
      </x:c>
      <x:c r="J565" s="31"/>
      <x:c r="K565" s="31"/>
      <x:c r="L565" s="31"/>
      <x:c r="M565" s="31"/>
      <x:c r="N565" s="31"/>
      <x:c r="O565" s="31"/>
      <x:c r="P565" s="31"/>
      <x:c r="Q565" s="31"/>
      <x:c r="R565" s="31" t="n">
        <x:v>69.30129455195569</x:v>
      </x:c>
      <x:c r="S565" s="31"/>
      <x:c r="T565" s="31"/>
      <x:c r="U565" s="31"/>
    </x:row>
    <x:row r="566">
      <x:c r="A566" s="31" t="n">
        <x:v>56.400000000000006</x:v>
      </x:c>
      <x:c r="B566" s="31"/>
      <x:c r="C566" s="31" t="n">
        <x:v>50</x:v>
      </x:c>
      <x:c r="D566" s="31" t="n">
        <x:v>65.47042018235335</x:v>
      </x:c>
      <x:c r="E566" s="31"/>
      <x:c r="F566" s="31" t="n">
        <x:v>63.31514980675935</x:v>
      </x:c>
      <x:c r="G566" s="31"/>
      <x:c r="H566" s="31" t="n">
        <x:v>82.61253148490938</x:v>
      </x:c>
      <x:c r="I566" s="31" t="n">
        <x:v>71.80511327320973</x:v>
      </x:c>
      <x:c r="J566" s="31"/>
      <x:c r="K566" s="31"/>
      <x:c r="L566" s="31"/>
      <x:c r="M566" s="31"/>
      <x:c r="N566" s="31"/>
      <x:c r="O566" s="31"/>
      <x:c r="P566" s="31"/>
      <x:c r="Q566" s="31"/>
      <x:c r="R566" s="31" t="n">
        <x:v>70.07253919735533</x:v>
      </x:c>
      <x:c r="S566" s="31"/>
      <x:c r="T566" s="31"/>
      <x:c r="U566" s="31"/>
    </x:row>
    <x:row r="567">
      <x:c r="A567" s="31" t="n">
        <x:v>56.5</x:v>
      </x:c>
      <x:c r="B567" s="31"/>
      <x:c r="C567" s="31" t="n">
        <x:v>50</x:v>
      </x:c>
      <x:c r="D567" s="31" t="n">
        <x:v>64.97245680469372</x:v>
      </x:c>
      <x:c r="E567" s="31"/>
      <x:c r="F567" s="31" t="n">
        <x:v>79.86923434543255</x:v>
      </x:c>
      <x:c r="G567" s="31"/>
      <x:c r="H567" s="31" t="n">
        <x:v>74.37472798543212</x:v>
      </x:c>
      <x:c r="I567" s="31" t="n">
        <x:v>70.42201993624025</x:v>
      </x:c>
      <x:c r="J567" s="31"/>
      <x:c r="K567" s="31"/>
      <x:c r="L567" s="31"/>
      <x:c r="M567" s="31"/>
      <x:c r="N567" s="31"/>
      <x:c r="O567" s="31"/>
      <x:c r="P567" s="31"/>
      <x:c r="Q567" s="31"/>
      <x:c r="R567" s="31" t="n">
        <x:v>70.07253919735533</x:v>
      </x:c>
      <x:c r="S567" s="31"/>
      <x:c r="T567" s="31"/>
      <x:c r="U567" s="31"/>
    </x:row>
    <x:row r="568">
      <x:c r="A568" s="31" t="n">
        <x:v>56.6</x:v>
      </x:c>
      <x:c r="B568" s="31"/>
      <x:c r="C568" s="31" t="n">
        <x:v>63.196399690011376</x:v>
      </x:c>
      <x:c r="D568" s="31" t="n">
        <x:v>66.84086894938108</x:v>
      </x:c>
      <x:c r="E568" s="31"/>
      <x:c r="F568" s="31" t="n">
        <x:v>79.86923434543255</x:v>
      </x:c>
      <x:c r="G568" s="31"/>
      <x:c r="H568" s="31" t="n">
        <x:v>69.6211797720551</x:v>
      </x:c>
      <x:c r="I568" s="31" t="n">
        <x:v>84.1782047035799</x:v>
      </x:c>
      <x:c r="J568" s="31"/>
      <x:c r="K568" s="31"/>
      <x:c r="L568" s="31"/>
      <x:c r="M568" s="31"/>
      <x:c r="N568" s="31"/>
      <x:c r="O568" s="31"/>
      <x:c r="P568" s="31"/>
      <x:c r="Q568" s="31"/>
      <x:c r="R568" s="31" t="n">
        <x:v>69.18211693044412</x:v>
      </x:c>
      <x:c r="S568" s="31"/>
      <x:c r="T568" s="31"/>
      <x:c r="U568" s="31"/>
    </x:row>
    <x:row r="569">
      <x:c r="A569" s="31" t="n">
        <x:v>56.7</x:v>
      </x:c>
      <x:c r="B569" s="31"/>
      <x:c r="C569" s="31" t="n">
        <x:v>63.196399690011376</x:v>
      </x:c>
      <x:c r="D569" s="31" t="n">
        <x:v>66.9054361639386</x:v>
      </x:c>
      <x:c r="E569" s="31"/>
      <x:c r="F569" s="31" t="n">
        <x:v>75.16724009656008</x:v>
      </x:c>
      <x:c r="G569" s="31"/>
      <x:c r="H569" s="31"/>
      <x:c r="I569" s="31" t="n">
        <x:v>84.1782047035799</x:v>
      </x:c>
      <x:c r="J569" s="31"/>
      <x:c r="K569" s="31"/>
      <x:c r="L569" s="31"/>
      <x:c r="M569" s="31"/>
      <x:c r="N569" s="31"/>
      <x:c r="O569" s="31"/>
      <x:c r="P569" s="31"/>
      <x:c r="Q569" s="31"/>
      <x:c r="R569" s="31" t="n">
        <x:v>81.82604677301768</x:v>
      </x:c>
      <x:c r="S569" s="31"/>
      <x:c r="T569" s="31"/>
      <x:c r="U569" s="31"/>
    </x:row>
    <x:row r="570">
      <x:c r="A570" s="31" t="n">
        <x:v>56.800000000000004</x:v>
      </x:c>
      <x:c r="B570" s="31"/>
      <x:c r="C570" s="31" t="n">
        <x:v>61.608198149802725</x:v>
      </x:c>
      <x:c r="D570" s="31" t="n">
        <x:v>65.768296072108</x:v>
      </x:c>
      <x:c r="E570" s="31"/>
      <x:c r="F570" s="31" t="n">
        <x:v>65.50521453683999</x:v>
      </x:c>
      <x:c r="G570" s="31"/>
      <x:c r="H570" s="31"/>
      <x:c r="I570" s="31" t="n">
        <x:v>79.81310456453441</x:v>
      </x:c>
      <x:c r="J570" s="31"/>
      <x:c r="K570" s="31"/>
      <x:c r="L570" s="31"/>
      <x:c r="M570" s="31"/>
      <x:c r="N570" s="31"/>
      <x:c r="O570" s="31"/>
      <x:c r="P570" s="31"/>
      <x:c r="Q570" s="31"/>
      <x:c r="R570" s="31" t="n">
        <x:v>82.4913864699107</x:v>
      </x:c>
      <x:c r="S570" s="31"/>
      <x:c r="T570" s="31"/>
      <x:c r="U570" s="31"/>
    </x:row>
    <x:row r="571">
      <x:c r="A571" s="31" t="n">
        <x:v>56.900000000000006</x:v>
      </x:c>
      <x:c r="B571" s="31"/>
      <x:c r="C571" s="31" t="n">
        <x:v>50.26259133498843</x:v>
      </x:c>
      <x:c r="D571" s="31" t="n">
        <x:v>64.91502363111415</x:v>
      </x:c>
      <x:c r="E571" s="31"/>
      <x:c r="F571" s="31" t="n">
        <x:v>56.052292396599114</x:v>
      </x:c>
      <x:c r="G571" s="31"/>
      <x:c r="H571" s="31"/>
      <x:c r="I571" s="31" t="n">
        <x:v>71.63493748432835</x:v>
      </x:c>
      <x:c r="J571" s="31"/>
      <x:c r="K571" s="31"/>
      <x:c r="L571" s="31"/>
      <x:c r="M571" s="31"/>
      <x:c r="N571" s="31"/>
      <x:c r="O571" s="31"/>
      <x:c r="P571" s="31"/>
      <x:c r="Q571" s="31"/>
      <x:c r="R571" s="31" t="n">
        <x:v>81.7491018760868</x:v>
      </x:c>
      <x:c r="S571" s="31"/>
      <x:c r="T571" s="31"/>
      <x:c r="U571" s="31"/>
    </x:row>
    <x:row r="572">
      <x:c r="A572" s="31" t="n">
        <x:v>57</x:v>
      </x:c>
      <x:c r="B572" s="31"/>
      <x:c r="C572" s="31" t="n">
        <x:v>68.30211047834595</x:v>
      </x:c>
      <x:c r="D572" s="31" t="n">
        <x:v>64.19644261590443</x:v>
      </x:c>
      <x:c r="E572" s="31"/>
      <x:c r="F572" s="31" t="n">
        <x:v>56.052292396599114</x:v>
      </x:c>
      <x:c r="G572" s="31"/>
      <x:c r="H572" s="31"/>
      <x:c r="I572" s="31" t="n">
        <x:v>62.25091830301183</x:v>
      </x:c>
      <x:c r="J572" s="31"/>
      <x:c r="K572" s="31"/>
      <x:c r="L572" s="31"/>
      <x:c r="M572" s="31"/>
      <x:c r="N572" s="31"/>
      <x:c r="O572" s="31"/>
      <x:c r="P572" s="31"/>
      <x:c r="Q572" s="31"/>
      <x:c r="R572" s="31" t="n">
        <x:v>70.38489540049517</x:v>
      </x:c>
      <x:c r="S572" s="31"/>
      <x:c r="T572" s="31"/>
      <x:c r="U572" s="31"/>
    </x:row>
    <x:row r="573">
      <x:c r="A573" s="31" t="n">
        <x:v>57.1</x:v>
      </x:c>
      <x:c r="B573" s="31"/>
      <x:c r="C573" s="31" t="n">
        <x:v>74.14847143658558</x:v>
      </x:c>
      <x:c r="D573" s="31" t="n">
        <x:v>78.77104087450313</x:v>
      </x:c>
      <x:c r="E573" s="31"/>
      <x:c r="F573" s="31" t="n">
        <x:v>51.75136388032511</x:v>
      </x:c>
      <x:c r="G573" s="31"/>
      <x:c r="H573" s="31"/>
      <x:c r="I573" s="31" t="n">
        <x:v>50</x:v>
      </x:c>
      <x:c r="J573" s="31"/>
      <x:c r="K573" s="31"/>
      <x:c r="L573" s="31"/>
      <x:c r="M573" s="31"/>
      <x:c r="N573" s="31"/>
      <x:c r="O573" s="31"/>
      <x:c r="P573" s="31"/>
      <x:c r="Q573" s="31"/>
      <x:c r="R573" s="31" t="n">
        <x:v>50</x:v>
      </x:c>
      <x:c r="S573" s="31"/>
      <x:c r="T573" s="31"/>
      <x:c r="U573" s="31"/>
    </x:row>
    <x:row r="574">
      <x:c r="A574" s="31" t="n">
        <x:v>57.2</x:v>
      </x:c>
      <x:c r="B574" s="31"/>
      <x:c r="C574" s="31" t="n">
        <x:v>74.14847143658558</x:v>
      </x:c>
      <x:c r="D574" s="31" t="n">
        <x:v>78.77104087450313</x:v>
      </x:c>
      <x:c r="E574" s="31"/>
      <x:c r="F574" s="31" t="n">
        <x:v>60.50818328194941</x:v>
      </x:c>
      <x:c r="G574" s="31"/>
      <x:c r="H574" s="31"/>
      <x:c r="I574" s="31" t="n">
        <x:v>69.98763329778504</x:v>
      </x:c>
      <x:c r="J574" s="31"/>
      <x:c r="K574" s="31"/>
      <x:c r="L574" s="31"/>
      <x:c r="M574" s="31"/>
      <x:c r="N574" s="31"/>
      <x:c r="O574" s="31"/>
      <x:c r="P574" s="31"/>
      <x:c r="Q574" s="31"/>
      <x:c r="R574" s="31" t="n">
        <x:v>50</x:v>
      </x:c>
      <x:c r="S574" s="31"/>
      <x:c r="T574" s="31"/>
      <x:c r="U574" s="31"/>
    </x:row>
    <x:row r="575">
      <x:c r="A575" s="31" t="n">
        <x:v>57.300000000000004</x:v>
      </x:c>
      <x:c r="B575" s="31"/>
      <x:c r="C575" s="31" t="n">
        <x:v>72.41639973367535</x:v>
      </x:c>
      <x:c r="D575" s="31" t="n">
        <x:v>74.77324923270011</x:v>
      </x:c>
      <x:c r="E575" s="31"/>
      <x:c r="F575" s="31" t="n">
        <x:v>62.893590267994895</x:v>
      </x:c>
      <x:c r="G575" s="31"/>
      <x:c r="H575" s="31"/>
      <x:c r="I575" s="31" t="n">
        <x:v>69.98763329778504</x:v>
      </x:c>
      <x:c r="J575" s="31"/>
      <x:c r="K575" s="31"/>
      <x:c r="L575" s="31"/>
      <x:c r="M575" s="31"/>
      <x:c r="N575" s="31"/>
      <x:c r="O575" s="31"/>
      <x:c r="P575" s="31"/>
      <x:c r="Q575" s="31"/>
      <x:c r="R575" s="31" t="n">
        <x:v>55.91030641382086</x:v>
      </x:c>
      <x:c r="S575" s="31"/>
      <x:c r="T575" s="31"/>
      <x:c r="U575" s="31"/>
    </x:row>
    <x:row r="576">
      <x:c r="A576" s="31" t="n">
        <x:v>57.400000000000006</x:v>
      </x:c>
      <x:c r="B576" s="31"/>
      <x:c r="C576" s="31" t="n">
        <x:v>66.05021966548536</x:v>
      </x:c>
      <x:c r="D576" s="31" t="n">
        <x:v>65.30831338130221</x:v>
      </x:c>
      <x:c r="E576" s="31"/>
      <x:c r="F576" s="31" t="n">
        <x:v>62.893590267995855</x:v>
      </x:c>
      <x:c r="G576" s="31"/>
      <x:c r="H576" s="31"/>
      <x:c r="I576" s="31" t="n">
        <x:v>72.85554232315714</x:v>
      </x:c>
      <x:c r="J576" s="31"/>
      <x:c r="K576" s="31"/>
      <x:c r="L576" s="31"/>
      <x:c r="M576" s="31"/>
      <x:c r="N576" s="31"/>
      <x:c r="O576" s="31"/>
      <x:c r="P576" s="31"/>
      <x:c r="Q576" s="31"/>
      <x:c r="R576" s="31" t="n">
        <x:v>63.790714965581536</x:v>
      </x:c>
      <x:c r="S576" s="31"/>
      <x:c r="T576" s="31"/>
      <x:c r="U576" s="31"/>
    </x:row>
    <x:row r="577">
      <x:c r="A577" s="31" t="n">
        <x:v>57.5</x:v>
      </x:c>
      <x:c r="B577" s="31"/>
      <x:c r="C577" s="31" t="n">
        <x:v>65.75120865822814</x:v>
      </x:c>
      <x:c r="D577" s="31" t="n">
        <x:v>62.35509562259993</x:v>
      </x:c>
      <x:c r="E577" s="31"/>
      <x:c r="F577" s="31" t="n">
        <x:v>68.34345923435387</x:v>
      </x:c>
      <x:c r="G577" s="31"/>
      <x:c r="H577" s="31"/>
      <x:c r="I577" s="31" t="n">
        <x:v>76.81656898761653</x:v>
      </x:c>
      <x:c r="J577" s="31"/>
      <x:c r="K577" s="31"/>
      <x:c r="L577" s="31"/>
      <x:c r="M577" s="31"/>
      <x:c r="N577" s="31"/>
      <x:c r="O577" s="31"/>
      <x:c r="P577" s="31"/>
      <x:c r="Q577" s="31"/>
      <x:c r="R577" s="31" t="n">
        <x:v>63.790714965581536</x:v>
      </x:c>
      <x:c r="S577" s="31"/>
      <x:c r="T577" s="31"/>
      <x:c r="U577" s="31"/>
    </x:row>
    <x:row r="578">
      <x:c r="A578" s="31" t="n">
        <x:v>57.6</x:v>
      </x:c>
      <x:c r="B578" s="31"/>
      <x:c r="C578" s="31" t="n">
        <x:v>66.45872163279687</x:v>
      </x:c>
      <x:c r="D578" s="31" t="n">
        <x:v>62.269119910484115</x:v>
      </x:c>
      <x:c r="E578" s="31"/>
      <x:c r="F578" s="31" t="n">
        <x:v>68.34345923435387</x:v>
      </x:c>
      <x:c r="G578" s="31"/>
      <x:c r="H578" s="31"/>
      <x:c r="I578" s="31" t="n">
        <x:v>76.81656898761653</x:v>
      </x:c>
      <x:c r="J578" s="31"/>
      <x:c r="K578" s="31"/>
      <x:c r="L578" s="31"/>
      <x:c r="M578" s="31"/>
      <x:c r="N578" s="31"/>
      <x:c r="O578" s="31"/>
      <x:c r="P578" s="31"/>
      <x:c r="Q578" s="31"/>
      <x:c r="R578" s="31" t="n">
        <x:v>84.27808893803532</x:v>
      </x:c>
      <x:c r="S578" s="31"/>
      <x:c r="T578" s="31"/>
      <x:c r="U578" s="31"/>
    </x:row>
    <x:row r="579">
      <x:c r="A579" s="31" t="n">
        <x:v>57.7</x:v>
      </x:c>
      <x:c r="B579" s="31"/>
      <x:c r="C579" s="31" t="n">
        <x:v>67.26143098185999</x:v>
      </x:c>
      <x:c r="D579" s="31"/>
      <x:c r="E579" s="31"/>
      <x:c r="F579" s="31" t="n">
        <x:v>61.29390766731337</x:v>
      </x:c>
      <x:c r="G579" s="31"/>
      <x:c r="H579" s="31"/>
      <x:c r="I579" s="31" t="n">
        <x:v>65.51967940079686</x:v>
      </x:c>
      <x:c r="J579" s="31"/>
      <x:c r="K579" s="31"/>
      <x:c r="L579" s="31"/>
      <x:c r="M579" s="31"/>
      <x:c r="N579" s="31"/>
      <x:c r="O579" s="31"/>
      <x:c r="P579" s="31"/>
      <x:c r="Q579" s="31"/>
      <x:c r="R579" s="31" t="n">
        <x:v>84.27808893803532</x:v>
      </x:c>
      <x:c r="S579" s="31"/>
      <x:c r="T579" s="31"/>
      <x:c r="U579" s="31"/>
    </x:row>
    <x:row r="580">
      <x:c r="A580" s="31" t="n">
        <x:v>57.800000000000004</x:v>
      </x:c>
      <x:c r="B580" s="31"/>
      <x:c r="C580" s="31" t="n">
        <x:v>68.66374368967882</x:v>
      </x:c>
      <x:c r="D580" s="31"/>
      <x:c r="E580" s="31"/>
      <x:c r="F580" s="31" t="n">
        <x:v>56.75263723913864</x:v>
      </x:c>
      <x:c r="G580" s="31"/>
      <x:c r="H580" s="31"/>
      <x:c r="I580" s="31" t="n">
        <x:v>65.97525119677262</x:v>
      </x:c>
      <x:c r="J580" s="31"/>
      <x:c r="K580" s="31"/>
      <x:c r="L580" s="31"/>
      <x:c r="M580" s="31"/>
      <x:c r="N580" s="31"/>
      <x:c r="O580" s="31"/>
      <x:c r="P580" s="31"/>
      <x:c r="Q580" s="31"/>
      <x:c r="R580" s="31" t="n">
        <x:v>78.14623998904314</x:v>
      </x:c>
      <x:c r="S580" s="31"/>
      <x:c r="T580" s="31"/>
      <x:c r="U580" s="31"/>
    </x:row>
    <x:row r="581">
      <x:c r="A581" s="31" t="n">
        <x:v>57.900000000000006</x:v>
      </x:c>
      <x:c r="B581" s="31"/>
      <x:c r="C581" s="31" t="n">
        <x:v>68.66374368967882</x:v>
      </x:c>
      <x:c r="D581" s="31"/>
      <x:c r="E581" s="31"/>
      <x:c r="F581" s="31" t="n">
        <x:v>64.47533643176807</x:v>
      </x:c>
      <x:c r="G581" s="31"/>
      <x:c r="H581" s="31"/>
      <x:c r="I581" s="31" t="n">
        <x:v>71.65365680275714</x:v>
      </x:c>
      <x:c r="J581" s="31"/>
      <x:c r="K581" s="31"/>
      <x:c r="L581" s="31"/>
      <x:c r="M581" s="31"/>
      <x:c r="N581" s="31"/>
      <x:c r="O581" s="31"/>
      <x:c r="P581" s="31"/>
      <x:c r="Q581" s="31"/>
      <x:c r="R581" s="31" t="n">
        <x:v>74.20743950879469</x:v>
      </x:c>
      <x:c r="S581" s="31"/>
      <x:c r="T581" s="31"/>
      <x:c r="U581" s="31"/>
    </x:row>
    <x:row r="582">
      <x:c r="A582" s="31" t="n">
        <x:v>58</x:v>
      </x:c>
      <x:c r="B582" s="31"/>
      <x:c r="C582" s="31" t="n">
        <x:v>67.87109852865494</x:v>
      </x:c>
      <x:c r="D582" s="31"/>
      <x:c r="E582" s="31"/>
      <x:c r="F582" s="31" t="n">
        <x:v>65.31916505829976</x:v>
      </x:c>
      <x:c r="G582" s="31"/>
      <x:c r="H582" s="31"/>
      <x:c r="I582" s="31" t="n">
        <x:v>72.9640967396528</x:v>
      </x:c>
      <x:c r="J582" s="31"/>
      <x:c r="K582" s="31"/>
      <x:c r="L582" s="31"/>
      <x:c r="M582" s="31"/>
      <x:c r="N582" s="31"/>
      <x:c r="O582" s="31"/>
      <x:c r="P582" s="31"/>
      <x:c r="Q582" s="31"/>
      <x:c r="R582" s="31" t="n">
        <x:v>71.34297049394058</x:v>
      </x:c>
      <x:c r="S582" s="31"/>
      <x:c r="T582" s="31"/>
      <x:c r="U582" s="31"/>
    </x:row>
    <x:row r="583">
      <x:c r="A583" s="31" t="n">
        <x:v>58.1</x:v>
      </x:c>
      <x:c r="B583" s="31"/>
      <x:c r="C583" s="31" t="n">
        <x:v>68.78169798673004</x:v>
      </x:c>
      <x:c r="D583" s="31"/>
      <x:c r="E583" s="31"/>
      <x:c r="F583" s="31" t="n">
        <x:v>64.98603958588257</x:v>
      </x:c>
      <x:c r="G583" s="31"/>
      <x:c r="H583" s="31"/>
      <x:c r="I583" s="31" t="n">
        <x:v>73.27627400060815</x:v>
      </x:c>
      <x:c r="J583" s="31"/>
      <x:c r="K583" s="31"/>
      <x:c r="L583" s="31"/>
      <x:c r="M583" s="31"/>
      <x:c r="N583" s="31"/>
      <x:c r="O583" s="31"/>
      <x:c r="P583" s="31"/>
      <x:c r="Q583" s="31"/>
      <x:c r="R583" s="31" t="n">
        <x:v>69.06215032662243</x:v>
      </x:c>
      <x:c r="S583" s="31"/>
      <x:c r="T583" s="31"/>
      <x:c r="U583" s="31"/>
    </x:row>
    <x:row r="584">
      <x:c r="A584" s="31" t="n">
        <x:v>58.2</x:v>
      </x:c>
      <x:c r="B584" s="31"/>
      <x:c r="C584" s="31" t="n">
        <x:v>69.39844456091743</x:v>
      </x:c>
      <x:c r="D584" s="31"/>
      <x:c r="E584" s="31"/>
      <x:c r="F584" s="31" t="n">
        <x:v>64.98603958588257</x:v>
      </x:c>
      <x:c r="G584" s="31"/>
      <x:c r="H584" s="31"/>
      <x:c r="I584" s="31" t="n">
        <x:v>73.27627400060815</x:v>
      </x:c>
      <x:c r="J584" s="31"/>
      <x:c r="K584" s="31"/>
      <x:c r="L584" s="31"/>
      <x:c r="M584" s="31"/>
      <x:c r="N584" s="31"/>
      <x:c r="O584" s="31"/>
      <x:c r="P584" s="31"/>
      <x:c r="Q584" s="31"/>
      <x:c r="R584" s="31" t="n">
        <x:v>68.35373601984068</x:v>
      </x:c>
      <x:c r="S584" s="31"/>
      <x:c r="T584" s="31"/>
      <x:c r="U584" s="31"/>
    </x:row>
    <x:row r="585">
      <x:c r="A585" s="31" t="n">
        <x:v>58.300000000000004</x:v>
      </x:c>
      <x:c r="B585" s="31"/>
      <x:c r="C585" s="31" t="n">
        <x:v>69.12670461537034</x:v>
      </x:c>
      <x:c r="D585" s="31"/>
      <x:c r="E585" s="31"/>
      <x:c r="F585" s="31" t="n">
        <x:v>66.24382076707546</x:v>
      </x:c>
      <x:c r="G585" s="31"/>
      <x:c r="H585" s="31"/>
      <x:c r="I585" s="31" t="n">
        <x:v>72.62757945491148</x:v>
      </x:c>
      <x:c r="J585" s="31"/>
      <x:c r="K585" s="31"/>
      <x:c r="L585" s="31"/>
      <x:c r="M585" s="31"/>
      <x:c r="N585" s="31"/>
      <x:c r="O585" s="31"/>
      <x:c r="P585" s="31"/>
      <x:c r="Q585" s="31"/>
      <x:c r="R585" s="31" t="n">
        <x:v>68.85307543208</x:v>
      </x:c>
      <x:c r="S585" s="31"/>
      <x:c r="T585" s="31"/>
      <x:c r="U585" s="31"/>
    </x:row>
    <x:row r="586">
      <x:c r="A586" s="31" t="n">
        <x:v>58.400000000000006</x:v>
      </x:c>
      <x:c r="B586" s="31"/>
      <x:c r="C586" s="31" t="n">
        <x:v>85.04331815096405</x:v>
      </x:c>
      <x:c r="D586" s="31"/>
      <x:c r="E586" s="31"/>
      <x:c r="F586" s="31" t="n">
        <x:v>66.47422155751178</x:v>
      </x:c>
      <x:c r="G586" s="31"/>
      <x:c r="H586" s="31"/>
      <x:c r="I586" s="31" t="n">
        <x:v>73.66441016959539</x:v>
      </x:c>
      <x:c r="J586" s="31"/>
      <x:c r="K586" s="31"/>
      <x:c r="L586" s="31"/>
      <x:c r="M586" s="31"/>
      <x:c r="N586" s="31"/>
      <x:c r="O586" s="31"/>
      <x:c r="P586" s="31"/>
      <x:c r="Q586" s="31"/>
      <x:c r="R586" s="31" t="n">
        <x:v>68.85307543208012</x:v>
      </x:c>
      <x:c r="S586" s="31"/>
      <x:c r="T586" s="31"/>
      <x:c r="U586" s="31"/>
    </x:row>
    <x:row r="587">
      <x:c r="A587" s="31" t="n">
        <x:v>58.5</x:v>
      </x:c>
      <x:c r="B587" s="31"/>
      <x:c r="C587" s="31" t="n">
        <x:v>89.7898720675935</x:v>
      </x:c>
      <x:c r="D587" s="31"/>
      <x:c r="E587" s="31"/>
      <x:c r="F587" s="31" t="n">
        <x:v>66.62230332465057</x:v>
      </x:c>
      <x:c r="G587" s="31"/>
      <x:c r="H587" s="31"/>
      <x:c r="I587" s="31" t="n">
        <x:v>73.66441016959539</x:v>
      </x:c>
      <x:c r="J587" s="31"/>
      <x:c r="K587" s="31"/>
      <x:c r="L587" s="31"/>
      <x:c r="M587" s="31"/>
      <x:c r="N587" s="31"/>
      <x:c r="O587" s="31"/>
      <x:c r="P587" s="31"/>
      <x:c r="Q587" s="31"/>
      <x:c r="R587" s="31" t="n">
        <x:v>70.45746091384149</x:v>
      </x:c>
      <x:c r="S587" s="31"/>
      <x:c r="T587" s="31"/>
      <x:c r="U587" s="31"/>
    </x:row>
    <x:row r="588">
      <x:c r="A588" s="31" t="n">
        <x:v>58.6</x:v>
      </x:c>
      <x:c r="B588" s="31"/>
      <x:c r="C588" s="31" t="n">
        <x:v>89.7898720675935</x:v>
      </x:c>
      <x:c r="D588" s="31"/>
      <x:c r="E588" s="31"/>
      <x:c r="F588" s="31" t="n">
        <x:v>66.71914942609345</x:v>
      </x:c>
      <x:c r="G588" s="31"/>
      <x:c r="H588" s="31"/>
      <x:c r="I588" s="31" t="n">
        <x:v>72.42555311318769</x:v>
      </x:c>
      <x:c r="J588" s="31"/>
      <x:c r="K588" s="31"/>
      <x:c r="L588" s="31"/>
      <x:c r="M588" s="31"/>
      <x:c r="N588" s="31"/>
      <x:c r="O588" s="31"/>
      <x:c r="P588" s="31"/>
      <x:c r="Q588" s="31"/>
      <x:c r="R588" s="31" t="n">
        <x:v>70.45746091384149</x:v>
      </x:c>
      <x:c r="S588" s="31"/>
      <x:c r="T588" s="31"/>
      <x:c r="U588" s="31"/>
    </x:row>
    <x:row r="589">
      <x:c r="A589" s="31" t="n">
        <x:v>58.7</x:v>
      </x:c>
      <x:c r="B589" s="31"/>
      <x:c r="C589" s="31" t="n">
        <x:v>82.05280058698752</x:v>
      </x:c>
      <x:c r="D589" s="31"/>
      <x:c r="E589" s="31"/>
      <x:c r="F589" s="31" t="n">
        <x:v>66.71914942609345</x:v>
      </x:c>
      <x:c r="G589" s="31"/>
      <x:c r="H589" s="31"/>
      <x:c r="I589" s="31" t="n">
        <x:v>70.06834279595199</x:v>
      </x:c>
      <x:c r="J589" s="31"/>
      <x:c r="K589" s="31"/>
      <x:c r="L589" s="31"/>
      <x:c r="M589" s="31"/>
      <x:c r="N589" s="31"/>
      <x:c r="O589" s="31"/>
      <x:c r="P589" s="31"/>
      <x:c r="Q589" s="31"/>
      <x:c r="R589" s="31" t="n">
        <x:v>68.23185987080234</x:v>
      </x:c>
      <x:c r="S589" s="31"/>
      <x:c r="T589" s="31"/>
      <x:c r="U589" s="31"/>
    </x:row>
    <x:row r="590">
      <x:c r="A590" s="31" t="n">
        <x:v>58.800000000000004</x:v>
      </x:c>
      <x:c r="B590" s="31"/>
      <x:c r="C590" s="31" t="n">
        <x:v>75.09303262223602</x:v>
      </x:c>
      <x:c r="D590" s="31"/>
      <x:c r="E590" s="31"/>
      <x:c r="F590" s="31" t="n">
        <x:v>67.34183991474384</x:v>
      </x:c>
      <x:c r="G590" s="31"/>
      <x:c r="H590" s="31"/>
      <x:c r="I590" s="31" t="n">
        <x:v>83.60685800303982</x:v>
      </x:c>
      <x:c r="J590" s="31"/>
      <x:c r="K590" s="31"/>
      <x:c r="L590" s="31"/>
      <x:c r="M590" s="31"/>
      <x:c r="N590" s="31"/>
      <x:c r="O590" s="31"/>
      <x:c r="P590" s="31"/>
      <x:c r="Q590" s="31"/>
      <x:c r="R590" s="31" t="n">
        <x:v>68.15992442017406</x:v>
      </x:c>
      <x:c r="S590" s="31"/>
      <x:c r="T590" s="31"/>
      <x:c r="U590" s="31"/>
    </x:row>
    <x:row r="591">
      <x:c r="A591" s="31" t="n">
        <x:v>58.900000000000006</x:v>
      </x:c>
      <x:c r="B591" s="31"/>
      <x:c r="C591" s="31" t="n">
        <x:v>72.93683987537325</x:v>
      </x:c>
      <x:c r="D591" s="31"/>
      <x:c r="E591" s="31"/>
      <x:c r="F591" s="31" t="n">
        <x:v>67.34183991474384</x:v>
      </x:c>
      <x:c r="G591" s="31"/>
      <x:c r="H591" s="31"/>
      <x:c r="I591" s="31" t="n">
        <x:v>84.44826061258117</x:v>
      </x:c>
      <x:c r="J591" s="31"/>
      <x:c r="K591" s="31"/>
      <x:c r="L591" s="31"/>
      <x:c r="M591" s="31"/>
      <x:c r="N591" s="31"/>
      <x:c r="O591" s="31"/>
      <x:c r="P591" s="31"/>
      <x:c r="Q591" s="31"/>
      <x:c r="R591" s="31" t="n">
        <x:v>64.06820584613399</x:v>
      </x:c>
      <x:c r="S591" s="31"/>
      <x:c r="T591" s="31"/>
      <x:c r="U591" s="31"/>
    </x:row>
    <x:row r="592">
      <x:c r="A592" s="31" t="n">
        <x:v>59</x:v>
      </x:c>
      <x:c r="B592" s="31"/>
      <x:c r="C592" s="31" t="n">
        <x:v>71.363187380961</x:v>
      </x:c>
      <x:c r="D592" s="31"/>
      <x:c r="E592" s="31"/>
      <x:c r="F592" s="31" t="n">
        <x:v>64.21260554321512</x:v>
      </x:c>
      <x:c r="G592" s="31"/>
      <x:c r="H592" s="31"/>
      <x:c r="I592" s="31" t="n">
        <x:v>83.36225808041456</x:v>
      </x:c>
      <x:c r="J592" s="31"/>
      <x:c r="K592" s="31"/>
      <x:c r="L592" s="31"/>
      <x:c r="M592" s="31"/>
      <x:c r="N592" s="31"/>
      <x:c r="O592" s="31"/>
      <x:c r="P592" s="31"/>
      <x:c r="Q592" s="31"/>
      <x:c r="R592" s="31" t="n">
        <x:v>75.2618118519249</x:v>
      </x:c>
      <x:c r="S592" s="31"/>
      <x:c r="T592" s="31"/>
      <x:c r="U592" s="31"/>
    </x:row>
    <x:row r="593">
      <x:c r="A593" s="31" t="n">
        <x:v>59.1</x:v>
      </x:c>
      <x:c r="B593" s="31"/>
      <x:c r="C593" s="31" t="n">
        <x:v>67.31216487016343</x:v>
      </x:c>
      <x:c r="D593" s="31"/>
      <x:c r="E593" s="31"/>
      <x:c r="F593" s="31" t="n">
        <x:v>78.41061190603003</x:v>
      </x:c>
      <x:c r="G593" s="31"/>
      <x:c r="H593" s="31"/>
      <x:c r="I593" s="31" t="n">
        <x:v>72.93760821189211</x:v>
      </x:c>
      <x:c r="J593" s="31"/>
      <x:c r="K593" s="31"/>
      <x:c r="L593" s="31"/>
      <x:c r="M593" s="31"/>
      <x:c r="N593" s="31"/>
      <x:c r="O593" s="31"/>
      <x:c r="P593" s="31"/>
      <x:c r="Q593" s="31"/>
      <x:c r="R593" s="31" t="n">
        <x:v>79.32573540490289</x:v>
      </x:c>
      <x:c r="S593" s="31"/>
      <x:c r="T593" s="31"/>
      <x:c r="U593" s="31"/>
    </x:row>
    <x:row r="594">
      <x:c r="A594" s="31" t="n">
        <x:v>59.2</x:v>
      </x:c>
      <x:c r="B594" s="31"/>
      <x:c r="C594" s="31" t="n">
        <x:v>67.31216487016343</x:v>
      </x:c>
      <x:c r="D594" s="31"/>
      <x:c r="E594" s="31"/>
      <x:c r="F594" s="31" t="n">
        <x:v>79.73272510326842</x:v>
      </x:c>
      <x:c r="G594" s="31"/>
      <x:c r="H594" s="31"/>
      <x:c r="I594" s="31" t="n">
        <x:v>62.484102371014586</x:v>
      </x:c>
      <x:c r="J594" s="31"/>
      <x:c r="K594" s="31"/>
      <x:c r="L594" s="31"/>
      <x:c r="M594" s="31"/>
      <x:c r="N594" s="31"/>
      <x:c r="O594" s="31"/>
      <x:c r="P594" s="31"/>
      <x:c r="Q594" s="31"/>
      <x:c r="R594" s="31" t="n">
        <x:v>79.32573540490289</x:v>
      </x:c>
      <x:c r="S594" s="31"/>
      <x:c r="T594" s="31"/>
      <x:c r="U594" s="31"/>
    </x:row>
    <x:row r="595">
      <x:c r="A595" s="31" t="n">
        <x:v>59.300000000000004</x:v>
      </x:c>
      <x:c r="B595" s="31"/>
      <x:c r="C595" s="31" t="n">
        <x:v>50</x:v>
      </x:c>
      <x:c r="D595" s="31"/>
      <x:c r="E595" s="31"/>
      <x:c r="F595" s="31" t="n">
        <x:v>79.73272510326757</x:v>
      </x:c>
      <x:c r="G595" s="31"/>
      <x:c r="H595" s="31"/>
      <x:c r="I595" s="31" t="n">
        <x:v>50</x:v>
      </x:c>
      <x:c r="J595" s="31"/>
      <x:c r="K595" s="31"/>
      <x:c r="L595" s="31"/>
      <x:c r="M595" s="31"/>
      <x:c r="N595" s="31"/>
      <x:c r="O595" s="31"/>
      <x:c r="P595" s="31"/>
      <x:c r="Q595" s="31"/>
      <x:c r="R595" s="31" t="n">
        <x:v>69.17719762847885</x:v>
      </x:c>
      <x:c r="S595" s="31"/>
      <x:c r="T595" s="31"/>
      <x:c r="U595" s="31"/>
    </x:row>
    <x:row r="596">
      <x:c r="A596" s="31" t="n">
        <x:v>59.400000000000006</x:v>
      </x:c>
      <x:c r="B596" s="31"/>
      <x:c r="C596" s="31" t="n">
        <x:v>50</x:v>
      </x:c>
      <x:c r="D596" s="31"/>
      <x:c r="E596" s="31"/>
      <x:c r="F596" s="31" t="n">
        <x:v>68.52068822136775</x:v>
      </x:c>
      <x:c r="G596" s="31"/>
      <x:c r="H596" s="31"/>
      <x:c r="I596" s="31" t="n">
        <x:v>69.09606870020467</x:v>
      </x:c>
      <x:c r="J596" s="31"/>
      <x:c r="K596" s="31"/>
      <x:c r="L596" s="31"/>
      <x:c r="M596" s="31"/>
      <x:c r="N596" s="31"/>
      <x:c r="O596" s="31"/>
      <x:c r="P596" s="31"/>
      <x:c r="Q596" s="31"/>
      <x:c r="R596" s="31" t="n">
        <x:v>57.60771691422984</x:v>
      </x:c>
      <x:c r="S596" s="31"/>
      <x:c r="T596" s="31"/>
      <x:c r="U596" s="31"/>
    </x:row>
    <x:row r="597">
      <x:c r="A597" s="31" t="n">
        <x:v>59.5</x:v>
      </x:c>
      <x:c r="B597" s="31"/>
      <x:c r="C597" s="31" t="n">
        <x:v>50</x:v>
      </x:c>
      <x:c r="D597" s="31"/>
      <x:c r="E597" s="31"/>
      <x:c r="F597" s="31" t="n">
        <x:v>54.06029913380108</x:v>
      </x:c>
      <x:c r="G597" s="31"/>
      <x:c r="H597" s="31"/>
      <x:c r="I597" s="31" t="n">
        <x:v>70.0837248722389</x:v>
      </x:c>
      <x:c r="J597" s="31"/>
      <x:c r="K597" s="31"/>
      <x:c r="L597" s="31"/>
      <x:c r="M597" s="31"/>
      <x:c r="N597" s="31"/>
      <x:c r="O597" s="31"/>
      <x:c r="P597" s="31"/>
      <x:c r="Q597" s="31"/>
      <x:c r="R597" s="31" t="n">
        <x:v>58.59399285159386</x:v>
      </x:c>
      <x:c r="S597" s="31"/>
      <x:c r="T597" s="31"/>
      <x:c r="U597" s="31"/>
    </x:row>
    <x:row r="598">
      <x:c r="A598" s="31" t="n">
        <x:v>59.6</x:v>
      </x:c>
      <x:c r="B598" s="31"/>
      <x:c r="C598" s="31" t="n">
        <x:v>70.25493557174605</x:v>
      </x:c>
      <x:c r="D598" s="31"/>
      <x:c r="E598" s="31"/>
      <x:c r="F598" s="31" t="n">
        <x:v>50</x:v>
      </x:c>
      <x:c r="G598" s="31"/>
      <x:c r="H598" s="31"/>
      <x:c r="I598" s="31" t="n">
        <x:v>66.44748021147583</x:v>
      </x:c>
      <x:c r="J598" s="31"/>
      <x:c r="K598" s="31"/>
      <x:c r="L598" s="31"/>
      <x:c r="M598" s="31"/>
      <x:c r="N598" s="31"/>
      <x:c r="O598" s="31"/>
      <x:c r="P598" s="31"/>
      <x:c r="Q598" s="31"/>
      <x:c r="R598" s="31" t="n">
        <x:v>59.58026878895795</x:v>
      </x:c>
      <x:c r="S598" s="31"/>
      <x:c r="T598" s="31"/>
      <x:c r="U598" s="31"/>
    </x:row>
    <x:row r="599">
      <x:c r="A599" s="31" t="n">
        <x:v>59.7</x:v>
      </x:c>
      <x:c r="B599" s="31"/>
      <x:c r="C599" s="31" t="n">
        <x:v>74.4710734559857</x:v>
      </x:c>
      <x:c r="D599" s="31"/>
      <x:c r="E599" s="31"/>
      <x:c r="F599" s="31" t="n">
        <x:v>52.09219691724953</x:v>
      </x:c>
      <x:c r="G599" s="31"/>
      <x:c r="H599" s="31"/>
      <x:c r="I599" s="31" t="n">
        <x:v>78.57988753500075</x:v>
      </x:c>
      <x:c r="J599" s="31"/>
      <x:c r="K599" s="31"/>
      <x:c r="L599" s="31"/>
      <x:c r="M599" s="31"/>
      <x:c r="N599" s="31"/>
      <x:c r="O599" s="31"/>
      <x:c r="P599" s="31"/>
      <x:c r="Q599" s="31"/>
      <x:c r="R599" s="31" t="n">
        <x:v>60.56654472632204</x:v>
      </x:c>
      <x:c r="S599" s="31"/>
      <x:c r="T599" s="31"/>
      <x:c r="U599" s="31"/>
    </x:row>
    <x:row r="600">
      <x:c r="A600" s="31" t="n">
        <x:v>59.800000000000004</x:v>
      </x:c>
      <x:c r="B600" s="31"/>
      <x:c r="C600" s="31" t="n">
        <x:v>74.4710734559857</x:v>
      </x:c>
      <x:c r="D600" s="31"/>
      <x:c r="E600" s="31"/>
      <x:c r="F600" s="31" t="n">
        <x:v>57.322689210372616</x:v>
      </x:c>
      <x:c r="G600" s="31"/>
      <x:c r="H600" s="31"/>
      <x:c r="I600" s="31" t="n">
        <x:v>78.57988753500075</x:v>
      </x:c>
      <x:c r="J600" s="31"/>
      <x:c r="K600" s="31"/>
      <x:c r="L600" s="31"/>
      <x:c r="M600" s="31"/>
      <x:c r="N600" s="31"/>
      <x:c r="O600" s="31"/>
      <x:c r="P600" s="31"/>
      <x:c r="Q600" s="31"/>
      <x:c r="R600" s="31" t="n">
        <x:v>78.98550837502917</x:v>
      </x:c>
      <x:c r="S600" s="31"/>
      <x:c r="T600" s="31"/>
      <x:c r="U600" s="31"/>
    </x:row>
    <x:row r="601">
      <x:c r="A601" s="31" t="n">
        <x:v>59.900000000000006</x:v>
      </x:c>
      <x:c r="B601" s="31"/>
      <x:c r="C601" s="31" t="n">
        <x:v>69.49148657899933</x:v>
      </x:c>
      <x:c r="D601" s="31"/>
      <x:c r="E601" s="31"/>
      <x:c r="F601" s="31" t="n">
        <x:v>62.553181503495324</x:v>
      </x:c>
      <x:c r="G601" s="31"/>
      <x:c r="H601" s="31"/>
      <x:c r="I601" s="31" t="n">
        <x:v>74.03236755759501</x:v>
      </x:c>
      <x:c r="J601" s="31"/>
      <x:c r="K601" s="31"/>
      <x:c r="L601" s="31"/>
      <x:c r="M601" s="31"/>
      <x:c r="N601" s="31"/>
      <x:c r="O601" s="31"/>
      <x:c r="P601" s="31"/>
      <x:c r="Q601" s="31"/>
      <x:c r="R601" s="31" t="n">
        <x:v>79.29817897544675</x:v>
      </x:c>
      <x:c r="S601" s="31"/>
      <x:c r="T601" s="31"/>
      <x:c r="U601" s="31"/>
    </x:row>
    <x:row r="602">
      <x:c r="A602" s="31" t="n">
        <x:v>60</x:v>
      </x:c>
      <x:c r="B602" s="31"/>
      <x:c r="C602" s="31" t="n">
        <x:v>58.73188453130194</x:v>
      </x:c>
      <x:c r="D602" s="31"/>
      <x:c r="E602" s="31"/>
      <x:c r="F602" s="31" t="n">
        <x:v>62.553181503495324</x:v>
      </x:c>
      <x:c r="G602" s="31"/>
      <x:c r="H602" s="31"/>
      <x:c r="I602" s="31" t="n">
        <x:v>61.263134359030474</x:v>
      </x:c>
      <x:c r="J602" s="31"/>
      <x:c r="K602" s="31"/>
      <x:c r="L602" s="31"/>
      <x:c r="M602" s="31"/>
      <x:c r="N602" s="31"/>
      <x:c r="O602" s="31"/>
      <x:c r="P602" s="31"/>
      <x:c r="Q602" s="31"/>
      <x:c r="R602" s="31" t="n">
        <x:v>77.5963675869103</x:v>
      </x:c>
      <x:c r="S602" s="31"/>
      <x:c r="T602" s="31"/>
      <x:c r="U602" s="31"/>
    </x:row>
    <x:row r="603">
      <x:c r="A603" s="31" t="n">
        <x:v>60.1</x:v>
      </x:c>
      <x:c r="B603" s="31"/>
      <x:c r="C603" s="31" t="n">
        <x:v>61.28974523658503</x:v>
      </x:c>
      <x:c r="D603" s="31"/>
      <x:c r="E603" s="31"/>
      <x:c r="F603" s="31" t="n">
        <x:v>69.8177771330803</x:v>
      </x:c>
      <x:c r="G603" s="31"/>
      <x:c r="H603" s="31"/>
      <x:c r="I603" s="31" t="n">
        <x:v>72.25261642088367</x:v>
      </x:c>
      <x:c r="J603" s="31"/>
      <x:c r="K603" s="31"/>
      <x:c r="L603" s="31"/>
      <x:c r="M603" s="31"/>
      <x:c r="N603" s="31"/>
      <x:c r="O603" s="31"/>
      <x:c r="P603" s="31"/>
      <x:c r="Q603" s="31"/>
      <x:c r="R603" s="31" t="n">
        <x:v>72.85281704067026</x:v>
      </x:c>
      <x:c r="S603" s="31"/>
      <x:c r="T603" s="31"/>
      <x:c r="U603" s="31"/>
    </x:row>
    <x:row r="604">
      <x:c r="A604" s="31" t="n">
        <x:v>60.2</x:v>
      </x:c>
      <x:c r="B604" s="31"/>
      <x:c r="C604" s="31" t="n">
        <x:v>67.61897898264844</x:v>
      </x:c>
      <x:c r="D604" s="31"/>
      <x:c r="E604" s="31"/>
      <x:c r="F604" s="31" t="n">
        <x:v>69.8177771330803</x:v>
      </x:c>
      <x:c r="G604" s="31"/>
      <x:c r="H604" s="31"/>
      <x:c r="I604" s="31" t="n">
        <x:v>72.54469249959834</x:v>
      </x:c>
      <x:c r="J604" s="31"/>
      <x:c r="K604" s="31"/>
      <x:c r="L604" s="31"/>
      <x:c r="M604" s="31"/>
      <x:c r="N604" s="31"/>
      <x:c r="O604" s="31"/>
      <x:c r="P604" s="31"/>
      <x:c r="Q604" s="31"/>
      <x:c r="R604" s="31" t="n">
        <x:v>72.85281704067026</x:v>
      </x:c>
      <x:c r="S604" s="31"/>
      <x:c r="T604" s="31"/>
      <x:c r="U604" s="31"/>
    </x:row>
    <x:row r="605">
      <x:c r="A605" s="31" t="n">
        <x:v>60.300000000000004</x:v>
      </x:c>
      <x:c r="B605" s="31"/>
      <x:c r="C605" s="31" t="n">
        <x:v>67.61897898264844</x:v>
      </x:c>
      <x:c r="D605" s="31"/>
      <x:c r="E605" s="31"/>
      <x:c r="F605" s="31" t="n">
        <x:v>67.38104299569798</x:v>
      </x:c>
      <x:c r="G605" s="31"/>
      <x:c r="H605" s="31"/>
      <x:c r="I605" s="31" t="n">
        <x:v>73.05595428188029</x:v>
      </x:c>
      <x:c r="J605" s="31"/>
      <x:c r="K605" s="31"/>
      <x:c r="L605" s="31"/>
      <x:c r="M605" s="31"/>
      <x:c r="N605" s="31"/>
      <x:c r="O605" s="31"/>
      <x:c r="P605" s="31"/>
      <x:c r="Q605" s="31"/>
      <x:c r="R605" s="31" t="n">
        <x:v>68.70583830673749</x:v>
      </x:c>
      <x:c r="S605" s="31"/>
      <x:c r="T605" s="31"/>
      <x:c r="U605" s="31"/>
    </x:row>
    <x:row r="606">
      <x:c r="A606" s="31" t="n">
        <x:v>60.400000000000006</x:v>
      </x:c>
      <x:c r="B606" s="31"/>
      <x:c r="C606" s="31" t="n">
        <x:v>66.63210187640537</x:v>
      </x:c>
      <x:c r="D606" s="31"/>
      <x:c r="E606" s="31"/>
      <x:c r="F606" s="31" t="n">
        <x:v>58.022954728986925</x:v>
      </x:c>
      <x:c r="G606" s="31"/>
      <x:c r="H606" s="31"/>
      <x:c r="I606" s="31" t="n">
        <x:v>73.64329424732267</x:v>
      </x:c>
      <x:c r="J606" s="31"/>
      <x:c r="K606" s="31"/>
      <x:c r="L606" s="31"/>
      <x:c r="M606" s="31"/>
      <x:c r="N606" s="31"/>
      <x:c r="O606" s="31"/>
      <x:c r="P606" s="31"/>
      <x:c r="Q606" s="31"/>
      <x:c r="R606" s="31" t="n">
        <x:v>68.70583830673738</x:v>
      </x:c>
      <x:c r="S606" s="31"/>
      <x:c r="T606" s="31"/>
      <x:c r="U606" s="31"/>
    </x:row>
    <x:row r="607">
      <x:c r="A607" s="31" t="n">
        <x:v>60.5</x:v>
      </x:c>
      <x:c r="B607" s="31"/>
      <x:c r="C607" s="31" t="n">
        <x:v>66.93445594983405</x:v>
      </x:c>
      <x:c r="D607" s="31"/>
      <x:c r="E607" s="31"/>
      <x:c r="F607" s="31" t="n">
        <x:v>62.4392693390174</x:v>
      </x:c>
      <x:c r="G607" s="31"/>
      <x:c r="H607" s="31"/>
      <x:c r="I607" s="31" t="n">
        <x:v>73.64329424732267</x:v>
      </x:c>
      <x:c r="J607" s="31"/>
      <x:c r="K607" s="31"/>
      <x:c r="L607" s="31"/>
      <x:c r="M607" s="31"/>
      <x:c r="N607" s="31"/>
      <x:c r="O607" s="31"/>
      <x:c r="P607" s="31"/>
      <x:c r="Q607" s="31"/>
      <x:c r="R607" s="31" t="n">
        <x:v>68.452594034722</x:v>
      </x:c>
      <x:c r="S607" s="31"/>
      <x:c r="T607" s="31"/>
      <x:c r="U607" s="31"/>
    </x:row>
    <x:row r="608">
      <x:c r="A608" s="31" t="n">
        <x:v>60.6</x:v>
      </x:c>
      <x:c r="B608" s="31"/>
      <x:c r="C608" s="31" t="n">
        <x:v>67.17184658043092</x:v>
      </x:c>
      <x:c r="D608" s="31"/>
      <x:c r="E608" s="31"/>
      <x:c r="F608" s="31" t="n">
        <x:v>65.6256783988693</x:v>
      </x:c>
      <x:c r="G608" s="31"/>
      <x:c r="H608" s="31"/>
      <x:c r="I608" s="31" t="n">
        <x:v>72.81036428382848</x:v>
      </x:c>
      <x:c r="J608" s="31"/>
      <x:c r="K608" s="31"/>
      <x:c r="L608" s="31"/>
      <x:c r="M608" s="31"/>
      <x:c r="N608" s="31"/>
      <x:c r="O608" s="31"/>
      <x:c r="P608" s="31"/>
      <x:c r="Q608" s="31"/>
      <x:c r="R608" s="31" t="n">
        <x:v>68.69213864975838</x:v>
      </x:c>
      <x:c r="S608" s="31"/>
      <x:c r="T608" s="31"/>
      <x:c r="U608" s="31"/>
    </x:row>
    <x:row r="609">
      <x:c r="A609" s="31" t="n">
        <x:v>60.7</x:v>
      </x:c>
      <x:c r="B609" s="31"/>
      <x:c r="C609" s="31" t="n">
        <x:v>67.17184658043092</x:v>
      </x:c>
      <x:c r="D609" s="31"/>
      <x:c r="E609" s="31"/>
      <x:c r="F609" s="31" t="n">
        <x:v>65.84177465056422</x:v>
      </x:c>
      <x:c r="G609" s="31"/>
      <x:c r="H609" s="31"/>
      <x:c r="I609" s="31" t="n">
        <x:v>73.66387971706894</x:v>
      </x:c>
      <x:c r="J609" s="31"/>
      <x:c r="K609" s="31"/>
      <x:c r="L609" s="31"/>
      <x:c r="M609" s="31"/>
      <x:c r="N609" s="31"/>
      <x:c r="O609" s="31"/>
      <x:c r="P609" s="31"/>
      <x:c r="Q609" s="31"/>
      <x:c r="R609" s="31" t="n">
        <x:v>70.43995447336745</x:v>
      </x:c>
      <x:c r="S609" s="31"/>
      <x:c r="T609" s="31"/>
      <x:c r="U609" s="31"/>
    </x:row>
    <x:row r="610">
      <x:c r="A610" s="31" t="n">
        <x:v>60.800000000000004</x:v>
      </x:c>
      <x:c r="B610" s="31"/>
      <x:c r="C610" s="31" t="n">
        <x:v>69.86520409149692</x:v>
      </x:c>
      <x:c r="D610" s="31"/>
      <x:c r="E610" s="31"/>
      <x:c r="F610" s="31" t="n">
        <x:v>65.84177465056422</x:v>
      </x:c>
      <x:c r="G610" s="31"/>
      <x:c r="H610" s="31"/>
      <x:c r="I610" s="31" t="n">
        <x:v>73.66387971706894</x:v>
      </x:c>
      <x:c r="J610" s="31"/>
      <x:c r="K610" s="31"/>
      <x:c r="L610" s="31"/>
      <x:c r="M610" s="31"/>
      <x:c r="N610" s="31"/>
      <x:c r="O610" s="31"/>
      <x:c r="P610" s="31"/>
      <x:c r="Q610" s="31"/>
      <x:c r="R610" s="31" t="n">
        <x:v>85.28358218082155</x:v>
      </x:c>
      <x:c r="S610" s="31"/>
      <x:c r="T610" s="31"/>
      <x:c r="U610" s="31"/>
    </x:row>
    <x:row r="611">
      <x:c r="A611" s="31" t="n">
        <x:v>60.900000000000006</x:v>
      </x:c>
      <x:c r="B611" s="31"/>
      <x:c r="C611" s="31" t="n">
        <x:v>70.07195701954251</x:v>
      </x:c>
      <x:c r="D611" s="31"/>
      <x:c r="E611" s="31"/>
      <x:c r="F611" s="31" t="n">
        <x:v>66.37849215890772</x:v>
      </x:c>
      <x:c r="G611" s="31"/>
      <x:c r="H611" s="31"/>
      <x:c r="I611" s="31" t="n">
        <x:v>70.6556573896062</x:v>
      </x:c>
      <x:c r="J611" s="31"/>
      <x:c r="K611" s="31"/>
      <x:c r="L611" s="31"/>
      <x:c r="M611" s="31"/>
      <x:c r="N611" s="31"/>
      <x:c r="O611" s="31"/>
      <x:c r="P611" s="31"/>
      <x:c r="Q611" s="31"/>
      <x:c r="R611" s="31" t="n">
        <x:v>88.4667259710696</x:v>
      </x:c>
      <x:c r="S611" s="31"/>
      <x:c r="T611" s="31"/>
      <x:c r="U611" s="31"/>
    </x:row>
    <x:row r="612">
      <x:c r="A612" s="31" t="n">
        <x:v>61</x:v>
      </x:c>
      <x:c r="B612" s="31"/>
      <x:c r="C612" s="31" t="n">
        <x:v>69.56813790708698</x:v>
      </x:c>
      <x:c r="D612" s="31"/>
      <x:c r="E612" s="31"/>
      <x:c r="F612" s="31" t="n">
        <x:v>67.08464376402507</x:v>
      </x:c>
      <x:c r="G612" s="31"/>
      <x:c r="H612" s="31"/>
      <x:c r="I612" s="31" t="n">
        <x:v>70.6556573896062</x:v>
      </x:c>
      <x:c r="J612" s="31"/>
      <x:c r="K612" s="31"/>
      <x:c r="L612" s="31"/>
      <x:c r="M612" s="31"/>
      <x:c r="N612" s="31"/>
      <x:c r="O612" s="31"/>
      <x:c r="P612" s="31"/>
      <x:c r="Q612" s="31"/>
      <x:c r="R612" s="31" t="n">
        <x:v>88.4667259710696</x:v>
      </x:c>
      <x:c r="S612" s="31"/>
      <x:c r="T612" s="31"/>
      <x:c r="U612" s="31"/>
    </x:row>
    <x:row r="613">
      <x:c r="A613" s="31" t="n">
        <x:v>61.1</x:v>
      </x:c>
      <x:c r="B613" s="31"/>
      <x:c r="C613" s="31" t="n">
        <x:v>66.95609602187179</x:v>
      </x:c>
      <x:c r="D613" s="31"/>
      <x:c r="E613" s="31"/>
      <x:c r="F613" s="31" t="n">
        <x:v>67.08464376402507</x:v>
      </x:c>
      <x:c r="G613" s="31"/>
      <x:c r="H613" s="31"/>
      <x:c r="I613" s="31" t="n">
        <x:v>78.7027784393602</x:v>
      </x:c>
      <x:c r="J613" s="31"/>
      <x:c r="K613" s="31"/>
      <x:c r="L613" s="31"/>
      <x:c r="M613" s="31"/>
      <x:c r="N613" s="31"/>
      <x:c r="O613" s="31"/>
      <x:c r="P613" s="31"/>
      <x:c r="Q613" s="31"/>
      <x:c r="R613" s="31" t="n">
        <x:v>84.27869977196346</x:v>
      </x:c>
      <x:c r="S613" s="31"/>
      <x:c r="T613" s="31"/>
      <x:c r="U613" s="31"/>
    </x:row>
    <x:row r="614">
      <x:c r="A614" s="31" t="n">
        <x:v>61.2</x:v>
      </x:c>
      <x:c r="B614" s="31"/>
      <x:c r="C614" s="31" t="n">
        <x:v>82.53298230517665</x:v>
      </x:c>
      <x:c r="D614" s="31"/>
      <x:c r="E614" s="31"/>
      <x:c r="F614" s="31" t="n">
        <x:v>66.79243962829585</x:v>
      </x:c>
      <x:c r="G614" s="31"/>
      <x:c r="H614" s="31"/>
      <x:c r="I614" s="31" t="n">
        <x:v>80.76486691439149</x:v>
      </x:c>
      <x:c r="J614" s="31"/>
      <x:c r="K614" s="31"/>
      <x:c r="L614" s="31"/>
      <x:c r="M614" s="31"/>
      <x:c r="N614" s="31"/>
      <x:c r="O614" s="31"/>
      <x:c r="P614" s="31"/>
      <x:c r="Q614" s="31"/>
      <x:c r="R614" s="31" t="n">
        <x:v>79.78452460105606</x:v>
      </x:c>
      <x:c r="S614" s="31"/>
      <x:c r="T614" s="31"/>
      <x:c r="U614" s="31"/>
    </x:row>
    <x:row r="615">
      <x:c r="A615" s="31" t="n">
        <x:v>61.300000000000004</x:v>
      </x:c>
      <x:c r="B615" s="31"/>
      <x:c r="C615" s="31" t="n">
        <x:v>82.53298230517665</x:v>
      </x:c>
      <x:c r="D615" s="31"/>
      <x:c r="E615" s="31"/>
      <x:c r="F615" s="31" t="n">
        <x:v>66.91180563399134</x:v>
      </x:c>
      <x:c r="G615" s="31"/>
      <x:c r="H615" s="31"/>
      <x:c r="I615" s="31" t="n">
        <x:v>80.76486691439148</x:v>
      </x:c>
      <x:c r="J615" s="31"/>
      <x:c r="K615" s="31"/>
      <x:c r="L615" s="31"/>
      <x:c r="M615" s="31"/>
      <x:c r="N615" s="31"/>
      <x:c r="O615" s="31"/>
      <x:c r="P615" s="31"/>
      <x:c r="Q615" s="31"/>
      <x:c r="R615" s="31" t="n">
        <x:v>70.59790699129758</x:v>
      </x:c>
      <x:c r="S615" s="31"/>
      <x:c r="T615" s="31"/>
      <x:c r="U615" s="31"/>
    </x:row>
    <x:row r="616">
      <x:c r="A616" s="31" t="n">
        <x:v>61.400000000000006</x:v>
      </x:c>
      <x:c r="B616" s="31"/>
      <x:c r="C616" s="31" t="n">
        <x:v>77.58260596190078</x:v>
      </x:c>
      <x:c r="D616" s="31"/>
      <x:c r="E616" s="31"/>
      <x:c r="F616" s="31" t="n">
        <x:v>68.71299071250267</x:v>
      </x:c>
      <x:c r="G616" s="31"/>
      <x:c r="H616" s="31"/>
      <x:c r="I616" s="31" t="n">
        <x:v>70.61692657839843</x:v>
      </x:c>
      <x:c r="J616" s="31"/>
      <x:c r="K616" s="31"/>
      <x:c r="L616" s="31"/>
      <x:c r="M616" s="31"/>
      <x:c r="N616" s="31"/>
      <x:c r="O616" s="31"/>
      <x:c r="P616" s="31"/>
      <x:c r="Q616" s="31"/>
      <x:c r="R616" s="31" t="n">
        <x:v>64.25631942680393</x:v>
      </x:c>
      <x:c r="S616" s="31"/>
      <x:c r="T616" s="31"/>
      <x:c r="U616" s="31"/>
    </x:row>
    <x:row r="617">
      <x:c r="A617" s="31" t="n">
        <x:v>61.5</x:v>
      </x:c>
      <x:c r="B617" s="31"/>
      <x:c r="C617" s="31" t="n">
        <x:v>69.7200103758535</x:v>
      </x:c>
      <x:c r="D617" s="31"/>
      <x:c r="E617" s="31"/>
      <x:c r="F617" s="31" t="n">
        <x:v>68.71299071250267</x:v>
      </x:c>
      <x:c r="G617" s="31"/>
      <x:c r="H617" s="31"/>
      <x:c r="I617" s="31" t="n">
        <x:v>50</x:v>
      </x:c>
      <x:c r="J617" s="31"/>
      <x:c r="K617" s="31"/>
      <x:c r="L617" s="31"/>
      <x:c r="M617" s="31"/>
      <x:c r="N617" s="31"/>
      <x:c r="O617" s="31"/>
      <x:c r="P617" s="31"/>
      <x:c r="Q617" s="31"/>
      <x:c r="R617" s="31" t="n">
        <x:v>65.75197388074395</x:v>
      </x:c>
      <x:c r="S617" s="31"/>
      <x:c r="T617" s="31"/>
      <x:c r="U617" s="31"/>
    </x:row>
    <x:row r="618">
      <x:c r="A618" s="31" t="n">
        <x:v>61.6</x:v>
      </x:c>
      <x:c r="B618" s="31"/>
      <x:c r="C618" s="31" t="n">
        <x:v>62.6023684295194</x:v>
      </x:c>
      <x:c r="D618" s="31"/>
      <x:c r="E618" s="31"/>
      <x:c r="F618" s="31" t="n">
        <x:v>65.0065862073666</x:v>
      </x:c>
      <x:c r="G618" s="31"/>
      <x:c r="H618" s="31"/>
      <x:c r="I618" s="31" t="n">
        <x:v>50</x:v>
      </x:c>
      <x:c r="J618" s="31"/>
      <x:c r="K618" s="31"/>
      <x:c r="L618" s="31"/>
      <x:c r="M618" s="31"/>
      <x:c r="N618" s="31"/>
      <x:c r="O618" s="31"/>
      <x:c r="P618" s="31"/>
      <x:c r="Q618" s="31"/>
      <x:c r="R618" s="31" t="n">
        <x:v>67.24762833468405</x:v>
      </x:c>
      <x:c r="S618" s="31"/>
      <x:c r="T618" s="31"/>
      <x:c r="U618" s="31"/>
    </x:row>
    <x:row r="619">
      <x:c r="A619" s="31" t="n">
        <x:v>61.7</x:v>
      </x:c>
      <x:c r="B619" s="31"/>
      <x:c r="C619" s="31" t="n">
        <x:v>61.1959321470576</x:v>
      </x:c>
      <x:c r="D619" s="31"/>
      <x:c r="E619" s="31"/>
      <x:c r="F619" s="31" t="n">
        <x:v>60.152739837028534</x:v>
      </x:c>
      <x:c r="G619" s="31"/>
      <x:c r="H619" s="31"/>
      <x:c r="I619" s="31" t="n">
        <x:v>50</x:v>
      </x:c>
      <x:c r="J619" s="31"/>
      <x:c r="K619" s="31"/>
      <x:c r="L619" s="31"/>
      <x:c r="M619" s="31"/>
      <x:c r="N619" s="31"/>
      <x:c r="O619" s="31"/>
      <x:c r="P619" s="31"/>
      <x:c r="Q619" s="31"/>
      <x:c r="R619" s="31" t="n">
        <x:v>82.07962022401213</x:v>
      </x:c>
      <x:c r="S619" s="31"/>
      <x:c r="T619" s="31"/>
      <x:c r="U619" s="31"/>
    </x:row>
    <x:row r="620">
      <x:c r="A620" s="31" t="n">
        <x:v>61.800000000000004</x:v>
      </x:c>
      <x:c r="B620" s="31"/>
      <x:c r="C620" s="31" t="n">
        <x:v>59.789495864595786</x:v>
      </x:c>
      <x:c r="D620" s="31"/>
      <x:c r="E620" s="31"/>
      <x:c r="F620" s="31" t="n">
        <x:v>70.54416393533732</x:v>
      </x:c>
      <x:c r="G620" s="31"/>
      <x:c r="H620" s="31"/>
      <x:c r="I620" s="31" t="n">
        <x:v>67.0120544726285</x:v>
      </x:c>
      <x:c r="J620" s="31"/>
      <x:c r="K620" s="31"/>
      <x:c r="L620" s="31"/>
      <x:c r="M620" s="31"/>
      <x:c r="N620" s="31"/>
      <x:c r="O620" s="31"/>
      <x:c r="P620" s="31"/>
      <x:c r="Q620" s="31"/>
      <x:c r="R620" s="31" t="n">
        <x:v>83.78912491241371</x:v>
      </x:c>
      <x:c r="S620" s="31"/>
      <x:c r="T620" s="31"/>
      <x:c r="U620" s="31"/>
    </x:row>
    <x:row r="621">
      <x:c r="A621" s="31" t="n">
        <x:v>61.900000000000006</x:v>
      </x:c>
      <x:c r="B621" s="31"/>
      <x:c r="C621" s="31" t="n">
        <x:v>59.885766075034795</x:v>
      </x:c>
      <x:c r="D621" s="31"/>
      <x:c r="E621" s="31"/>
      <x:c r="F621" s="31" t="n">
        <x:v>78.23385233669487</x:v>
      </x:c>
      <x:c r="G621" s="31"/>
      <x:c r="H621" s="31"/>
      <x:c r="I621" s="31" t="n">
        <x:v>77.73168431287618</x:v>
      </x:c>
      <x:c r="J621" s="31"/>
      <x:c r="K621" s="31"/>
      <x:c r="L621" s="31"/>
      <x:c r="M621" s="31"/>
      <x:c r="N621" s="31"/>
      <x:c r="O621" s="31"/>
      <x:c r="P621" s="31"/>
      <x:c r="Q621" s="31"/>
      <x:c r="R621" s="31" t="n">
        <x:v>83.78912491241327</x:v>
      </x:c>
      <x:c r="S621" s="31"/>
      <x:c r="T621" s="31"/>
      <x:c r="U621" s="31"/>
    </x:row>
    <x:row r="622">
      <x:c r="A622" s="31" t="n">
        <x:v>62</x:v>
      </x:c>
      <x:c r="B622" s="31"/>
      <x:c r="C622" s="31" t="n">
        <x:v>59.885766075034795</x:v>
      </x:c>
      <x:c r="D622" s="31"/>
      <x:c r="E622" s="31"/>
      <x:c r="F622" s="31" t="n">
        <x:v>78.23385233669487</x:v>
      </x:c>
      <x:c r="G622" s="31"/>
      <x:c r="H622" s="31"/>
      <x:c r="I622" s="31" t="n">
        <x:v>77.75849557100244</x:v>
      </x:c>
      <x:c r="J622" s="31"/>
      <x:c r="K622" s="31"/>
      <x:c r="L622" s="31"/>
      <x:c r="M622" s="31"/>
      <x:c r="N622" s="31"/>
      <x:c r="O622" s="31"/>
      <x:c r="P622" s="31"/>
      <x:c r="Q622" s="31"/>
      <x:c r="R622" s="31" t="n">
        <x:v>75.68866332786513</x:v>
      </x:c>
      <x:c r="S622" s="31"/>
      <x:c r="T622" s="31"/>
      <x:c r="U622" s="31"/>
    </x:row>
    <x:row r="623">
      <x:c r="A623" s="31" t="n">
        <x:v>62.1</x:v>
      </x:c>
      <x:c r="B623" s="31"/>
      <x:c r="C623" s="31" t="n">
        <x:v>59.53381547725718</x:v>
      </x:c>
      <x:c r="D623" s="31"/>
      <x:c r="E623" s="31"/>
      <x:c r="F623" s="31" t="n">
        <x:v>70.9574797918913</x:v>
      </x:c>
      <x:c r="G623" s="31"/>
      <x:c r="H623" s="31"/>
      <x:c r="I623" s="31" t="n">
        <x:v>76.5783003544019</x:v>
      </x:c>
      <x:c r="J623" s="31"/>
      <x:c r="K623" s="31"/>
      <x:c r="L623" s="31"/>
      <x:c r="M623" s="31"/>
      <x:c r="N623" s="31"/>
      <x:c r="O623" s="31"/>
      <x:c r="P623" s="31"/>
      <x:c r="Q623" s="31"/>
      <x:c r="R623" s="31" t="n">
        <x:v>75.68866332786513</x:v>
      </x:c>
      <x:c r="S623" s="31"/>
      <x:c r="T623" s="31"/>
      <x:c r="U623" s="31"/>
    </x:row>
    <x:row r="624">
      <x:c r="A624" s="31" t="n">
        <x:v>62.2</x:v>
      </x:c>
      <x:c r="B624" s="31"/>
      <x:c r="C624" s="31" t="n">
        <x:v>57.51079749591227</x:v>
      </x:c>
      <x:c r="D624" s="31"/>
      <x:c r="E624" s="31"/>
      <x:c r="F624" s="31" t="n">
        <x:v>58.27360885916857</x:v>
      </x:c>
      <x:c r="G624" s="31"/>
      <x:c r="H624" s="31"/>
      <x:c r="I624" s="31" t="n">
        <x:v>59.55615885968258</x:v>
      </x:c>
      <x:c r="J624" s="31"/>
      <x:c r="K624" s="31"/>
      <x:c r="L624" s="31"/>
      <x:c r="M624" s="31"/>
      <x:c r="N624" s="31"/>
      <x:c r="O624" s="31"/>
      <x:c r="P624" s="31"/>
      <x:c r="Q624" s="31"/>
      <x:c r="R624" s="31" t="n">
        <x:v>70.87918297094389</x:v>
      </x:c>
      <x:c r="S624" s="31"/>
      <x:c r="T624" s="31"/>
      <x:c r="U624" s="31"/>
    </x:row>
    <x:row r="625">
      <x:c r="A625" s="31" t="n">
        <x:v>62.300000000000004</x:v>
      </x:c>
      <x:c r="B625" s="31"/>
      <x:c r="C625" s="31" t="n">
        <x:v>70.02879332243242</x:v>
      </x:c>
      <x:c r="D625" s="31"/>
      <x:c r="E625" s="31"/>
      <x:c r="F625" s="31" t="n">
        <x:v>54.727776490953346</x:v>
      </x:c>
      <x:c r="G625" s="31"/>
      <x:c r="H625" s="31"/>
      <x:c r="I625" s="31" t="n">
        <x:v>67.98702269059969</x:v>
      </x:c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</x:row>
    <x:row r="626">
      <x:c r="A626" s="31" t="n">
        <x:v>62.400000000000006</x:v>
      </x:c>
      <x:c r="B626" s="31"/>
      <x:c r="C626" s="31" t="n">
        <x:v>72.53239248773592</x:v>
      </x:c>
      <x:c r="D626" s="31"/>
      <x:c r="E626" s="31"/>
      <x:c r="F626" s="31" t="n">
        <x:v>50</x:v>
      </x:c>
      <x:c r="G626" s="31"/>
      <x:c r="H626" s="31"/>
      <x:c r="I626" s="31" t="n">
        <x:v>74.14825984502883</x:v>
      </x:c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</x:row>
    <x:row r="627">
      <x:c r="A627" s="31" t="n">
        <x:v>62.5</x:v>
      </x:c>
      <x:c r="B627" s="31"/>
      <x:c r="C627" s="31" t="n">
        <x:v>70.83051616935104</x:v>
      </x:c>
      <x:c r="D627" s="31"/>
      <x:c r="E627" s="31"/>
      <x:c r="F627" s="31" t="n">
        <x:v>54.23351905450461</x:v>
      </x:c>
      <x:c r="G627" s="31"/>
      <x:c r="H627" s="31"/>
      <x:c r="I627" s="31" t="n">
        <x:v>74.14825984502883</x:v>
      </x:c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</x:row>
    <x:row r="628">
      <x:c r="A628" s="31" t="n">
        <x:v>62.6</x:v>
      </x:c>
      <x:c r="B628" s="31"/>
      <x:c r="C628" s="31" t="n">
        <x:v>59.734781495289695</x:v>
      </x:c>
      <x:c r="D628" s="31"/>
      <x:c r="E628" s="31"/>
      <x:c r="F628" s="31" t="n">
        <x:v>59.525417872635565</x:v>
      </x:c>
      <x:c r="G628" s="31"/>
      <x:c r="H628" s="31"/>
      <x:c r="I628" s="31" t="n">
        <x:v>72.12988663385391</x:v>
      </x:c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</x:row>
    <x:row r="629">
      <x:c r="A629" s="31" t="n">
        <x:v>62.7</x:v>
      </x:c>
      <x:c r="B629" s="31"/>
      <x:c r="C629" s="31" t="n">
        <x:v>58.442358296650774</x:v>
      </x:c>
      <x:c r="D629" s="31"/>
      <x:c r="E629" s="31"/>
      <x:c r="F629" s="31" t="n">
        <x:v>62.700557163513835</x:v>
      </x:c>
      <x:c r="G629" s="31"/>
      <x:c r="H629" s="31"/>
      <x:c r="I629" s="31" t="n">
        <x:v>73.34560438137419</x:v>
      </x:c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</x:row>
    <x:row r="630">
      <x:c r="A630" s="31" t="n">
        <x:v>62.800000000000004</x:v>
      </x:c>
      <x:c r="B630" s="31"/>
      <x:c r="C630" s="31" t="n">
        <x:v>63.19338238428083</x:v>
      </x:c>
      <x:c r="D630" s="31"/>
      <x:c r="E630" s="31"/>
      <x:c r="F630" s="31" t="n">
        <x:v>67.79501168689156</x:v>
      </x:c>
      <x:c r="G630" s="31"/>
      <x:c r="H630" s="31"/>
      <x:c r="I630" s="31" t="n">
        <x:v>73.34560438137419</x:v>
      </x:c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</x:row>
    <x:row r="631">
      <x:c r="A631" s="31" t="n">
        <x:v>62.900000000000006</x:v>
      </x:c>
      <x:c r="B631" s="31"/>
      <x:c r="C631" s="31" t="n">
        <x:v>64.1738503213529</x:v>
      </x:c>
      <x:c r="D631" s="31"/>
      <x:c r="E631" s="31"/>
      <x:c r="F631" s="31" t="n">
        <x:v>70.3422389485795</x:v>
      </x:c>
      <x:c r="G631" s="31"/>
      <x:c r="H631" s="31"/>
      <x:c r="I631" s="31" t="n">
        <x:v>73.39622970100044</x:v>
      </x:c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</x:row>
    <x:row r="632">
      <x:c r="A632" s="31" t="n">
        <x:v>63</x:v>
      </x:c>
      <x:c r="B632" s="31"/>
      <x:c r="C632" s="31" t="n">
        <x:v>64.58150949905058</x:v>
      </x:c>
      <x:c r="D632" s="31"/>
      <x:c r="E632" s="31"/>
      <x:c r="F632" s="31" t="n">
        <x:v>70.29871821317471</x:v>
      </x:c>
      <x:c r="G632" s="31"/>
      <x:c r="H632" s="31"/>
      <x:c r="I632" s="31" t="n">
        <x:v>73.39622970100044</x:v>
      </x:c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</x:row>
    <x:row r="633">
      <x:c r="A633" s="31" t="n">
        <x:v>63.1</x:v>
      </x:c>
      <x:c r="B633" s="31"/>
      <x:c r="C633" s="31" t="n">
        <x:v>65.57205246110384</x:v>
      </x:c>
      <x:c r="D633" s="31"/>
      <x:c r="E633" s="31"/>
      <x:c r="F633" s="31" t="n">
        <x:v>63.8178699704455</x:v>
      </x:c>
      <x:c r="G633" s="31"/>
      <x:c r="H633" s="31"/>
      <x:c r="I633" s="31" t="n">
        <x:v>73.32076614540779</x:v>
      </x:c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</x:row>
    <x:row r="634">
      <x:c r="A634" s="31" t="n">
        <x:v>63.2</x:v>
      </x:c>
      <x:c r="B634" s="31"/>
      <x:c r="C634" s="31" t="n">
        <x:v>66.23162199462195</x:v>
      </x:c>
      <x:c r="D634" s="31"/>
      <x:c r="E634" s="31"/>
      <x:c r="F634" s="31" t="n">
        <x:v>58.84949845982832</x:v>
      </x:c>
      <x:c r="G634" s="31"/>
      <x:c r="H634" s="31"/>
      <x:c r="I634" s="31" t="n">
        <x:v>70.29317190336378</x:v>
      </x:c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</x:row>
    <x:row r="635">
      <x:c r="A635" s="31" t="n">
        <x:v>63.300000000000004</x:v>
      </x:c>
      <x:c r="B635" s="31"/>
      <x:c r="C635" s="31" t="n">
        <x:v>66.23162199462138</x:v>
      </x:c>
      <x:c r="D635" s="31"/>
      <x:c r="E635" s="31"/>
      <x:c r="F635" s="31" t="n">
        <x:v>64.08355655925696</x:v>
      </x:c>
      <x:c r="G635" s="31"/>
      <x:c r="H635" s="31"/>
      <x:c r="I635" s="31" t="n">
        <x:v>69.3428281326546</x:v>
      </x:c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</x:row>
    <x:row r="636">
      <x:c r="A636" s="31" t="n">
        <x:v>63.400000000000006</x:v>
      </x:c>
      <x:c r="B636" s="31"/>
      <x:c r="C636" s="31" t="n">
        <x:v>64.32556398580508</x:v>
      </x:c>
      <x:c r="D636" s="31"/>
      <x:c r="E636" s="31"/>
      <x:c r="F636" s="31" t="n">
        <x:v>66.17538720293285</x:v>
      </x:c>
      <x:c r="G636" s="31"/>
      <x:c r="H636" s="31"/>
      <x:c r="I636" s="31" t="n">
        <x:v>67.50758189129988</x:v>
      </x:c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</x:row>
    <x:row r="637">
      <x:c r="A637" s="31" t="n">
        <x:v>63.5</x:v>
      </x:c>
      <x:c r="B637" s="31"/>
      <x:c r="C637" s="31" t="n">
        <x:v>65.17893049893478</x:v>
      </x:c>
      <x:c r="D637" s="31"/>
      <x:c r="E637" s="31"/>
      <x:c r="F637" s="31" t="n">
        <x:v>66.68429595834418</x:v>
      </x:c>
      <x:c r="G637" s="31"/>
      <x:c r="H637" s="31"/>
      <x:c r="I637" s="31" t="n">
        <x:v>82.70446504619906</x:v>
      </x:c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</x:row>
    <x:row r="638">
      <x:c r="A638" s="31" t="n">
        <x:v>63.6</x:v>
      </x:c>
      <x:c r="B638" s="31"/>
      <x:c r="C638" s="31" t="n">
        <x:v>66.08753125489488</x:v>
      </x:c>
      <x:c r="D638" s="31"/>
      <x:c r="E638" s="31"/>
      <x:c r="F638" s="31" t="n">
        <x:v>67.3499725832773</x:v>
      </x:c>
      <x:c r="G638" s="31"/>
      <x:c r="H638" s="31"/>
      <x:c r="I638" s="31" t="n">
        <x:v>82.70446504619906</x:v>
      </x:c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</x:row>
    <x:row r="639">
      <x:c r="A639" s="31" t="n">
        <x:v>63.7</x:v>
      </x:c>
      <x:c r="B639" s="31"/>
      <x:c r="C639" s="31" t="n">
        <x:v>66.1754584706328</x:v>
      </x:c>
      <x:c r="D639" s="31"/>
      <x:c r="E639" s="31"/>
      <x:c r="F639" s="31" t="n">
        <x:v>67.71708028096042</x:v>
      </x:c>
      <x:c r="G639" s="31"/>
      <x:c r="H639" s="31"/>
      <x:c r="I639" s="31" t="n">
        <x:v>74.1565970721002</x:v>
      </x:c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</x:row>
    <x:row r="640">
      <x:c r="A640" s="31" t="n">
        <x:v>63.800000000000004</x:v>
      </x:c>
      <x:c r="B640" s="31"/>
      <x:c r="C640" s="31" t="n">
        <x:v>66.42595992975626</x:v>
      </x:c>
      <x:c r="D640" s="31"/>
      <x:c r="E640" s="31"/>
      <x:c r="F640" s="31" t="n">
        <x:v>67.78001635214444</x:v>
      </x:c>
      <x:c r="G640" s="31"/>
      <x:c r="H640" s="31"/>
      <x:c r="I640" s="31" t="n">
        <x:v>60.294210725237505</x:v>
      </x:c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</x:row>
    <x:row r="641">
      <x:c r="A641" s="31" t="n">
        <x:v>63.900000000000006</x:v>
      </x:c>
      <x:c r="B641" s="31"/>
      <x:c r="C641" s="31" t="n">
        <x:v>76.79858019329414</x:v>
      </x:c>
      <x:c r="D641" s="31"/>
      <x:c r="E641" s="31"/>
      <x:c r="F641" s="31" t="n">
        <x:v>67.57848114717724</x:v>
      </x:c>
      <x:c r="G641" s="31"/>
      <x:c r="H641" s="31"/>
      <x:c r="I641" s="31" t="n">
        <x:v>50</x:v>
      </x:c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</x:row>
    <x:row r="642">
      <x:c r="A642" s="31" t="n">
        <x:v>64</x:v>
      </x:c>
      <x:c r="B642" s="31"/>
      <x:c r="C642" s="31" t="n">
        <x:v>77.78927354667707</x:v>
      </x:c>
      <x:c r="D642" s="31"/>
      <x:c r="E642" s="31"/>
      <x:c r="F642" s="31" t="n">
        <x:v>68.27613010319479</x:v>
      </x:c>
      <x:c r="G642" s="31"/>
      <x:c r="H642" s="31"/>
      <x:c r="I642" s="31" t="n">
        <x:v>50</x:v>
      </x:c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</x:row>
    <x:row r="643">
      <x:c r="A643" s="31" t="n">
        <x:v>64.10000000000001</x:v>
      </x:c>
      <x:c r="B643" s="31"/>
      <x:c r="C643" s="31" t="n">
        <x:v>77.78927354667577</x:v>
      </x:c>
      <x:c r="D643" s="31"/>
      <x:c r="E643" s="31"/>
      <x:c r="F643" s="31" t="n">
        <x:v>68.27613010319479</x:v>
      </x:c>
      <x:c r="G643" s="31"/>
      <x:c r="H643" s="31"/>
      <x:c r="I643" s="31" t="n">
        <x:v>70.04551077954761</x:v>
      </x:c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</x:row>
    <x:row r="644">
      <x:c r="A644" s="31" t="n">
        <x:v>64.2</x:v>
      </x:c>
      <x:c r="B644" s="31"/>
      <x:c r="C644" s="31" t="n">
        <x:v>67.60931483523983</x:v>
      </x:c>
      <x:c r="D644" s="31"/>
      <x:c r="E644" s="31"/>
      <x:c r="F644" s="31" t="n">
        <x:v>67.97040737259258</x:v>
      </x:c>
      <x:c r="G644" s="31"/>
      <x:c r="H644" s="31"/>
      <x:c r="I644" s="31" t="n">
        <x:v>72.82898319862973</x:v>
      </x:c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</x:row>
    <x:row r="645">
      <x:c r="A645" s="31" t="n">
        <x:v>64.3</x:v>
      </x:c>
      <x:c r="B645" s="31"/>
      <x:c r="C645" s="31" t="n">
        <x:v>57.29715053942596</x:v>
      </x:c>
      <x:c r="D645" s="31"/>
      <x:c r="E645" s="31"/>
      <x:c r="F645" s="31" t="n">
        <x:v>65.31815652537239</x:v>
      </x:c>
      <x:c r="G645" s="31"/>
      <x:c r="H645" s="31"/>
      <x:c r="I645" s="31" t="n">
        <x:v>74.41804758841292</x:v>
      </x:c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</x:row>
    <x:row r="646">
      <x:c r="A646" s="31" t="n">
        <x:v>64.4</x:v>
      </x:c>
      <x:c r="B646" s="31"/>
      <x:c r="C646" s="31" t="n">
        <x:v>50</x:v>
      </x:c>
      <x:c r="D646" s="31"/>
      <x:c r="E646" s="31"/>
      <x:c r="F646" s="31" t="n">
        <x:v>58.73090559778501</x:v>
      </x:c>
      <x:c r="G646" s="31"/>
      <x:c r="H646" s="31"/>
      <x:c r="I646" s="31" t="n">
        <x:v>74.41804758841292</x:v>
      </x:c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</x:row>
    <x:row r="647">
      <x:c r="A647" s="31" t="n">
        <x:v>64.5</x:v>
      </x:c>
      <x:c r="B647" s="31"/>
      <x:c r="C647" s="31" t="n">
        <x:v>50</x:v>
      </x:c>
      <x:c r="D647" s="31"/>
      <x:c r="E647" s="31"/>
      <x:c r="F647" s="31" t="n">
        <x:v>57.43197612121121</x:v>
      </x:c>
      <x:c r="G647" s="31"/>
      <x:c r="H647" s="31"/>
      <x:c r="I647" s="31" t="n">
        <x:v>65.63538167885801</x:v>
      </x:c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</x:row>
    <x:row r="648">
      <x:c r="A648" s="31" t="n">
        <x:v>64.60000000000001</x:v>
      </x:c>
      <x:c r="B648" s="31"/>
      <x:c r="C648" s="31" t="n">
        <x:v>55.83626130510414</x:v>
      </x:c>
      <x:c r="D648" s="31"/>
      <x:c r="E648" s="31"/>
      <x:c r="F648" s="31" t="n">
        <x:v>73.42512335390927</x:v>
      </x:c>
      <x:c r="G648" s="31"/>
      <x:c r="H648" s="31"/>
      <x:c r="I648" s="31" t="n">
        <x:v>66.77711309454553</x:v>
      </x:c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</x:row>
    <x:row r="649">
      <x:c r="A649" s="31" t="n">
        <x:v>64.7</x:v>
      </x:c>
      <x:c r="B649" s="31"/>
      <x:c r="C649" s="31" t="n">
        <x:v>56.25534200592625</x:v>
      </x:c>
      <x:c r="D649" s="31"/>
      <x:c r="E649" s="31"/>
      <x:c r="F649" s="31" t="n">
        <x:v>77.49033030227147</x:v>
      </x:c>
      <x:c r="G649" s="31"/>
      <x:c r="H649" s="31"/>
      <x:c r="I649" s="31" t="n">
        <x:v>72.26130324955872</x:v>
      </x:c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</x:row>
    <x:row r="650">
      <x:c r="A650" s="31" t="n">
        <x:v>64.8</x:v>
      </x:c>
      <x:c r="B650" s="31"/>
      <x:c r="C650" s="31" t="n">
        <x:v>57.647413638502705</x:v>
      </x:c>
      <x:c r="D650" s="31"/>
      <x:c r="E650" s="31"/>
      <x:c r="F650" s="31" t="n">
        <x:v>73.37981625355567</x:v>
      </x:c>
      <x:c r="G650" s="31"/>
      <x:c r="H650" s="31"/>
      <x:c r="I650" s="31" t="n">
        <x:v>72.26130324955872</x:v>
      </x:c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</x:row>
    <x:row r="651">
      <x:c r="A651" s="31" t="n">
        <x:v>64.9</x:v>
      </x:c>
      <x:c r="B651" s="31"/>
      <x:c r="C651" s="31" t="n">
        <x:v>59.07831120900963</x:v>
      </x:c>
      <x:c r="D651" s="31"/>
      <x:c r="E651" s="31"/>
      <x:c r="F651" s="31" t="n">
        <x:v>65.92599605544794</x:v>
      </x:c>
      <x:c r="G651" s="31"/>
      <x:c r="H651" s="31"/>
      <x:c r="I651" s="31" t="n">
        <x:v>72.38612774514641</x:v>
      </x:c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</x:row>
    <x:row r="652">
      <x:c r="A652" s="31" t="n">
        <x:v>65</x:v>
      </x:c>
      <x:c r="B652" s="31"/>
      <x:c r="C652" s="31" t="n">
        <x:v>59.07831120900963</x:v>
      </x:c>
      <x:c r="D652" s="31"/>
      <x:c r="E652" s="31"/>
      <x:c r="F652" s="31" t="n">
        <x:v>50</x:v>
      </x:c>
      <x:c r="G652" s="31"/>
      <x:c r="H652" s="31"/>
      <x:c r="I652" s="31" t="n">
        <x:v>72.34570347645831</x:v>
      </x:c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</x:row>
    <x:row r="653">
      <x:c r="A653" s="31" t="n">
        <x:v>65.10000000000001</x:v>
      </x:c>
      <x:c r="B653" s="31"/>
      <x:c r="C653" s="31" t="n">
        <x:v>70.5730386052529</x:v>
      </x:c>
      <x:c r="D653" s="31"/>
      <x:c r="E653" s="31"/>
      <x:c r="F653" s="31" t="n">
        <x:v>53.23179629521389</x:v>
      </x:c>
      <x:c r="G653" s="31"/>
      <x:c r="H653" s="31"/>
      <x:c r="I653" s="31" t="n">
        <x:v>72.34642952299579</x:v>
      </x:c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</x:row>
    <x:row r="654">
      <x:c r="A654" s="31" t="n">
        <x:v>65.2</x:v>
      </x:c>
      <x:c r="B654" s="31"/>
      <x:c r="C654" s="31" t="n">
        <x:v>72.97538375903555</x:v>
      </x:c>
      <x:c r="D654" s="31"/>
      <x:c r="E654" s="31"/>
      <x:c r="F654" s="31" t="n">
        <x:v>54.52451481329908</x:v>
      </x:c>
      <x:c r="G654" s="31"/>
      <x:c r="H654" s="31"/>
      <x:c r="I654" s="31" t="n">
        <x:v>73.5659747536647</x:v>
      </x:c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</x:row>
    <x:row r="655">
      <x:c r="A655" s="31" t="n">
        <x:v>65.3</x:v>
      </x:c>
      <x:c r="B655" s="31"/>
      <x:c r="C655" s="31" t="n">
        <x:v>72.97538375903555</x:v>
      </x:c>
      <x:c r="D655" s="31"/>
      <x:c r="E655" s="31"/>
      <x:c r="F655" s="31" t="n">
        <x:v>57.136689000301956</x:v>
      </x:c>
      <x:c r="G655" s="31"/>
      <x:c r="H655" s="31"/>
      <x:c r="I655" s="31" t="n">
        <x:v>73.5659747536647</x:v>
      </x:c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</x:row>
    <x:row r="656">
      <x:c r="A656" s="31" t="n">
        <x:v>65.4</x:v>
      </x:c>
      <x:c r="B656" s="31"/>
      <x:c r="C656" s="31" t="n">
        <x:v>69.06323071063358</x:v>
      </x:c>
      <x:c r="D656" s="31"/>
      <x:c r="E656" s="31"/>
      <x:c r="F656" s="31" t="n">
        <x:v>59.74886318730484</x:v>
      </x:c>
      <x:c r="G656" s="31"/>
      <x:c r="H656" s="31"/>
      <x:c r="I656" s="31" t="n">
        <x:v>88.92992887070207</x:v>
      </x:c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</x:row>
    <x:row r="657">
      <x:c r="A657" s="31" t="n">
        <x:v>65.5</x:v>
      </x:c>
      <x:c r="B657" s="31"/>
      <x:c r="C657" s="31" t="n">
        <x:v>60.58138656629089</x:v>
      </x:c>
      <x:c r="D657" s="31"/>
      <x:c r="E657" s="31"/>
      <x:c r="F657" s="31" t="n">
        <x:v>61.695902301125216</x:v>
      </x:c>
      <x:c r="G657" s="31"/>
      <x:c r="H657" s="31"/>
      <x:c r="I657" s="31" t="n">
        <x:v>89.28095277097081</x:v>
      </x:c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</x:row>
    <x:row r="658">
      <x:c r="A658" s="31" t="n">
        <x:v>65.60000000000001</x:v>
      </x:c>
      <x:c r="B658" s="31"/>
      <x:c r="C658" s="31" t="n">
        <x:v>63.3510299137481</x:v>
      </x:c>
      <x:c r="D658" s="31"/>
      <x:c r="E658" s="31"/>
      <x:c r="F658" s="31" t="n">
        <x:v>69.4840587564081</x:v>
      </x:c>
      <x:c r="G658" s="31"/>
      <x:c r="H658" s="31"/>
      <x:c r="I658" s="31" t="n">
        <x:v>87.78755568140502</x:v>
      </x:c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</x:row>
    <x:row r="659">
      <x:c r="A659" s="31" t="n">
        <x:v>65.7</x:v>
      </x:c>
      <x:c r="B659" s="31"/>
      <x:c r="C659" s="31" t="n">
        <x:v>64.25187685199027</x:v>
      </x:c>
      <x:c r="D659" s="31"/>
      <x:c r="E659" s="31"/>
      <x:c r="F659" s="31" t="n">
        <x:v>69.4840587564081</x:v>
      </x:c>
      <x:c r="G659" s="31"/>
      <x:c r="H659" s="31"/>
      <x:c r="I659" s="31" t="n">
        <x:v>78.44147349623724</x:v>
      </x:c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</x:row>
    <x:row r="660">
      <x:c r="A660" s="31" t="n">
        <x:v>65.8</x:v>
      </x:c>
      <x:c r="B660" s="31"/>
      <x:c r="C660" s="31" t="n">
        <x:v>66.50564341408074</x:v>
      </x:c>
      <x:c r="D660" s="31"/>
      <x:c r="E660" s="31"/>
      <x:c r="F660" s="31" t="n">
        <x:v>64.76743762874887</x:v>
      </x:c>
      <x:c r="G660" s="31"/>
      <x:c r="H660" s="31"/>
      <x:c r="I660" s="31" t="n">
        <x:v>70.08198571181671</x:v>
      </x:c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</x:row>
    <x:row r="661">
      <x:c r="A661" s="31" t="n">
        <x:v>65.9</x:v>
      </x:c>
      <x:c r="B661" s="31"/>
      <x:c r="C661" s="31" t="n">
        <x:v>67.0621837372567</x:v>
      </x:c>
      <x:c r="D661" s="31"/>
      <x:c r="E661" s="31"/>
      <x:c r="F661" s="31" t="n">
        <x:v>56.08644505591958</x:v>
      </x:c>
      <x:c r="G661" s="31"/>
      <x:c r="H661" s="31"/>
      <x:c r="I661" s="31" t="n">
        <x:v>63.0463513495019</x:v>
      </x:c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</x:row>
    <x:row r="662">
      <x:c r="A662" s="31" t="n">
        <x:v>66</x:v>
      </x:c>
      <x:c r="B662" s="31"/>
      <x:c r="C662" s="31" t="n">
        <x:v>67.52817373604839</x:v>
      </x:c>
      <x:c r="D662" s="31"/>
      <x:c r="E662" s="31"/>
      <x:c r="F662" s="31" t="n">
        <x:v>59.54022504005404</x:v>
      </x:c>
      <x:c r="G662" s="31"/>
      <x:c r="H662" s="31"/>
      <x:c r="I662" s="31" t="n">
        <x:v>68.04473380725213</x:v>
      </x:c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</x:row>
    <x:row r="663">
      <x:c r="A663" s="31" t="n">
        <x:v>66.10000000000001</x:v>
      </x:c>
      <x:c r="B663" s="31"/>
      <x:c r="C663" s="31" t="n">
        <x:v>67.52817373604839</x:v>
      </x:c>
      <x:c r="D663" s="31"/>
      <x:c r="E663" s="31"/>
      <x:c r="F663" s="31" t="n">
        <x:v>64.75952937173408</x:v>
      </x:c>
      <x:c r="G663" s="31"/>
      <x:c r="H663" s="31"/>
      <x:c r="I663" s="31" t="n">
        <x:v>68.044733807255</x:v>
      </x:c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</x:row>
    <x:row r="664">
      <x:c r="A664" s="31" t="n">
        <x:v>66.2</x:v>
      </x:c>
      <x:c r="B664" s="31"/>
      <x:c r="C664" s="31" t="n">
        <x:v>67.2157206135443</x:v>
      </x:c>
      <x:c r="D664" s="31"/>
      <x:c r="E664" s="31"/>
      <x:c r="F664" s="31" t="n">
        <x:v>65.1570809261913</x:v>
      </x:c>
      <x:c r="G664" s="31"/>
      <x:c r="H664" s="31"/>
      <x:c r="I664" s="31" t="n">
        <x:v>78.29410817010648</x:v>
      </x:c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</x:row>
    <x:row r="665">
      <x:c r="A665" s="31" t="n">
        <x:v>66.3</x:v>
      </x:c>
      <x:c r="B665" s="31"/>
      <x:c r="C665" s="31" t="n">
        <x:v>67.60403867306289</x:v>
      </x:c>
      <x:c r="D665" s="31"/>
      <x:c r="E665" s="31"/>
      <x:c r="F665" s="31" t="n">
        <x:v>67.05492780532505</x:v>
      </x:c>
      <x:c r="G665" s="31"/>
      <x:c r="H665" s="31"/>
      <x:c r="I665" s="31" t="n">
        <x:v>78.29410817010648</x:v>
      </x:c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</x:row>
    <x:row r="666">
      <x:c r="A666" s="31" t="n">
        <x:v>66.4</x:v>
      </x:c>
      <x:c r="B666" s="31"/>
      <x:c r="C666" s="31" t="n">
        <x:v>67.60403867306289</x:v>
      </x:c>
      <x:c r="D666" s="31"/>
      <x:c r="E666" s="31"/>
      <x:c r="F666" s="31" t="n">
        <x:v>67.05492780532505</x:v>
      </x:c>
      <x:c r="G666" s="31"/>
      <x:c r="H666" s="31"/>
      <x:c r="I666" s="31" t="n">
        <x:v>67.56546022799917</x:v>
      </x:c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</x:row>
    <x:row r="667">
      <x:c r="A667" s="31" t="n">
        <x:v>66.5</x:v>
      </x:c>
      <x:c r="B667" s="31"/>
      <x:c r="C667" s="31" t="n">
        <x:v>67.1239889671406</x:v>
      </x:c>
      <x:c r="D667" s="31"/>
      <x:c r="E667" s="31"/>
      <x:c r="F667" s="31" t="n">
        <x:v>66.52058414417544</x:v>
      </x:c>
      <x:c r="G667" s="31"/>
      <x:c r="H667" s="31"/>
      <x:c r="I667" s="31" t="n">
        <x:v>50</x:v>
      </x:c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</x:row>
    <x:row r="668">
      <x:c r="A668" s="31" t="n">
        <x:v>66.60000000000001</x:v>
      </x:c>
      <x:c r="B668" s="31"/>
      <x:c r="C668" s="31" t="n">
        <x:v>66.35993507021402</x:v>
      </x:c>
      <x:c r="D668" s="31"/>
      <x:c r="E668" s="31"/>
      <x:c r="F668" s="31" t="n">
        <x:v>66.58866856259327</x:v>
      </x:c>
      <x:c r="G668" s="31"/>
      <x:c r="H668" s="31"/>
      <x:c r="I668" s="31" t="n">
        <x:v>71.99592048430306</x:v>
      </x:c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</x:row>
    <x:row r="669">
      <x:c r="A669" s="31" t="n">
        <x:v>66.7</x:v>
      </x:c>
      <x:c r="B669" s="31"/>
      <x:c r="C669" s="31" t="n">
        <x:v>70.87710538985324</x:v>
      </x:c>
      <x:c r="D669" s="31"/>
      <x:c r="E669" s="31"/>
      <x:c r="F669" s="31" t="n">
        <x:v>67.27409980213102</x:v>
      </x:c>
      <x:c r="G669" s="31"/>
      <x:c r="H669" s="31"/>
      <x:c r="I669" s="31" t="n">
        <x:v>71.99592048430306</x:v>
      </x:c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</x:row>
    <x:row r="670">
      <x:c r="A670" s="31" t="n">
        <x:v>66.8</x:v>
      </x:c>
      <x:c r="B670" s="31"/>
      <x:c r="C670" s="31" t="n">
        <x:v>78.25199166240864</x:v>
      </x:c>
      <x:c r="D670" s="31"/>
      <x:c r="E670" s="31"/>
      <x:c r="F670" s="31" t="n">
        <x:v>67.27409980213102</x:v>
      </x:c>
      <x:c r="G670" s="31"/>
      <x:c r="H670" s="31"/>
      <x:c r="I670" s="31" t="n">
        <x:v>71.0103080842904</x:v>
      </x:c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</x:row>
    <x:row r="671">
      <x:c r="A671" s="31" t="n">
        <x:v>66.9</x:v>
      </x:c>
      <x:c r="B671" s="31"/>
      <x:c r="C671" s="31" t="n">
        <x:v>78.25199166240864</x:v>
      </x:c>
      <x:c r="D671" s="31"/>
      <x:c r="E671" s="31"/>
      <x:c r="F671" s="31" t="n">
        <x:v>85.98811448809958</x:v>
      </x:c>
      <x:c r="G671" s="31"/>
      <x:c r="H671" s="31"/>
      <x:c r="I671" s="31" t="n">
        <x:v>71.28032774492151</x:v>
      </x:c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</x:row>
    <x:row r="672">
      <x:c r="A672" s="31" t="n">
        <x:v>67</x:v>
      </x:c>
      <x:c r="B672" s="31"/>
      <x:c r="C672" s="31" t="n">
        <x:v>69.78987454815399</x:v>
      </x:c>
      <x:c r="D672" s="31"/>
      <x:c r="E672" s="31"/>
      <x:c r="F672" s="31" t="n">
        <x:v>87.16448629946949</x:v>
      </x:c>
      <x:c r="G672" s="31"/>
      <x:c r="H672" s="31"/>
      <x:c r="I672" s="31" t="n">
        <x:v>71.12186829789754</x:v>
      </x:c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</x:row>
    <x:row r="673">
      <x:c r="A673" s="31" t="n">
        <x:v>67.10000000000001</x:v>
      </x:c>
      <x:c r="B673" s="31"/>
      <x:c r="C673" s="31" t="n">
        <x:v>57.55695883526646</x:v>
      </x:c>
      <x:c r="D673" s="31"/>
      <x:c r="E673" s="31"/>
      <x:c r="F673" s="31" t="n">
        <x:v>87.16448629946832</x:v>
      </x:c>
      <x:c r="G673" s="31"/>
      <x:c r="H673" s="31"/>
      <x:c r="I673" s="31" t="n">
        <x:v>72.53844650019914</x:v>
      </x:c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</x:row>
    <x:row r="674">
      <x:c r="A674" s="31" t="n">
        <x:v>67.2</x:v>
      </x:c>
      <x:c r="B674" s="31"/>
      <x:c r="C674" s="31" t="n">
        <x:v>52.36701632549823</x:v>
      </x:c>
      <x:c r="D674" s="31"/>
      <x:c r="E674" s="31"/>
      <x:c r="F674" s="31" t="n">
        <x:v>75.79428878334943</x:v>
      </x:c>
      <x:c r="G674" s="31"/>
      <x:c r="H674" s="31"/>
      <x:c r="I674" s="31" t="n">
        <x:v>73.11942793097572</x:v>
      </x:c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</x:row>
    <x:row r="675">
      <x:c r="A675" s="31" t="n">
        <x:v>67.3</x:v>
      </x:c>
      <x:c r="B675" s="31"/>
      <x:c r="C675" s="31" t="n">
        <x:v>50</x:v>
      </x:c>
      <x:c r="D675" s="31"/>
      <x:c r="E675" s="31"/>
      <x:c r="F675" s="31" t="n">
        <x:v>71.82747238878096</x:v>
      </x:c>
      <x:c r="G675" s="31"/>
      <x:c r="H675" s="31"/>
      <x:c r="I675" s="31" t="n">
        <x:v>87.20638127091006</x:v>
      </x:c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</x:row>
    <x:row r="676">
      <x:c r="A676" s="31" t="n">
        <x:v>67.4</x:v>
      </x:c>
      <x:c r="B676" s="31"/>
      <x:c r="C676" s="31" t="n">
        <x:v>50</x:v>
      </x:c>
      <x:c r="D676" s="31"/>
      <x:c r="E676" s="31"/>
      <x:c r="F676" s="31" t="n">
        <x:v>71.09645535188452</x:v>
      </x:c>
      <x:c r="G676" s="31"/>
      <x:c r="H676" s="31"/>
      <x:c r="I676" s="31" t="n">
        <x:v>88.9946817955898</x:v>
      </x:c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</x:row>
    <x:row r="677">
      <x:c r="A677" s="31" t="n">
        <x:v>67.5</x:v>
      </x:c>
      <x:c r="B677" s="31"/>
      <x:c r="C677" s="31" t="n">
        <x:v>60.20476851830673</x:v>
      </x:c>
      <x:c r="D677" s="31"/>
      <x:c r="E677" s="31"/>
      <x:c r="F677" s="31" t="n">
        <x:v>66.33419452330408</x:v>
      </x:c>
      <x:c r="G677" s="31"/>
      <x:c r="H677" s="31"/>
      <x:c r="I677" s="31" t="n">
        <x:v>88.9946817955898</x:v>
      </x:c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</x:row>
    <x:row r="678">
      <x:c r="A678" s="31" t="n">
        <x:v>67.60000000000001</x:v>
      </x:c>
      <x:c r="B678" s="31"/>
      <x:c r="C678" s="31" t="n">
        <x:v>63.600352920548616</x:v>
      </x:c>
      <x:c r="D678" s="31"/>
      <x:c r="E678" s="31"/>
      <x:c r="F678" s="31" t="n">
        <x:v>65.502955254312</x:v>
      </x:c>
      <x:c r="G678" s="31"/>
      <x:c r="H678" s="31"/>
      <x:c r="I678" s="31" t="n">
        <x:v>78.69444568613847</x:v>
      </x:c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</x:row>
    <x:row r="679">
      <x:c r="A679" s="31" t="n">
        <x:v>67.7</x:v>
      </x:c>
      <x:c r="B679" s="31"/>
      <x:c r="C679" s="31" t="n">
        <x:v>63.600352920548616</x:v>
      </x:c>
      <x:c r="D679" s="31"/>
      <x:c r="E679" s="31"/>
      <x:c r="F679" s="31" t="n">
        <x:v>57.366962137982014</x:v>
      </x:c>
      <x:c r="G679" s="31"/>
      <x:c r="H679" s="31"/>
      <x:c r="I679" s="31" t="n">
        <x:v>70.99485809859922</x:v>
      </x:c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</x:row>
    <x:row r="680">
      <x:c r="A680" s="31" t="n">
        <x:v>67.8</x:v>
      </x:c>
      <x:c r="B680" s="31"/>
      <x:c r="C680" s="31" t="n">
        <x:v>53.106706769272705</x:v>
      </x:c>
      <x:c r="D680" s="31"/>
      <x:c r="E680" s="31"/>
      <x:c r="F680" s="31" t="n">
        <x:v>50</x:v>
      </x:c>
      <x:c r="G680" s="31"/>
      <x:c r="H680" s="31"/>
      <x:c r="I680" s="31" t="n">
        <x:v>60.584008997500135</x:v>
      </x:c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</x:row>
    <x:row r="681">
      <x:c r="A681" s="31" t="n">
        <x:v>67.9</x:v>
      </x:c>
      <x:c r="B681" s="31"/>
      <x:c r="C681" s="31" t="n">
        <x:v>69.36469124199215</x:v>
      </x:c>
      <x:c r="D681" s="31"/>
      <x:c r="E681" s="31"/>
      <x:c r="F681" s="31" t="n">
        <x:v>66.60385670894047</x:v>
      </x:c>
      <x:c r="G681" s="31"/>
      <x:c r="H681" s="31"/>
      <x:c r="I681" s="31" t="n">
        <x:v>68.64654220532685</x:v>
      </x:c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</x:row>
    <x:row r="682">
      <x:c r="A682" s="31" t="n">
        <x:v>68</x:v>
      </x:c>
      <x:c r="B682" s="31"/>
      <x:c r="C682" s="31" t="n">
        <x:v>73.77084491090667</x:v>
      </x:c>
      <x:c r="D682" s="31"/>
      <x:c r="E682" s="31"/>
      <x:c r="F682" s="31" t="n">
        <x:v>66.60385670894047</x:v>
      </x:c>
      <x:c r="G682" s="31"/>
      <x:c r="H682" s="31"/>
      <x:c r="I682" s="31" t="n">
        <x:v>68.64654220532685</x:v>
      </x:c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</x:row>
    <x:row r="683">
      <x:c r="A683" s="31" t="n">
        <x:v>68.10000000000001</x:v>
      </x:c>
      <x:c r="B683" s="31"/>
      <x:c r="C683" s="31" t="n">
        <x:v>73.77084491090667</x:v>
      </x:c>
      <x:c r="D683" s="31"/>
      <x:c r="E683" s="31"/>
      <x:c r="F683" s="31" t="n">
        <x:v>61.90026538364288</x:v>
      </x:c>
      <x:c r="G683" s="31"/>
      <x:c r="H683" s="31"/>
      <x:c r="I683" s="31" t="n">
        <x:v>77.40375197100894</x:v>
      </x:c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</x:row>
    <x:row r="684">
      <x:c r="A684" s="31" t="n">
        <x:v>68.2</x:v>
      </x:c>
      <x:c r="B684" s="31"/>
      <x:c r="C684" s="31" t="n">
        <x:v>69.11601876062113</x:v>
      </x:c>
      <x:c r="D684" s="31"/>
      <x:c r="E684" s="31"/>
      <x:c r="F684" s="31" t="n">
        <x:v>50</x:v>
      </x:c>
      <x:c r="G684" s="31"/>
      <x:c r="H684" s="31"/>
      <x:c r="I684" s="31" t="n">
        <x:v>77.40375197100894</x:v>
      </x:c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</x:row>
    <x:row r="685">
      <x:c r="A685" s="31" t="n">
        <x:v>68.3</x:v>
      </x:c>
      <x:c r="B685" s="31"/>
      <x:c r="C685" s="31" t="n">
        <x:v>63.96929663159413</x:v>
      </x:c>
      <x:c r="D685" s="31"/>
      <x:c r="E685" s="31"/>
      <x:c r="F685" s="31" t="n">
        <x:v>60.70698465661693</x:v>
      </x:c>
      <x:c r="G685" s="31"/>
      <x:c r="H685" s="31"/>
      <x:c r="I685" s="31" t="n">
        <x:v>69.81483133496053</x:v>
      </x:c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</x:row>
    <x:row r="686">
      <x:c r="A686" s="31" t="n">
        <x:v>68.4</x:v>
      </x:c>
      <x:c r="B686" s="31"/>
      <x:c r="C686" s="31" t="n">
        <x:v>64.30008330561303</x:v>
      </x:c>
      <x:c r="D686" s="31"/>
      <x:c r="E686" s="31"/>
      <x:c r="F686" s="31" t="n">
        <x:v>61.80455658531511</x:v>
      </x:c>
      <x:c r="G686" s="31"/>
      <x:c r="H686" s="31"/>
      <x:c r="I686" s="31" t="n">
        <x:v>50</x:v>
      </x:c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</x:row>
    <x:row r="687">
      <x:c r="A687" s="31" t="n">
        <x:v>68.5</x:v>
      </x:c>
      <x:c r="B687" s="31"/>
      <x:c r="C687" s="31" t="n">
        <x:v>65.97543844752536</x:v>
      </x:c>
      <x:c r="D687" s="31"/>
      <x:c r="E687" s="31"/>
      <x:c r="F687" s="31" t="n">
        <x:v>65.35747857796687</x:v>
      </x:c>
      <x:c r="G687" s="31"/>
      <x:c r="H687" s="31"/>
      <x:c r="I687" s="31" t="n">
        <x:v>73.09554916198638</x:v>
      </x:c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</x:row>
    <x:row r="688">
      <x:c r="A688" s="31" t="n">
        <x:v>68.60000000000001</x:v>
      </x:c>
      <x:c r="B688" s="31"/>
      <x:c r="C688" s="31" t="n">
        <x:v>67.48166918541813</x:v>
      </x:c>
      <x:c r="D688" s="31"/>
      <x:c r="E688" s="31"/>
      <x:c r="F688" s="31" t="n">
        <x:v>65.35747857796687</x:v>
      </x:c>
      <x:c r="G688" s="31"/>
      <x:c r="H688" s="31"/>
      <x:c r="I688" s="31" t="n">
        <x:v>73.71752256338121</x:v>
      </x:c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</x:row>
    <x:row r="689">
      <x:c r="A689" s="31" t="n">
        <x:v>68.7</x:v>
      </x:c>
      <x:c r="B689" s="31"/>
      <x:c r="C689" s="31" t="n">
        <x:v>67.67247471509332</x:v>
      </x:c>
      <x:c r="D689" s="31"/>
      <x:c r="E689" s="31"/>
      <x:c r="F689" s="31" t="n">
        <x:v>65.77261698037847</x:v>
      </x:c>
      <x:c r="G689" s="31"/>
      <x:c r="H689" s="31"/>
      <x:c r="I689" s="31" t="n">
        <x:v>72.32744621290804</x:v>
      </x:c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</x:row>
    <x:row r="690">
      <x:c r="A690" s="31" t="n">
        <x:v>68.8</x:v>
      </x:c>
      <x:c r="B690" s="31"/>
      <x:c r="C690" s="31" t="n">
        <x:v>66.88034659818703</x:v>
      </x:c>
      <x:c r="D690" s="31"/>
      <x:c r="E690" s="31"/>
      <x:c r="F690" s="31" t="n">
        <x:v>66.81238926787049</x:v>
      </x:c>
      <x:c r="G690" s="31"/>
      <x:c r="H690" s="31"/>
      <x:c r="I690" s="31" t="n">
        <x:v>73.0958042193763</x:v>
      </x:c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</x:row>
    <x:row r="691">
      <x:c r="A691" s="31" t="n">
        <x:v>68.9</x:v>
      </x:c>
      <x:c r="B691" s="31"/>
      <x:c r="C691" s="31" t="n">
        <x:v>68.30127517034623</x:v>
      </x:c>
      <x:c r="D691" s="31"/>
      <x:c r="E691" s="31"/>
      <x:c r="F691" s="31" t="n">
        <x:v>66.81238926787049</x:v>
      </x:c>
      <x:c r="G691" s="31"/>
      <x:c r="H691" s="31"/>
      <x:c r="I691" s="31" t="n">
        <x:v>73.0958042193763</x:v>
      </x:c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</x:row>
    <x:row r="692">
      <x:c r="A692" s="31" t="n">
        <x:v>69</x:v>
      </x:c>
      <x:c r="B692" s="31"/>
      <x:c r="C692" s="31" t="n">
        <x:v>68.4874608688258</x:v>
      </x:c>
      <x:c r="D692" s="31"/>
      <x:c r="E692" s="31"/>
      <x:c r="F692" s="31" t="n">
        <x:v>65.70903995971244</x:v>
      </x:c>
      <x:c r="G692" s="31"/>
      <x:c r="H692" s="31"/>
      <x:c r="I692" s="31" t="n">
        <x:v>72.87702127895687</x:v>
      </x:c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</x:row>
    <x:row r="693">
      <x:c r="A693" s="31" t="n">
        <x:v>69.10000000000001</x:v>
      </x:c>
      <x:c r="B693" s="31"/>
      <x:c r="C693" s="31" t="n">
        <x:v>68.48746086882548</x:v>
      </x:c>
      <x:c r="D693" s="31"/>
      <x:c r="E693" s="31"/>
      <x:c r="F693" s="31" t="n">
        <x:v>67.38326464354475</x:v>
      </x:c>
      <x:c r="G693" s="31"/>
      <x:c r="H693" s="31"/>
      <x:c r="I693" s="31" t="n">
        <x:v>73.43798750176599</x:v>
      </x:c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</x:row>
    <x:row r="694">
      <x:c r="A694" s="31" t="n">
        <x:v>69.2</x:v>
      </x:c>
      <x:c r="B694" s="31"/>
      <x:c r="C694" s="31" t="n">
        <x:v>67.85719133424368</x:v>
      </x:c>
      <x:c r="D694" s="31"/>
      <x:c r="E694" s="31"/>
      <x:c r="F694" s="31" t="n">
        <x:v>67.38326464354475</x:v>
      </x:c>
      <x:c r="G694" s="31"/>
      <x:c r="H694" s="31"/>
      <x:c r="I694" s="31" t="n">
        <x:v>73.43798750176599</x:v>
      </x:c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</x:row>
    <x:row r="695">
      <x:c r="A695" s="31" t="n">
        <x:v>69.3</x:v>
      </x:c>
      <x:c r="B695" s="31"/>
      <x:c r="C695" s="31" t="n">
        <x:v>67.63775955807475</x:v>
      </x:c>
      <x:c r="D695" s="31"/>
      <x:c r="E695" s="31"/>
      <x:c r="F695" s="31" t="n">
        <x:v>69.56190946029224</x:v>
      </x:c>
      <x:c r="G695" s="31"/>
      <x:c r="H695" s="31"/>
      <x:c r="I695" s="31" t="n">
        <x:v>77.84924108146521</x:v>
      </x:c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</x:row>
    <x:row r="696">
      <x:c r="A696" s="31" t="n">
        <x:v>69.4</x:v>
      </x:c>
      <x:c r="B696" s="31"/>
      <x:c r="C696" s="31" t="n">
        <x:v>68.68161846360516</x:v>
      </x:c>
      <x:c r="D696" s="31"/>
      <x:c r="E696" s="31"/>
      <x:c r="F696" s="31" t="n">
        <x:v>84.10086120353584</x:v>
      </x:c>
      <x:c r="G696" s="31"/>
      <x:c r="H696" s="31"/>
      <x:c r="I696" s="31" t="n">
        <x:v>85.06245483396418</x:v>
      </x:c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</x:row>
    <x:row r="697">
      <x:c r="A697" s="31" t="n">
        <x:v>69.5</x:v>
      </x:c>
      <x:c r="B697" s="31"/>
      <x:c r="C697" s="31" t="n">
        <x:v>68.68161846360516</x:v>
      </x:c>
      <x:c r="D697" s="31"/>
      <x:c r="E697" s="31"/>
      <x:c r="F697" s="31" t="n">
        <x:v>84.10086120353584</x:v>
      </x:c>
      <x:c r="G697" s="31"/>
      <x:c r="H697" s="31"/>
      <x:c r="I697" s="31" t="n">
        <x:v>85.06245483396418</x:v>
      </x:c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</x:row>
    <x:row r="698">
      <x:c r="A698" s="31" t="n">
        <x:v>69.60000000000001</x:v>
      </x:c>
      <x:c r="B698" s="31"/>
      <x:c r="C698" s="31" t="n">
        <x:v>67.54886228993924</x:v>
      </x:c>
      <x:c r="D698" s="31"/>
      <x:c r="E698" s="31"/>
      <x:c r="F698" s="31" t="n">
        <x:v>77.53714673916815</x:v>
      </x:c>
      <x:c r="G698" s="31"/>
      <x:c r="H698" s="31"/>
      <x:c r="I698" s="31" t="n">
        <x:v>77.94446513190744</x:v>
      </x:c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</x:row>
    <x:row r="699">
      <x:c r="A699" s="31" t="n">
        <x:v>69.7</x:v>
      </x:c>
      <x:c r="B699" s="31"/>
      <x:c r="C699" s="31" t="n">
        <x:v>74.52303588467137</x:v>
      </x:c>
      <x:c r="D699" s="31"/>
      <x:c r="E699" s="31"/>
      <x:c r="F699" s="31" t="n">
        <x:v>67.06458525539767</x:v>
      </x:c>
      <x:c r="G699" s="31"/>
      <x:c r="H699" s="31"/>
      <x:c r="I699" s="31" t="n">
        <x:v>66.79631551740124</x:v>
      </x:c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</x:row>
    <x:row r="700">
      <x:c r="A700" s="31" t="n">
        <x:v>69.8</x:v>
      </x:c>
      <x:c r="B700" s="31"/>
      <x:c r="C700" s="31" t="n">
        <x:v>74.52303588467137</x:v>
      </x:c>
      <x:c r="D700" s="31"/>
      <x:c r="E700" s="31"/>
      <x:c r="F700" s="31" t="n">
        <x:v>63.46027049886743</x:v>
      </x:c>
      <x:c r="G700" s="31"/>
      <x:c r="H700" s="31"/>
      <x:c r="I700" s="31" t="n">
        <x:v>66.56763704837374</x:v>
      </x:c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</x:row>
    <x:row r="701">
      <x:c r="A701" s="31" t="n">
        <x:v>69.9</x:v>
      </x:c>
      <x:c r="B701" s="31"/>
      <x:c r="C701" s="31" t="n">
        <x:v>71.5732926797472</x:v>
      </x:c>
      <x:c r="D701" s="31"/>
      <x:c r="E701" s="31"/>
      <x:c r="F701" s="31" t="n">
        <x:v>62.93271280682659</x:v>
      </x:c>
      <x:c r="G701" s="31"/>
      <x:c r="H701" s="31"/>
      <x:c r="I701" s="31" t="n">
        <x:v>67.54315464072675</x:v>
      </x:c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</x:row>
    <x:row r="702">
      <x:c r="A702" s="31" t="n">
        <x:v>70</x:v>
      </x:c>
      <x:c r="B702" s="31"/>
      <x:c r="C702" s="31" t="n">
        <x:v>58.68643655489379</x:v>
      </x:c>
      <x:c r="D702" s="31"/>
      <x:c r="E702" s="31"/>
      <x:c r="F702" s="31" t="n">
        <x:v>55.0240989010412</x:v>
      </x:c>
      <x:c r="G702" s="31"/>
      <x:c r="H702" s="31"/>
      <x:c r="I702" s="31" t="n">
        <x:v>68.1284651961384</x:v>
      </x:c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</x:row>
    <x:row r="703">
      <x:c r="A703" s="31" t="n">
        <x:v>70.10000000000001</x:v>
      </x:c>
      <x:c r="B703" s="31"/>
      <x:c r="C703" s="31" t="n">
        <x:v>57.92899803454567</x:v>
      </x:c>
      <x:c r="D703" s="31"/>
      <x:c r="E703" s="31"/>
      <x:c r="F703" s="31" t="n">
        <x:v>61.733424204793515</x:v>
      </x:c>
      <x:c r="G703" s="31"/>
      <x:c r="H703" s="31"/>
      <x:c r="I703" s="31" t="n">
        <x:v>73.21242453645092</x:v>
      </x:c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</x:row>
    <x:row r="704">
      <x:c r="A704" s="31" t="n">
        <x:v>70.2</x:v>
      </x:c>
      <x:c r="B704" s="31"/>
      <x:c r="C704" s="31" t="n">
        <x:v>61.044569802144025</x:v>
      </x:c>
      <x:c r="D704" s="31"/>
      <x:c r="E704" s="31"/>
      <x:c r="F704" s="31" t="n">
        <x:v>61.733424204793515</x:v>
      </x:c>
      <x:c r="G704" s="31"/>
      <x:c r="H704" s="31"/>
      <x:c r="I704" s="31" t="n">
        <x:v>73.21242453645092</x:v>
      </x:c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</x:row>
    <x:row r="705">
      <x:c r="A705" s="31" t="n">
        <x:v>70.3</x:v>
      </x:c>
      <x:c r="B705" s="31"/>
      <x:c r="C705" s="31" t="n">
        <x:v>61.39088470150774</x:v>
      </x:c>
      <x:c r="D705" s="31"/>
      <x:c r="E705" s="31"/>
      <x:c r="F705" s="31" t="n">
        <x:v>68.00503503210209</x:v>
      </x:c>
      <x:c r="G705" s="31"/>
      <x:c r="H705" s="31"/>
      <x:c r="I705" s="31" t="n">
        <x:v>71.25028933800331</x:v>
      </x:c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</x:row>
    <x:row r="706">
      <x:c r="A706" s="31" t="n">
        <x:v>70.4</x:v>
      </x:c>
      <x:c r="B706" s="31"/>
      <x:c r="C706" s="31" t="n">
        <x:v>61.57257449761503</x:v>
      </x:c>
      <x:c r="D706" s="31"/>
      <x:c r="E706" s="31"/>
      <x:c r="F706" s="31" t="n">
        <x:v>69.27170001866506</x:v>
      </x:c>
      <x:c r="G706" s="31"/>
      <x:c r="H706" s="31"/>
      <x:c r="I706" s="31" t="n">
        <x:v>60.78363015856214</x:v>
      </x:c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</x:row>
    <x:row r="707">
      <x:c r="A707" s="31" t="n">
        <x:v>70.5</x:v>
      </x:c>
      <x:c r="B707" s="31"/>
      <x:c r="C707" s="31" t="n">
        <x:v>62.2668460152199</x:v>
      </x:c>
      <x:c r="D707" s="31"/>
      <x:c r="E707" s="31"/>
      <x:c r="F707" s="31" t="n">
        <x:v>69.16059870239121</x:v>
      </x:c>
      <x:c r="G707" s="31"/>
      <x:c r="H707" s="31"/>
      <x:c r="I707" s="31" t="n">
        <x:v>71.5183362881906</x:v>
      </x:c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</x:row>
    <x:row r="708">
      <x:c r="A708" s="31" t="n">
        <x:v>70.60000000000001</x:v>
      </x:c>
      <x:c r="B708" s="31"/>
      <x:c r="C708" s="31" t="n">
        <x:v>62.75335317895296</x:v>
      </x:c>
      <x:c r="D708" s="31"/>
      <x:c r="E708" s="31"/>
      <x:c r="F708" s="31" t="n">
        <x:v>55.946206812600586</x:v>
      </x:c>
      <x:c r="G708" s="31"/>
      <x:c r="H708" s="31"/>
      <x:c r="I708" s="31" t="n">
        <x:v>73.59133298541471</x:v>
      </x:c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</x:row>
    <x:row r="709">
      <x:c r="A709" s="31" t="n">
        <x:v>70.7</x:v>
      </x:c>
      <x:c r="B709" s="31"/>
      <x:c r="C709" s="31" t="n">
        <x:v>62.230162376795164</x:v>
      </x:c>
      <x:c r="D709" s="31"/>
      <x:c r="E709" s="31"/>
      <x:c r="F709" s="31" t="n">
        <x:v>50</x:v>
      </x:c>
      <x:c r="G709" s="31"/>
      <x:c r="H709" s="31"/>
      <x:c r="I709" s="31" t="n">
        <x:v>73.77083648515934</x:v>
      </x:c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</x:row>
    <x:row r="710">
      <x:c r="A710" s="31" t="n">
        <x:v>70.8</x:v>
      </x:c>
      <x:c r="B710" s="31"/>
      <x:c r="C710" s="31" t="n">
        <x:v>62.623880175793765</x:v>
      </x:c>
      <x:c r="D710" s="31"/>
      <x:c r="E710" s="31"/>
      <x:c r="F710" s="31" t="n">
        <x:v>63.37546152322632</x:v>
      </x:c>
      <x:c r="G710" s="31"/>
      <x:c r="H710" s="31"/>
      <x:c r="I710" s="31" t="n">
        <x:v>73.77083648515934</x:v>
      </x:c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</x:row>
    <x:row r="711">
      <x:c r="A711" s="31" t="n">
        <x:v>70.9</x:v>
      </x:c>
      <x:c r="B711" s="31"/>
      <x:c r="C711" s="31" t="n">
        <x:v>68.99979683207314</x:v>
      </x:c>
      <x:c r="D711" s="31"/>
      <x:c r="E711" s="31"/>
      <x:c r="F711" s="31" t="n">
        <x:v>65.34913484411805</x:v>
      </x:c>
      <x:c r="G711" s="31"/>
      <x:c r="H711" s="31"/>
      <x:c r="I711" s="31" t="n">
        <x:v>72.88841646385201</x:v>
      </x:c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</x:row>
    <x:row r="712">
      <x:c r="A712" s="31" t="n">
        <x:v>71</x:v>
      </x:c>
      <x:c r="B712" s="31"/>
      <x:c r="C712" s="31" t="n">
        <x:v>73.24231859782884</x:v>
      </x:c>
      <x:c r="D712" s="31"/>
      <x:c r="E712" s="31"/>
      <x:c r="F712" s="31" t="n">
        <x:v>66.41464060929579</x:v>
      </x:c>
      <x:c r="G712" s="31"/>
      <x:c r="H712" s="31"/>
      <x:c r="I712" s="31" t="n">
        <x:v>73.43238453569018</x:v>
      </x:c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</x:row>
    <x:row r="713">
      <x:c r="A713" s="31" t="n">
        <x:v>71.10000000000001</x:v>
      </x:c>
      <x:c r="B713" s="31"/>
      <x:c r="C713" s="31"/>
      <x:c r="D713" s="31"/>
      <x:c r="E713" s="31"/>
      <x:c r="F713" s="31" t="n">
        <x:v>66.89447643996945</x:v>
      </x:c>
      <x:c r="G713" s="31"/>
      <x:c r="H713" s="31"/>
      <x:c r="I713" s="31" t="n">
        <x:v>73.4323845356902</x:v>
      </x:c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</x:row>
    <x:row r="714">
      <x:c r="A714" s="31" t="n">
        <x:v>71.2</x:v>
      </x:c>
      <x:c r="B714" s="31"/>
      <x:c r="C714" s="31"/>
      <x:c r="D714" s="31"/>
      <x:c r="E714" s="31"/>
      <x:c r="F714" s="31" t="n">
        <x:v>66.5626088446103</x:v>
      </x:c>
      <x:c r="G714" s="31"/>
      <x:c r="H714" s="31"/>
      <x:c r="I714" s="31" t="n">
        <x:v>73.47975158805254</x:v>
      </x:c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</x:row>
    <x:row r="715">
      <x:c r="A715" s="31" t="n">
        <x:v>71.3</x:v>
      </x:c>
      <x:c r="B715" s="31"/>
      <x:c r="C715" s="31"/>
      <x:c r="D715" s="31"/>
      <x:c r="E715" s="31"/>
      <x:c r="F715" s="31" t="n">
        <x:v>65.23775461760685</x:v>
      </x:c>
      <x:c r="G715" s="31"/>
      <x:c r="H715" s="31"/>
      <x:c r="I715" s="31" t="n">
        <x:v>72.55534436271654</x:v>
      </x:c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</x:row>
    <x:row r="716">
      <x:c r="A716" s="31" t="n">
        <x:v>71.4</x:v>
      </x:c>
      <x:c r="B716" s="31"/>
      <x:c r="C716" s="31"/>
      <x:c r="D716" s="31"/>
      <x:c r="E716" s="31"/>
      <x:c r="F716" s="31" t="n">
        <x:v>65.40690530692098</x:v>
      </x:c>
      <x:c r="G716" s="31"/>
      <x:c r="H716" s="31"/>
      <x:c r="I716" s="31" t="n">
        <x:v>83.80975582500324</x:v>
      </x:c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</x:row>
    <x:row r="717">
      <x:c r="A717" s="31" t="n">
        <x:v>71.5</x:v>
      </x:c>
      <x:c r="B717" s="31"/>
      <x:c r="C717" s="31"/>
      <x:c r="D717" s="31"/>
      <x:c r="E717" s="31"/>
      <x:c r="F717" s="31" t="n">
        <x:v>65.40690530692098</x:v>
      </x:c>
      <x:c r="G717" s="31"/>
      <x:c r="H717" s="31"/>
      <x:c r="I717" s="31" t="n">
        <x:v>83.80975582500324</x:v>
      </x:c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</x:row>
    <x:row r="718">
      <x:c r="A718" s="31" t="n">
        <x:v>71.60000000000001</x:v>
      </x:c>
      <x:c r="B718" s="31"/>
      <x:c r="C718" s="31"/>
      <x:c r="D718" s="31"/>
      <x:c r="E718" s="31"/>
      <x:c r="F718" s="31" t="n">
        <x:v>68.57003484192546</x:v>
      </x:c>
      <x:c r="G718" s="31"/>
      <x:c r="H718" s="31"/>
      <x:c r="I718" s="31" t="n">
        <x:v>81.61366959292705</x:v>
      </x:c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</x:row>
    <x:row r="719">
      <x:c r="A719" s="31" t="n">
        <x:v>71.7</x:v>
      </x:c>
      <x:c r="B719" s="31"/>
      <x:c r="C719" s="31"/>
      <x:c r="D719" s="31"/>
      <x:c r="E719" s="31"/>
      <x:c r="F719" s="31" t="n">
        <x:v>68.57003484192546</x:v>
      </x:c>
      <x:c r="G719" s="31"/>
      <x:c r="H719" s="31"/>
      <x:c r="I719" s="31" t="n">
        <x:v>73.41347637653618</x:v>
      </x:c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</x:row>
    <x:row r="720">
      <x:c r="A720" s="31" t="n">
        <x:v>71.8</x:v>
      </x:c>
      <x:c r="B720" s="31"/>
      <x:c r="C720" s="31"/>
      <x:c r="D720" s="31"/>
      <x:c r="E720" s="31"/>
      <x:c r="F720" s="31" t="n">
        <x:v>82.69437213216543</x:v>
      </x:c>
      <x:c r="G720" s="31"/>
      <x:c r="H720" s="31"/>
      <x:c r="I720" s="31" t="n">
        <x:v>71.66678052268625</x:v>
      </x:c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</x:row>
    <x:row r="721">
      <x:c r="A721" s="31" t="n">
        <x:v>71.9</x:v>
      </x:c>
      <x:c r="B721" s="31"/>
      <x:c r="C721" s="31"/>
      <x:c r="D721" s="31"/>
      <x:c r="E721" s="31"/>
      <x:c r="F721" s="31" t="n">
        <x:v>82.69437213216543</x:v>
      </x:c>
      <x:c r="G721" s="31"/>
      <x:c r="H721" s="31"/>
      <x:c r="I721" s="31" t="n">
        <x:v>71.47067957090762</x:v>
      </x:c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</x:row>
    <x:row r="722">
      <x:c r="A722" s="31" t="n">
        <x:v>72</x:v>
      </x:c>
      <x:c r="B722" s="31"/>
      <x:c r="C722" s="31"/>
      <x:c r="D722" s="31"/>
      <x:c r="E722" s="31"/>
      <x:c r="F722" s="31" t="n">
        <x:v>79.98065612123892</x:v>
      </x:c>
      <x:c r="G722" s="31"/>
      <x:c r="H722" s="31"/>
      <x:c r="I722" s="31" t="n">
        <x:v>71.27457861912902</x:v>
      </x:c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</x:row>
    <x:row r="723">
      <x:c r="A723" s="31" t="n">
        <x:v>72.10000000000001</x:v>
      </x:c>
      <x:c r="B723" s="31"/>
      <x:c r="C723" s="31"/>
      <x:c r="D723" s="31"/>
      <x:c r="E723" s="31"/>
      <x:c r="F723" s="31" t="n">
        <x:v>71.14120084519713</x:v>
      </x:c>
      <x:c r="G723" s="31"/>
      <x:c r="H723" s="31"/>
      <x:c r="I723" s="31" t="n">
        <x:v>71.27457861912902</x:v>
      </x:c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</x:row>
    <x:row r="724">
      <x:c r="A724" s="31" t="n">
        <x:v>72.2</x:v>
      </x:c>
      <x:c r="B724" s="31"/>
      <x:c r="C724" s="31"/>
      <x:c r="D724" s="31"/>
      <x:c r="E724" s="31"/>
      <x:c r="F724" s="31" t="n">
        <x:v>63.35606013764341</x:v>
      </x:c>
      <x:c r="G724" s="31"/>
      <x:c r="H724" s="31"/>
      <x:c r="I724" s="31" t="n">
        <x:v>73.65844711505585</x:v>
      </x:c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</x:row>
    <x:row r="725">
      <x:c r="A725" s="31" t="n">
        <x:v>72.3</x:v>
      </x:c>
      <x:c r="B725" s="31"/>
      <x:c r="C725" s="31"/>
      <x:c r="D725" s="31"/>
      <x:c r="E725" s="31"/>
      <x:c r="F725" s="31" t="n">
        <x:v>59.92408055339332</x:v>
      </x:c>
      <x:c r="G725" s="31"/>
      <x:c r="H725" s="31"/>
      <x:c r="I725" s="31" t="n">
        <x:v>78.10379593842171</x:v>
      </x:c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</x:row>
    <x:row r="726">
      <x:c r="A726" s="31" t="n">
        <x:v>72.4</x:v>
      </x:c>
      <x:c r="B726" s="31"/>
      <x:c r="C726" s="31"/>
      <x:c r="D726" s="31"/>
      <x:c r="E726" s="31"/>
      <x:c r="F726" s="31" t="n">
        <x:v>51.46624278555742</x:v>
      </x:c>
      <x:c r="G726" s="31"/>
      <x:c r="H726" s="31"/>
      <x:c r="I726" s="31" t="n">
        <x:v>78.10379593842171</x:v>
      </x:c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</x:row>
    <x:row r="727">
      <x:c r="A727" s="31" t="n">
        <x:v>72.5</x:v>
      </x:c>
      <x:c r="B727" s="31"/>
      <x:c r="C727" s="31"/>
      <x:c r="D727" s="31"/>
      <x:c r="E727" s="31"/>
      <x:c r="F727" s="31" t="n">
        <x:v>57.14654112490776</x:v>
      </x:c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</x:row>
    <x:row r="728">
      <x:c r="A728" s="31" t="n">
        <x:v>72.60000000000001</x:v>
      </x:c>
      <x:c r="B728" s="31"/>
      <x:c r="C728" s="31"/>
      <x:c r="D728" s="31"/>
      <x:c r="E728" s="31"/>
      <x:c r="F728" s="31" t="n">
        <x:v>60.5547201285183</x:v>
      </x:c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</x:row>
    <x:row r="729">
      <x:c r="A729" s="31" t="n">
        <x:v>72.7</x:v>
      </x:c>
      <x:c r="B729" s="31"/>
      <x:c r="C729" s="31"/>
      <x:c r="D729" s="31"/>
      <x:c r="E729" s="31"/>
      <x:c r="F729" s="31" t="n">
        <x:v>64.50272779753823</x:v>
      </x:c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</x:row>
    <x:row r="730">
      <x:c r="A730" s="31" t="n">
        <x:v>72.8</x:v>
      </x:c>
      <x:c r="B730" s="31"/>
      <x:c r="C730" s="31"/>
      <x:c r="D730" s="31"/>
      <x:c r="E730" s="31"/>
      <x:c r="F730" s="31" t="n">
        <x:v>68.68165639938294</x:v>
      </x:c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</x:row>
    <x:row r="731">
      <x:c r="A731" s="31" t="n">
        <x:v>72.9</x:v>
      </x:c>
      <x:c r="B731" s="31"/>
      <x:c r="C731" s="31"/>
      <x:c r="D731" s="31"/>
      <x:c r="E731" s="31"/>
      <x:c r="F731" s="31" t="n">
        <x:v>68.68165639938294</x:v>
      </x:c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</x:row>
    <x:row r="732">
      <x:c r="A732" s="31" t="n">
        <x:v>73</x:v>
      </x:c>
      <x:c r="B732" s="31"/>
      <x:c r="C732" s="31"/>
      <x:c r="D732" s="31"/>
      <x:c r="E732" s="31"/>
      <x:c r="F732" s="31" t="n">
        <x:v>65.02352229596845</x:v>
      </x:c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</x:row>
    <x:row r="733">
      <x:c r="A733" s="31" t="n">
        <x:v>73.10000000000001</x:v>
      </x:c>
      <x:c r="B733" s="31"/>
      <x:c r="C733" s="31"/>
      <x:c r="D733" s="31"/>
      <x:c r="E733" s="31"/>
      <x:c r="F733" s="31" t="n">
        <x:v>62.337197783326545</x:v>
      </x:c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</x:row>
    <x:row r="734">
      <x:c r="A734" s="31" t="n">
        <x:v>73.2</x:v>
      </x:c>
      <x:c r="B734" s="31"/>
      <x:c r="C734" s="31"/>
      <x:c r="D734" s="31"/>
      <x:c r="E734" s="31"/>
      <x:c r="F734" s="31" t="n">
        <x:v>66.45959210994369</x:v>
      </x:c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</x:row>
    <x:row r="735">
      <x:c r="A735" s="31" t="n">
        <x:v>73.3</x:v>
      </x:c>
      <x:c r="B735" s="31"/>
      <x:c r="C735" s="31"/>
      <x:c r="D735" s="31"/>
      <x:c r="E735" s="31"/>
      <x:c r="F735" s="31" t="n">
        <x:v>66.5138186616594</x:v>
      </x:c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</x:row>
    <x:row r="736">
      <x:c r="A736" s="31" t="n">
        <x:v>73.4</x:v>
      </x:c>
      <x:c r="B736" s="31"/>
      <x:c r="C736" s="31"/>
      <x:c r="D736" s="31"/>
      <x:c r="E736" s="31"/>
      <x:c r="F736" s="31" t="n">
        <x:v>67.47162873758413</x:v>
      </x:c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</x:row>
    <x:row r="737">
      <x:c r="A737" s="31" t="n">
        <x:v>73.5</x:v>
      </x:c>
      <x:c r="B737" s="31"/>
      <x:c r="C737" s="31"/>
      <x:c r="D737" s="31"/>
      <x:c r="E737" s="31"/>
      <x:c r="F737" s="31" t="n">
        <x:v>67.47162873758413</x:v>
      </x:c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</x:row>
    <x:row r="738">
      <x:c r="A738" s="31" t="n">
        <x:v>73.60000000000001</x:v>
      </x:c>
      <x:c r="B738" s="31"/>
      <x:c r="C738" s="31"/>
      <x:c r="D738" s="31"/>
      <x:c r="E738" s="31"/>
      <x:c r="F738" s="31" t="n">
        <x:v>67.17705978460222</x:v>
      </x:c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</x:row>
    <x:row r="739">
      <x:c r="A739" s="31" t="n">
        <x:v>73.7</x:v>
      </x:c>
      <x:c r="B739" s="31"/>
      <x:c r="C739" s="31"/>
      <x:c r="D739" s="31"/>
      <x:c r="E739" s="31"/>
      <x:c r="F739" s="31" t="n">
        <x:v>67.17705978460222</x:v>
      </x:c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</x:row>
    <x:row r="740">
      <x:c r="A740" s="31" t="n">
        <x:v>73.8</x:v>
      </x:c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</x:row>
    <x:row r="741">
      <x:c r="A741" s="31" t="n">
        <x:v>73.9</x:v>
      </x:c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</x:row>
    <x:row r="742">
      <x:c r="A742" s="31" t="n">
        <x:v>74</x:v>
      </x:c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</x:cols>
  <x:sheetData>
    <x:row r="1">
      <x:c r="A1" s="11" t="str">
        <x:v>相对峰值时间 ms</x:v>
      </x:c>
      <x:c r="B1" s="25" t="str">
        <x:v>FR_INIT_260709_600_常见</x:v>
      </x:c>
      <x:c r="C1" s="25" t="str">
        <x:v>FR_INIT_260709_600_较响</x:v>
      </x:c>
      <x:c r="D1" s="25" t="str">
        <x:v>DD_BASE_260707_700_常见</x:v>
      </x:c>
      <x:c r="E1" s="25" t="str">
        <x:v>DD_BASE_260707_700_较响</x:v>
      </x:c>
      <x:c r="F1" s="25" t="str">
        <x:v>FR_INIT_260709_700_常见</x:v>
      </x:c>
      <x:c r="G1" s="25" t="str">
        <x:v>FR_INIT_260709_700_较响</x:v>
      </x:c>
      <x:c r="H1" s="25" t="str">
        <x:v>DD_BASE_260707_800_常见</x:v>
      </x:c>
      <x:c r="I1" s="25" t="str">
        <x:v>DD_BASE_260707_800_较响</x:v>
      </x:c>
      <x:c r="J1" s="25" t="str">
        <x:v>FR_INIT_260709_800_常见</x:v>
      </x:c>
      <x:c r="K1" s="25" t="str">
        <x:v>FR_INIT_260709_800_较响</x:v>
      </x:c>
      <x:c r="L1" s="25" t="str">
        <x:v>DD_BASE_260707_900_常见</x:v>
      </x:c>
      <x:c r="M1" s="25" t="str">
        <x:v>DD_BASE_260707_900_较响</x:v>
      </x:c>
      <x:c r="N1" s="25" t="str">
        <x:v>FR_INIT_260709_900_常见</x:v>
      </x:c>
      <x:c r="O1" s="25" t="str">
        <x:v>FR_INIT_260709_900_较响</x:v>
      </x:c>
      <x:c r="P1" s="25" t="str">
        <x:v>FR_INIT_260709_1000_常见</x:v>
      </x:c>
      <x:c r="Q1" s="25" t="str">
        <x:v>FR_INIT_260709_1000_较响</x:v>
      </x:c>
      <x:c r="R1" s="25" t="str">
        <x:v>DD_BASE_260707_1125_常见</x:v>
      </x:c>
      <x:c r="S1" s="25" t="str">
        <x:v>DD_BASE_260707_1125_较响</x:v>
      </x:c>
      <x:c r="T1" s="25" t="str">
        <x:v>FR_INIT_260709_1125_常见</x:v>
      </x:c>
      <x:c r="U1" s="25" t="str">
        <x:v>FR_INIT_260709_1125_较响</x:v>
      </x:c>
      <x:c r="V1" s="25" t="str">
        <x:v>FR_0716_CYL_800_常见</x:v>
      </x:c>
      <x:c r="W1" s="25" t="str">
        <x:v>FR_0716_CYL_800_较响</x:v>
      </x:c>
      <x:c r="X1" s="25" t="str">
        <x:v>FR_0716_CYL_900_常见</x:v>
      </x:c>
      <x:c r="Y1" s="25" t="str">
        <x:v>FR_0716_CYL_900_较响</x:v>
      </x:c>
      <x:c r="Z1" s="25" t="str">
        <x:v>FR_0716_CYL_1000_常见</x:v>
      </x:c>
      <x:c r="AA1" s="25" t="str">
        <x:v>FR_0716_CYL_1000_较响</x:v>
      </x:c>
      <x:c r="AB1" s="25" t="str">
        <x:v>FR_0716_CYL_1125_常见</x:v>
      </x:c>
      <x:c r="AC1" s="25" t="str">
        <x:v>FR_0716_CYL_1125_较响</x:v>
      </x:c>
      <x:c r="AD1" s="25" t="str">
        <x:v>FR_0716_SHUTTLE_900_R1_常见</x:v>
      </x:c>
      <x:c r="AE1" s="25" t="str">
        <x:v>FR_0716_SHUTTLE_900_R1_较响</x:v>
      </x:c>
      <x:c r="AF1" s="25" t="str">
        <x:v>FR_0716_SHUTTLE_900_R2_常见</x:v>
      </x:c>
      <x:c r="AG1" s="25" t="str">
        <x:v>FR_0716_SHUTTLE_900_R2_较响</x:v>
      </x:c>
      <x:c r="AH1" s="25" t="str">
        <x:v>FR_0716_SHUTTLE_1000_常见</x:v>
      </x:c>
      <x:c r="AI1" s="25" t="str">
        <x:v>FR_0716_SHUTTLE_1000_较响</x:v>
      </x:c>
      <x:c r="AJ1" s="25" t="str">
        <x:v>FR_0722_B_HEAT_900_常见</x:v>
      </x:c>
      <x:c r="AK1" s="25" t="str">
        <x:v>FR_0722_B_HEAT_900_较响</x:v>
      </x:c>
      <x:c r="AL1" s="25" t="str">
        <x:v>FR_0722_B_HEAT_1000_常见</x:v>
      </x:c>
      <x:c r="AM1" s="25" t="str">
        <x:v>FR_0722_B_HEAT_1000_较响</x:v>
      </x:c>
      <x:c r="AN1" s="25" t="str">
        <x:v>FR_DELIVERY_0723_700_常见</x:v>
      </x:c>
      <x:c r="AO1" s="12" t="str">
        <x:v>FR_DELIVERY_0723_700_较响</x:v>
      </x:c>
    </x:row>
    <x:row r="2">
      <x:c r="A2" s="31" t="n">
        <x:v>-300</x:v>
      </x:c>
      <x:c r="B2" s="31" t="n">
        <x:v>65.85015037436301</x:v>
      </x:c>
      <x:c r="C2" s="31" t="n">
        <x:v>66.45380038609127</x:v>
      </x:c>
      <x:c r="D2" s="31" t="n">
        <x:v>68.38012593494294</x:v>
      </x:c>
      <x:c r="E2" s="31" t="n">
        <x:v>73.00145727334514</x:v>
      </x:c>
      <x:c r="F2" s="31" t="n">
        <x:v>64.71939625007644</x:v>
      </x:c>
      <x:c r="G2" s="31" t="n">
        <x:v>70.45190598635803</x:v>
      </x:c>
      <x:c r="H2" s="31" t="n">
        <x:v>67.44115217415067</x:v>
      </x:c>
      <x:c r="I2" s="31" t="n">
        <x:v>69.25230582496033</x:v>
      </x:c>
      <x:c r="J2" s="31" t="n">
        <x:v>63.251359432319134</x:v>
      </x:c>
      <x:c r="K2" s="31" t="n">
        <x:v>67.69964793859846</x:v>
      </x:c>
      <x:c r="L2" s="31" t="n">
        <x:v>62.95123056701305</x:v>
      </x:c>
      <x:c r="M2" s="31" t="n">
        <x:v>65.0077627387413</x:v>
      </x:c>
      <x:c r="N2" s="31" t="n">
        <x:v>70.39105607009398</x:v>
      </x:c>
      <x:c r="O2" s="31" t="n">
        <x:v>75.41558021587501</x:v>
      </x:c>
      <x:c r="P2" s="31" t="n">
        <x:v>75.25561598570886</x:v>
      </x:c>
      <x:c r="Q2" s="31" t="n">
        <x:v>71.43755084693876</x:v>
      </x:c>
      <x:c r="R2" s="31" t="n">
        <x:v>72.67200975567839</x:v>
      </x:c>
      <x:c r="S2" s="31" t="n">
        <x:v>71.97604279192657</x:v>
      </x:c>
      <x:c r="T2" s="31" t="n">
        <x:v>71.69790775730364</x:v>
      </x:c>
      <x:c r="U2" s="31" t="n">
        <x:v>70.89655895838094</x:v>
      </x:c>
      <x:c r="V2" s="31" t="n">
        <x:v>75.39285947256474</x:v>
      </x:c>
      <x:c r="W2" s="31" t="n">
        <x:v>75.22138161443974</x:v>
      </x:c>
      <x:c r="X2" s="31" t="n">
        <x:v>69.31262684540636</x:v>
      </x:c>
      <x:c r="Y2" s="31" t="n">
        <x:v>81.853186333461</x:v>
      </x:c>
      <x:c r="Z2" s="31" t="n">
        <x:v>75.11035792692189</x:v>
      </x:c>
      <x:c r="AA2" s="31" t="n">
        <x:v>72.54084180614356</x:v>
      </x:c>
      <x:c r="AB2" s="31" t="n">
        <x:v>79.13031871518356</x:v>
      </x:c>
      <x:c r="AC2" s="31" t="n">
        <x:v>81.32241221363203</x:v>
      </x:c>
      <x:c r="AD2" s="31" t="n">
        <x:v>61.36312732533057</x:v>
      </x:c>
      <x:c r="AE2" s="31" t="n">
        <x:v>69.42692148263454</x:v>
      </x:c>
      <x:c r="AF2" s="31" t="n">
        <x:v>61.166776808059495</x:v>
      </x:c>
      <x:c r="AG2" s="31" t="n">
        <x:v>65.06486381083063</x:v>
      </x:c>
      <x:c r="AH2" s="31" t="n">
        <x:v>62.20070410447668</x:v>
      </x:c>
      <x:c r="AI2" s="31" t="n">
        <x:v>68.8339602439695</x:v>
      </x:c>
      <x:c r="AJ2" s="31" t="n">
        <x:v>77.5893731208393</x:v>
      </x:c>
      <x:c r="AK2" s="31" t="n">
        <x:v>79.38096011962831</x:v>
      </x:c>
      <x:c r="AL2" s="31" t="n">
        <x:v>72.20425877629964</x:v>
      </x:c>
      <x:c r="AM2" s="31" t="n">
        <x:v>81.7058060516668</x:v>
      </x:c>
      <x:c r="AN2" s="31" t="n">
        <x:v>75.93823421430318</x:v>
      </x:c>
      <x:c r="AO2" s="31" t="n">
        <x:v>75.66741985743465</x:v>
      </x:c>
    </x:row>
    <x:row r="3">
      <x:c r="A3" s="31" t="n">
        <x:v>-279.99999999999994</x:v>
      </x:c>
      <x:c r="B3" s="31" t="n">
        <x:v>66.1370260266635</x:v>
      </x:c>
      <x:c r="C3" s="31" t="n">
        <x:v>66.29781796660312</x:v>
      </x:c>
      <x:c r="D3" s="31" t="n">
        <x:v>68.50257987862459</x:v>
      </x:c>
      <x:c r="E3" s="31" t="n">
        <x:v>72.992314317757</x:v>
      </x:c>
      <x:c r="F3" s="31" t="n">
        <x:v>64.83832603589487</x:v>
      </x:c>
      <x:c r="G3" s="31" t="n">
        <x:v>70.00353058368441</x:v>
      </x:c>
      <x:c r="H3" s="31" t="n">
        <x:v>67.44115217415062</x:v>
      </x:c>
      <x:c r="I3" s="31" t="n">
        <x:v>69.22467867359458</x:v>
      </x:c>
      <x:c r="J3" s="31" t="n">
        <x:v>64.82972721738487</x:v>
      </x:c>
      <x:c r="K3" s="31" t="n">
        <x:v>67.69964793859845</x:v>
      </x:c>
      <x:c r="L3" s="31" t="n">
        <x:v>64.34063374926693</x:v>
      </x:c>
      <x:c r="M3" s="31" t="n">
        <x:v>64.76673720258412</x:v>
      </x:c>
      <x:c r="N3" s="31" t="n">
        <x:v>69.38700497922817</x:v>
      </x:c>
      <x:c r="O3" s="31" t="n">
        <x:v>74.39060356044418</x:v>
      </x:c>
      <x:c r="P3" s="31" t="n">
        <x:v>75.21195690484873</x:v>
      </x:c>
      <x:c r="Q3" s="31" t="n">
        <x:v>71.92993111186425</x:v>
      </x:c>
      <x:c r="R3" s="31" t="n">
        <x:v>69.72174831515011</x:v>
      </x:c>
      <x:c r="S3" s="31" t="n">
        <x:v>71.26060901150089</x:v>
      </x:c>
      <x:c r="T3" s="31" t="n">
        <x:v>72.80570703133195</x:v>
      </x:c>
      <x:c r="U3" s="31" t="n">
        <x:v>71.37060736537138</x:v>
      </x:c>
      <x:c r="V3" s="31" t="n">
        <x:v>75.39285947256475</x:v>
      </x:c>
      <x:c r="W3" s="31" t="n">
        <x:v>74.4921436500371</x:v>
      </x:c>
      <x:c r="X3" s="31" t="n">
        <x:v>69.31262684540643</x:v>
      </x:c>
      <x:c r="Y3" s="31" t="n">
        <x:v>81.2457553915733</x:v>
      </x:c>
      <x:c r="Z3" s="31" t="n">
        <x:v>74.48478331320811</x:v>
      </x:c>
      <x:c r="AA3" s="31" t="n">
        <x:v>72.54084180614353</x:v>
      </x:c>
      <x:c r="AB3" s="31" t="n">
        <x:v>79.13031871518352</x:v>
      </x:c>
      <x:c r="AC3" s="31" t="n">
        <x:v>81.59715747109976</x:v>
      </x:c>
      <x:c r="AD3" s="31" t="n">
        <x:v>61.53832919919675</x:v>
      </x:c>
      <x:c r="AE3" s="31" t="n">
        <x:v>70.63703034527201</x:v>
      </x:c>
      <x:c r="AF3" s="31" t="n">
        <x:v>61.1667768080595</x:v>
      </x:c>
      <x:c r="AG3" s="31" t="n">
        <x:v>64.28707351928365</x:v>
      </x:c>
      <x:c r="AH3" s="31" t="n">
        <x:v>62.61534557796401</x:v>
      </x:c>
      <x:c r="AI3" s="31" t="n">
        <x:v>68.76212419962384</x:v>
      </x:c>
      <x:c r="AJ3" s="31" t="n">
        <x:v>77.54680521483306</x:v>
      </x:c>
      <x:c r="AK3" s="31" t="n">
        <x:v>80.12788349950705</x:v>
      </x:c>
      <x:c r="AL3" s="31" t="n">
        <x:v>72.20425877629965</x:v>
      </x:c>
      <x:c r="AM3" s="31" t="n">
        <x:v>81.21750652911729</x:v>
      </x:c>
      <x:c r="AN3" s="31" t="n">
        <x:v>76.48697630366657</x:v>
      </x:c>
      <x:c r="AO3" s="31" t="n">
        <x:v>75.58711024174247</x:v>
      </x:c>
    </x:row>
    <x:row r="4">
      <x:c r="A4" s="31" t="n">
        <x:v>-259.99999999999994</x:v>
      </x:c>
      <x:c r="B4" s="31" t="n">
        <x:v>66.18669307645523</x:v>
      </x:c>
      <x:c r="C4" s="31" t="n">
        <x:v>66.34353784419375</x:v>
      </x:c>
      <x:c r="D4" s="31" t="n">
        <x:v>67.88769019309989</x:v>
      </x:c>
      <x:c r="E4" s="31" t="n">
        <x:v>72.40916855355319</x:v>
      </x:c>
      <x:c r="F4" s="31" t="n">
        <x:v>64.61099835249121</x:v>
      </x:c>
      <x:c r="G4" s="31" t="n">
        <x:v>69.94559963041041</x:v>
      </x:c>
      <x:c r="H4" s="31" t="n">
        <x:v>66.40544577337558</x:v>
      </x:c>
      <x:c r="I4" s="31" t="n">
        <x:v>69.19977791618146</x:v>
      </x:c>
      <x:c r="J4" s="31" t="n">
        <x:v>65.42177198811832</x:v>
      </x:c>
      <x:c r="K4" s="31" t="n">
        <x:v>67.38206554218227</x:v>
      </x:c>
      <x:c r="L4" s="31" t="n">
        <x:v>65.37727991981417</x:v>
      </x:c>
      <x:c r="M4" s="31" t="n">
        <x:v>64.76402834056131</x:v>
      </x:c>
      <x:c r="N4" s="31" t="n">
        <x:v>69.01432335678814</x:v>
      </x:c>
      <x:c r="O4" s="31" t="n">
        <x:v>73.55369509078842</x:v>
      </x:c>
      <x:c r="P4" s="31" t="n">
        <x:v>74.65263519705854</x:v>
      </x:c>
      <x:c r="Q4" s="31" t="n">
        <x:v>73.05301185821439</x:v>
      </x:c>
      <x:c r="R4" s="31" t="n">
        <x:v>68.73599957290303</x:v>
      </x:c>
      <x:c r="S4" s="31" t="n">
        <x:v>70.84597149328118</x:v>
      </x:c>
      <x:c r="T4" s="31" t="n">
        <x:v>73.31171156804089</x:v>
      </x:c>
      <x:c r="U4" s="31" t="n">
        <x:v>69.95874294357075</x:v>
      </x:c>
      <x:c r="V4" s="31" t="n">
        <x:v>75.63312375566557</x:v>
      </x:c>
      <x:c r="W4" s="31" t="n">
        <x:v>74.13059797191731</x:v>
      </x:c>
      <x:c r="X4" s="31" t="n">
        <x:v>70.40139744758301</x:v>
      </x:c>
      <x:c r="Y4" s="31" t="n">
        <x:v>82.00580031819008</x:v>
      </x:c>
      <x:c r="Z4" s="31" t="n">
        <x:v>74.33494465168133</x:v>
      </x:c>
      <x:c r="AA4" s="31" t="n">
        <x:v>72.00772318863092</x:v>
      </x:c>
      <x:c r="AB4" s="31" t="n">
        <x:v>78.50552261045758</x:v>
      </x:c>
      <x:c r="AC4" s="31" t="n">
        <x:v>81.56521607879833</x:v>
      </x:c>
      <x:c r="AD4" s="31" t="n">
        <x:v>62.4256165555236</x:v>
      </x:c>
      <x:c r="AE4" s="31" t="n">
        <x:v>70.44820372310306</x:v>
      </x:c>
      <x:c r="AF4" s="31" t="n">
        <x:v>61.43537339255519</x:v>
      </x:c>
      <x:c r="AG4" s="31" t="n">
        <x:v>63.20913986667766</x:v>
      </x:c>
      <x:c r="AH4" s="31" t="n">
        <x:v>63.582953992570474</x:v>
      </x:c>
      <x:c r="AI4" s="31" t="n">
        <x:v>69.13542939368875</x:v>
      </x:c>
      <x:c r="AJ4" s="31" t="n">
        <x:v>77.492951513828</x:v>
      </x:c>
      <x:c r="AK4" s="31" t="n">
        <x:v>80.15055086778754</x:v>
      </x:c>
      <x:c r="AL4" s="31" t="n">
        <x:v>73.35767156411714</x:v>
      </x:c>
      <x:c r="AM4" s="31" t="n">
        <x:v>81.64731415979927</x:v>
      </x:c>
      <x:c r="AN4" s="31" t="n">
        <x:v>76.53693088137003</x:v>
      </x:c>
      <x:c r="AO4" s="31" t="n">
        <x:v>76.26921659223116</x:v>
      </x:c>
    </x:row>
    <x:row r="5">
      <x:c r="A5" s="31" t="n">
        <x:v>-239.99999999999994</x:v>
      </x:c>
      <x:c r="B5" s="31" t="n">
        <x:v>65.97727277585645</x:v>
      </x:c>
      <x:c r="C5" s="31" t="n">
        <x:v>66.61302977077939</x:v>
      </x:c>
      <x:c r="D5" s="31" t="n">
        <x:v>67.6926362160035</x:v>
      </x:c>
      <x:c r="E5" s="31" t="n">
        <x:v>72.16014802594498</x:v>
      </x:c>
      <x:c r="F5" s="31" t="n">
        <x:v>63.35573122961599</x:v>
      </x:c>
      <x:c r="G5" s="31" t="n">
        <x:v>69.83018697329152</x:v>
      </x:c>
      <x:c r="H5" s="31" t="n">
        <x:v>64.81140444890667</x:v>
      </x:c>
      <x:c r="I5" s="31" t="n">
        <x:v>69.28677540547434</x:v>
      </x:c>
      <x:c r="J5" s="31" t="n">
        <x:v>64.96362081735575</x:v>
      </x:c>
      <x:c r="K5" s="31" t="n">
        <x:v>67.65428911936702</x:v>
      </x:c>
      <x:c r="L5" s="31" t="n">
        <x:v>66.0062485836354</x:v>
      </x:c>
      <x:c r="M5" s="31" t="n">
        <x:v>63.82863932426005</x:v>
      </x:c>
      <x:c r="N5" s="31" t="n">
        <x:v>67.6299397150936</x:v>
      </x:c>
      <x:c r="O5" s="31" t="n">
        <x:v>73.74524200505556</x:v>
      </x:c>
      <x:c r="P5" s="31" t="n">
        <x:v>75.34849581223449</x:v>
      </x:c>
      <x:c r="Q5" s="31" t="n">
        <x:v>72.60690413698444</x:v>
      </x:c>
      <x:c r="R5" s="31" t="n">
        <x:v>68.5542511472927</x:v>
      </x:c>
      <x:c r="S5" s="31" t="n">
        <x:v>71.74438673443142</x:v>
      </x:c>
      <x:c r="T5" s="31" t="n">
        <x:v>72.96266644120377</x:v>
      </x:c>
      <x:c r="U5" s="31" t="n">
        <x:v>70.42897850831163</x:v>
      </x:c>
      <x:c r="V5" s="31" t="n">
        <x:v>76.03838828101031</x:v>
      </x:c>
      <x:c r="W5" s="31" t="n">
        <x:v>73.6251023885233</x:v>
      </x:c>
      <x:c r="X5" s="31" t="n">
        <x:v>73.622436037787</x:v>
      </x:c>
      <x:c r="Y5" s="31" t="n">
        <x:v>81.70811554662738</x:v>
      </x:c>
      <x:c r="Z5" s="31" t="n">
        <x:v>76.04894357154348</x:v>
      </x:c>
      <x:c r="AA5" s="31" t="n">
        <x:v>72.7005806674498</x:v>
      </x:c>
      <x:c r="AB5" s="31" t="n">
        <x:v>78.4321954887854</x:v>
      </x:c>
      <x:c r="AC5" s="31" t="n">
        <x:v>81.4867097590222</x:v>
      </x:c>
      <x:c r="AD5" s="31" t="n">
        <x:v>63.85286693551297</x:v>
      </x:c>
      <x:c r="AE5" s="31" t="n">
        <x:v>70.6876980910448</x:v>
      </x:c>
      <x:c r="AF5" s="31" t="n">
        <x:v>61.4340606936901</x:v>
      </x:c>
      <x:c r="AG5" s="31" t="n">
        <x:v>63.10758599828255</x:v>
      </x:c>
      <x:c r="AH5" s="31" t="n">
        <x:v>63.805239824335494</x:v>
      </x:c>
      <x:c r="AI5" s="31" t="n">
        <x:v>69.37142898137151</x:v>
      </x:c>
      <x:c r="AJ5" s="31" t="n">
        <x:v>77.05819721723108</x:v>
      </x:c>
      <x:c r="AK5" s="31" t="n">
        <x:v>80.3834997587368</x:v>
      </x:c>
      <x:c r="AL5" s="31" t="n">
        <x:v>73.40801353015598</x:v>
      </x:c>
      <x:c r="AM5" s="31" t="n">
        <x:v>81.25161910783063</x:v>
      </x:c>
      <x:c r="AN5" s="31" t="n">
        <x:v>75.67103662532504</x:v>
      </x:c>
      <x:c r="AO5" s="31" t="n">
        <x:v>77.49513168001393</x:v>
      </x:c>
    </x:row>
    <x:row r="6">
      <x:c r="A6" s="31" t="n">
        <x:v>-219.99999999999991</x:v>
      </x:c>
      <x:c r="B6" s="31" t="n">
        <x:v>65.64462035692698</x:v>
      </x:c>
      <x:c r="C6" s="31" t="n">
        <x:v>66.90577069998211</x:v>
      </x:c>
      <x:c r="D6" s="31" t="n">
        <x:v>67.24252964404802</x:v>
      </x:c>
      <x:c r="E6" s="31" t="n">
        <x:v>72.41608093336441</x:v>
      </x:c>
      <x:c r="F6" s="31" t="n">
        <x:v>62.30330767497433</x:v>
      </x:c>
      <x:c r="G6" s="31" t="n">
        <x:v>68.6223549407862</x:v>
      </x:c>
      <x:c r="H6" s="31" t="n">
        <x:v>64.19390593835234</x:v>
      </x:c>
      <x:c r="I6" s="31" t="n">
        <x:v>69.06951872385683</x:v>
      </x:c>
      <x:c r="J6" s="31" t="n">
        <x:v>64.36848239402677</x:v>
      </x:c>
      <x:c r="K6" s="31" t="n">
        <x:v>67.56067395172096</x:v>
      </x:c>
      <x:c r="L6" s="31" t="n">
        <x:v>64.74871837104504</x:v>
      </x:c>
      <x:c r="M6" s="31" t="n">
        <x:v>63.29090420235828</x:v>
      </x:c>
      <x:c r="N6" s="31" t="n">
        <x:v>66.14968357294973</x:v>
      </x:c>
      <x:c r="O6" s="31" t="n">
        <x:v>73.65327589503552</x:v>
      </x:c>
      <x:c r="P6" s="31" t="n">
        <x:v>75.44174116839795</x:v>
      </x:c>
      <x:c r="Q6" s="31" t="n">
        <x:v>72.4420664040663</x:v>
      </x:c>
      <x:c r="R6" s="31" t="n">
        <x:v>68.34926586240391</x:v>
      </x:c>
      <x:c r="S6" s="31" t="n">
        <x:v>70.93208720768797</x:v>
      </x:c>
      <x:c r="T6" s="31" t="n">
        <x:v>72.18117783257111</x:v>
      </x:c>
      <x:c r="U6" s="31" t="n">
        <x:v>70.15631539303692</x:v>
      </x:c>
      <x:c r="V6" s="31" t="n">
        <x:v>76.25048478768248</x:v>
      </x:c>
      <x:c r="W6" s="31" t="n">
        <x:v>74.28513271654091</x:v>
      </x:c>
      <x:c r="X6" s="31" t="n">
        <x:v>74.94918565773591</x:v>
      </x:c>
      <x:c r="Y6" s="31" t="n">
        <x:v>80.9303684968152</x:v>
      </x:c>
      <x:c r="Z6" s="31" t="n">
        <x:v>78.47783504290827</x:v>
      </x:c>
      <x:c r="AA6" s="31" t="n">
        <x:v>72.66272168126474</x:v>
      </x:c>
      <x:c r="AB6" s="31" t="n">
        <x:v>78.65465253207667</x:v>
      </x:c>
      <x:c r="AC6" s="31" t="n">
        <x:v>81.59306449016917</x:v>
      </x:c>
      <x:c r="AD6" s="31" t="n">
        <x:v>64.48083415880515</x:v>
      </x:c>
      <x:c r="AE6" s="31" t="n">
        <x:v>70.78783044857705</x:v>
      </x:c>
      <x:c r="AF6" s="31" t="n">
        <x:v>61.29652579681091</x:v>
      </x:c>
      <x:c r="AG6" s="31" t="n">
        <x:v>63.894890311243174</x:v>
      </x:c>
      <x:c r="AH6" s="31" t="n">
        <x:v>66.13224802991249</x:v>
      </x:c>
      <x:c r="AI6" s="31" t="n">
        <x:v>69.69306679696417</x:v>
      </x:c>
      <x:c r="AJ6" s="31" t="n">
        <x:v>76.0370374383699</x:v>
      </x:c>
      <x:c r="AK6" s="31" t="n">
        <x:v>80.33242511137087</x:v>
      </x:c>
      <x:c r="AL6" s="31" t="n">
        <x:v>73.99165197042481</x:v>
      </x:c>
      <x:c r="AM6" s="31" t="n">
        <x:v>81.03442315259728</x:v>
      </x:c>
      <x:c r="AN6" s="31" t="n">
        <x:v>75.052058229703</x:v>
      </x:c>
      <x:c r="AO6" s="31" t="n">
        <x:v>78.22443584277272</x:v>
      </x:c>
    </x:row>
    <x:row r="7">
      <x:c r="A7" s="31" t="n">
        <x:v>-199.9999999999999</x:v>
      </x:c>
      <x:c r="B7" s="31" t="n">
        <x:v>65.6181188811477</x:v>
      </x:c>
      <x:c r="C7" s="31" t="n">
        <x:v>67.35459895523503</x:v>
      </x:c>
      <x:c r="D7" s="31" t="n">
        <x:v>66.31624960760155</x:v>
      </x:c>
      <x:c r="E7" s="31" t="n">
        <x:v>72.41192739325061</x:v>
      </x:c>
      <x:c r="F7" s="31" t="n">
        <x:v>61.00899928115806</x:v>
      </x:c>
      <x:c r="G7" s="31" t="n">
        <x:v>68.29815010679859</x:v>
      </x:c>
      <x:c r="H7" s="31" t="n">
        <x:v>63.450762207594785</x:v>
      </x:c>
      <x:c r="I7" s="31" t="n">
        <x:v>69.47955474423703</x:v>
      </x:c>
      <x:c r="J7" s="31" t="n">
        <x:v>63.85141654295339</x:v>
      </x:c>
      <x:c r="K7" s="31" t="n">
        <x:v>67.14026654265925</x:v>
      </x:c>
      <x:c r="L7" s="31" t="n">
        <x:v>64.06068887860732</x:v>
      </x:c>
      <x:c r="M7" s="31" t="n">
        <x:v>63.678022549771484</x:v>
      </x:c>
      <x:c r="N7" s="31" t="n">
        <x:v>66.20640600701292</x:v>
      </x:c>
      <x:c r="O7" s="31" t="n">
        <x:v>74.16817965358476</x:v>
      </x:c>
      <x:c r="P7" s="31" t="n">
        <x:v>74.78608946548566</x:v>
      </x:c>
      <x:c r="Q7" s="31" t="n">
        <x:v>72.10410841481931</x:v>
      </x:c>
      <x:c r="R7" s="31" t="n">
        <x:v>68.41226794940627</x:v>
      </x:c>
      <x:c r="S7" s="31" t="n">
        <x:v>71.79607746262273</x:v>
      </x:c>
      <x:c r="T7" s="31" t="n">
        <x:v>72.17220973227062</x:v>
      </x:c>
      <x:c r="U7" s="31" t="n">
        <x:v>69.569492981294</x:v>
      </x:c>
      <x:c r="V7" s="31" t="n">
        <x:v>75.44851969411644</x:v>
      </x:c>
      <x:c r="W7" s="31" t="n">
        <x:v>74.51697360273396</x:v>
      </x:c>
      <x:c r="X7" s="31" t="n">
        <x:v>75.32828719408177</x:v>
      </x:c>
      <x:c r="Y7" s="31" t="n">
        <x:v>80.86090966037591</x:v>
      </x:c>
      <x:c r="Z7" s="31" t="n">
        <x:v>79.55151680085244</x:v>
      </x:c>
      <x:c r="AA7" s="31" t="n">
        <x:v>74.15004682109256</x:v>
      </x:c>
      <x:c r="AB7" s="31" t="n">
        <x:v>77.70838666946818</x:v>
      </x:c>
      <x:c r="AC7" s="31" t="n">
        <x:v>81.12207890831121</x:v>
      </x:c>
      <x:c r="AD7" s="31" t="n">
        <x:v>64.3307087056842</x:v>
      </x:c>
      <x:c r="AE7" s="31" t="n">
        <x:v>69.40879706959474</x:v>
      </x:c>
      <x:c r="AF7" s="31" t="n">
        <x:v>63.55003269590272</x:v>
      </x:c>
      <x:c r="AG7" s="31" t="n">
        <x:v>64.19251014657594</x:v>
      </x:c>
      <x:c r="AH7" s="31" t="n">
        <x:v>67.12703187412583</x:v>
      </x:c>
      <x:c r="AI7" s="31" t="n">
        <x:v>70.6220897437307</x:v>
      </x:c>
      <x:c r="AJ7" s="31" t="n">
        <x:v>74.5798599090385</x:v>
      </x:c>
      <x:c r="AK7" s="31" t="n">
        <x:v>80.40109484339973</x:v>
      </x:c>
      <x:c r="AL7" s="31" t="n">
        <x:v>74.26561928228028</x:v>
      </x:c>
      <x:c r="AM7" s="31" t="n">
        <x:v>81.16851294922213</x:v>
      </x:c>
      <x:c r="AN7" s="31" t="n">
        <x:v>74.15242561319252</x:v>
      </x:c>
      <x:c r="AO7" s="31" t="n">
        <x:v>78.39842481889926</x:v>
      </x:c>
    </x:row>
    <x:row r="8">
      <x:c r="A8" s="31" t="n">
        <x:v>-179.9999999999999</x:v>
      </x:c>
      <x:c r="B8" s="31" t="n">
        <x:v>65.4701319730664</x:v>
      </x:c>
      <x:c r="C8" s="31" t="n">
        <x:v>68.27771425864309</x:v>
      </x:c>
      <x:c r="D8" s="31" t="n">
        <x:v>65.44942887744243</x:v>
      </x:c>
      <x:c r="E8" s="31" t="n">
        <x:v>72.83245841447518</x:v>
      </x:c>
      <x:c r="F8" s="31" t="n">
        <x:v>60.67889011367238</x:v>
      </x:c>
      <x:c r="G8" s="31" t="n">
        <x:v>67.68545930927675</x:v>
      </x:c>
      <x:c r="H8" s="31" t="n">
        <x:v>63.30911132130431</x:v>
      </x:c>
      <x:c r="I8" s="31" t="n">
        <x:v>69.76497296451896</x:v>
      </x:c>
      <x:c r="J8" s="31" t="n">
        <x:v>63.996351450231906</x:v>
      </x:c>
      <x:c r="K8" s="31" t="n">
        <x:v>67.36812112640686</x:v>
      </x:c>
      <x:c r="L8" s="31" t="n">
        <x:v>63.072319120833896</x:v>
      </x:c>
      <x:c r="M8" s="31" t="n">
        <x:v>64.7766769743009</x:v>
      </x:c>
      <x:c r="N8" s="31" t="n">
        <x:v>66.15034108866251</x:v>
      </x:c>
      <x:c r="O8" s="31" t="n">
        <x:v>74.50021876262107</x:v>
      </x:c>
      <x:c r="P8" s="31" t="n">
        <x:v>74.21205383527331</x:v>
      </x:c>
      <x:c r="Q8" s="31" t="n">
        <x:v>71.08010701644376</x:v>
      </x:c>
      <x:c r="R8" s="31" t="n">
        <x:v>68.90872466976519</x:v>
      </x:c>
      <x:c r="S8" s="31" t="n">
        <x:v>71.79903334413855</x:v>
      </x:c>
      <x:c r="T8" s="31" t="n">
        <x:v>72.84705198803086</x:v>
      </x:c>
      <x:c r="U8" s="31" t="n">
        <x:v>70.21243040658192</x:v>
      </x:c>
      <x:c r="V8" s="31" t="n">
        <x:v>75.21838872111557</x:v>
      </x:c>
      <x:c r="W8" s="31" t="n">
        <x:v>75.00155237094063</x:v>
      </x:c>
      <x:c r="X8" s="31" t="n">
        <x:v>75.57987237221596</x:v>
      </x:c>
      <x:c r="Y8" s="31" t="n">
        <x:v>80.27667212885788</x:v>
      </x:c>
      <x:c r="Z8" s="31" t="n">
        <x:v>80.02078451358473</x:v>
      </x:c>
      <x:c r="AA8" s="31" t="n">
        <x:v>76.37672654000166</x:v>
      </x:c>
      <x:c r="AB8" s="31" t="n">
        <x:v>79.14410917620391</x:v>
      </x:c>
      <x:c r="AC8" s="31" t="n">
        <x:v>81.57885374016351</x:v>
      </x:c>
      <x:c r="AD8" s="31" t="n">
        <x:v>64.33198036182367</x:v>
      </x:c>
      <x:c r="AE8" s="31" t="n">
        <x:v>69.17966316047682</x:v>
      </x:c>
      <x:c r="AF8" s="31" t="n">
        <x:v>65.56612631003603</x:v>
      </x:c>
      <x:c r="AG8" s="31" t="n">
        <x:v>64.98100018484476</x:v>
      </x:c>
      <x:c r="AH8" s="31" t="n">
        <x:v>68.42465378890758</x:v>
      </x:c>
      <x:c r="AI8" s="31" t="n">
        <x:v>70.9652381976197</x:v>
      </x:c>
      <x:c r="AJ8" s="31" t="n">
        <x:v>75.01628892009417</x:v>
      </x:c>
      <x:c r="AK8" s="31" t="n">
        <x:v>80.69574662946134</x:v>
      </x:c>
      <x:c r="AL8" s="31" t="n">
        <x:v>74.53065953201923</x:v>
      </x:c>
      <x:c r="AM8" s="31" t="n">
        <x:v>81.72270831757828</x:v>
      </x:c>
      <x:c r="AN8" s="31" t="n">
        <x:v>73.19711786577552</x:v>
      </x:c>
      <x:c r="AO8" s="31" t="n">
        <x:v>78.13571550741605</x:v>
      </x:c>
    </x:row>
    <x:row r="9">
      <x:c r="A9" s="31" t="n">
        <x:v>-159.99999999999986</x:v>
      </x:c>
      <x:c r="B9" s="31" t="n">
        <x:v>64.63366356823514</x:v>
      </x:c>
      <x:c r="C9" s="31" t="n">
        <x:v>68.93094192395658</x:v>
      </x:c>
      <x:c r="D9" s="31" t="n">
        <x:v>64.52232311344082</x:v>
      </x:c>
      <x:c r="E9" s="31" t="n">
        <x:v>71.5603329206756</x:v>
      </x:c>
      <x:c r="F9" s="31" t="n">
        <x:v>61.74625495731043</x:v>
      </x:c>
      <x:c r="G9" s="31" t="n">
        <x:v>67.5600486344944</x:v>
      </x:c>
      <x:c r="H9" s="31" t="n">
        <x:v>63.2590092445132</x:v>
      </x:c>
      <x:c r="I9" s="31" t="n">
        <x:v>70.53408037755774</x:v>
      </x:c>
      <x:c r="J9" s="31" t="n">
        <x:v>66.46371140718513</x:v>
      </x:c>
      <x:c r="K9" s="31" t="n">
        <x:v>67.48897826572737</x:v>
      </x:c>
      <x:c r="L9" s="31" t="n">
        <x:v>62.65478003891579</x:v>
      </x:c>
      <x:c r="M9" s="31" t="n">
        <x:v>66.2158095209088</x:v>
      </x:c>
      <x:c r="N9" s="31" t="n">
        <x:v>66.31309065772544</x:v>
      </x:c>
      <x:c r="O9" s="31" t="n">
        <x:v>73.91092947301476</x:v>
      </x:c>
      <x:c r="P9" s="31" t="n">
        <x:v>73.90702144877622</x:v>
      </x:c>
      <x:c r="Q9" s="31" t="n">
        <x:v>71.31689701583075</x:v>
      </x:c>
      <x:c r="R9" s="31" t="n">
        <x:v>69.5240959593587</x:v>
      </x:c>
      <x:c r="S9" s="31" t="n">
        <x:v>70.97273040700196</x:v>
      </x:c>
      <x:c r="T9" s="31" t="n">
        <x:v>73.08592270735156</x:v>
      </x:c>
      <x:c r="U9" s="31" t="n">
        <x:v>69.76191214302946</x:v>
      </x:c>
      <x:c r="V9" s="31" t="n">
        <x:v>74.3316684783064</x:v>
      </x:c>
      <x:c r="W9" s="31" t="n">
        <x:v>75.63000112535931</x:v>
      </x:c>
      <x:c r="X9" s="31" t="n">
        <x:v>74.8375334700115</x:v>
      </x:c>
      <x:c r="Y9" s="31" t="n">
        <x:v>80.14496455715353</x:v>
      </x:c>
      <x:c r="Z9" s="31" t="n">
        <x:v>79.66965863277099</x:v>
      </x:c>
      <x:c r="AA9" s="31" t="n">
        <x:v>77.88449105409669</x:v>
      </x:c>
      <x:c r="AB9" s="31" t="n">
        <x:v>79.07469116465457</x:v>
      </x:c>
      <x:c r="AC9" s="31" t="n">
        <x:v>81.79144883632134</x:v>
      </x:c>
      <x:c r="AD9" s="31" t="n">
        <x:v>64.15409016800979</x:v>
      </x:c>
      <x:c r="AE9" s="31" t="n">
        <x:v>69.04343966061867</x:v>
      </x:c>
      <x:c r="AF9" s="31" t="n">
        <x:v>66.50602934338804</x:v>
      </x:c>
      <x:c r="AG9" s="31" t="n">
        <x:v>77.69712857181452</x:v>
      </x:c>
      <x:c r="AH9" s="31" t="n">
        <x:v>68.655539020076</x:v>
      </x:c>
      <x:c r="AI9" s="31" t="n">
        <x:v>70.79034140167354</x:v>
      </x:c>
      <x:c r="AJ9" s="31" t="n">
        <x:v>76.0971107234113</x:v>
      </x:c>
      <x:c r="AK9" s="31" t="n">
        <x:v>81.21202863872975</x:v>
      </x:c>
      <x:c r="AL9" s="31" t="n">
        <x:v>75.10091942707572</x:v>
      </x:c>
      <x:c r="AM9" s="31" t="n">
        <x:v>81.76265758045383</x:v>
      </x:c>
      <x:c r="AN9" s="31" t="n">
        <x:v>73.61365966148263</x:v>
      </x:c>
      <x:c r="AO9" s="31" t="n">
        <x:v>77.82723014947811</x:v>
      </x:c>
    </x:row>
    <x:row r="10">
      <x:c r="A10" s="31" t="n">
        <x:v>-139.99999999999986</x:v>
      </x:c>
      <x:c r="B10" s="31" t="n">
        <x:v>66.3755815232088</x:v>
      </x:c>
      <x:c r="C10" s="31" t="n">
        <x:v>69.47090006043538</x:v>
      </x:c>
      <x:c r="D10" s="31" t="n">
        <x:v>63.788569201649636</x:v>
      </x:c>
      <x:c r="E10" s="31" t="n">
        <x:v>70.60327662942146</x:v>
      </x:c>
      <x:c r="F10" s="31" t="n">
        <x:v>62.71285645484415</x:v>
      </x:c>
      <x:c r="G10" s="31" t="n">
        <x:v>67.02560414792256</x:v>
      </x:c>
      <x:c r="H10" s="31" t="n">
        <x:v>63.42796486988987</x:v>
      </x:c>
      <x:c r="I10" s="31" t="n">
        <x:v>71.77233303735588</x:v>
      </x:c>
      <x:c r="J10" s="31" t="n">
        <x:v>67.39076071778051</x:v>
      </x:c>
      <x:c r="K10" s="31" t="n">
        <x:v>66.80117826965649</x:v>
      </x:c>
      <x:c r="L10" s="31" t="n">
        <x:v>61.37959299004268</x:v>
      </x:c>
      <x:c r="M10" s="31" t="n">
        <x:v>66.19660746848642</x:v>
      </x:c>
      <x:c r="N10" s="31" t="n">
        <x:v>66.49661930639098</x:v>
      </x:c>
      <x:c r="O10" s="31" t="n">
        <x:v>73.63760925210195</x:v>
      </x:c>
      <x:c r="P10" s="31" t="n">
        <x:v>74.25233252434722</x:v>
      </x:c>
      <x:c r="Q10" s="31" t="n">
        <x:v>71.61406356045785</x:v>
      </x:c>
      <x:c r="R10" s="31" t="n">
        <x:v>70.22015389646025</x:v>
      </x:c>
      <x:c r="S10" s="31" t="n">
        <x:v>71.27003879066024</x:v>
      </x:c>
      <x:c r="T10" s="31" t="n">
        <x:v>73.58094842587984</x:v>
      </x:c>
      <x:c r="U10" s="31" t="n">
        <x:v>69.84466991718001</x:v>
      </x:c>
      <x:c r="V10" s="31" t="n">
        <x:v>73.0674389332049</x:v>
      </x:c>
      <x:c r="W10" s="31" t="n">
        <x:v>76.63507389154822</x:v>
      </x:c>
      <x:c r="X10" s="31" t="n">
        <x:v>74.54259587564096</x:v>
      </x:c>
      <x:c r="Y10" s="31" t="n">
        <x:v>80.10374518746129</x:v>
      </x:c>
      <x:c r="Z10" s="31" t="n">
        <x:v>79.18935998593349</x:v>
      </x:c>
      <x:c r="AA10" s="31" t="n">
        <x:v>78.60311320043537</x:v>
      </x:c>
      <x:c r="AB10" s="31" t="n">
        <x:v>78.99979217798096</x:v>
      </x:c>
      <x:c r="AC10" s="31" t="n">
        <x:v>81.48262439703076</x:v>
      </x:c>
      <x:c r="AD10" s="31" t="n">
        <x:v>64.06210368929231</x:v>
      </x:c>
      <x:c r="AE10" s="31" t="n">
        <x:v>69.13931396590466</x:v>
      </x:c>
      <x:c r="AF10" s="31" t="n">
        <x:v>67.79196407382946</x:v>
      </x:c>
      <x:c r="AG10" s="31" t="n">
        <x:v>80.88395133326823</x:v>
      </x:c>
      <x:c r="AH10" s="31" t="n">
        <x:v>68.30017742545557</x:v>
      </x:c>
      <x:c r="AI10" s="31" t="n">
        <x:v>70.60101190939642</x:v>
      </x:c>
      <x:c r="AJ10" s="31" t="n">
        <x:v>76.3035302605978</x:v>
      </x:c>
      <x:c r="AK10" s="31" t="n">
        <x:v>81.46341462407797</x:v>
      </x:c>
      <x:c r="AL10" s="31" t="n">
        <x:v>75.02905572387186</x:v>
      </x:c>
      <x:c r="AM10" s="31" t="n">
        <x:v>82.01495931468318</x:v>
      </x:c>
      <x:c r="AN10" s="31" t="n">
        <x:v>73.95686796204389</x:v>
      </x:c>
      <x:c r="AO10" s="31" t="n">
        <x:v>76.65827073463936</x:v>
      </x:c>
    </x:row>
    <x:row r="11">
      <x:c r="A11" s="31" t="n">
        <x:v>-119.99999999999983</x:v>
      </x:c>
      <x:c r="B11" s="31" t="n">
        <x:v>71.41305201542815</x:v>
      </x:c>
      <x:c r="C11" s="31" t="n">
        <x:v>76.65769128654787</x:v>
      </x:c>
      <x:c r="D11" s="31" t="n">
        <x:v>63.80823266940736</x:v>
      </x:c>
      <x:c r="E11" s="31" t="n">
        <x:v>70.60814535658585</x:v>
      </x:c>
      <x:c r="F11" s="31" t="n">
        <x:v>64.75346275446331</x:v>
      </x:c>
      <x:c r="G11" s="31" t="n">
        <x:v>67.04293032594119</x:v>
      </x:c>
      <x:c r="H11" s="31" t="n">
        <x:v>67.0664767482927</x:v>
      </x:c>
      <x:c r="I11" s="31" t="n">
        <x:v>71.74275903216002</x:v>
      </x:c>
      <x:c r="J11" s="31" t="n">
        <x:v>67.2465541558732</x:v>
      </x:c>
      <x:c r="K11" s="31" t="n">
        <x:v>66.02539482509228</x:v>
      </x:c>
      <x:c r="L11" s="31" t="n">
        <x:v>60.63894786213188</x:v>
      </x:c>
      <x:c r="M11" s="31" t="n">
        <x:v>65.75374624654869</x:v>
      </x:c>
      <x:c r="N11" s="31" t="n">
        <x:v>66.49396793846958</x:v>
      </x:c>
      <x:c r="O11" s="31" t="n">
        <x:v>72.87408674554348</x:v>
      </x:c>
      <x:c r="P11" s="31" t="n">
        <x:v>74.43841466553462</x:v>
      </x:c>
      <x:c r="Q11" s="31" t="n">
        <x:v>71.54619175709581</x:v>
      </x:c>
      <x:c r="R11" s="31" t="n">
        <x:v>71.02330907813553</x:v>
      </x:c>
      <x:c r="S11" s="31" t="n">
        <x:v>71.11310938683532</x:v>
      </x:c>
      <x:c r="T11" s="31" t="n">
        <x:v>72.62508456136376</x:v>
      </x:c>
      <x:c r="U11" s="31" t="n">
        <x:v>70.89562241428563</x:v>
      </x:c>
      <x:c r="V11" s="31" t="n">
        <x:v>73.75654129651431</x:v>
      </x:c>
      <x:c r="W11" s="31" t="n">
        <x:v>85.57475812549508</x:v>
      </x:c>
      <x:c r="X11" s="31" t="n">
        <x:v>82.94661880363591</x:v>
      </x:c>
      <x:c r="Y11" s="31" t="n">
        <x:v>80.25411374041859</x:v>
      </x:c>
      <x:c r="Z11" s="31" t="n">
        <x:v>88.79440607179662</x:v>
      </x:c>
      <x:c r="AA11" s="31" t="n">
        <x:v>78.41518521782763</x:v>
      </x:c>
      <x:c r="AB11" s="31" t="n">
        <x:v>79.0378691167449</x:v>
      </x:c>
      <x:c r="AC11" s="31" t="n">
        <x:v>81.87461822291257</x:v>
      </x:c>
      <x:c r="AD11" s="31" t="n">
        <x:v>64.53936369655351</x:v>
      </x:c>
      <x:c r="AE11" s="31" t="n">
        <x:v>69.01223674120438</x:v>
      </x:c>
      <x:c r="AF11" s="31" t="n">
        <x:v>67.86192388570109</x:v>
      </x:c>
      <x:c r="AG11" s="31" t="n">
        <x:v>82.11749001462492</x:v>
      </x:c>
      <x:c r="AH11" s="31" t="n">
        <x:v>68.41762952302247</x:v>
      </x:c>
      <x:c r="AI11" s="31" t="n">
        <x:v>69.64809068791465</x:v>
      </x:c>
      <x:c r="AJ11" s="31" t="n">
        <x:v>76.58398626613956</x:v>
      </x:c>
      <x:c r="AK11" s="31" t="n">
        <x:v>81.4305115496355</x:v>
      </x:c>
      <x:c r="AL11" s="31" t="n">
        <x:v>75.0109491289447</x:v>
      </x:c>
      <x:c r="AM11" s="31" t="n">
        <x:v>82.2203874735746</x:v>
      </x:c>
      <x:c r="AN11" s="31" t="n">
        <x:v>73.45046222943571</x:v>
      </x:c>
      <x:c r="AO11" s="31" t="n">
        <x:v>79.28977351747953</x:v>
      </x:c>
    </x:row>
    <x:row r="12">
      <x:c r="A12" s="31" t="n">
        <x:v>-99.99999999999982</x:v>
      </x:c>
      <x:c r="B12" s="31" t="n">
        <x:v>73.9749919203289</x:v>
      </x:c>
      <x:c r="C12" s="31" t="n">
        <x:v>89.69031612863226</x:v>
      </x:c>
      <x:c r="D12" s="31" t="n">
        <x:v>62.980158407332326</x:v>
      </x:c>
      <x:c r="E12" s="31" t="n">
        <x:v>70.01097056106015</x:v>
      </x:c>
      <x:c r="F12" s="31" t="n">
        <x:v>70.70711482842418</x:v>
      </x:c>
      <x:c r="G12" s="31" t="n">
        <x:v>77.86912193860424</x:v>
      </x:c>
      <x:c r="H12" s="31" t="n">
        <x:v>69.62590785947384</x:v>
      </x:c>
      <x:c r="I12" s="31" t="n">
        <x:v>71.8719975853739</x:v>
      </x:c>
      <x:c r="J12" s="31" t="n">
        <x:v>67.3653579795701</x:v>
      </x:c>
      <x:c r="K12" s="31" t="n">
        <x:v>67.60587131155226</x:v>
      </x:c>
      <x:c r="L12" s="31" t="n">
        <x:v>63.35803297350079</x:v>
      </x:c>
      <x:c r="M12" s="31" t="n">
        <x:v>65.28109534872836</x:v>
      </x:c>
      <x:c r="N12" s="31" t="n">
        <x:v>74.64234151752638</x:v>
      </x:c>
      <x:c r="O12" s="31" t="n">
        <x:v>71.7743219779617</x:v>
      </x:c>
      <x:c r="P12" s="31" t="n">
        <x:v>74.22061218213929</x:v>
      </x:c>
      <x:c r="Q12" s="31" t="n">
        <x:v>79.23999662358483</x:v>
      </x:c>
      <x:c r="R12" s="31" t="n">
        <x:v>72.16953768381698</x:v>
      </x:c>
      <x:c r="S12" s="31" t="n">
        <x:v>81.60182054324287</x:v>
      </x:c>
      <x:c r="T12" s="31" t="n">
        <x:v>70.65718925210744</x:v>
      </x:c>
      <x:c r="U12" s="31" t="n">
        <x:v>71.62743898267883</x:v>
      </x:c>
      <x:c r="V12" s="31" t="n">
        <x:v>84.73641806086475</x:v>
      </x:c>
      <x:c r="W12" s="31" t="n">
        <x:v>89.13019716385254</x:v>
      </x:c>
      <x:c r="X12" s="31" t="n">
        <x:v>86.83338445965174</x:v>
      </x:c>
      <x:c r="Y12" s="31" t="n">
        <x:v>80.40142649194763</x:v>
      </x:c>
      <x:c r="Z12" s="31" t="n">
        <x:v>90.73950914972997</x:v>
      </x:c>
      <x:c r="AA12" s="31" t="n">
        <x:v>83.8517539639818</x:v>
      </x:c>
      <x:c r="AB12" s="31" t="n">
        <x:v>78.09491680610243</x:v>
      </x:c>
      <x:c r="AC12" s="31" t="n">
        <x:v>88.31127121063739</x:v>
      </x:c>
      <x:c r="AD12" s="31" t="n">
        <x:v>75.91885668226728</x:v>
      </x:c>
      <x:c r="AE12" s="31" t="n">
        <x:v>69.29663723272924</x:v>
      </x:c>
      <x:c r="AF12" s="31" t="n">
        <x:v>67.72971822526829</x:v>
      </x:c>
      <x:c r="AG12" s="31" t="n">
        <x:v>82.25163604696056</x:v>
      </x:c>
      <x:c r="AH12" s="31" t="n">
        <x:v>73.50031990222845</x:v>
      </x:c>
      <x:c r="AI12" s="31" t="n">
        <x:v>78.92330352566087</x:v>
      </x:c>
      <x:c r="AJ12" s="31" t="n">
        <x:v>79.60940171337346</x:v>
      </x:c>
      <x:c r="AK12" s="31" t="n">
        <x:v>91.2321777594464</x:v>
      </x:c>
      <x:c r="AL12" s="31" t="n">
        <x:v>78.57127707772887</x:v>
      </x:c>
      <x:c r="AM12" s="31" t="n">
        <x:v>90.87710429784232</x:v>
      </x:c>
      <x:c r="AN12" s="31" t="n">
        <x:v>77.29274582258452</x:v>
      </x:c>
      <x:c r="AO12" s="31" t="n">
        <x:v>85.30731044605767</x:v>
      </x:c>
    </x:row>
    <x:row r="13">
      <x:c r="A13" s="31" t="n">
        <x:v>-79.99999999999979</x:v>
      </x:c>
      <x:c r="B13" s="31" t="n">
        <x:v>76.68224233159091</x:v>
      </x:c>
      <x:c r="C13" s="31" t="n">
        <x:v>91.63018888621885</x:v>
      </x:c>
      <x:c r="D13" s="31" t="n">
        <x:v>63.46620690608687</x:v>
      </x:c>
      <x:c r="E13" s="31" t="n">
        <x:v>69.477158716125</x:v>
      </x:c>
      <x:c r="F13" s="31" t="n">
        <x:v>71.76981276336616</x:v>
      </x:c>
      <x:c r="G13" s="31" t="n">
        <x:v>82.40326589921497</x:v>
      </x:c>
      <x:c r="H13" s="31" t="n">
        <x:v>71.81045550545137</x:v>
      </x:c>
      <x:c r="I13" s="31" t="n">
        <x:v>79.93960605700919</x:v>
      </x:c>
      <x:c r="J13" s="31" t="n">
        <x:v>66.50373380111765</x:v>
      </x:c>
      <x:c r="K13" s="31" t="n">
        <x:v>78.41307579774492</x:v>
      </x:c>
      <x:c r="L13" s="31" t="n">
        <x:v>65.89121772460479</x:v>
      </x:c>
      <x:c r="M13" s="31" t="n">
        <x:v>69.23232388041866</x:v>
      </x:c>
      <x:c r="N13" s="31" t="n">
        <x:v>80.32936372728837</x:v>
      </x:c>
      <x:c r="O13" s="31" t="n">
        <x:v>76.38495138640586</x:v>
      </x:c>
      <x:c r="P13" s="31" t="n">
        <x:v>73.19762284040938</x:v>
      </x:c>
      <x:c r="Q13" s="31" t="n">
        <x:v>84.62194603889958</x:v>
      </x:c>
      <x:c r="R13" s="31" t="n">
        <x:v>72.2397020245402</x:v>
      </x:c>
      <x:c r="S13" s="31" t="n">
        <x:v>83.35034598505759</x:v>
      </x:c>
      <x:c r="T13" s="31" t="n">
        <x:v>69.92105036209098</x:v>
      </x:c>
      <x:c r="U13" s="31" t="n">
        <x:v>85.21083702153133</x:v>
      </x:c>
      <x:c r="V13" s="31" t="n">
        <x:v>87.06384495413049</x:v>
      </x:c>
      <x:c r="W13" s="31" t="n">
        <x:v>90.14586475621412</x:v>
      </x:c>
      <x:c r="X13" s="31" t="n">
        <x:v>88.5658395769272</x:v>
      </x:c>
      <x:c r="Y13" s="31" t="n">
        <x:v>85.5191988710933</x:v>
      </x:c>
      <x:c r="Z13" s="31" t="n">
        <x:v>91.73963553116496</x:v>
      </x:c>
      <x:c r="AA13" s="31" t="n">
        <x:v>88.62708346243315</x:v>
      </x:c>
      <x:c r="AB13" s="31" t="n">
        <x:v>81.43578906071832</x:v>
      </x:c>
      <x:c r="AC13" s="31" t="n">
        <x:v>89.33172956480675</x:v>
      </x:c>
      <x:c r="AD13" s="31" t="n">
        <x:v>77.96547954624627</x:v>
      </x:c>
      <x:c r="AE13" s="31" t="n">
        <x:v>76.39503443579413</x:v>
      </x:c>
      <x:c r="AF13" s="31" t="n">
        <x:v>69.44553620060293</x:v>
      </x:c>
      <x:c r="AG13" s="31" t="n">
        <x:v>80.62618461999607</x:v>
      </x:c>
      <x:c r="AH13" s="31" t="n">
        <x:v>79.34853471916684</x:v>
      </x:c>
      <x:c r="AI13" s="31" t="n">
        <x:v>83.91522680293602</x:v>
      </x:c>
      <x:c r="AJ13" s="31" t="n">
        <x:v>84.7032023512633</x:v>
      </x:c>
      <x:c r="AK13" s="31" t="n">
        <x:v>93.30496306148889</x:v>
      </x:c>
      <x:c r="AL13" s="31" t="n">
        <x:v>83.30771438904338</x:v>
      </x:c>
      <x:c r="AM13" s="31" t="n">
        <x:v>92.55612079681478</x:v>
      </x:c>
      <x:c r="AN13" s="31" t="n">
        <x:v>84.51991110113984</x:v>
      </x:c>
      <x:c r="AO13" s="31" t="n">
        <x:v>88.86646102073092</x:v>
      </x:c>
    </x:row>
    <x:row r="14">
      <x:c r="A14" s="31" t="n">
        <x:v>-59.99999999999977</x:v>
      </x:c>
      <x:c r="B14" s="31" t="n">
        <x:v>77.23113080515505</x:v>
      </x:c>
      <x:c r="C14" s="31" t="n">
        <x:v>92.31172677899646</x:v>
      </x:c>
      <x:c r="D14" s="31" t="n">
        <x:v>71.04700154660236</x:v>
      </x:c>
      <x:c r="E14" s="31" t="n">
        <x:v>78.43488583684595</x:v>
      </x:c>
      <x:c r="F14" s="31" t="n">
        <x:v>73.1657928547846</x:v>
      </x:c>
      <x:c r="G14" s="31" t="n">
        <x:v>84.6100859328691</x:v>
      </x:c>
      <x:c r="H14" s="31" t="n">
        <x:v>74.69539103799026</x:v>
      </x:c>
      <x:c r="I14" s="31" t="n">
        <x:v>84.10991664805454</x:v>
      </x:c>
      <x:c r="J14" s="31" t="n">
        <x:v>67.13653454128168</x:v>
      </x:c>
      <x:c r="K14" s="31" t="n">
        <x:v>82.26540585303403</x:v>
      </x:c>
      <x:c r="L14" s="31" t="n">
        <x:v>68.50273396071299</x:v>
      </x:c>
      <x:c r="M14" s="31" t="n">
        <x:v>77.15443895564151</x:v>
      </x:c>
      <x:c r="N14" s="31" t="n">
        <x:v>81.0721528254921</x:v>
      </x:c>
      <x:c r="O14" s="31" t="n">
        <x:v>81.8016132682099</x:v>
      </x:c>
      <x:c r="P14" s="31" t="n">
        <x:v>73.44885827638464</x:v>
      </x:c>
      <x:c r="Q14" s="31" t="n">
        <x:v>86.77001888391314</x:v>
      </x:c>
      <x:c r="R14" s="31" t="n">
        <x:v>73.18246832950362</x:v>
      </x:c>
      <x:c r="S14" s="31" t="n">
        <x:v>85.25741929013667</x:v>
      </x:c>
      <x:c r="T14" s="31" t="n">
        <x:v>70.3792618749428</x:v>
      </x:c>
      <x:c r="U14" s="31" t="n">
        <x:v>86.69860571154186</x:v>
      </x:c>
      <x:c r="V14" s="31" t="n">
        <x:v>89.12264707200178</x:v>
      </x:c>
      <x:c r="W14" s="31" t="n">
        <x:v>91.1720396688695</x:v>
      </x:c>
      <x:c r="X14" s="31" t="n">
        <x:v>89.6815898428077</x:v>
      </x:c>
      <x:c r="Y14" s="31" t="n">
        <x:v>88.25050588130323</x:v>
      </x:c>
      <x:c r="Z14" s="31" t="n">
        <x:v>92.03772539814915</x:v>
      </x:c>
      <x:c r="AA14" s="31" t="n">
        <x:v>90.35534464991778</x:v>
      </x:c>
      <x:c r="AB14" s="31" t="n">
        <x:v>86.430062749394</x:v>
      </x:c>
      <x:c r="AC14" s="31" t="n">
        <x:v>90.56181474693895</x:v>
      </x:c>
      <x:c r="AD14" s="31" t="n">
        <x:v>79.28266638534923</x:v>
      </x:c>
      <x:c r="AE14" s="31" t="n">
        <x:v>79.31941545010076</x:v>
      </x:c>
      <x:c r="AF14" s="31" t="n">
        <x:v>77.459342052501</x:v>
      </x:c>
      <x:c r="AG14" s="31" t="n">
        <x:v>77.63378045177409</x:v>
      </x:c>
      <x:c r="AH14" s="31" t="n">
        <x:v>80.90931784203255</x:v>
      </x:c>
      <x:c r="AI14" s="31" t="n">
        <x:v>85.31212850285087</x:v>
      </x:c>
      <x:c r="AJ14" s="31" t="n">
        <x:v>88.17113589123852</x:v>
      </x:c>
      <x:c r="AK14" s="31" t="n">
        <x:v>94.21922672380134</x:v>
      </x:c>
      <x:c r="AL14" s="31" t="n">
        <x:v>87.43396699303831</x:v>
      </x:c>
      <x:c r="AM14" s="31" t="n">
        <x:v>93.6438171595577</x:v>
      </x:c>
      <x:c r="AN14" s="31" t="n">
        <x:v>86.04574886820389</x:v>
      </x:c>
      <x:c r="AO14" s="31" t="n">
        <x:v>90.2577931658383</x:v>
      </x:c>
    </x:row>
    <x:row r="15">
      <x:c r="A15" s="31" t="n">
        <x:v>-39.99999999999976</x:v>
      </x:c>
      <x:c r="B15" s="31" t="n">
        <x:v>77.34984273048792</x:v>
      </x:c>
      <x:c r="C15" s="31" t="n">
        <x:v>92.56957367117563</x:v>
      </x:c>
      <x:c r="D15" s="31" t="n">
        <x:v>72.41404697959621</x:v>
      </x:c>
      <x:c r="E15" s="31" t="n">
        <x:v>80.41283384409351</x:v>
      </x:c>
      <x:c r="F15" s="31" t="n">
        <x:v>73.82976377675236</x:v>
      </x:c>
      <x:c r="G15" s="31" t="n">
        <x:v>85.06123668957541</x:v>
      </x:c>
      <x:c r="H15" s="31" t="n">
        <x:v>74.78681271981007</x:v>
      </x:c>
      <x:c r="I15" s="31" t="n">
        <x:v>85.2802640257183</x:v>
      </x:c>
      <x:c r="J15" s="31" t="n">
        <x:v>68.1503489151917</x:v>
      </x:c>
      <x:c r="K15" s="31" t="n">
        <x:v>82.85572069819209</x:v>
      </x:c>
      <x:c r="L15" s="31" t="n">
        <x:v>70.20403692056041</x:v>
      </x:c>
      <x:c r="M15" s="31" t="n">
        <x:v>78.85505459034323</x:v>
      </x:c>
      <x:c r="N15" s="31" t="n">
        <x:v>81.67701027316319</x:v>
      </x:c>
      <x:c r="O15" s="31" t="n">
        <x:v>84.07286633002664</x:v>
      </x:c>
      <x:c r="P15" s="31" t="n">
        <x:v>74.59762468169248</x:v>
      </x:c>
      <x:c r="Q15" s="31" t="n">
        <x:v>87.44810836717441</x:v>
      </x:c>
      <x:c r="R15" s="31" t="n">
        <x:v>73.07828803431174</x:v>
      </x:c>
      <x:c r="S15" s="31" t="n">
        <x:v>85.71140659706454</x:v>
      </x:c>
      <x:c r="T15" s="31" t="n">
        <x:v>73.81148338805608</x:v>
      </x:c>
      <x:c r="U15" s="31" t="n">
        <x:v>87.33571003750265</x:v>
      </x:c>
      <x:c r="V15" s="31" t="n">
        <x:v>89.81361917615641</x:v>
      </x:c>
      <x:c r="W15" s="31" t="n">
        <x:v>90.68588332331028</x:v>
      </x:c>
      <x:c r="X15" s="31" t="n">
        <x:v>89.76513593955512</x:v>
      </x:c>
      <x:c r="Y15" s="31" t="n">
        <x:v>91.29788744553437</x:v>
      </x:c>
      <x:c r="Z15" s="31" t="n">
        <x:v>90.27100947136549</x:v>
      </x:c>
      <x:c r="AA15" s="31" t="n">
        <x:v>91.70307847142055</x:v>
      </x:c>
      <x:c r="AB15" s="31" t="n">
        <x:v>88.24598426646887</x:v>
      </x:c>
      <x:c r="AC15" s="31" t="n">
        <x:v>91.95986998694202</x:v>
      </x:c>
      <x:c r="AD15" s="31" t="n">
        <x:v>79.61505659245987</x:v>
      </x:c>
      <x:c r="AE15" s="31" t="n">
        <x:v>80.42865516519734</x:v>
      </x:c>
      <x:c r="AF15" s="31" t="n">
        <x:v>79.28502284915038</x:v>
      </x:c>
      <x:c r="AG15" s="31" t="n">
        <x:v>73.47882216157784</x:v>
      </x:c>
      <x:c r="AH15" s="31" t="n">
        <x:v>81.39753293759885</x:v>
      </x:c>
      <x:c r="AI15" s="31" t="n">
        <x:v>85.98389776068257</x:v>
      </x:c>
      <x:c r="AJ15" s="31" t="n">
        <x:v>89.22277398820265</x:v>
      </x:c>
      <x:c r="AK15" s="31" t="n">
        <x:v>95.08517796534078</x:v>
      </x:c>
      <x:c r="AL15" s="31" t="n">
        <x:v>88.26271678560259</x:v>
      </x:c>
      <x:c r="AM15" s="31" t="n">
        <x:v>94.72957753851273</x:v>
      </x:c>
      <x:c r="AN15" s="31" t="n">
        <x:v>87.12538676534537</x:v>
      </x:c>
      <x:c r="AO15" s="31" t="n">
        <x:v>90.79512387188977</x:v>
      </x:c>
    </x:row>
    <x:row r="16">
      <x:c r="A16" s="31" t="n">
        <x:v>-19.99999999999974</x:v>
      </x:c>
      <x:c r="B16" s="31" t="n">
        <x:v>77.0930481441519</x:v>
      </x:c>
      <x:c r="C16" s="31" t="n">
        <x:v>89.92345458890816</x:v>
      </x:c>
      <x:c r="D16" s="31" t="n">
        <x:v>72.89914364804885</x:v>
      </x:c>
      <x:c r="E16" s="31" t="n">
        <x:v>81.43577161610999</x:v>
      </x:c>
      <x:c r="F16" s="31" t="n">
        <x:v>72.53746643843843</x:v>
      </x:c>
      <x:c r="G16" s="31" t="n">
        <x:v>84.51512056032382</x:v>
      </x:c>
      <x:c r="H16" s="31" t="n">
        <x:v>75.55093804698124</x:v>
      </x:c>
      <x:c r="I16" s="31" t="n">
        <x:v>85.75196333887213</x:v>
      </x:c>
      <x:c r="J16" s="31" t="n">
        <x:v>68.84122004611649</x:v>
      </x:c>
      <x:c r="K16" s="31" t="n">
        <x:v>83.14724878221516</x:v>
      </x:c>
      <x:c r="L16" s="31" t="n">
        <x:v>70.6434034689307</x:v>
      </x:c>
      <x:c r="M16" s="31" t="n">
        <x:v>79.30309939854395</x:v>
      </x:c>
      <x:c r="N16" s="31" t="n">
        <x:v>81.37400081981065</x:v>
      </x:c>
      <x:c r="O16" s="31" t="n">
        <x:v>84.76161326583394</x:v>
      </x:c>
      <x:c r="P16" s="31" t="n">
        <x:v>77.21455178162309</x:v>
      </x:c>
      <x:c r="Q16" s="31" t="n">
        <x:v>87.11474661570007</x:v>
      </x:c>
      <x:c r="R16" s="31" t="n">
        <x:v>73.20933568439398</x:v>
      </x:c>
      <x:c r="S16" s="31" t="n">
        <x:v>84.37071374832315</x:v>
      </x:c>
      <x:c r="T16" s="31" t="n">
        <x:v>76.65889063976857</x:v>
      </x:c>
      <x:c r="U16" s="31" t="n">
        <x:v>88.02354215615117</x:v>
      </x:c>
      <x:c r="V16" s="31" t="n">
        <x:v>88.98698132251063</x:v>
      </x:c>
      <x:c r="W16" s="31" t="n">
        <x:v>89.1615321150344</x:v>
      </x:c>
      <x:c r="X16" s="31" t="n">
        <x:v>88.93419584487262</x:v>
      </x:c>
      <x:c r="Y16" s="31" t="n">
        <x:v>91.89241285723585</x:v>
      </x:c>
      <x:c r="Z16" s="31" t="n">
        <x:v>88.2423371362638</x:v>
      </x:c>
      <x:c r="AA16" s="31" t="n">
        <x:v>91.73677076450979</x:v>
      </x:c>
      <x:c r="AB16" s="31" t="n">
        <x:v>89.36444121902636</x:v>
      </x:c>
      <x:c r="AC16" s="31" t="n">
        <x:v>91.59324613738603</x:v>
      </x:c>
      <x:c r="AD16" s="31" t="n">
        <x:v>77.61583415472955</x:v>
      </x:c>
      <x:c r="AE16" s="31" t="n">
        <x:v>80.96217487306387</x:v>
      </x:c>
      <x:c r="AF16" s="31" t="n">
        <x:v>80.17723125454165</x:v>
      </x:c>
      <x:c r="AG16" s="31" t="n">
        <x:v>74.98572785173288</x:v>
      </x:c>
      <x:c r="AH16" s="31" t="n">
        <x:v>81.10099865859658</x:v>
      </x:c>
      <x:c r="AI16" s="31" t="n">
        <x:v>85.70896309588001</x:v>
      </x:c>
      <x:c r="AJ16" s="31" t="n">
        <x:v>89.61156536026051</x:v>
      </x:c>
      <x:c r="AK16" s="31" t="n">
        <x:v>93.80046277405977</x:v>
      </x:c>
      <x:c r="AL16" s="31" t="n">
        <x:v>88.60659921981706</x:v>
      </x:c>
      <x:c r="AM16" s="31" t="n">
        <x:v>93.42411213904148</x:v>
      </x:c>
      <x:c r="AN16" s="31" t="n">
        <x:v>87.33342006164715</x:v>
      </x:c>
      <x:c r="AO16" s="31" t="n">
        <x:v>90.16075820023488</x:v>
      </x:c>
    </x:row>
    <x:row r="17">
      <x:c r="A17" s="31" t="n">
        <x:v>2.7755575615628914e-13</x:v>
      </x:c>
      <x:c r="B17" s="31" t="n">
        <x:v>76.18232116010059</x:v>
      </x:c>
      <x:c r="C17" s="31" t="n">
        <x:v>86.93799584800492</x:v>
      </x:c>
      <x:c r="D17" s="31" t="n">
        <x:v>73.40808884591513</x:v>
      </x:c>
      <x:c r="E17" s="31" t="n">
        <x:v>81.59480414192015</x:v>
      </x:c>
      <x:c r="F17" s="31" t="n">
        <x:v>71.95985938662888</x:v>
      </x:c>
      <x:c r="G17" s="31" t="n">
        <x:v>82.57806212703274</x:v>
      </x:c>
      <x:c r="H17" s="31" t="n">
        <x:v>75.29183854839603</x:v>
      </x:c>
      <x:c r="I17" s="31" t="n">
        <x:v>85.04579584622975</x:v>
      </x:c>
      <x:c r="J17" s="31" t="n">
        <x:v>69.13751763404409</x:v>
      </x:c>
      <x:c r="K17" s="31" t="n">
        <x:v>81.84123859242695</x:v>
      </x:c>
      <x:c r="L17" s="31" t="n">
        <x:v>70.253991281182</x:v>
      </x:c>
      <x:c r="M17" s="31" t="n">
        <x:v>79.21135875325764</x:v>
      </x:c>
      <x:c r="N17" s="31" t="n">
        <x:v>77.9902263181255</x:v>
      </x:c>
      <x:c r="O17" s="31" t="n">
        <x:v>84.74651866471322</x:v>
      </x:c>
      <x:c r="P17" s="31" t="n">
        <x:v>78.65316321603098</x:v>
      </x:c>
      <x:c r="Q17" s="31" t="n">
        <x:v>85.23246993281326</x:v>
      </x:c>
      <x:c r="R17" s="31" t="n">
        <x:v>73.36115247059102</x:v>
      </x:c>
      <x:c r="S17" s="31" t="n">
        <x:v>83.59469768098708</x:v>
      </x:c>
      <x:c r="T17" s="31" t="n">
        <x:v>77.04582522173945</x:v>
      </x:c>
      <x:c r="U17" s="31" t="n">
        <x:v>85.53229813926464</x:v>
      </x:c>
      <x:c r="V17" s="31" t="n">
        <x:v>87.92863225466728</x:v>
      </x:c>
      <x:c r="W17" s="31" t="n">
        <x:v>88.41948133831798</x:v>
      </x:c>
      <x:c r="X17" s="31" t="n">
        <x:v>87.49434942291728</x:v>
      </x:c>
      <x:c r="Y17" s="31" t="n">
        <x:v>91.59482352351186</x:v>
      </x:c>
      <x:c r="Z17" s="31" t="n">
        <x:v>85.89783815470962</x:v>
      </x:c>
      <x:c r="AA17" s="31" t="n">
        <x:v>90.46867908915193</x:v>
      </x:c>
      <x:c r="AB17" s="31" t="n">
        <x:v>89.34352248180262</x:v>
      </x:c>
      <x:c r="AC17" s="31" t="n">
        <x:v>91.40225212763015</x:v>
      </x:c>
      <x:c r="AD17" s="31" t="n">
        <x:v>75.64272175172549</x:v>
      </x:c>
      <x:c r="AE17" s="31" t="n">
        <x:v>80.04723594667288</x:v>
      </x:c>
      <x:c r="AF17" s="31" t="n">
        <x:v>80.55768296079546</x:v>
      </x:c>
      <x:c r="AG17" s="31" t="n">
        <x:v>80.58068480805605</x:v>
      </x:c>
      <x:c r="AH17" s="31" t="n">
        <x:v>78.55618589492182</x:v>
      </x:c>
      <x:c r="AI17" s="31" t="n">
        <x:v>83.5905260485766</x:v>
      </x:c>
      <x:c r="AJ17" s="31" t="n">
        <x:v>89.03028260125683</x:v>
      </x:c>
      <x:c r="AK17" s="31" t="n">
        <x:v>92.41479995892065</x:v>
      </x:c>
      <x:c r="AL17" s="31" t="n">
        <x:v>88.26106223385054</x:v>
      </x:c>
      <x:c r="AM17" s="31" t="n">
        <x:v>92.86405203730082</x:v>
      </x:c>
      <x:c r="AN17" s="31" t="n">
        <x:v>85.72843876580369</x:v>
      </x:c>
      <x:c r="AO17" s="31" t="n">
        <x:v>88.25751932939374</x:v>
      </x:c>
    </x:row>
    <x:row r="18">
      <x:c r="A18" s="31" t="n">
        <x:v>20.000000000000295</x:v>
      </x:c>
      <x:c r="B18" s="31" t="n">
        <x:v>75.9656087341254</x:v>
      </x:c>
      <x:c r="C18" s="31" t="n">
        <x:v>84.32249558545135</x:v>
      </x:c>
      <x:c r="D18" s="31" t="n">
        <x:v>71.26128689577646</x:v>
      </x:c>
      <x:c r="E18" s="31" t="n">
        <x:v>79.50995530489216</x:v>
      </x:c>
      <x:c r="F18" s="31" t="n">
        <x:v>70.47256079376935</x:v>
      </x:c>
      <x:c r="G18" s="31" t="n">
        <x:v>79.04453597090564</x:v>
      </x:c>
      <x:c r="H18" s="31" t="n">
        <x:v>73.25069303924951</x:v>
      </x:c>
      <x:c r="I18" s="31" t="n">
        <x:v>82.39892358081042</x:v>
      </x:c>
      <x:c r="J18" s="31" t="n">
        <x:v>69.12256150991477</x:v>
      </x:c>
      <x:c r="K18" s="31" t="n">
        <x:v>77.88942614150886</x:v>
      </x:c>
      <x:c r="L18" s="31" t="n">
        <x:v>69.27764164481925</x:v>
      </x:c>
      <x:c r="M18" s="31" t="n">
        <x:v>76.59040889893416</x:v>
      </x:c>
      <x:c r="N18" s="31" t="n">
        <x:v>76.63837604194973</x:v>
      </x:c>
      <x:c r="O18" s="31" t="n">
        <x:v>83.03840790109571</x:v>
      </x:c>
      <x:c r="P18" s="31" t="n">
        <x:v>79.00952752098824</x:v>
      </x:c>
      <x:c r="Q18" s="31" t="n">
        <x:v>82.05333858667805</x:v>
      </x:c>
      <x:c r="R18" s="31" t="n">
        <x:v>72.72960472588255</x:v>
      </x:c>
      <x:c r="S18" s="31" t="n">
        <x:v>81.21867886836962</x:v>
      </x:c>
      <x:c r="T18" s="31" t="n">
        <x:v>76.97588808295797</x:v>
      </x:c>
      <x:c r="U18" s="31" t="n">
        <x:v>84.06479567276607</x:v>
      </x:c>
      <x:c r="V18" s="31" t="n">
        <x:v>85.18391359428797</x:v>
      </x:c>
      <x:c r="W18" s="31" t="n">
        <x:v>86.88157119079123</x:v>
      </x:c>
      <x:c r="X18" s="31" t="n">
        <x:v>85.80003790573546</x:v>
      </x:c>
      <x:c r="Y18" s="31" t="n">
        <x:v>90.79532450596393</x:v>
      </x:c>
      <x:c r="Z18" s="31" t="n">
        <x:v>85.57691063255403</x:v>
      </x:c>
      <x:c r="AA18" s="31" t="n">
        <x:v>89.14763068321238</x:v>
      </x:c>
      <x:c r="AB18" s="31" t="n">
        <x:v>87.80131221529352</x:v>
      </x:c>
      <x:c r="AC18" s="31" t="n">
        <x:v>90.71398458163942</x:v>
      </x:c>
      <x:c r="AD18" s="31" t="n">
        <x:v>72.1361291074219</x:v>
      </x:c>
      <x:c r="AE18" s="31" t="n">
        <x:v>78.28214054032006</x:v>
      </x:c>
      <x:c r="AF18" s="31" t="n">
        <x:v>78.44056941975293</x:v>
      </x:c>
      <x:c r="AG18" s="31" t="n">
        <x:v>85.1247709567678</x:v>
      </x:c>
      <x:c r="AH18" s="31" t="n">
        <x:v>75.87125924300867</x:v>
      </x:c>
      <x:c r="AI18" s="31" t="n">
        <x:v>81.94849537218481</x:v>
      </x:c>
      <x:c r="AJ18" s="31" t="n">
        <x:v>86.92278892676605</x:v>
      </x:c>
      <x:c r="AK18" s="31" t="n">
        <x:v>91.1222382641396</x:v>
      </x:c>
      <x:c r="AL18" s="31" t="n">
        <x:v>85.60869743058821</x:v>
      </x:c>
      <x:c r="AM18" s="31" t="n">
        <x:v>91.74947542060896</x:v>
      </x:c>
      <x:c r="AN18" s="31" t="n">
        <x:v>84.57147847089165</x:v>
      </x:c>
      <x:c r="AO18" s="31" t="n">
        <x:v>86.37400284082825</x:v>
      </x:c>
    </x:row>
    <x:row r="19">
      <x:c r="A19" s="31" t="n">
        <x:v>40.00000000000031</x:v>
      </x:c>
      <x:c r="B19" s="31" t="n">
        <x:v>74.90714572597675</x:v>
      </x:c>
      <x:c r="C19" s="31" t="n">
        <x:v>81.8571357898244</x:v>
      </x:c>
      <x:c r="D19" s="31" t="n">
        <x:v>70.12605341781087</x:v>
      </x:c>
      <x:c r="E19" s="31" t="n">
        <x:v>77.05769274514783</x:v>
      </x:c>
      <x:c r="F19" s="31" t="n">
        <x:v>68.6808594503592</x:v>
      </x:c>
      <x:c r="G19" s="31" t="n">
        <x:v>77.42703011942453</x:v>
      </x:c>
      <x:c r="H19" s="31" t="n">
        <x:v>72.70459036748106</x:v>
      </x:c>
      <x:c r="I19" s="31" t="n">
        <x:v>80.6961655415412</x:v>
      </x:c>
      <x:c r="J19" s="31" t="n">
        <x:v>68.51833180502005</x:v>
      </x:c>
      <x:c r="K19" s="31" t="n">
        <x:v>76.13259205077031</x:v>
      </x:c>
      <x:c r="L19" s="31" t="n">
        <x:v>67.30391588699392</x:v>
      </x:c>
      <x:c r="M19" s="31" t="n">
        <x:v>74.09241479481017</x:v>
      </x:c>
      <x:c r="N19" s="31" t="n">
        <x:v>74.96774498310369</x:v>
      </x:c>
      <x:c r="O19" s="31" t="n">
        <x:v>80.17747346789167</x:v>
      </x:c>
      <x:c r="P19" s="31" t="n">
        <x:v>78.45829708144757</x:v>
      </x:c>
      <x:c r="Q19" s="31" t="n">
        <x:v>79.61302899685707</x:v>
      </x:c>
      <x:c r="R19" s="31" t="n">
        <x:v>72.67639301253138</x:v>
      </x:c>
      <x:c r="S19" s="31" t="n">
        <x:v>80.4275749002984</x:v>
      </x:c>
      <x:c r="T19" s="31" t="n">
        <x:v>75.73132558397681</x:v>
      </x:c>
      <x:c r="U19" s="31" t="n">
        <x:v>82.7541511186013</x:v>
      </x:c>
      <x:c r="V19" s="31" t="n">
        <x:v>82.98566657154673</x:v>
      </x:c>
      <x:c r="W19" s="31" t="n">
        <x:v>86.06106428525916</x:v>
      </x:c>
      <x:c r="X19" s="31" t="n">
        <x:v>83.49249398340687</x:v>
      </x:c>
      <x:c r="Y19" s="31" t="n">
        <x:v>87.32908171582825</x:v>
      </x:c>
      <x:c r="Z19" s="31" t="n">
        <x:v>84.32816356386364</x:v>
      </x:c>
      <x:c r="AA19" s="31" t="n">
        <x:v>86.6637044371319</x:v>
      </x:c>
      <x:c r="AB19" s="31" t="n">
        <x:v>85.99533253120808</x:v>
      </x:c>
      <x:c r="AC19" s="31" t="n">
        <x:v>89.30162962929938</x:v>
      </x:c>
      <x:c r="AD19" s="31" t="n">
        <x:v>70.21890945643706</x:v>
      </x:c>
      <x:c r="AE19" s="31" t="n">
        <x:v>76.77108605945776</x:v>
      </x:c>
      <x:c r="AF19" s="31" t="n">
        <x:v>76.29831910298797</x:v>
      </x:c>
      <x:c r="AG19" s="31" t="n">
        <x:v>86.62677504330715</x:v>
      </x:c>
      <x:c r="AH19" s="31" t="n">
        <x:v>74.20410059012718</x:v>
      </x:c>
      <x:c r="AI19" s="31" t="n">
        <x:v>80.5450190225151</x:v>
      </x:c>
      <x:c r="AJ19" s="31" t="n">
        <x:v>85.59603563304701</x:v>
      </x:c>
      <x:c r="AK19" s="31" t="n">
        <x:v>88.9498364672287</x:v>
      </x:c>
      <x:c r="AL19" s="31" t="n">
        <x:v>84.13992550099975</x:v>
      </x:c>
      <x:c r="AM19" s="31" t="n">
        <x:v>89.29473402392954</x:v>
      </x:c>
      <x:c r="AN19" s="31" t="n">
        <x:v>82.75404858844755</x:v>
      </x:c>
      <x:c r="AO19" s="31" t="n">
        <x:v>84.55768843244473</x:v>
      </x:c>
    </x:row>
    <x:row r="20">
      <x:c r="A20" s="31" t="n">
        <x:v>60.000000000000334</x:v>
      </x:c>
      <x:c r="B20" s="31" t="n">
        <x:v>73.83590573473144</x:v>
      </x:c>
      <x:c r="C20" s="31" t="n">
        <x:v>80.52135346101689</x:v>
      </x:c>
      <x:c r="D20" s="31" t="n">
        <x:v>69.38840646566132</x:v>
      </x:c>
      <x:c r="E20" s="31" t="n">
        <x:v>73.86817889829007</x:v>
      </x:c>
      <x:c r="F20" s="31" t="n">
        <x:v>67.55867908424892</x:v>
      </x:c>
      <x:c r="G20" s="31" t="n">
        <x:v>76.24179485498995</x:v>
      </x:c>
      <x:c r="H20" s="31" t="n">
        <x:v>70.01329025542894</x:v>
      </x:c>
      <x:c r="I20" s="31" t="n">
        <x:v>79.53602106295551</x:v>
      </x:c>
      <x:c r="J20" s="31" t="n">
        <x:v>68.12871973063771</x:v>
      </x:c>
      <x:c r="K20" s="31" t="n">
        <x:v>74.93079832906095</x:v>
      </x:c>
      <x:c r="L20" s="31" t="n">
        <x:v>65.57355264333962</x:v>
      </x:c>
      <x:c r="M20" s="31" t="n">
        <x:v>73.57320509355043</x:v>
      </x:c>
      <x:c r="N20" s="31" t="n">
        <x:v>72.84520483131018</x:v>
      </x:c>
      <x:c r="O20" s="31" t="n">
        <x:v>78.35937307936342</x:v>
      </x:c>
      <x:c r="P20" s="31" t="n">
        <x:v>76.93974653921128</x:v>
      </x:c>
      <x:c r="Q20" s="31" t="n">
        <x:v>78.3181093121685</x:v>
      </x:c>
      <x:c r="R20" s="31" t="n">
        <x:v>71.89278571386332</x:v>
      </x:c>
      <x:c r="S20" s="31" t="n">
        <x:v>79.34130039555576</x:v>
      </x:c>
      <x:c r="T20" s="31" t="n">
        <x:v>72.53196343081699</x:v>
      </x:c>
      <x:c r="U20" s="31" t="n">
        <x:v>80.59401686110499</x:v>
      </x:c>
      <x:c r="V20" s="31" t="n">
        <x:v>80.33487091749402</x:v>
      </x:c>
      <x:c r="W20" s="31" t="n">
        <x:v>85.39862767449286</x:v>
      </x:c>
      <x:c r="X20" s="31" t="n">
        <x:v>81.72983348229401</x:v>
      </x:c>
      <x:c r="Y20" s="31" t="n">
        <x:v>85.65278764919786</x:v>
      </x:c>
      <x:c r="Z20" s="31" t="n">
        <x:v>85.19635587000647</x:v>
      </x:c>
      <x:c r="AA20" s="31" t="n">
        <x:v>85.05292192208644</x:v>
      </x:c>
      <x:c r="AB20" s="31" t="n">
        <x:v>83.14488496087252</x:v>
      </x:c>
      <x:c r="AC20" s="31" t="n">
        <x:v>87.21283562335803</x:v>
      </x:c>
      <x:c r="AD20" s="31" t="n">
        <x:v>70.53008558825822</x:v>
      </x:c>
      <x:c r="AE20" s="31" t="n">
        <x:v>75.37835383990684</x:v>
      </x:c>
      <x:c r="AF20" s="31" t="n">
        <x:v>73.71401406299984</x:v>
      </x:c>
      <x:c r="AG20" s="31" t="n">
        <x:v>86.91894926082162</x:v>
      </x:c>
      <x:c r="AH20" s="31" t="n">
        <x:v>73.32807103213088</x:v>
      </x:c>
      <x:c r="AI20" s="31" t="n">
        <x:v>78.57152064492945</x:v>
      </x:c>
      <x:c r="AJ20" s="31" t="n">
        <x:v>83.98359595527305</x:v>
      </x:c>
      <x:c r="AK20" s="31" t="n">
        <x:v>86.62629248250653</x:v>
      </x:c>
      <x:c r="AL20" s="31" t="n">
        <x:v>82.31672250674346</x:v>
      </x:c>
      <x:c r="AM20" s="31" t="n">
        <x:v>87.78644782610525</x:v>
      </x:c>
      <x:c r="AN20" s="31" t="n">
        <x:v>81.46296121422365</x:v>
      </x:c>
      <x:c r="AO20" s="31" t="n">
        <x:v>83.48633081369356</x:v>
      </x:c>
    </x:row>
    <x:row r="21">
      <x:c r="A21" s="31" t="n">
        <x:v>80.00000000000036</x:v>
      </x:c>
      <x:c r="B21" s="31" t="n">
        <x:v>71.7756176819732</x:v>
      </x:c>
      <x:c r="C21" s="31" t="n">
        <x:v>79.3720861013729</x:v>
      </x:c>
      <x:c r="D21" s="31" t="n">
        <x:v>67.66386962610395</x:v>
      </x:c>
      <x:c r="E21" s="31" t="n">
        <x:v>72.72425031649333</x:v>
      </x:c>
      <x:c r="F21" s="31" t="n">
        <x:v>66.76760418471508</x:v>
      </x:c>
      <x:c r="G21" s="31" t="n">
        <x:v>75.00607329086857</x:v>
      </x:c>
      <x:c r="H21" s="31" t="n">
        <x:v>68.43435403559984</x:v>
      </x:c>
      <x:c r="I21" s="31" t="n">
        <x:v>78.51031411548428</x:v>
      </x:c>
      <x:c r="J21" s="31" t="n">
        <x:v>68.69652962612288</x:v>
      </x:c>
      <x:c r="K21" s="31" t="n">
        <x:v>73.52305250000775</x:v>
      </x:c>
      <x:c r="L21" s="31" t="n">
        <x:v>64.40861155905695</x:v>
      </x:c>
      <x:c r="M21" s="31" t="n">
        <x:v>73.20000602233797</x:v>
      </x:c>
      <x:c r="N21" s="31" t="n">
        <x:v>72.20754067335447</x:v>
      </x:c>
      <x:c r="O21" s="31" t="n">
        <x:v>76.6608525235295</x:v>
      </x:c>
      <x:c r="P21" s="31" t="n">
        <x:v>75.00538268388858</x:v>
      </x:c>
      <x:c r="Q21" s="31" t="n">
        <x:v>76.68931985112545</x:v>
      </x:c>
      <x:c r="R21" s="31" t="n">
        <x:v>72.14842793686611</x:v>
      </x:c>
      <x:c r="S21" s="31" t="n">
        <x:v>78.07244898190051</x:v>
      </x:c>
      <x:c r="T21" s="31" t="n">
        <x:v>72.67915703167725</x:v>
      </x:c>
      <x:c r="U21" s="31" t="n">
        <x:v>79.35037601168528</x:v>
      </x:c>
      <x:c r="V21" s="31" t="n">
        <x:v>79.11460964906497</x:v>
      </x:c>
      <x:c r="W21" s="31" t="n">
        <x:v>84.76430432093201</x:v>
      </x:c>
      <x:c r="X21" s="31" t="n">
        <x:v>82.83670677150637</x:v>
      </x:c>
      <x:c r="Y21" s="31" t="n">
        <x:v>83.5205526292506</x:v>
      </x:c>
      <x:c r="Z21" s="31" t="n">
        <x:v>86.6478214601103</x:v>
      </x:c>
      <x:c r="AA21" s="31" t="n">
        <x:v>84.21778372405706</x:v>
      </x:c>
      <x:c r="AB21" s="31" t="n">
        <x:v>81.53271416052738</x:v>
      </x:c>
      <x:c r="AC21" s="31" t="n">
        <x:v>86.28452873506737</x:v>
      </x:c>
      <x:c r="AD21" s="31" t="n">
        <x:v>70.03819395956727</x:v>
      </x:c>
      <x:c r="AE21" s="31" t="n">
        <x:v>73.7695015444832</x:v>
      </x:c>
      <x:c r="AF21" s="31" t="n">
        <x:v>71.13638683336346</x:v>
      </x:c>
      <x:c r="AG21" s="31" t="n">
        <x:v>86.53710386117474</x:v>
      </x:c>
      <x:c r="AH21" s="31" t="n">
        <x:v>72.55411093208403</x:v>
      </x:c>
      <x:c r="AI21" s="31" t="n">
        <x:v>77.19316253706988</x:v>
      </x:c>
      <x:c r="AJ21" s="31" t="n">
        <x:v>82.19865510485495</x:v>
      </x:c>
      <x:c r="AK21" s="31" t="n">
        <x:v>84.89931141754239</x:v>
      </x:c>
      <x:c r="AL21" s="31" t="n">
        <x:v>80.16159804225784</x:v>
      </x:c>
      <x:c r="AM21" s="31" t="n">
        <x:v>84.82034891496701</x:v>
      </x:c>
      <x:c r="AN21" s="31" t="n">
        <x:v>79.04515454410982</x:v>
      </x:c>
      <x:c r="AO21" s="31" t="n">
        <x:v>82.16175432968312</x:v>
      </x:c>
    </x:row>
    <x:row r="22">
      <x:c r="A22" s="31" t="n">
        <x:v>100.00000000000037</x:v>
      </x:c>
      <x:c r="B22" s="31" t="n">
        <x:v>71.11779931579385</x:v>
      </x:c>
      <x:c r="C22" s="31" t="n">
        <x:v>78.94399254834266</x:v>
      </x:c>
      <x:c r="D22" s="31" t="n">
        <x:v>65.79707946276152</x:v>
      </x:c>
      <x:c r="E22" s="31" t="n">
        <x:v>71.62085622284066</x:v>
      </x:c>
      <x:c r="F22" s="31" t="n">
        <x:v>65.8409569164848</x:v>
      </x:c>
      <x:c r="G22" s="31" t="n">
        <x:v>73.47451248969466</x:v>
      </x:c>
      <x:c r="H22" s="31" t="n">
        <x:v>67.51040180552768</x:v>
      </x:c>
      <x:c r="I22" s="31" t="n">
        <x:v>77.44364038043753</x:v>
      </x:c>
      <x:c r="J22" s="31" t="n">
        <x:v>68.14845468638347</x:v>
      </x:c>
      <x:c r="K22" s="31" t="n">
        <x:v>71.70926003402069</x:v>
      </x:c>
      <x:c r="L22" s="31" t="n">
        <x:v>62.89745602705032</x:v>
      </x:c>
      <x:c r="M22" s="31" t="n">
        <x:v>71.83820083003032</x:v>
      </x:c>
      <x:c r="N22" s="31" t="n">
        <x:v>71.50483007451068</x:v>
      </x:c>
      <x:c r="O22" s="31" t="n">
        <x:v>75.55359117179614</x:v>
      </x:c>
      <x:c r="P22" s="31" t="n">
        <x:v>72.94500856672208</x:v>
      </x:c>
      <x:c r="Q22" s="31" t="n">
        <x:v>75.89587388701081</x:v>
      </x:c>
      <x:c r="R22" s="31" t="n">
        <x:v>71.59085890990758</x:v>
      </x:c>
      <x:c r="S22" s="31" t="n">
        <x:v>76.27186585576149</x:v>
      </x:c>
      <x:c r="T22" s="31" t="n">
        <x:v>71.93469077213848</x:v>
      </x:c>
      <x:c r="U22" s="31" t="n">
        <x:v>77.52198590299342</x:v>
      </x:c>
      <x:c r="V22" s="31" t="n">
        <x:v>78.39488263749358</x:v>
      </x:c>
      <x:c r="W22" s="31" t="n">
        <x:v>84.42659754659188</x:v>
      </x:c>
      <x:c r="X22" s="31" t="n">
        <x:v>84.05052684822245</x:v>
      </x:c>
      <x:c r="Y22" s="31" t="n">
        <x:v>81.98447513147138</x:v>
      </x:c>
      <x:c r="Z22" s="31" t="n">
        <x:v>86.32007332470275</x:v>
      </x:c>
      <x:c r="AA22" s="31" t="n">
        <x:v>83.63370664333657</x:v>
      </x:c>
      <x:c r="AB22" s="31" t="n">
        <x:v>80.17247354886409</x:v>
      </x:c>
      <x:c r="AC22" s="31" t="n">
        <x:v>86.09589822118194</x:v>
      </x:c>
      <x:c r="AD22" s="31" t="n">
        <x:v>70.37837762073063</x:v>
      </x:c>
      <x:c r="AE22" s="31" t="n">
        <x:v>71.66065218977803</x:v>
      </x:c>
      <x:c r="AF22" s="31" t="n">
        <x:v>70.8546235316061</x:v>
      </x:c>
      <x:c r="AG22" s="31" t="n">
        <x:v>84.19102159595413</x:v>
      </x:c>
      <x:c r="AH22" s="31" t="n">
        <x:v>72.1336669589046</x:v>
      </x:c>
      <x:c r="AI22" s="31" t="n">
        <x:v>75.15768019304637</x:v>
      </x:c>
      <x:c r="AJ22" s="31" t="n">
        <x:v>81.01176168738583</x:v>
      </x:c>
      <x:c r="AK22" s="31" t="n">
        <x:v>85.44200418751444</x:v>
      </x:c>
      <x:c r="AL22" s="31" t="n">
        <x:v>79.06487517537214</x:v>
      </x:c>
      <x:c r="AM22" s="31" t="n">
        <x:v>85.23005028898942</x:v>
      </x:c>
      <x:c r="AN22" s="31" t="n">
        <x:v>76.95376241178177</x:v>
      </x:c>
      <x:c r="AO22" s="31" t="n">
        <x:v>81.82004737036856</x:v>
      </x:c>
    </x:row>
    <x:row r="23">
      <x:c r="A23" s="31" t="n">
        <x:v>120.00000000000038</x:v>
      </x:c>
      <x:c r="B23" s="31" t="n">
        <x:v>70.27448891428983</x:v>
      </x:c>
      <x:c r="C23" s="31" t="n">
        <x:v>78.33181634809763</x:v>
      </x:c>
      <x:c r="D23" s="31" t="n">
        <x:v>63.07255421890595</x:v>
      </x:c>
      <x:c r="E23" s="31" t="n">
        <x:v>70.62148825277916</x:v>
      </x:c>
      <x:c r="F23" s="31" t="n">
        <x:v>65.75702176741567</x:v>
      </x:c>
      <x:c r="G23" s="31" t="n">
        <x:v>72.5053585651713</x:v>
      </x:c>
      <x:c r="H23" s="31" t="n">
        <x:v>66.83827555889889</x:v>
      </x:c>
      <x:c r="I23" s="31" t="n">
        <x:v>75.40059188409744</x:v>
      </x:c>
      <x:c r="J23" s="31" t="n">
        <x:v>67.91036512945347</x:v>
      </x:c>
      <x:c r="K23" s="31" t="n">
        <x:v>70.63417355471333</x:v>
      </x:c>
      <x:c r="L23" s="31" t="n">
        <x:v>62.773308370179386</x:v>
      </x:c>
      <x:c r="M23" s="31" t="n">
        <x:v>70.31932397093931</x:v>
      </x:c>
      <x:c r="N23" s="31" t="n">
        <x:v>70.31219291454975</x:v>
      </x:c>
      <x:c r="O23" s="31" t="n">
        <x:v>74.4963777514842</x:v>
      </x:c>
      <x:c r="P23" s="31" t="n">
        <x:v>73.28033505708996</x:v>
      </x:c>
      <x:c r="Q23" s="31" t="n">
        <x:v>74.67372995785777</x:v>
      </x:c>
      <x:c r="R23" s="31" t="n">
        <x:v>71.73559131101595</x:v>
      </x:c>
      <x:c r="S23" s="31" t="n">
        <x:v>74.1909265764591</x:v>
      </x:c>
      <x:c r="T23" s="31" t="n">
        <x:v>71.86237779901955</x:v>
      </x:c>
      <x:c r="U23" s="31" t="n">
        <x:v>77.04677881541517</x:v>
      </x:c>
      <x:c r="V23" s="31" t="n">
        <x:v>78.0273383081097</x:v>
      </x:c>
      <x:c r="W23" s="31" t="n">
        <x:v>83.56300406906087</x:v>
      </x:c>
      <x:c r="X23" s="31" t="n">
        <x:v>84.0222801363342</x:v>
      </x:c>
      <x:c r="Y23" s="31" t="n">
        <x:v>81.03296070242823</x:v>
      </x:c>
      <x:c r="Z23" s="31" t="n">
        <x:v>86.71139024681199</x:v>
      </x:c>
      <x:c r="AA23" s="31" t="n">
        <x:v>83.37573693985942</x:v>
      </x:c>
      <x:c r="AB23" s="31" t="n">
        <x:v>78.90101079031504</x:v>
      </x:c>
      <x:c r="AC23" s="31" t="n">
        <x:v>84.96286028516496</x:v>
      </x:c>
      <x:c r="AD23" s="31" t="n">
        <x:v>70.86194615091676</x:v>
      </x:c>
      <x:c r="AE23" s="31" t="n">
        <x:v>70.19728690148254</x:v>
      </x:c>
      <x:c r="AF23" s="31" t="n">
        <x:v>70.63366550964578</x:v>
      </x:c>
      <x:c r="AG23" s="31" t="n">
        <x:v>81.55072926408286</x:v>
      </x:c>
      <x:c r="AH23" s="31" t="n">
        <x:v>71.9960111939449</x:v>
      </x:c>
      <x:c r="AI23" s="31" t="n">
        <x:v>73.40129822939093</x:v>
      </x:c>
      <x:c r="AJ23" s="31" t="n">
        <x:v>78.93478452458363</x:v>
      </x:c>
      <x:c r="AK23" s="31" t="n">
        <x:v>85.06284059805215</x:v>
      </x:c>
      <x:c r="AL23" s="31" t="n">
        <x:v>78.82308141912031</x:v>
      </x:c>
      <x:c r="AM23" s="31" t="n">
        <x:v>85.55305779157811</x:v>
      </x:c>
      <x:c r="AN23" s="31" t="n">
        <x:v>75.71100554512178</x:v>
      </x:c>
      <x:c r="AO23" s="31" t="n">
        <x:v>81.87881373405791</x:v>
      </x:c>
    </x:row>
    <x:row r="24">
      <x:c r="A24" s="31" t="n">
        <x:v>140.0000000000004</x:v>
      </x:c>
      <x:c r="B24" s="31" t="n">
        <x:v>70.54622332992818</x:v>
      </x:c>
      <x:c r="C24" s="31" t="n">
        <x:v>77.22239550495517</x:v>
      </x:c>
      <x:c r="D24" s="31" t="n">
        <x:v>62.32262867649633</x:v>
      </x:c>
      <x:c r="E24" s="31" t="n">
        <x:v>68.8562173785293</x:v>
      </x:c>
      <x:c r="F24" s="31" t="n">
        <x:v>64.9581865419288</x:v>
      </x:c>
      <x:c r="G24" s="31" t="n">
        <x:v>71.39113632655777</x:v>
      </x:c>
      <x:c r="H24" s="31" t="n">
        <x:v>66.14643588207585</x:v>
      </x:c>
      <x:c r="I24" s="31" t="n">
        <x:v>73.44622234084868</x:v>
      </x:c>
      <x:c r="J24" s="31" t="n">
        <x:v>67.56340265700038</x:v>
      </x:c>
      <x:c r="K24" s="31" t="n">
        <x:v>68.52480215965964</x:v>
      </x:c>
      <x:c r="L24" s="31" t="n">
        <x:v>62.06347915381105</x:v>
      </x:c>
      <x:c r="M24" s="31" t="n">
        <x:v>67.18900972642447</x:v>
      </x:c>
      <x:c r="N24" s="31" t="n">
        <x:v>69.4421445567284</x:v>
      </x:c>
      <x:c r="O24" s="31" t="n">
        <x:v>72.8887913694837</x:v>
      </x:c>
      <x:c r="P24" s="31" t="n">
        <x:v>72.65733520962942</x:v>
      </x:c>
      <x:c r="Q24" s="31" t="n">
        <x:v>73.79201870271653</x:v>
      </x:c>
      <x:c r="R24" s="31" t="n">
        <x:v>71.43675064479706</x:v>
      </x:c>
      <x:c r="S24" s="31" t="n">
        <x:v>72.92681020374373</x:v>
      </x:c>
      <x:c r="T24" s="31" t="n">
        <x:v>71.30210909836464</x:v>
      </x:c>
      <x:c r="U24" s="31" t="n">
        <x:v>74.61543960981014</x:v>
      </x:c>
      <x:c r="V24" s="31" t="n">
        <x:v>77.35842035161812</x:v>
      </x:c>
      <x:c r="W24" s="31" t="n">
        <x:v>83.15561692187188</x:v>
      </x:c>
      <x:c r="X24" s="31" t="n">
        <x:v>83.44226407876464</x:v>
      </x:c>
      <x:c r="Y24" s="31" t="n">
        <x:v>79.48294244027421</x:v>
      </x:c>
      <x:c r="Z24" s="31" t="n">
        <x:v>86.21490782560305</x:v>
      </x:c>
      <x:c r="AA24" s="31" t="n">
        <x:v>83.80790937376523</x:v>
      </x:c>
      <x:c r="AB24" s="31" t="n">
        <x:v>78.67365405675203</x:v>
      </x:c>
      <x:c r="AC24" s="31" t="n">
        <x:v>83.4515928361531</x:v>
      </x:c>
      <x:c r="AD24" s="31" t="n">
        <x:v>71.88187073113514</x:v>
      </x:c>
      <x:c r="AE24" s="31" t="n">
        <x:v>69.14045717489978</x:v>
      </x:c>
      <x:c r="AF24" s="31" t="n">
        <x:v>71.28169715228125</x:v>
      </x:c>
      <x:c r="AG24" s="31" t="n">
        <x:v>80.33108867624865</x:v>
      </x:c>
      <x:c r="AH24" s="31" t="n">
        <x:v>72.19873561482984</x:v>
      </x:c>
      <x:c r="AI24" s="31" t="n">
        <x:v>72.39142718725661</x:v>
      </x:c>
      <x:c r="AJ24" s="31" t="n">
        <x:v>78.57054137757697</x:v>
      </x:c>
      <x:c r="AK24" s="31" t="n">
        <x:v>85.10870026872004</x:v>
      </x:c>
      <x:c r="AL24" s="31" t="n">
        <x:v>78.3977834002742</x:v>
      </x:c>
      <x:c r="AM24" s="31" t="n">
        <x:v>85.44109780771728</x:v>
      </x:c>
      <x:c r="AN24" s="31" t="n">
        <x:v>75.21666193611473</x:v>
      </x:c>
      <x:c r="AO24" s="31" t="n">
        <x:v>81.76873285895641</x:v>
      </x:c>
    </x:row>
    <x:row r="25">
      <x:c r="A25" s="31" t="n">
        <x:v>160.00000000000043</x:v>
      </x:c>
      <x:c r="B25" s="31" t="n">
        <x:v>69.4156881998048</x:v>
      </x:c>
      <x:c r="C25" s="31" t="n">
        <x:v>77.37220792591013</x:v>
      </x:c>
      <x:c r="D25" s="31" t="n">
        <x:v>63.27061941143956</x:v>
      </x:c>
      <x:c r="E25" s="31" t="n">
        <x:v>68.0763688331384</x:v>
      </x:c>
      <x:c r="F25" s="31" t="n">
        <x:v>64.89101176978578</x:v>
      </x:c>
      <x:c r="G25" s="31" t="n">
        <x:v>70.93960151982853</x:v>
      </x:c>
      <x:c r="H25" s="31" t="n">
        <x:v>66.081182531212</x:v>
      </x:c>
      <x:c r="I25" s="31" t="n">
        <x:v>71.93394955686131</x:v>
      </x:c>
      <x:c r="J25" s="31" t="n">
        <x:v>66.32273580845435</x:v>
      </x:c>
      <x:c r="K25" s="31" t="n">
        <x:v>67.61200253178244</x:v>
      </x:c>
      <x:c r="L25" s="31" t="n">
        <x:v>62.189789229218775</x:v>
      </x:c>
      <x:c r="M25" s="31" t="n">
        <x:v>64.73188781447935</x:v>
      </x:c>
      <x:c r="N25" s="31" t="n">
        <x:v>68.55720692583452</x:v>
      </x:c>
      <x:c r="O25" s="31" t="n">
        <x:v>69.78458467954556</x:v>
      </x:c>
      <x:c r="P25" s="31" t="n">
        <x:v>71.51840046443517</x:v>
      </x:c>
      <x:c r="Q25" s="31" t="n">
        <x:v>73.30752840431352</x:v>
      </x:c>
      <x:c r="R25" s="31" t="n">
        <x:v>70.847639464554</x:v>
      </x:c>
      <x:c r="S25" s="31" t="n">
        <x:v>71.89723380978168</x:v>
      </x:c>
      <x:c r="T25" s="31" t="n">
        <x:v>69.64600565493706</x:v>
      </x:c>
      <x:c r="U25" s="31" t="n">
        <x:v>72.28562920632501</x:v>
      </x:c>
      <x:c r="V25" s="31" t="n">
        <x:v>76.19399679405197</x:v>
      </x:c>
      <x:c r="W25" s="31" t="n">
        <x:v>82.87762052894075</x:v>
      </x:c>
      <x:c r="X25" s="31" t="n">
        <x:v>83.31233425568753</x:v>
      </x:c>
      <x:c r="Y25" s="31" t="n">
        <x:v>79.06289063014815</x:v>
      </x:c>
      <x:c r="Z25" s="31" t="n">
        <x:v>84.95002322334929</x:v>
      </x:c>
      <x:c r="AA25" s="31" t="n">
        <x:v>83.73980582048762</x:v>
      </x:c>
      <x:c r="AB25" s="31" t="n">
        <x:v>77.68056190317692</x:v>
      </x:c>
      <x:c r="AC25" s="31" t="n">
        <x:v>82.78418373822606</x:v>
      </x:c>
      <x:c r="AD25" s="31" t="n">
        <x:v>72.93355913509376</x:v>
      </x:c>
      <x:c r="AE25" s="31" t="n">
        <x:v>68.79402747619692</x:v>
      </x:c>
      <x:c r="AF25" s="31" t="n">
        <x:v>71.44771500870387</x:v>
      </x:c>
      <x:c r="AG25" s="31" t="n">
        <x:v>78.67074944839366</x:v>
      </x:c>
      <x:c r="AH25" s="31" t="n">
        <x:v>72.63466770728672</x:v>
      </x:c>
      <x:c r="AI25" s="31" t="n">
        <x:v>70.72844031351552</x:v>
      </x:c>
      <x:c r="AJ25" s="31" t="n">
        <x:v>78.07864347140048</x:v>
      </x:c>
      <x:c r="AK25" s="31" t="n">
        <x:v>85.2953247496458</x:v>
      </x:c>
      <x:c r="AL25" s="31" t="n">
        <x:v>76.83345645591568</x:v>
      </x:c>
      <x:c r="AM25" s="31" t="n">
        <x:v>86.44358203813351</x:v>
      </x:c>
      <x:c r="AN25" s="31" t="n">
        <x:v>74.94978800165758</x:v>
      </x:c>
      <x:c r="AO25" s="31" t="n">
        <x:v>81.55657618586301</x:v>
      </x:c>
    </x:row>
    <x:row r="26">
      <x:c r="A26" s="31" t="n">
        <x:v>180.00000000000043</x:v>
      </x:c>
      <x:c r="B26" s="31" t="n">
        <x:v>67.78167902416124</x:v>
      </x:c>
      <x:c r="C26" s="31" t="n">
        <x:v>76.42940154797924</x:v>
      </x:c>
      <x:c r="D26" s="31" t="n">
        <x:v>63.49115837499229</x:v>
      </x:c>
      <x:c r="E26" s="31" t="n">
        <x:v>66.26517884076277</x:v>
      </x:c>
      <x:c r="F26" s="31" t="n">
        <x:v>64.52464181842109</x:v>
      </x:c>
      <x:c r="G26" s="31" t="n">
        <x:v>68.71611303235669</x:v>
      </x:c>
      <x:c r="H26" s="31" t="n">
        <x:v>65.74609610021827</x:v>
      </x:c>
      <x:c r="I26" s="31" t="n">
        <x:v>72.30040687416506</x:v>
      </x:c>
      <x:c r="J26" s="31" t="n">
        <x:v>66.15885002522758</x:v>
      </x:c>
      <x:c r="K26" s="31" t="n">
        <x:v>67.51166440463265</x:v>
      </x:c>
      <x:c r="L26" s="31" t="n">
        <x:v>61.89322454036715</x:v>
      </x:c>
      <x:c r="M26" s="31" t="n">
        <x:v>64.49720146663286</x:v>
      </x:c>
      <x:c r="N26" s="31" t="n">
        <x:v>68.14635824508939</x:v>
      </x:c>
      <x:c r="O26" s="31" t="n">
        <x:v>68.56824552092213</x:v>
      </x:c>
      <x:c r="P26" s="31" t="n">
        <x:v>71.02723667810058</x:v>
      </x:c>
      <x:c r="Q26" s="31" t="n">
        <x:v>71.6804376936554</x:v>
      </x:c>
      <x:c r="R26" s="31" t="n">
        <x:v>71.30933353996703</x:v>
      </x:c>
      <x:c r="S26" s="31" t="n">
        <x:v>71.18111669104326</x:v>
      </x:c>
      <x:c r="T26" s="31" t="n">
        <x:v>69.6246391360227</x:v>
      </x:c>
      <x:c r="U26" s="31" t="n">
        <x:v>71.48678504435735</x:v>
      </x:c>
      <x:c r="V26" s="31" t="n">
        <x:v>75.62381130973672</x:v>
      </x:c>
      <x:c r="W26" s="31" t="n">
        <x:v>82.24991543704947</x:v>
      </x:c>
      <x:c r="X26" s="31" t="n">
        <x:v>82.64358887843612</x:v>
      </x:c>
      <x:c r="Y26" s="31" t="n">
        <x:v>78.17214912893243</x:v>
      </x:c>
      <x:c r="Z26" s="31" t="n">
        <x:v>84.47863348420714</x:v>
      </x:c>
      <x:c r="AA26" s="31" t="n">
        <x:v>83.91847054913038</x:v>
      </x:c>
      <x:c r="AB26" s="31" t="n">
        <x:v>76.27737889110354</x:v>
      </x:c>
      <x:c r="AC26" s="31" t="n">
        <x:v>81.64723965046217</x:v>
      </x:c>
      <x:c r="AD26" s="31" t="n">
        <x:v>72.86651266268257</x:v>
      </x:c>
      <x:c r="AE26" s="31" t="n">
        <x:v>68.16056879004529</x:v>
      </x:c>
      <x:c r="AF26" s="31" t="n">
        <x:v>71.97438563908523</x:v>
      </x:c>
      <x:c r="AG26" s="31" t="n">
        <x:v>76.96518047994013</x:v>
      </x:c>
      <x:c r="AH26" s="31" t="n">
        <x:v>72.32570171212076</x:v>
      </x:c>
      <x:c r="AI26" s="31" t="n">
        <x:v>70.09944499806451</x:v>
      </x:c>
      <x:c r="AJ26" s="31" t="n">
        <x:v>77.55828027436068</x:v>
      </x:c>
      <x:c r="AK26" s="31" t="n">
        <x:v>84.07856108636946</x:v>
      </x:c>
      <x:c r="AL26" s="31" t="n">
        <x:v>76.51892084970778</x:v>
      </x:c>
      <x:c r="AM26" s="31" t="n">
        <x:v>85.65471417238126</x:v>
      </x:c>
      <x:c r="AN26" s="31" t="n">
        <x:v>73.92608452107442</x:v>
      </x:c>
      <x:c r="AO26" s="31" t="n">
        <x:v>80.77021268495857</x:v>
      </x:c>
    </x:row>
    <x:row r="27">
      <x:c r="A27" s="31" t="n">
        <x:v>200.00000000000045</x:v>
      </x:c>
      <x:c r="B27" s="31" t="n">
        <x:v>67.83963032109259</x:v>
      </x:c>
      <x:c r="C27" s="31" t="n">
        <x:v>74.93679110073224</x:v>
      </x:c>
      <x:c r="D27" s="31" t="n">
        <x:v>63.69763928433608</x:v>
      </x:c>
      <x:c r="E27" s="31" t="n">
        <x:v>65.89858697731268</x:v>
      </x:c>
      <x:c r="F27" s="31" t="n">
        <x:v>63.81305828452646</x:v>
      </x:c>
      <x:c r="G27" s="31" t="n">
        <x:v>67.21685668598906</x:v>
      </x:c>
      <x:c r="H27" s="31" t="n">
        <x:v>65.6442349596123</x:v>
      </x:c>
      <x:c r="I27" s="31" t="n">
        <x:v>71.15366232981258</x:v>
      </x:c>
      <x:c r="J27" s="31" t="n">
        <x:v>66.42851369338467</x:v>
      </x:c>
      <x:c r="K27" s="31" t="n">
        <x:v>67.3986900089648</x:v>
      </x:c>
      <x:c r="L27" s="31" t="n">
        <x:v>60.85083528515799</x:v>
      </x:c>
      <x:c r="M27" s="31" t="n">
        <x:v>63.54144229203512</x:v>
      </x:c>
      <x:c r="N27" s="31" t="n">
        <x:v>67.78753474470557</x:v>
      </x:c>
      <x:c r="O27" s="31" t="n">
        <x:v>68.07482612392221</x:v>
      </x:c>
      <x:c r="P27" s="31" t="n">
        <x:v>70.34579360839749</x:v>
      </x:c>
      <x:c r="Q27" s="31" t="n">
        <x:v>71.1879497071146</x:v>
      </x:c>
      <x:c r="R27" s="31" t="n">
        <x:v>71.63019337713241</x:v>
      </x:c>
      <x:c r="S27" s="31" t="n">
        <x:v>70.6435043219945</x:v>
      </x:c>
      <x:c r="T27" s="31" t="n">
        <x:v>69.44030416874622</x:v>
      </x:c>
      <x:c r="U27" s="31" t="n">
        <x:v>70.89842596723346</x:v>
      </x:c>
      <x:c r="V27" s="31" t="n">
        <x:v>74.50713754263819</x:v>
      </x:c>
      <x:c r="W27" s="31" t="n">
        <x:v>81.57018736935385</x:v>
      </x:c>
      <x:c r="X27" s="31" t="n">
        <x:v>82.34902643793387</x:v>
      </x:c>
      <x:c r="Y27" s="31" t="n">
        <x:v>76.65414978415602</x:v>
      </x:c>
      <x:c r="Z27" s="31" t="n">
        <x:v>82.79199218112319</x:v>
      </x:c>
      <x:c r="AA27" s="31" t="n">
        <x:v>83.90584920194604</x:v>
      </x:c>
      <x:c r="AB27" s="31" t="n">
        <x:v>75.2178880374601</x:v>
      </x:c>
      <x:c r="AC27" s="31" t="n">
        <x:v>80.9896242099358</x:v>
      </x:c>
      <x:c r="AD27" s="31" t="n">
        <x:v>73.07204335180649</x:v>
      </x:c>
      <x:c r="AE27" s="31" t="n">
        <x:v>66.49996260831306</x:v>
      </x:c>
      <x:c r="AF27" s="31" t="n">
        <x:v>72.7759894194196</x:v>
      </x:c>
      <x:c r="AG27" s="31" t="n">
        <x:v>76.02570548094326</x:v>
      </x:c>
      <x:c r="AH27" s="31" t="n">
        <x:v>72.08994521905673</x:v>
      </x:c>
      <x:c r="AI27" s="31" t="n">
        <x:v>69.84378742923397</x:v>
      </x:c>
      <x:c r="AJ27" s="31" t="n">
        <x:v>77.56327632290491</x:v>
      </x:c>
      <x:c r="AK27" s="31" t="n">
        <x:v>83.94207898918667</x:v>
      </x:c>
      <x:c r="AL27" s="31" t="n">
        <x:v>76.03065961108044</x:v>
      </x:c>
      <x:c r="AM27" s="31" t="n">
        <x:v>85.59549756169105</x:v>
      </x:c>
      <x:c r="AN27" s="31" t="n">
        <x:v>74.3064824836663</x:v>
      </x:c>
      <x:c r="AO27" s="31" t="n">
        <x:v>79.40504150198309</x:v>
      </x:c>
    </x:row>
    <x:row r="28">
      <x:c r="A28" s="31" t="n">
        <x:v>220.00000000000048</x:v>
      </x:c>
      <x:c r="B28" s="31" t="n">
        <x:v>66.08913280659932</x:v>
      </x:c>
      <x:c r="C28" s="31" t="n">
        <x:v>74.94102250989849</x:v>
      </x:c>
      <x:c r="D28" s="31" t="n">
        <x:v>63.45388266984545</x:v>
      </x:c>
      <x:c r="E28" s="31" t="n">
        <x:v>66.52311077060209</x:v>
      </x:c>
      <x:c r="F28" s="31" t="n">
        <x:v>63.731770415756934</x:v>
      </x:c>
      <x:c r="G28" s="31" t="n">
        <x:v>65.83247315516925</x:v>
      </x:c>
      <x:c r="H28" s="31" t="n">
        <x:v>65.29749938335435</x:v>
      </x:c>
      <x:c r="I28" s="31" t="n">
        <x:v>70.95777107483796</x:v>
      </x:c>
      <x:c r="J28" s="31" t="n">
        <x:v>66.98939560496929</x:v>
      </x:c>
      <x:c r="K28" s="31" t="n">
        <x:v>66.62318824414942</x:v>
      </x:c>
      <x:c r="L28" s="31" t="n">
        <x:v>60.53277584968775</x:v>
      </x:c>
      <x:c r="M28" s="31" t="n">
        <x:v>62.536105653853056</x:v>
      </x:c>
      <x:c r="N28" s="31" t="n">
        <x:v>67.11529645786938</x:v>
      </x:c>
      <x:c r="O28" s="31" t="n">
        <x:v>67.60363304661237</x:v>
      </x:c>
      <x:c r="P28" s="31" t="n">
        <x:v>70.28592697576484</x:v>
      </x:c>
      <x:c r="Q28" s="31" t="n">
        <x:v>71.10211335175934</x:v>
      </x:c>
      <x:c r="R28" s="31" t="n">
        <x:v>71.51690579529746</x:v>
      </x:c>
      <x:c r="S28" s="31" t="n">
        <x:v>68.5649528521365</x:v>
      </x:c>
      <x:c r="T28" s="31" t="n">
        <x:v>69.84638299639275</x:v>
      </x:c>
      <x:c r="U28" s="31" t="n">
        <x:v>71.36490660690617</x:v>
      </x:c>
      <x:c r="V28" s="31" t="n">
        <x:v>72.57881858217429</x:v>
      </x:c>
      <x:c r="W28" s="31" t="n">
        <x:v>81.0065519569725</x:v>
      </x:c>
      <x:c r="X28" s="31" t="n">
        <x:v>82.82465771436286</x:v>
      </x:c>
      <x:c r="Y28" s="31" t="n">
        <x:v>74.94859900176753</x:v>
      </x:c>
      <x:c r="Z28" s="31" t="n">
        <x:v>82.71116775126808</x:v>
      </x:c>
      <x:c r="AA28" s="31" t="n">
        <x:v>83.44642424090715</x:v>
      </x:c>
      <x:c r="AB28" s="31" t="n">
        <x:v>73.3309446121651</x:v>
      </x:c>
      <x:c r="AC28" s="31" t="n">
        <x:v>80.63836958594214</x:v>
      </x:c>
      <x:c r="AD28" s="31" t="n">
        <x:v>72.64905964324217</x:v>
      </x:c>
      <x:c r="AE28" s="31" t="n">
        <x:v>65.94334508389723</x:v>
      </x:c>
      <x:c r="AF28" s="31" t="n">
        <x:v>74.521164214516</x:v>
      </x:c>
      <x:c r="AG28" s="31" t="n">
        <x:v>74.7748734439965</x:v>
      </x:c>
      <x:c r="AH28" s="31" t="n">
        <x:v>71.38115947348993</x:v>
      </x:c>
      <x:c r="AI28" s="31" t="n">
        <x:v>69.99924031525283</x:v>
      </x:c>
      <x:c r="AJ28" s="31" t="n">
        <x:v>76.97827944674721</x:v>
      </x:c>
      <x:c r="AK28" s="31" t="n">
        <x:v>83.53606670882675</x:v>
      </x:c>
      <x:c r="AL28" s="31" t="n">
        <x:v>75.91763969106799</x:v>
      </x:c>
      <x:c r="AM28" s="31" t="n">
        <x:v>85.66779475991176</x:v>
      </x:c>
      <x:c r="AN28" s="31" t="n">
        <x:v>73.2866333791202</x:v>
      </x:c>
      <x:c r="AO28" s="31" t="n">
        <x:v>77.78235761008064</x:v>
      </x:c>
    </x:row>
    <x:row r="29">
      <x:c r="A29" s="31" t="n">
        <x:v>240.00000000000048</x:v>
      </x:c>
      <x:c r="B29" s="31" t="n">
        <x:v>65.83337960980364</x:v>
      </x:c>
      <x:c r="C29" s="31" t="n">
        <x:v>73.45637206208146</x:v>
      </x:c>
      <x:c r="D29" s="31" t="n">
        <x:v>62.712590344228566</x:v>
      </x:c>
      <x:c r="E29" s="31" t="n">
        <x:v>65.3292063318886</x:v>
      </x:c>
      <x:c r="F29" s="31" t="n">
        <x:v>63.550162445366155</x:v>
      </x:c>
      <x:c r="G29" s="31" t="n">
        <x:v>66.08545735740655</x:v>
      </x:c>
      <x:c r="H29" s="31" t="n">
        <x:v>64.45628420635798</x:v>
      </x:c>
      <x:c r="I29" s="31" t="n">
        <x:v>69.87603939226847</x:v>
      </x:c>
      <x:c r="J29" s="31" t="n">
        <x:v>66.94934913522731</x:v>
      </x:c>
      <x:c r="K29" s="31" t="n">
        <x:v>65.1814565107089</x:v>
      </x:c>
      <x:c r="L29" s="31" t="n">
        <x:v>60.73541325397897</x:v>
      </x:c>
      <x:c r="M29" s="31" t="n">
        <x:v>61.47922273629017</x:v>
      </x:c>
      <x:c r="N29" s="31" t="n">
        <x:v>67.24797432095312</x:v>
      </x:c>
      <x:c r="O29" s="31" t="n">
        <x:v>67.01671158995886</x:v>
      </x:c>
      <x:c r="P29" s="31" t="n">
        <x:v>71.12256714033944</x:v>
      </x:c>
      <x:c r="Q29" s="31" t="n">
        <x:v>70.0030836385469</x:v>
      </x:c>
      <x:c r="R29" s="31" t="n">
        <x:v>71.79956738054604</x:v>
      </x:c>
      <x:c r="S29" s="31" t="n">
        <x:v>67.0462145530839</x:v>
      </x:c>
      <x:c r="T29" s="31" t="n">
        <x:v>70.07138700644167</x:v>
      </x:c>
      <x:c r="U29" s="31" t="n">
        <x:v>71.51991749284456</x:v>
      </x:c>
      <x:c r="V29" s="31" t="n">
        <x:v>72.02015259325694</x:v>
      </x:c>
      <x:c r="W29" s="31" t="n">
        <x:v>79.9267862279135</x:v>
      </x:c>
      <x:c r="X29" s="31" t="n">
        <x:v>82.29034449859351</x:v>
      </x:c>
      <x:c r="Y29" s="31" t="n">
        <x:v>72.6523250813209</x:v>
      </x:c>
      <x:c r="Z29" s="31" t="n">
        <x:v>82.2013652981637</x:v>
      </x:c>
      <x:c r="AA29" s="31" t="n">
        <x:v>82.56604995949131</x:v>
      </x:c>
      <x:c r="AB29" s="31" t="n">
        <x:v>72.52682796690141</x:v>
      </x:c>
      <x:c r="AC29" s="31" t="n">
        <x:v>80.34159218794667</x:v>
      </x:c>
      <x:c r="AD29" s="31" t="n">
        <x:v>72.05468155553626</x:v>
      </x:c>
      <x:c r="AE29" s="31" t="n">
        <x:v>64.41638875419765</x:v>
      </x:c>
      <x:c r="AF29" s="31" t="n">
        <x:v>74.920702578428</x:v>
      </x:c>
      <x:c r="AG29" s="31" t="n">
        <x:v>73.23304365357151</x:v>
      </x:c>
      <x:c r="AH29" s="31" t="n">
        <x:v>69.83883765455107</x:v>
      </x:c>
      <x:c r="AI29" s="31" t="n">
        <x:v>69.37725787385641</x:v>
      </x:c>
      <x:c r="AJ29" s="31" t="n">
        <x:v>76.50855422714149</x:v>
      </x:c>
      <x:c r="AK29" s="31" t="n">
        <x:v>82.58527195479232</x:v>
      </x:c>
      <x:c r="AL29" s="31" t="n">
        <x:v>76.07004624711502</x:v>
      </x:c>
      <x:c r="AM29" s="31" t="n">
        <x:v>84.69584331689732</x:v>
      </x:c>
      <x:c r="AN29" s="31" t="n">
        <x:v>72.63622337226143</x:v>
      </x:c>
      <x:c r="AO29" s="31" t="n">
        <x:v>77.72272835977806</x:v>
      </x:c>
    </x:row>
    <x:row r="30">
      <x:c r="A30" s="31" t="n">
        <x:v>260.0000000000005</x:v>
      </x:c>
      <x:c r="B30" s="31" t="n">
        <x:v>65.38132622766435</x:v>
      </x:c>
      <x:c r="C30" s="31" t="n">
        <x:v>73.25296702278415</x:v>
      </x:c>
      <x:c r="D30" s="31" t="n">
        <x:v>62.754640472652476</x:v>
      </x:c>
      <x:c r="E30" s="31" t="n">
        <x:v>64.9885197304287</x:v>
      </x:c>
      <x:c r="F30" s="31" t="n">
        <x:v>63.68838183696444</x:v>
      </x:c>
      <x:c r="G30" s="31" t="n">
        <x:v>65.46358179231635</x:v>
      </x:c>
      <x:c r="H30" s="31" t="n">
        <x:v>65.02483085464705</x:v>
      </x:c>
      <x:c r="I30" s="31" t="n">
        <x:v>68.35721815043911</x:v>
      </x:c>
      <x:c r="J30" s="31" t="n">
        <x:v>67.77788084330707</x:v>
      </x:c>
      <x:c r="K30" s="31" t="n">
        <x:v>64.68369100153298</x:v>
      </x:c>
      <x:c r="L30" s="31" t="n">
        <x:v>60.78338130844665</x:v>
      </x:c>
      <x:c r="M30" s="31" t="n">
        <x:v>61.049198751367555</x:v>
      </x:c>
      <x:c r="N30" s="31" t="n">
        <x:v>66.84853076322568</x:v>
      </x:c>
      <x:c r="O30" s="31" t="n">
        <x:v>66.6773085567261</x:v>
      </x:c>
      <x:c r="P30" s="31" t="n">
        <x:v>71.18738029905899</x:v>
      </x:c>
      <x:c r="Q30" s="31" t="n">
        <x:v>69.34431453327164</x:v>
      </x:c>
      <x:c r="R30" s="31" t="n">
        <x:v>71.32651953751328</x:v>
      </x:c>
      <x:c r="S30" s="31" t="n">
        <x:v>66.71326648753315</x:v>
      </x:c>
      <x:c r="T30" s="31" t="n">
        <x:v>70.48156895770683</x:v>
      </x:c>
      <x:c r="U30" s="31" t="n">
        <x:v>71.14448650323148</x:v>
      </x:c>
      <x:c r="V30" s="31" t="n">
        <x:v>71.82888994232309</x:v>
      </x:c>
      <x:c r="W30" s="31" t="n">
        <x:v>78.76960333180963</x:v>
      </x:c>
      <x:c r="X30" s="31" t="n">
        <x:v>81.0012781083212</x:v>
      </x:c>
      <x:c r="Y30" s="31" t="n">
        <x:v>72.2300562304137</x:v>
      </x:c>
      <x:c r="Z30" s="31" t="n">
        <x:v>81.5002315427967</x:v>
      </x:c>
      <x:c r="AA30" s="31" t="n">
        <x:v>81.9561003455684</x:v>
      </x:c>
      <x:c r="AB30" s="31" t="n">
        <x:v>72.01115526634051</x:v>
      </x:c>
      <x:c r="AC30" s="31" t="n">
        <x:v>79.23620660161433</x:v>
      </x:c>
      <x:c r="AD30" s="31" t="n">
        <x:v>72.17856960084525</x:v>
      </x:c>
      <x:c r="AE30" s="31" t="n">
        <x:v>63.786197730060984</x:v>
      </x:c>
      <x:c r="AF30" s="31" t="n">
        <x:v>74.73801146945603</x:v>
      </x:c>
      <x:c r="AG30" s="31" t="n">
        <x:v>72.14145699206246</x:v>
      </x:c>
      <x:c r="AH30" s="31" t="n">
        <x:v>69.61094979857963</x:v>
      </x:c>
      <x:c r="AI30" s="31" t="n">
        <x:v>68.76683553773563</x:v>
      </x:c>
      <x:c r="AJ30" s="31" t="n">
        <x:v>75.54573747488142</x:v>
      </x:c>
      <x:c r="AK30" s="31" t="n">
        <x:v>82.36208764975949</x:v>
      </x:c>
      <x:c r="AL30" s="31" t="n">
        <x:v>75.10799198842848</x:v>
      </x:c>
      <x:c r="AM30" s="31" t="n">
        <x:v>83.95075487295755</x:v>
      </x:c>
      <x:c r="AN30" s="31" t="n">
        <x:v>74.03592264729325</x:v>
      </x:c>
      <x:c r="AO30" s="31" t="n">
        <x:v>75.63313865774036</x:v>
      </x:c>
    </x:row>
    <x:row r="31">
      <x:c r="A31" s="31" t="n">
        <x:v>280.0000000000005</x:v>
      </x:c>
      <x:c r="B31" s="31" t="n">
        <x:v>65.45512709937995</x:v>
      </x:c>
      <x:c r="C31" s="31" t="n">
        <x:v>73.84179131492344</x:v>
      </x:c>
      <x:c r="D31" s="31" t="n">
        <x:v>62.832670926763726</x:v>
      </x:c>
      <x:c r="E31" s="31" t="n">
        <x:v>65.04556019482345</x:v>
      </x:c>
      <x:c r="F31" s="31" t="n">
        <x:v>63.75029113402678</x:v>
      </x:c>
      <x:c r="G31" s="31" t="n">
        <x:v>64.89267020718228</x:v>
      </x:c>
      <x:c r="H31" s="31" t="n">
        <x:v>65.4091799891034</x:v>
      </x:c>
      <x:c r="I31" s="31" t="n">
        <x:v>69.0135174529036</x:v>
      </x:c>
      <x:c r="J31" s="31" t="n">
        <x:v>67.72760745316867</x:v>
      </x:c>
      <x:c r="K31" s="31" t="n">
        <x:v>63.582473192328806</x:v>
      </x:c>
      <x:c r="L31" s="31" t="n">
        <x:v>62.22899505275654</x:v>
      </x:c>
      <x:c r="M31" s="31" t="n">
        <x:v>61.00277747501562</x:v>
      </x:c>
      <x:c r="N31" s="31" t="n">
        <x:v>66.11261362731994</x:v>
      </x:c>
      <x:c r="O31" s="31" t="n">
        <x:v>66.18828786452552</x:v>
      </x:c>
      <x:c r="P31" s="31" t="n">
        <x:v>70.66117018474169</x:v>
      </x:c>
      <x:c r="Q31" s="31" t="n">
        <x:v>69.09573744892059</x:v>
      </x:c>
      <x:c r="R31" s="31" t="n">
        <x:v>70.87567268927035</x:v>
      </x:c>
      <x:c r="S31" s="31" t="n">
        <x:v>66.31838445384207</x:v>
      </x:c>
      <x:c r="T31" s="31" t="n">
        <x:v>70.61530072489813</x:v>
      </x:c>
      <x:c r="U31" s="31" t="n">
        <x:v>69.68249508602591</x:v>
      </x:c>
      <x:c r="V31" s="31" t="n">
        <x:v>72.02870322361906</x:v>
      </x:c>
      <x:c r="W31" s="31" t="n">
        <x:v>78.0325237557565</x:v>
      </x:c>
      <x:c r="X31" s="31" t="n">
        <x:v>81.921787415785</x:v>
      </x:c>
      <x:c r="Y31" s="31" t="n">
        <x:v>72.56429159462789</x:v>
      </x:c>
      <x:c r="Z31" s="31" t="n">
        <x:v>81.97773690216047</x:v>
      </x:c>
      <x:c r="AA31" s="31" t="n">
        <x:v>81.90497617914072</x:v>
      </x:c>
      <x:c r="AB31" s="31" t="n">
        <x:v>71.82947106414935</x:v>
      </x:c>
      <x:c r="AC31" s="31" t="n">
        <x:v>79.32117028296527</x:v>
      </x:c>
      <x:c r="AD31" s="31" t="n">
        <x:v>71.87691841559035</x:v>
      </x:c>
      <x:c r="AE31" s="31" t="n">
        <x:v>63.96850470864043</x:v>
      </x:c>
      <x:c r="AF31" s="31" t="n">
        <x:v>74.3767612880388</x:v>
      </x:c>
      <x:c r="AG31" s="31" t="n">
        <x:v>69.30262111494945</x:v>
      </x:c>
      <x:c r="AH31" s="31" t="n">
        <x:v>69.71829816356018</x:v>
      </x:c>
      <x:c r="AI31" s="31" t="n">
        <x:v>66.90289953755712</x:v>
      </x:c>
      <x:c r="AJ31" s="31" t="n">
        <x:v>74.81553183684723</x:v>
      </x:c>
      <x:c r="AK31" s="31" t="n">
        <x:v>80.81741671636472</x:v>
      </x:c>
      <x:c r="AL31" s="31" t="n">
        <x:v>75.10724416125825</x:v>
      </x:c>
      <x:c r="AM31" s="31" t="n">
        <x:v>83.15235872531086</x:v>
      </x:c>
      <x:c r="AN31" s="31" t="n">
        <x:v>74.24578719591274</x:v>
      </x:c>
      <x:c r="AO31" s="31" t="n">
        <x:v>74.8097447955905</x:v>
      </x:c>
    </x:row>
    <x:row r="32">
      <x:c r="A32" s="31" t="n">
        <x:v>300.00000000000057</x:v>
      </x:c>
      <x:c r="B32" s="31" t="n">
        <x:v>65.80048613619091</x:v>
      </x:c>
      <x:c r="C32" s="31" t="n">
        <x:v>73.5870260869485</x:v>
      </x:c>
      <x:c r="D32" s="31" t="n">
        <x:v>62.60148756270872</x:v>
      </x:c>
      <x:c r="E32" s="31" t="n">
        <x:v>64.3968088409686</x:v>
      </x:c>
      <x:c r="F32" s="31" t="n">
        <x:v>63.51528696186021</x:v>
      </x:c>
      <x:c r="G32" s="31" t="n">
        <x:v>64.5868360959654</x:v>
      </x:c>
      <x:c r="H32" s="31" t="n">
        <x:v>65.45094573761415</x:v>
      </x:c>
      <x:c r="I32" s="31" t="n">
        <x:v>68.7039876838179</x:v>
      </x:c>
      <x:c r="J32" s="31" t="n">
        <x:v>68.06488842318402</x:v>
      </x:c>
      <x:c r="K32" s="31" t="n">
        <x:v>63.03360771450917</x:v>
      </x:c>
      <x:c r="L32" s="31" t="n">
        <x:v>63.01330768831512</x:v>
      </x:c>
      <x:c r="M32" s="31" t="n">
        <x:v>60.57014781274583</x:v>
      </x:c>
      <x:c r="N32" s="31" t="n">
        <x:v>65.9379453181631</x:v>
      </x:c>
      <x:c r="O32" s="31" t="n">
        <x:v>65.84706558668319</x:v>
      </x:c>
      <x:c r="P32" s="31" t="n">
        <x:v>69.90824058420242</x:v>
      </x:c>
      <x:c r="Q32" s="31" t="n">
        <x:v>68.4518640528321</x:v>
      </x:c>
      <x:c r="R32" s="31" t="n">
        <x:v>71.40739527323862</x:v>
      </x:c>
      <x:c r="S32" s="31" t="n">
        <x:v>66.39150033979892</x:v>
      </x:c>
      <x:c r="T32" s="31" t="n">
        <x:v>69.85131425753349</x:v>
      </x:c>
      <x:c r="U32" s="31" t="n">
        <x:v>68.79116161327302</x:v>
      </x:c>
      <x:c r="V32" s="31" t="n">
        <x:v>71.84868405045167</x:v>
      </x:c>
      <x:c r="W32" s="31" t="n">
        <x:v>77.05933093095801</x:v>
      </x:c>
      <x:c r="X32" s="31" t="n">
        <x:v>81.69001434806121</x:v>
      </x:c>
      <x:c r="Y32" s="31" t="n">
        <x:v>72.78461983554035</x:v>
      </x:c>
      <x:c r="Z32" s="31" t="n">
        <x:v>81.52744730387852</x:v>
      </x:c>
      <x:c r="AA32" s="31" t="n">
        <x:v>80.99442428963775</x:v>
      </x:c>
      <x:c r="AB32" s="31" t="n">
        <x:v>71.20819779477684</x:v>
      </x:c>
      <x:c r="AC32" s="31" t="n">
        <x:v>79.58639609168338</x:v>
      </x:c>
      <x:c r="AD32" s="31" t="n">
        <x:v>70.74473758997992</x:v>
      </x:c>
      <x:c r="AE32" s="31" t="n">
        <x:v>62.76126217950339</x:v>
      </x:c>
      <x:c r="AF32" s="31" t="n">
        <x:v>72.56345120369387</x:v>
      </x:c>
      <x:c r="AG32" s="31" t="n">
        <x:v>69.58557077422631</x:v>
      </x:c>
      <x:c r="AH32" s="31" t="n">
        <x:v>69.49168681314741</x:v>
      </x:c>
      <x:c r="AI32" s="31" t="n">
        <x:v>65.29225689073667</x:v>
      </x:c>
      <x:c r="AJ32" s="31" t="n">
        <x:v>73.96007014323958</x:v>
      </x:c>
      <x:c r="AK32" s="31" t="n">
        <x:v>80.30719460036639</x:v>
      </x:c>
      <x:c r="AL32" s="31" t="n">
        <x:v>75.44292238712437</x:v>
      </x:c>
      <x:c r="AM32" s="31" t="n">
        <x:v>82.71240545419472</x:v>
      </x:c>
      <x:c r="AN32" s="31" t="n">
        <x:v>74.14046346049028</x:v>
      </x:c>
      <x:c r="AO32" s="31" t="n">
        <x:v>75.31527803675644</x:v>
      </x:c>
    </x:row>
    <x:row r="33">
      <x:c r="A33" s="31" t="n">
        <x:v>320.00000000000057</x:v>
      </x:c>
      <x:c r="B33" s="31" t="n">
        <x:v>66.25734200698226</x:v>
      </x:c>
      <x:c r="C33" s="31" t="n">
        <x:v>73.30167911582642</x:v>
      </x:c>
      <x:c r="D33" s="31" t="n">
        <x:v>61.86878710749043</x:v>
      </x:c>
      <x:c r="E33" s="31" t="n">
        <x:v>65.31117825119956</x:v>
      </x:c>
      <x:c r="F33" s="31" t="n">
        <x:v>63.8490072362841</x:v>
      </x:c>
      <x:c r="G33" s="31" t="n">
        <x:v>64.854843381189</x:v>
      </x:c>
      <x:c r="H33" s="31" t="n">
        <x:v>66.13185269238592</x:v>
      </x:c>
      <x:c r="I33" s="31" t="n">
        <x:v>68.14235974338067</x:v>
      </x:c>
      <x:c r="J33" s="31" t="n">
        <x:v>68.48614774718735</x:v>
      </x:c>
      <x:c r="K33" s="31" t="n">
        <x:v>63.34780570363916</x:v>
      </x:c>
      <x:c r="L33" s="31" t="n">
        <x:v>63.049578779533775</x:v>
      </x:c>
      <x:c r="M33" s="31" t="n">
        <x:v>60.90465361597718</x:v>
      </x:c>
      <x:c r="N33" s="31" t="n">
        <x:v>64.20420505998419</x:v>
      </x:c>
      <x:c r="O33" s="31" t="n">
        <x:v>65.82786375461872</x:v>
      </x:c>
      <x:c r="P33" s="31" t="n">
        <x:v>69.91812883653282</x:v>
      </x:c>
      <x:c r="Q33" s="31" t="n">
        <x:v>68.2074120517017</x:v>
      </x:c>
      <x:c r="R33" s="31" t="n">
        <x:v>71.35794481410966</x:v>
      </x:c>
      <x:c r="S33" s="31" t="n">
        <x:v>67.46515477631229</x:v>
      </x:c>
      <x:c r="T33" s="31" t="n">
        <x:v>69.9684837743508</x:v>
      </x:c>
      <x:c r="U33" s="31" t="n">
        <x:v>69.08546368101321</x:v>
      </x:c>
      <x:c r="V33" s="31" t="n">
        <x:v>71.42129152729291</x:v>
      </x:c>
      <x:c r="W33" s="31" t="n">
        <x:v>76.91586705394363</x:v>
      </x:c>
      <x:c r="X33" s="31" t="n">
        <x:v>81.4870335687641</x:v>
      </x:c>
      <x:c r="Y33" s="31" t="n">
        <x:v>72.41725807116373</x:v>
      </x:c>
      <x:c r="Z33" s="31" t="n">
        <x:v>80.60287622276202</x:v>
      </x:c>
      <x:c r="AA33" s="31" t="n">
        <x:v>81.85338147189991</x:v>
      </x:c>
      <x:c r="AB33" s="31" t="n">
        <x:v>71.1437645387742</x:v>
      </x:c>
      <x:c r="AC33" s="31" t="n">
        <x:v>79.07658758017801</x:v>
      </x:c>
      <x:c r="AD33" s="31" t="n">
        <x:v>70.12126686731149</x:v>
      </x:c>
      <x:c r="AE33" s="31" t="n">
        <x:v>63.0913076463655</x:v>
      </x:c>
      <x:c r="AF33" s="31" t="n">
        <x:v>73.02717939957519</x:v>
      </x:c>
      <x:c r="AG33" s="31" t="n">
        <x:v>70.03637041937839</x:v>
      </x:c>
      <x:c r="AH33" s="31" t="n">
        <x:v>69.44036243946435</x:v>
      </x:c>
      <x:c r="AI33" s="31" t="n">
        <x:v>65.83777210981069</x:v>
      </x:c>
      <x:c r="AJ33" s="31" t="n">
        <x:v>73.42710764461607</x:v>
      </x:c>
      <x:c r="AK33" s="31" t="n">
        <x:v>80.43672104489332</x:v>
      </x:c>
      <x:c r="AL33" s="31" t="n">
        <x:v>75.03414205804647</x:v>
      </x:c>
      <x:c r="AM33" s="31" t="n">
        <x:v>82.30171500723024</x:v>
      </x:c>
      <x:c r="AN33" s="31" t="n">
        <x:v>74.58655634717681</x:v>
      </x:c>
      <x:c r="AO33" s="31" t="n">
        <x:v>75.47244995033847</x:v>
      </x:c>
    </x:row>
    <x:row r="34">
      <x:c r="A34" s="31" t="n">
        <x:v>340.00000000000057</x:v>
      </x:c>
      <x:c r="B34" s="31" t="n">
        <x:v>65.64598834194075</x:v>
      </x:c>
      <x:c r="C34" s="31" t="n">
        <x:v>72.28804165321804</x:v>
      </x:c>
      <x:c r="D34" s="31" t="n">
        <x:v>62.35156230556603</x:v>
      </x:c>
      <x:c r="E34" s="31" t="n">
        <x:v>65.0241521908918</x:v>
      </x:c>
      <x:c r="F34" s="31" t="n">
        <x:v>64.57751314807088</x:v>
      </x:c>
      <x:c r="G34" s="31" t="n">
        <x:v>65.10612692073818</x:v>
      </x:c>
      <x:c r="H34" s="31" t="n">
        <x:v>66.57149459432192</x:v>
      </x:c>
      <x:c r="I34" s="31" t="n">
        <x:v>67.9326387298713</x:v>
      </x:c>
      <x:c r="J34" s="31" t="n">
        <x:v>67.85595366246493</x:v>
      </x:c>
      <x:c r="K34" s="31" t="n">
        <x:v>62.99959164298723</x:v>
      </x:c>
      <x:c r="L34" s="31" t="n">
        <x:v>63.23472558602883</x:v>
      </x:c>
      <x:c r="M34" s="31" t="n">
        <x:v>60.383319901011625</x:v>
      </x:c>
      <x:c r="N34" s="31" t="n">
        <x:v>63.69698620022188</x:v>
      </x:c>
      <x:c r="O34" s="31" t="n">
        <x:v>65.5933007164517</x:v>
      </x:c>
      <x:c r="P34" s="31" t="n">
        <x:v>71.7492277294441</x:v>
      </x:c>
      <x:c r="Q34" s="31" t="n">
        <x:v>68.41341823129306</x:v>
      </x:c>
      <x:c r="R34" s="31" t="n">
        <x:v>72.57999330247267</x:v>
      </x:c>
      <x:c r="S34" s="31" t="n">
        <x:v>68.77625360597327</x:v>
      </x:c>
      <x:c r="T34" s="31" t="n">
        <x:v>70.60707174247584</x:v>
      </x:c>
      <x:c r="U34" s="31" t="n">
        <x:v>70.3887205352641</x:v>
      </x:c>
      <x:c r="V34" s="31" t="n">
        <x:v>70.74753722639264</x:v>
      </x:c>
      <x:c r="W34" s="31" t="n">
        <x:v>77.09823081786723</x:v>
      </x:c>
      <x:c r="X34" s="31" t="n">
        <x:v>82.15684909449786</x:v>
      </x:c>
      <x:c r="Y34" s="31" t="n">
        <x:v>72.21600245194047</x:v>
      </x:c>
      <x:c r="Z34" s="31" t="n">
        <x:v>81.67691972616919</x:v>
      </x:c>
      <x:c r="AA34" s="31" t="n">
        <x:v>82.77084666786864</x:v>
      </x:c>
      <x:c r="AB34" s="31" t="n">
        <x:v>70.70979336248168</x:v>
      </x:c>
      <x:c r="AC34" s="31" t="n">
        <x:v>78.89479123407422</x:v>
      </x:c>
      <x:c r="AD34" s="31" t="n">
        <x:v>69.7789319591234</x:v>
      </x:c>
      <x:c r="AE34" s="31" t="n">
        <x:v>63.51537297007699</x:v>
      </x:c>
      <x:c r="AF34" s="31" t="n">
        <x:v>73.29396970405101</x:v>
      </x:c>
      <x:c r="AG34" s="31" t="n">
        <x:v>70.12535561236334</x:v>
      </x:c>
      <x:c r="AH34" s="31" t="n">
        <x:v>69.2994787520506</x:v>
      </x:c>
      <x:c r="AI34" s="31" t="n">
        <x:v>65.61518913152187</x:v>
      </x:c>
      <x:c r="AJ34" s="31" t="n">
        <x:v>73.67721627579611</x:v>
      </x:c>
      <x:c r="AK34" s="31" t="n">
        <x:v>79.8338040373248</x:v>
      </x:c>
      <x:c r="AL34" s="31" t="n">
        <x:v>75.11473139193154</x:v>
      </x:c>
      <x:c r="AM34" s="31" t="n">
        <x:v>82.72992393868566</x:v>
      </x:c>
      <x:c r="AN34" s="31" t="n">
        <x:v>73.6912020795777</x:v>
      </x:c>
      <x:c r="AO34" s="31" t="n">
        <x:v>76.71978659149798</x:v>
      </x:c>
    </x:row>
    <x:row r="35">
      <x:c r="A35" s="31" t="n">
        <x:v>360.0000000000006</x:v>
      </x:c>
      <x:c r="B35" s="31" t="n">
        <x:v>65.49691900951545</x:v>
      </x:c>
      <x:c r="C35" s="31" t="n">
        <x:v>71.11642938350316</x:v>
      </x:c>
      <x:c r="D35" s="31" t="n">
        <x:v>62.90922793898733</x:v>
      </x:c>
      <x:c r="E35" s="31" t="n">
        <x:v>65.38407347125184</x:v>
      </x:c>
      <x:c r="F35" s="31" t="n">
        <x:v>64.84300353662574</x:v>
      </x:c>
      <x:c r="G35" s="31" t="n">
        <x:v>65.2073260217909</x:v>
      </x:c>
      <x:c r="H35" s="31" t="n">
        <x:v>68.32166569251903</x:v>
      </x:c>
      <x:c r="I35" s="31" t="n">
        <x:v>66.62279585355947</x:v>
      </x:c>
      <x:c r="J35" s="31" t="n">
        <x:v>68.11178666745467</x:v>
      </x:c>
      <x:c r="K35" s="31" t="n">
        <x:v>62.520093584308796</x:v>
      </x:c>
      <x:c r="L35" s="31" t="n">
        <x:v>63.119503444419536</x:v>
      </x:c>
      <x:c r="M35" s="31" t="n">
        <x:v>60.167000019548645</x:v>
      </x:c>
      <x:c r="N35" s="31" t="n">
        <x:v>63.602252774808726</x:v>
      </x:c>
      <x:c r="O35" s="31" t="n">
        <x:v>65.60880542559221</x:v>
      </x:c>
      <x:c r="P35" s="31" t="n">
        <x:v>72.68663266239528</x:v>
      </x:c>
      <x:c r="Q35" s="31" t="n">
        <x:v>67.14916450351431</x:v>
      </x:c>
      <x:c r="R35" s="31" t="n">
        <x:v>72.43591632885204</x:v>
      </x:c>
      <x:c r="S35" s="31" t="n">
        <x:v>70.62671935900842</x:v>
      </x:c>
      <x:c r="T35" s="31" t="n">
        <x:v>70.82620991654497</x:v>
      </x:c>
      <x:c r="U35" s="31" t="n">
        <x:v>70.67998359276429</x:v>
      </x:c>
      <x:c r="V35" s="31" t="n">
        <x:v>69.54578579106834</x:v>
      </x:c>
      <x:c r="W35" s="31" t="n">
        <x:v>77.08018206837654</x:v>
      </x:c>
      <x:c r="X35" s="31" t="n">
        <x:v>81.84876891119538</x:v>
      </x:c>
      <x:c r="Y35" s="31" t="n">
        <x:v>71.81467163817197</x:v>
      </x:c>
      <x:c r="Z35" s="31" t="n">
        <x:v>81.45544533579015</x:v>
      </x:c>
      <x:c r="AA35" s="31" t="n">
        <x:v>82.90928746675046</x:v>
      </x:c>
      <x:c r="AB35" s="31" t="n">
        <x:v>71.24874774774206</x:v>
      </x:c>
      <x:c r="AC35" s="31" t="n">
        <x:v>79.17150644736851</x:v>
      </x:c>
      <x:c r="AD35" s="31" t="n">
        <x:v>70.77527090657512</x:v>
      </x:c>
      <x:c r="AE35" s="31" t="n">
        <x:v>64.0450670895281</x:v>
      </x:c>
      <x:c r="AF35" s="31" t="n">
        <x:v>73.55990589100286</x:v>
      </x:c>
      <x:c r="AG35" s="31" t="n">
        <x:v>69.44736867723702</x:v>
      </x:c>
      <x:c r="AH35" s="31" t="n">
        <x:v>68.77698293197211</x:v>
      </x:c>
      <x:c r="AI35" s="31" t="n">
        <x:v>66.12746088189135</x:v>
      </x:c>
      <x:c r="AJ35" s="31" t="n">
        <x:v>72.99410674606847</x:v>
      </x:c>
      <x:c r="AK35" s="31" t="n">
        <x:v>79.71658054166629</x:v>
      </x:c>
      <x:c r="AL35" s="31" t="n">
        <x:v>74.61554881090609</x:v>
      </x:c>
      <x:c r="AM35" s="31" t="n">
        <x:v>83.00175622037666</x:v>
      </x:c>
      <x:c r="AN35" s="31" t="n">
        <x:v>72.83332295689159</x:v>
      </x:c>
      <x:c r="AO35" s="31" t="n">
        <x:v>76.58714086574835</x:v>
      </x:c>
    </x:row>
    <x:row r="36">
      <x:c r="A36" s="31" t="n">
        <x:v>380.0000000000006</x:v>
      </x:c>
      <x:c r="B36" s="31" t="n">
        <x:v>64.83582734978272</x:v>
      </x:c>
      <x:c r="C36" s="31" t="n">
        <x:v>70.77437776599263</x:v>
      </x:c>
      <x:c r="D36" s="31" t="n">
        <x:v>63.26570515033908</x:v>
      </x:c>
      <x:c r="E36" s="31" t="n">
        <x:v>65.54481214595388</x:v>
      </x:c>
      <x:c r="F36" s="31" t="n">
        <x:v>66.11973110349844</x:v>
      </x:c>
      <x:c r="G36" s="31" t="n">
        <x:v>65.39062574312858</x:v>
      </x:c>
      <x:c r="H36" s="31" t="n">
        <x:v>68.52150283733448</x:v>
      </x:c>
      <x:c r="I36" s="31" t="n">
        <x:v>66.55971458596377</x:v>
      </x:c>
      <x:c r="J36" s="31" t="n">
        <x:v>67.97166202414137</x:v>
      </x:c>
      <x:c r="K36" s="31" t="n">
        <x:v>61.86614984884594</x:v>
      </x:c>
      <x:c r="L36" s="31" t="n">
        <x:v>62.410490450459776</x:v>
      </x:c>
      <x:c r="M36" s="31" t="n">
        <x:v>59.86568866595114</x:v>
      </x:c>
      <x:c r="N36" s="31" t="n">
        <x:v>63.170553392150275</x:v>
      </x:c>
      <x:c r="O36" s="31" t="n">
        <x:v>65.08413764151656</x:v>
      </x:c>
      <x:c r="P36" s="31" t="n">
        <x:v>72.7335482088516</x:v>
      </x:c>
      <x:c r="Q36" s="31" t="n">
        <x:v>66.8781000043814</x:v>
      </x:c>
      <x:c r="R36" s="31" t="n">
        <x:v>72.03669755283748</x:v>
      </x:c>
      <x:c r="S36" s="31" t="n">
        <x:v>71.18841081497311</x:v>
      </x:c>
      <x:c r="T36" s="31" t="n">
        <x:v>71.41405718162076</x:v>
      </x:c>
      <x:c r="U36" s="31" t="n">
        <x:v>70.43874679046922</x:v>
      </x:c>
      <x:c r="V36" s="31" t="n">
        <x:v>69.45071367892817</x:v>
      </x:c>
      <x:c r="W36" s="31" t="n">
        <x:v>77.0074950060286</x:v>
      </x:c>
      <x:c r="X36" s="31" t="n">
        <x:v>81.95167505165888</x:v>
      </x:c>
      <x:c r="Y36" s="31" t="n">
        <x:v>70.98936923710517</x:v>
      </x:c>
      <x:c r="Z36" s="31" t="n">
        <x:v>80.69113991693601</x:v>
      </x:c>
      <x:c r="AA36" s="31" t="n">
        <x:v>83.23479292470125</x:v>
      </x:c>
      <x:c r="AB36" s="31" t="n">
        <x:v>71.17440708830132</x:v>
      </x:c>
      <x:c r="AC36" s="31" t="n">
        <x:v>79.35240107756822</x:v>
      </x:c>
      <x:c r="AD36" s="31" t="n">
        <x:v>71.0654094052743</x:v>
      </x:c>
      <x:c r="AE36" s="31" t="n">
        <x:v>64.69480812574318</x:v>
      </x:c>
      <x:c r="AF36" s="31" t="n">
        <x:v>73.71294733050378</x:v>
      </x:c>
      <x:c r="AG36" s="31" t="n">
        <x:v>68.06171437884926</x:v>
      </x:c>
      <x:c r="AH36" s="31" t="n">
        <x:v>68.60008159945993</x:v>
      </x:c>
      <x:c r="AI36" s="31" t="n">
        <x:v>66.20980220858884</x:v>
      </x:c>
      <x:c r="AJ36" s="31" t="n">
        <x:v>72.73411064726702</x:v>
      </x:c>
      <x:c r="AK36" s="31" t="n">
        <x:v>78.31476878359594</x:v>
      </x:c>
      <x:c r="AL36" s="31" t="n">
        <x:v>74.0062974242966</x:v>
      </x:c>
      <x:c r="AM36" s="31" t="n">
        <x:v>81.89344501785826</x:v>
      </x:c>
      <x:c r="AN36" s="31" t="n">
        <x:v>73.01747722170502</x:v>
      </x:c>
      <x:c r="AO36" s="31" t="n">
        <x:v>75.60994386906252</x:v>
      </x:c>
    </x:row>
    <x:row r="37">
      <x:c r="A37" s="31" t="n">
        <x:v>400.0000000000006</x:v>
      </x:c>
      <x:c r="B37" s="31" t="n">
        <x:v>65.40418122295574</x:v>
      </x:c>
      <x:c r="C37" s="31" t="n">
        <x:v>71.76628369765933</x:v>
      </x:c>
      <x:c r="D37" s="31" t="n">
        <x:v>63.320927825068296</x:v>
      </x:c>
      <x:c r="E37" s="31" t="n">
        <x:v>64.97890286641501</x:v>
      </x:c>
      <x:c r="F37" s="31" t="n">
        <x:v>66.47889065160372</x:v>
      </x:c>
      <x:c r="G37" s="31" t="n">
        <x:v>64.73870098806128</x:v>
      </x:c>
      <x:c r="H37" s="31" t="n">
        <x:v>69.10231799919568</x:v>
      </x:c>
      <x:c r="I37" s="31" t="n">
        <x:v>67.02341169999771</x:v>
      </x:c>
      <x:c r="J37" s="31" t="n">
        <x:v>67.85988833070013</x:v>
      </x:c>
      <x:c r="K37" s="31" t="n">
        <x:v>61.288158919830096</x:v>
      </x:c>
      <x:c r="L37" s="31" t="n">
        <x:v>62.46164333453933</x:v>
      </x:c>
      <x:c r="M37" s="31" t="n">
        <x:v>59.100852640180825</x:v>
      </x:c>
      <x:c r="N37" s="31" t="n">
        <x:v>64.7250710727104</x:v>
      </x:c>
      <x:c r="O37" s="31" t="n">
        <x:v>64.6576443822992</x:v>
      </x:c>
      <x:c r="P37" s="31" t="n">
        <x:v>72.57031791297526</x:v>
      </x:c>
      <x:c r="Q37" s="31" t="n">
        <x:v>66.65412021254143</x:v>
      </x:c>
      <x:c r="R37" s="31" t="n">
        <x:v>71.71741171828091</x:v>
      </x:c>
      <x:c r="S37" s="31" t="n">
        <x:v>70.96062802330043</x:v>
      </x:c>
      <x:c r="T37" s="31" t="n">
        <x:v>71.08478882154192</x:v>
      </x:c>
      <x:c r="U37" s="31" t="n">
        <x:v>70.44271145499972</x:v>
      </x:c>
      <x:c r="V37" s="31" t="n">
        <x:v>69.66990615102593</x:v>
      </x:c>
      <x:c r="W37" s="31" t="n">
        <x:v>77.30980079093214</x:v>
      </x:c>
      <x:c r="X37" s="31" t="n">
        <x:v>81.90941371538229</x:v>
      </x:c>
      <x:c r="Y37" s="31" t="n">
        <x:v>70.79082556264817</x:v>
      </x:c>
      <x:c r="Z37" s="31" t="n">
        <x:v>81.55248433112666</x:v>
      </x:c>
      <x:c r="AA37" s="31" t="n">
        <x:v>82.88531808556175</x:v>
      </x:c>
      <x:c r="AB37" s="31" t="n">
        <x:v>70.87245886078264</x:v>
      </x:c>
      <x:c r="AC37" s="31" t="n">
        <x:v>79.80895192920228</x:v>
      </x:c>
      <x:c r="AD37" s="31" t="n">
        <x:v>71.17920056302559</x:v>
      </x:c>
      <x:c r="AE37" s="31" t="n">
        <x:v>64.38601786746223</x:v>
      </x:c>
      <x:c r="AF37" s="31" t="n">
        <x:v>73.23386645721321</x:v>
      </x:c>
      <x:c r="AG37" s="31" t="n">
        <x:v>66.63642545514575</x:v>
      </x:c>
      <x:c r="AH37" s="31" t="n">
        <x:v>69.02012224705445</x:v>
      </x:c>
      <x:c r="AI37" s="31" t="n">
        <x:v>65.49610136278329</x:v>
      </x:c>
      <x:c r="AJ37" s="31" t="n">
        <x:v>72.82325960622066</x:v>
      </x:c>
      <x:c r="AK37" s="31" t="n">
        <x:v>78.18970536992191</x:v>
      </x:c>
      <x:c r="AL37" s="31" t="n">
        <x:v>74.65145693091786</x:v>
      </x:c>
      <x:c r="AM37" s="31" t="n">
        <x:v>81.00312666508287</x:v>
      </x:c>
      <x:c r="AN37" s="31" t="n">
        <x:v>73.27606480604055</x:v>
      </x:c>
      <x:c r="AO37" s="31" t="n">
        <x:v>73.96557306935529</x:v>
      </x:c>
    </x:row>
    <x:row r="38">
      <x:c r="A38" s="31" t="n">
        <x:v>420.0000000000006</x:v>
      </x:c>
      <x:c r="B38" s="31" t="n">
        <x:v>66.30767670271996</x:v>
      </x:c>
      <x:c r="C38" s="31" t="n">
        <x:v>72.38660940845512</x:v>
      </x:c>
      <x:c r="D38" s="31" t="n">
        <x:v>62.492320967729945</x:v>
      </x:c>
      <x:c r="E38" s="31" t="n">
        <x:v>65.8564454350755</x:v>
      </x:c>
      <x:c r="F38" s="31" t="n">
        <x:v>66.8402837353977</x:v>
      </x:c>
      <x:c r="G38" s="31" t="n">
        <x:v>64.63887624887045</x:v>
      </x:c>
      <x:c r="H38" s="31" t="n">
        <x:v>69.44041347995481</x:v>
      </x:c>
      <x:c r="I38" s="31" t="n">
        <x:v>66.97646596280981</x:v>
      </x:c>
      <x:c r="J38" s="31" t="n">
        <x:v>67.5747467895451</x:v>
      </x:c>
      <x:c r="K38" s="31" t="n">
        <x:v>60.58707012741036</x:v>
      </x:c>
      <x:c r="L38" s="31" t="n">
        <x:v>62.83879639668946</x:v>
      </x:c>
      <x:c r="M38" s="31" t="n">
        <x:v>59.409575945585324</x:v>
      </x:c>
      <x:c r="N38" s="31" t="n">
        <x:v>65.52503719996743</x:v>
      </x:c>
      <x:c r="O38" s="31" t="n">
        <x:v>65.0735288763289</x:v>
      </x:c>
      <x:c r="P38" s="31" t="n">
        <x:v>72.44340785996575</x:v>
      </x:c>
      <x:c r="Q38" s="31" t="n">
        <x:v>67.12949049689975</x:v>
      </x:c>
      <x:c r="R38" s="31" t="n">
        <x:v>71.29332427935879</x:v>
      </x:c>
      <x:c r="S38" s="31" t="n">
        <x:v>70.41563726287592</x:v>
      </x:c>
      <x:c r="T38" s="31" t="n">
        <x:v>70.4309873919559</x:v>
      </x:c>
      <x:c r="U38" s="31" t="n">
        <x:v>71.0304329350541</x:v>
      </x:c>
      <x:c r="V38" s="31" t="n">
        <x:v>69.83821341875542</x:v>
      </x:c>
      <x:c r="W38" s="31" t="n">
        <x:v>77.64719985558852</x:v>
      </x:c>
      <x:c r="X38" s="31" t="n">
        <x:v>81.8326323053141</x:v>
      </x:c>
      <x:c r="Y38" s="31" t="n">
        <x:v>69.9738003252008</x:v>
      </x:c>
      <x:c r="Z38" s="31" t="n">
        <x:v>81.87443215147901</x:v>
      </x:c>
      <x:c r="AA38" s="31" t="n">
        <x:v>81.76086800790539</x:v>
      </x:c>
      <x:c r="AB38" s="31" t="n">
        <x:v>70.51974151522084</x:v>
      </x:c>
      <x:c r="AC38" s="31" t="n">
        <x:v>79.96753196985394</x:v>
      </x:c>
      <x:c r="AD38" s="31" t="n">
        <x:v>71.4824371154219</x:v>
      </x:c>
      <x:c r="AE38" s="31" t="n">
        <x:v>63.63214380512379</x:v>
      </x:c>
      <x:c r="AF38" s="31" t="n">
        <x:v>73.2442594510856</x:v>
      </x:c>
      <x:c r="AG38" s="31" t="n">
        <x:v>65.98044659053821</x:v>
      </x:c>
      <x:c r="AH38" s="31" t="n">
        <x:v>68.61242410854108</x:v>
      </x:c>
      <x:c r="AI38" s="31" t="n">
        <x:v>65.01264480691614</x:v>
      </x:c>
      <x:c r="AJ38" s="31" t="n">
        <x:v>72.35887504016411</x:v>
      </x:c>
      <x:c r="AK38" s="31" t="n">
        <x:v>78.37539150865203</x:v>
      </x:c>
      <x:c r="AL38" s="31" t="n">
        <x:v>74.80327712749786</x:v>
      </x:c>
      <x:c r="AM38" s="31" t="n">
        <x:v>80.18101318623886</x:v>
      </x:c>
      <x:c r="AN38" s="31" t="n">
        <x:v>73.39634973534272</x:v>
      </x:c>
      <x:c r="AO38" s="31" t="n">
        <x:v>70.95249636108622</x:v>
      </x:c>
    </x:row>
    <x:row r="39">
      <x:c r="A39" s="31" t="n">
        <x:v>440.0000000000007</x:v>
      </x:c>
      <x:c r="B39" s="31" t="n">
        <x:v>65.71914996940488</x:v>
      </x:c>
      <x:c r="C39" s="31" t="n">
        <x:v>72.44935219208863</x:v>
      </x:c>
      <x:c r="D39" s="31" t="n">
        <x:v>61.97949917458335</x:v>
      </x:c>
      <x:c r="E39" s="31" t="n">
        <x:v>65.44864078060746</x:v>
      </x:c>
      <x:c r="F39" s="31" t="n">
        <x:v>66.796587150351</x:v>
      </x:c>
      <x:c r="G39" s="31" t="n">
        <x:v>64.80996923896313</x:v>
      </x:c>
      <x:c r="H39" s="31" t="n">
        <x:v>69.01895605815002</x:v>
      </x:c>
      <x:c r="I39" s="31" t="n">
        <x:v>66.70262439530872</x:v>
      </x:c>
      <x:c r="J39" s="31" t="n">
        <x:v>67.17306533804619</x:v>
      </x:c>
      <x:c r="K39" s="31" t="n">
        <x:v>61.35555820682845</x:v>
      </x:c>
      <x:c r="L39" s="31" t="n">
        <x:v>63.76306561577686</x:v>
      </x:c>
      <x:c r="M39" s="31" t="n">
        <x:v>59.099303167439956</x:v>
      </x:c>
      <x:c r="N39" s="31" t="n">
        <x:v>65.38803983850642</x:v>
      </x:c>
      <x:c r="O39" s="31" t="n">
        <x:v>66.12176444404724</x:v>
      </x:c>
      <x:c r="P39" s="31" t="n">
        <x:v>72.82700693648731</x:v>
      </x:c>
      <x:c r="Q39" s="31" t="n">
        <x:v>67.57793036880518</x:v>
      </x:c>
      <x:c r="R39" s="31" t="n">
        <x:v>72.27435356208295</x:v>
      </x:c>
      <x:c r="S39" s="31" t="n">
        <x:v>68.8726198913325</x:v>
      </x:c>
      <x:c r="T39" s="31" t="n">
        <x:v>71.46046448070445</x:v>
      </x:c>
      <x:c r="U39" s="31" t="n">
        <x:v>71.58469434053441</x:v>
      </x:c>
      <x:c r="V39" s="31" t="n">
        <x:v>70.65194509238248</x:v>
      </x:c>
      <x:c r="W39" s="31" t="n">
        <x:v>77.14113242108581</x:v>
      </x:c>
      <x:c r="X39" s="31" t="n">
        <x:v>81.54586238469197</x:v>
      </x:c>
      <x:c r="Y39" s="31" t="n">
        <x:v>69.22718498260672</x:v>
      </x:c>
      <x:c r="Z39" s="31" t="n">
        <x:v>81.62232605104879</x:v>
      </x:c>
      <x:c r="AA39" s="31" t="n">
        <x:v>81.69744684937277</x:v>
      </x:c>
      <x:c r="AB39" s="31" t="n">
        <x:v>70.04536403771326</x:v>
      </x:c>
      <x:c r="AC39" s="31" t="n">
        <x:v>79.11931137622926</x:v>
      </x:c>
      <x:c r="AD39" s="31" t="n">
        <x:v>70.85875912804296</x:v>
      </x:c>
      <x:c r="AE39" s="31" t="n">
        <x:v>62.68835089986918</x:v>
      </x:c>
      <x:c r="AF39" s="31" t="n">
        <x:v>73.47139145218613</x:v>
      </x:c>
      <x:c r="AG39" s="31" t="n">
        <x:v>65.55145721773346</x:v>
      </x:c>
      <x:c r="AH39" s="31" t="n">
        <x:v>68.39832457634336</x:v>
      </x:c>
      <x:c r="AI39" s="31" t="n">
        <x:v>63.485304011406505</x:v>
      </x:c>
      <x:c r="AJ39" s="31" t="n">
        <x:v>73.55359024139818</x:v>
      </x:c>
      <x:c r="AK39" s="31" t="n">
        <x:v>78.7856413746023</x:v>
      </x:c>
      <x:c r="AL39" s="31" t="n">
        <x:v>74.61603042824567</x:v>
      </x:c>
      <x:c r="AM39" s="31" t="n">
        <x:v>80.37012228024716</x:v>
      </x:c>
      <x:c r="AN39" s="31" t="n">
        <x:v>72.9437947981126</x:v>
      </x:c>
      <x:c r="AO39" s="31" t="n">
        <x:v>71.86116754390672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>
      <x:c r="A1" s="62" t="str">
        <x:v>时间 s</x:v>
      </x:c>
      <x:c r="B1" s="62" t="str">
        <x:f>'对比面板'!B$3</x:f>
        <x:v>DD_BASE_260707_900</x:v>
      </x:c>
      <x:c r="C1" s="62" t="str">
        <x:f>'对比面板'!C$3</x:f>
        <x:v>FR_INIT_260709_900</x:v>
      </x:c>
      <x:c r="D1" s="62" t="n">
        <x:f>'对比面板'!D$3</x:f>
        <x:v>0</x:v>
      </x:c>
      <x:c r="E1" s="62" t="n">
        <x:f>'对比面板'!E$3</x:f>
        <x:v>0</x:v>
      </x:c>
      <x:c r="F1" s="62" t="n">
        <x:f>'对比面板'!F$3</x:f>
        <x:v>0</x:v>
      </x:c>
      <x:c r="G1" s="62" t="n">
        <x:f>'对比面板'!G$3</x:f>
        <x:v>0</x:v>
      </x:c>
      <x:c r="H1" s="62"/>
      <x:c r="I1" s="62" t="str">
        <x:v>相对时间 ms</x:v>
      </x:c>
      <x:c r="J1" s="62" t="str">
        <x:f>'对比面板'!B$3</x:f>
        <x:v>DD_BASE_260707_900</x:v>
      </x:c>
      <x:c r="K1" s="62" t="str">
        <x:f>'对比面板'!C$3</x:f>
        <x:v>FR_INIT_260709_900</x:v>
      </x:c>
      <x:c r="L1" s="62" t="n">
        <x:f>'对比面板'!D$3</x:f>
        <x:v>0</x:v>
      </x:c>
      <x:c r="M1" s="62" t="n">
        <x:f>'对比面板'!E$3</x:f>
        <x:v>0</x:v>
      </x:c>
      <x:c r="N1" s="62" t="n">
        <x:f>'对比面板'!F$3</x:f>
        <x:v>0</x:v>
      </x:c>
      <x:c r="O1" s="62" t="n">
        <x:f>'对比面板'!G$3</x:f>
        <x:v>0</x:v>
      </x:c>
      <x:c r="P1" s="62"/>
      <x:c r="Q1" s="62" t="str">
        <x:v>相对时间 ms</x:v>
      </x:c>
      <x:c r="R1" s="62" t="str">
        <x:f>'对比面板'!B$3</x:f>
        <x:v>DD_BASE_260707_900</x:v>
      </x:c>
      <x:c r="S1" s="62" t="str">
        <x:f>'对比面板'!C$3</x:f>
        <x:v>FR_INIT_260709_900</x:v>
      </x:c>
      <x:c r="T1" s="62" t="n">
        <x:f>'对比面板'!D$3</x:f>
        <x:v>0</x:v>
      </x:c>
      <x:c r="U1" s="62" t="n">
        <x:f>'对比面板'!E$3</x:f>
        <x:v>0</x:v>
      </x:c>
      <x:c r="V1" s="62" t="n">
        <x:f>'对比面板'!F$3</x:f>
        <x:v>0</x:v>
      </x:c>
      <x:c r="W1" s="62" t="n">
        <x:f>'对比面板'!G$3</x:f>
        <x:v>0</x:v>
      </x:c>
    </x:row>
    <x:row r="2">
      <x:c r="A2" t="n">
        <x:v>0</x:v>
      </x:c>
      <x:c r="B2" t="str">
        <x:f>IF(B$1="","",IFERROR(INDEX('包络曲线数据'!$B$2:$U$742,ROW()-1,MATCH(B$1,'包络曲线数据'!$B$1:$U$1,0)),""))</x:f>
      </x:c>
      <x:c r="C2" t="str">
        <x:f>IF(C$1="","",IFERROR(INDEX('包络曲线数据'!$B$2:$U$742,ROW()-1,MATCH(C$1,'包络曲线数据'!$B$1:$U$1,0)),""))</x:f>
      </x:c>
      <x:c r="D2" t="str">
        <x:f>IF(D$1="","",IFERROR(INDEX('包络曲线数据'!$B$2:$U$742,ROW()-1,MATCH(D$1,'包络曲线数据'!$B$1:$U$1,0)),""))</x:f>
      </x:c>
      <x:c r="E2" t="str">
        <x:f>IF(E$1="","",IFERROR(INDEX('包络曲线数据'!$B$2:$U$742,ROW()-1,MATCH(E$1,'包络曲线数据'!$B$1:$U$1,0)),""))</x:f>
      </x:c>
      <x:c r="F2" t="str">
        <x:f>IF(F$1="","",IFERROR(INDEX('包络曲线数据'!$B$2:$U$742,ROW()-1,MATCH(F$1,'包络曲线数据'!$B$1:$U$1,0)),""))</x:f>
      </x:c>
      <x:c r="G2" t="str">
        <x:f>IF(G$1="","",IFERROR(INDEX('包络曲线数据'!$B$2:$U$742,ROW()-1,MATCH(G$1,'包络曲线数据'!$B$1:$U$1,0)),""))</x:f>
      </x:c>
      <x:c r="I2" t="n">
        <x:v>-300</x:v>
      </x:c>
      <x:c r="J2" t="n">
        <x:f>IF(J$1="","",IFERROR(INDEX('代表咚声数据'!$B$2:$AO$39,ROW()-1,MATCH(J$1&amp;"_常见",'代表咚声数据'!$B$1:$AO$1,0)),""))</x:f>
        <x:v>62.95123056701305</x:v>
      </x:c>
      <x:c r="K2" t="n">
        <x:f>IF(K$1="","",IFERROR(INDEX('代表咚声数据'!$B$2:$AO$39,ROW()-1,MATCH(K$1&amp;"_常见",'代表咚声数据'!$B$1:$AO$1,0)),""))</x:f>
        <x:v>70.39105607009398</x:v>
      </x:c>
      <x:c r="L2" t="str">
        <x:f>IF(L$1="","",IFERROR(INDEX('代表咚声数据'!$B$2:$AO$39,ROW()-1,MATCH(L$1&amp;"_常见",'代表咚声数据'!$B$1:$AO$1,0)),""))</x:f>
      </x:c>
      <x:c r="M2" t="str">
        <x:f>IF(M$1="","",IFERROR(INDEX('代表咚声数据'!$B$2:$AO$39,ROW()-1,MATCH(M$1&amp;"_常见",'代表咚声数据'!$B$1:$AO$1,0)),""))</x:f>
      </x:c>
      <x:c r="N2" t="str">
        <x:f>IF(N$1="","",IFERROR(INDEX('代表咚声数据'!$B$2:$AO$39,ROW()-1,MATCH(N$1&amp;"_常见",'代表咚声数据'!$B$1:$AO$1,0)),""))</x:f>
      </x:c>
      <x:c r="O2" t="str">
        <x:f>IF(O$1="","",IFERROR(INDEX('代表咚声数据'!$B$2:$AO$39,ROW()-1,MATCH(O$1&amp;"_常见",'代表咚声数据'!$B$1:$AO$1,0)),""))</x:f>
      </x:c>
      <x:c r="Q2" t="n">
        <x:v>-300</x:v>
      </x:c>
      <x:c r="R2" t="n">
        <x:f>IF(R$1="","",IFERROR(INDEX('代表咚声数据'!$B$2:$AO$39,ROW()-1,MATCH(R$1&amp;"_较响",'代表咚声数据'!$B$1:$AO$1,0)),""))</x:f>
        <x:v>65.0077627387413</x:v>
      </x:c>
      <x:c r="S2" t="n">
        <x:f>IF(S$1="","",IFERROR(INDEX('代表咚声数据'!$B$2:$AO$39,ROW()-1,MATCH(S$1&amp;"_较响",'代表咚声数据'!$B$1:$AO$1,0)),""))</x:f>
        <x:v>75.41558021587501</x:v>
      </x:c>
      <x:c r="T2" t="str">
        <x:f>IF(T$1="","",IFERROR(INDEX('代表咚声数据'!$B$2:$AO$39,ROW()-1,MATCH(T$1&amp;"_较响",'代表咚声数据'!$B$1:$AO$1,0)),""))</x:f>
      </x:c>
      <x:c r="U2" t="str">
        <x:f>IF(U$1="","",IFERROR(INDEX('代表咚声数据'!$B$2:$AO$39,ROW()-1,MATCH(U$1&amp;"_较响",'代表咚声数据'!$B$1:$AO$1,0)),""))</x:f>
      </x:c>
      <x:c r="V2" t="str">
        <x:f>IF(V$1="","",IFERROR(INDEX('代表咚声数据'!$B$2:$AO$39,ROW()-1,MATCH(V$1&amp;"_较响",'代表咚声数据'!$B$1:$AO$1,0)),""))</x:f>
      </x:c>
      <x:c r="W2" t="str">
        <x:f>IF(W$1="","",IFERROR(INDEX('代表咚声数据'!$B$2:$AO$39,ROW()-1,MATCH(W$1&amp;"_较响",'代表咚声数据'!$B$1:$AO$1,0)),""))</x:f>
      </x:c>
    </x:row>
    <x:row r="3">
      <x:c r="A3" t="n">
        <x:v>0.1</x:v>
      </x:c>
      <x:c r="B3" t="n">
        <x:f>IF(B$1="","",IFERROR(INDEX('包络曲线数据'!$B$2:$U$742,ROW()-1,MATCH(B$1,'包络曲线数据'!$B$1:$U$1,0)),""))</x:f>
        <x:v>67.85484330604092</x:v>
      </x:c>
      <x:c r="C3" t="n">
        <x:f>IF(C$1="","",IFERROR(INDEX('包络曲线数据'!$B$2:$U$742,ROW()-1,MATCH(C$1,'包络曲线数据'!$B$1:$U$1,0)),""))</x:f>
        <x:v>76.63564579194676</x:v>
      </x:c>
      <x:c r="D3" t="str">
        <x:f>IF(D$1="","",IFERROR(INDEX('包络曲线数据'!$B$2:$U$742,ROW()-1,MATCH(D$1,'包络曲线数据'!$B$1:$U$1,0)),""))</x:f>
      </x:c>
      <x:c r="E3" t="str">
        <x:f>IF(E$1="","",IFERROR(INDEX('包络曲线数据'!$B$2:$U$742,ROW()-1,MATCH(E$1,'包络曲线数据'!$B$1:$U$1,0)),""))</x:f>
      </x:c>
      <x:c r="F3" t="str">
        <x:f>IF(F$1="","",IFERROR(INDEX('包络曲线数据'!$B$2:$U$742,ROW()-1,MATCH(F$1,'包络曲线数据'!$B$1:$U$1,0)),""))</x:f>
      </x:c>
      <x:c r="G3" t="str">
        <x:f>IF(G$1="","",IFERROR(INDEX('包络曲线数据'!$B$2:$U$742,ROW()-1,MATCH(G$1,'包络曲线数据'!$B$1:$U$1,0)),""))</x:f>
      </x:c>
      <x:c r="I3" t="n">
        <x:v>-279.99999999999994</x:v>
      </x:c>
      <x:c r="J3" t="n">
        <x:f>IF(J$1="","",IFERROR(INDEX('代表咚声数据'!$B$2:$AO$39,ROW()-1,MATCH(J$1&amp;"_常见",'代表咚声数据'!$B$1:$AO$1,0)),""))</x:f>
        <x:v>64.34063374926693</x:v>
      </x:c>
      <x:c r="K3" t="n">
        <x:f>IF(K$1="","",IFERROR(INDEX('代表咚声数据'!$B$2:$AO$39,ROW()-1,MATCH(K$1&amp;"_常见",'代表咚声数据'!$B$1:$AO$1,0)),""))</x:f>
        <x:v>69.38700497922817</x:v>
      </x:c>
      <x:c r="L3" t="str">
        <x:f>IF(L$1="","",IFERROR(INDEX('代表咚声数据'!$B$2:$AO$39,ROW()-1,MATCH(L$1&amp;"_常见",'代表咚声数据'!$B$1:$AO$1,0)),""))</x:f>
      </x:c>
      <x:c r="M3" t="str">
        <x:f>IF(M$1="","",IFERROR(INDEX('代表咚声数据'!$B$2:$AO$39,ROW()-1,MATCH(M$1&amp;"_常见",'代表咚声数据'!$B$1:$AO$1,0)),""))</x:f>
      </x:c>
      <x:c r="N3" t="str">
        <x:f>IF(N$1="","",IFERROR(INDEX('代表咚声数据'!$B$2:$AO$39,ROW()-1,MATCH(N$1&amp;"_常见",'代表咚声数据'!$B$1:$AO$1,0)),""))</x:f>
      </x:c>
      <x:c r="O3" t="str">
        <x:f>IF(O$1="","",IFERROR(INDEX('代表咚声数据'!$B$2:$AO$39,ROW()-1,MATCH(O$1&amp;"_常见",'代表咚声数据'!$B$1:$AO$1,0)),""))</x:f>
      </x:c>
      <x:c r="Q3" t="n">
        <x:v>-279.99999999999994</x:v>
      </x:c>
      <x:c r="R3" t="n">
        <x:f>IF(R$1="","",IFERROR(INDEX('代表咚声数据'!$B$2:$AO$39,ROW()-1,MATCH(R$1&amp;"_较响",'代表咚声数据'!$B$1:$AO$1,0)),""))</x:f>
        <x:v>64.76673720258412</x:v>
      </x:c>
      <x:c r="S3" t="n">
        <x:f>IF(S$1="","",IFERROR(INDEX('代表咚声数据'!$B$2:$AO$39,ROW()-1,MATCH(S$1&amp;"_较响",'代表咚声数据'!$B$1:$AO$1,0)),""))</x:f>
        <x:v>74.39060356044418</x:v>
      </x:c>
      <x:c r="T3" t="str">
        <x:f>IF(T$1="","",IFERROR(INDEX('代表咚声数据'!$B$2:$AO$39,ROW()-1,MATCH(T$1&amp;"_较响",'代表咚声数据'!$B$1:$AO$1,0)),""))</x:f>
      </x:c>
      <x:c r="U3" t="str">
        <x:f>IF(U$1="","",IFERROR(INDEX('代表咚声数据'!$B$2:$AO$39,ROW()-1,MATCH(U$1&amp;"_较响",'代表咚声数据'!$B$1:$AO$1,0)),""))</x:f>
      </x:c>
      <x:c r="V3" t="str">
        <x:f>IF(V$1="","",IFERROR(INDEX('代表咚声数据'!$B$2:$AO$39,ROW()-1,MATCH(V$1&amp;"_较响",'代表咚声数据'!$B$1:$AO$1,0)),""))</x:f>
      </x:c>
      <x:c r="W3" t="str">
        <x:f>IF(W$1="","",IFERROR(INDEX('代表咚声数据'!$B$2:$AO$39,ROW()-1,MATCH(W$1&amp;"_较响",'代表咚声数据'!$B$1:$AO$1,0)),""))</x:f>
      </x:c>
    </x:row>
    <x:row r="4">
      <x:c r="A4" t="n">
        <x:v>0.2</x:v>
      </x:c>
      <x:c r="B4" t="n">
        <x:f>IF(B$1="","",IFERROR(INDEX('包络曲线数据'!$B$2:$U$742,ROW()-1,MATCH(B$1,'包络曲线数据'!$B$1:$U$1,0)),""))</x:f>
        <x:v>76.25289375530984</x:v>
      </x:c>
      <x:c r="C4" t="n">
        <x:f>IF(C$1="","",IFERROR(INDEX('包络曲线数据'!$B$2:$U$742,ROW()-1,MATCH(C$1,'包络曲线数据'!$B$1:$U$1,0)),""))</x:f>
        <x:v>76.63564579194676</x:v>
      </x:c>
      <x:c r="D4" t="str">
        <x:f>IF(D$1="","",IFERROR(INDEX('包络曲线数据'!$B$2:$U$742,ROW()-1,MATCH(D$1,'包络曲线数据'!$B$1:$U$1,0)),""))</x:f>
      </x:c>
      <x:c r="E4" t="str">
        <x:f>IF(E$1="","",IFERROR(INDEX('包络曲线数据'!$B$2:$U$742,ROW()-1,MATCH(E$1,'包络曲线数据'!$B$1:$U$1,0)),""))</x:f>
      </x:c>
      <x:c r="F4" t="str">
        <x:f>IF(F$1="","",IFERROR(INDEX('包络曲线数据'!$B$2:$U$742,ROW()-1,MATCH(F$1,'包络曲线数据'!$B$1:$U$1,0)),""))</x:f>
      </x:c>
      <x:c r="G4" t="str">
        <x:f>IF(G$1="","",IFERROR(INDEX('包络曲线数据'!$B$2:$U$742,ROW()-1,MATCH(G$1,'包络曲线数据'!$B$1:$U$1,0)),""))</x:f>
      </x:c>
      <x:c r="I4" t="n">
        <x:v>-259.99999999999994</x:v>
      </x:c>
      <x:c r="J4" t="n">
        <x:f>IF(J$1="","",IFERROR(INDEX('代表咚声数据'!$B$2:$AO$39,ROW()-1,MATCH(J$1&amp;"_常见",'代表咚声数据'!$B$1:$AO$1,0)),""))</x:f>
        <x:v>65.37727991981417</x:v>
      </x:c>
      <x:c r="K4" t="n">
        <x:f>IF(K$1="","",IFERROR(INDEX('代表咚声数据'!$B$2:$AO$39,ROW()-1,MATCH(K$1&amp;"_常见",'代表咚声数据'!$B$1:$AO$1,0)),""))</x:f>
        <x:v>69.01432335678814</x:v>
      </x:c>
      <x:c r="L4" t="str">
        <x:f>IF(L$1="","",IFERROR(INDEX('代表咚声数据'!$B$2:$AO$39,ROW()-1,MATCH(L$1&amp;"_常见",'代表咚声数据'!$B$1:$AO$1,0)),""))</x:f>
      </x:c>
      <x:c r="M4" t="str">
        <x:f>IF(M$1="","",IFERROR(INDEX('代表咚声数据'!$B$2:$AO$39,ROW()-1,MATCH(M$1&amp;"_常见",'代表咚声数据'!$B$1:$AO$1,0)),""))</x:f>
      </x:c>
      <x:c r="N4" t="str">
        <x:f>IF(N$1="","",IFERROR(INDEX('代表咚声数据'!$B$2:$AO$39,ROW()-1,MATCH(N$1&amp;"_常见",'代表咚声数据'!$B$1:$AO$1,0)),""))</x:f>
      </x:c>
      <x:c r="O4" t="str">
        <x:f>IF(O$1="","",IFERROR(INDEX('代表咚声数据'!$B$2:$AO$39,ROW()-1,MATCH(O$1&amp;"_常见",'代表咚声数据'!$B$1:$AO$1,0)),""))</x:f>
      </x:c>
      <x:c r="Q4" t="n">
        <x:v>-259.99999999999994</x:v>
      </x:c>
      <x:c r="R4" t="n">
        <x:f>IF(R$1="","",IFERROR(INDEX('代表咚声数据'!$B$2:$AO$39,ROW()-1,MATCH(R$1&amp;"_较响",'代表咚声数据'!$B$1:$AO$1,0)),""))</x:f>
        <x:v>64.76402834056131</x:v>
      </x:c>
      <x:c r="S4" t="n">
        <x:f>IF(S$1="","",IFERROR(INDEX('代表咚声数据'!$B$2:$AO$39,ROW()-1,MATCH(S$1&amp;"_较响",'代表咚声数据'!$B$1:$AO$1,0)),""))</x:f>
        <x:v>73.55369509078842</x:v>
      </x:c>
      <x:c r="T4" t="str">
        <x:f>IF(T$1="","",IFERROR(INDEX('代表咚声数据'!$B$2:$AO$39,ROW()-1,MATCH(T$1&amp;"_较响",'代表咚声数据'!$B$1:$AO$1,0)),""))</x:f>
      </x:c>
      <x:c r="U4" t="str">
        <x:f>IF(U$1="","",IFERROR(INDEX('代表咚声数据'!$B$2:$AO$39,ROW()-1,MATCH(U$1&amp;"_较响",'代表咚声数据'!$B$1:$AO$1,0)),""))</x:f>
      </x:c>
      <x:c r="V4" t="str">
        <x:f>IF(V$1="","",IFERROR(INDEX('代表咚声数据'!$B$2:$AO$39,ROW()-1,MATCH(V$1&amp;"_较响",'代表咚声数据'!$B$1:$AO$1,0)),""))</x:f>
      </x:c>
      <x:c r="W4" t="str">
        <x:f>IF(W$1="","",IFERROR(INDEX('代表咚声数据'!$B$2:$AO$39,ROW()-1,MATCH(W$1&amp;"_较响",'代表咚声数据'!$B$1:$AO$1,0)),""))</x:f>
      </x:c>
    </x:row>
    <x:row r="5">
      <x:c r="A5" t="n">
        <x:v>0.30000000000000004</x:v>
      </x:c>
      <x:c r="B5" t="n">
        <x:f>IF(B$1="","",IFERROR(INDEX('包络曲线数据'!$B$2:$U$742,ROW()-1,MATCH(B$1,'包络曲线数据'!$B$1:$U$1,0)),""))</x:f>
        <x:v>76.25289375530984</x:v>
      </x:c>
      <x:c r="C5" t="n">
        <x:f>IF(C$1="","",IFERROR(INDEX('包络曲线数据'!$B$2:$U$742,ROW()-1,MATCH(C$1,'包络曲线数据'!$B$1:$U$1,0)),""))</x:f>
        <x:v>75.82019466890407</x:v>
      </x:c>
      <x:c r="D5" t="str">
        <x:f>IF(D$1="","",IFERROR(INDEX('包络曲线数据'!$B$2:$U$742,ROW()-1,MATCH(D$1,'包络曲线数据'!$B$1:$U$1,0)),""))</x:f>
      </x:c>
      <x:c r="E5" t="str">
        <x:f>IF(E$1="","",IFERROR(INDEX('包络曲线数据'!$B$2:$U$742,ROW()-1,MATCH(E$1,'包络曲线数据'!$B$1:$U$1,0)),""))</x:f>
      </x:c>
      <x:c r="F5" t="str">
        <x:f>IF(F$1="","",IFERROR(INDEX('包络曲线数据'!$B$2:$U$742,ROW()-1,MATCH(F$1,'包络曲线数据'!$B$1:$U$1,0)),""))</x:f>
      </x:c>
      <x:c r="G5" t="str">
        <x:f>IF(G$1="","",IFERROR(INDEX('包络曲线数据'!$B$2:$U$742,ROW()-1,MATCH(G$1,'包络曲线数据'!$B$1:$U$1,0)),""))</x:f>
      </x:c>
      <x:c r="I5" t="n">
        <x:v>-239.99999999999994</x:v>
      </x:c>
      <x:c r="J5" t="n">
        <x:f>IF(J$1="","",IFERROR(INDEX('代表咚声数据'!$B$2:$AO$39,ROW()-1,MATCH(J$1&amp;"_常见",'代表咚声数据'!$B$1:$AO$1,0)),""))</x:f>
        <x:v>66.0062485836354</x:v>
      </x:c>
      <x:c r="K5" t="n">
        <x:f>IF(K$1="","",IFERROR(INDEX('代表咚声数据'!$B$2:$AO$39,ROW()-1,MATCH(K$1&amp;"_常见",'代表咚声数据'!$B$1:$AO$1,0)),""))</x:f>
        <x:v>67.6299397150936</x:v>
      </x:c>
      <x:c r="L5" t="str">
        <x:f>IF(L$1="","",IFERROR(INDEX('代表咚声数据'!$B$2:$AO$39,ROW()-1,MATCH(L$1&amp;"_常见",'代表咚声数据'!$B$1:$AO$1,0)),""))</x:f>
      </x:c>
      <x:c r="M5" t="str">
        <x:f>IF(M$1="","",IFERROR(INDEX('代表咚声数据'!$B$2:$AO$39,ROW()-1,MATCH(M$1&amp;"_常见",'代表咚声数据'!$B$1:$AO$1,0)),""))</x:f>
      </x:c>
      <x:c r="N5" t="str">
        <x:f>IF(N$1="","",IFERROR(INDEX('代表咚声数据'!$B$2:$AO$39,ROW()-1,MATCH(N$1&amp;"_常见",'代表咚声数据'!$B$1:$AO$1,0)),""))</x:f>
      </x:c>
      <x:c r="O5" t="str">
        <x:f>IF(O$1="","",IFERROR(INDEX('代表咚声数据'!$B$2:$AO$39,ROW()-1,MATCH(O$1&amp;"_常见",'代表咚声数据'!$B$1:$AO$1,0)),""))</x:f>
      </x:c>
      <x:c r="Q5" t="n">
        <x:v>-239.99999999999994</x:v>
      </x:c>
      <x:c r="R5" t="n">
        <x:f>IF(R$1="","",IFERROR(INDEX('代表咚声数据'!$B$2:$AO$39,ROW()-1,MATCH(R$1&amp;"_较响",'代表咚声数据'!$B$1:$AO$1,0)),""))</x:f>
        <x:v>63.82863932426005</x:v>
      </x:c>
      <x:c r="S5" t="n">
        <x:f>IF(S$1="","",IFERROR(INDEX('代表咚声数据'!$B$2:$AO$39,ROW()-1,MATCH(S$1&amp;"_较响",'代表咚声数据'!$B$1:$AO$1,0)),""))</x:f>
        <x:v>73.74524200505556</x:v>
      </x:c>
      <x:c r="T5" t="str">
        <x:f>IF(T$1="","",IFERROR(INDEX('代表咚声数据'!$B$2:$AO$39,ROW()-1,MATCH(T$1&amp;"_较响",'代表咚声数据'!$B$1:$AO$1,0)),""))</x:f>
      </x:c>
      <x:c r="U5" t="str">
        <x:f>IF(U$1="","",IFERROR(INDEX('代表咚声数据'!$B$2:$AO$39,ROW()-1,MATCH(U$1&amp;"_较响",'代表咚声数据'!$B$1:$AO$1,0)),""))</x:f>
      </x:c>
      <x:c r="V5" t="str">
        <x:f>IF(V$1="","",IFERROR(INDEX('代表咚声数据'!$B$2:$AO$39,ROW()-1,MATCH(V$1&amp;"_较响",'代表咚声数据'!$B$1:$AO$1,0)),""))</x:f>
      </x:c>
      <x:c r="W5" t="str">
        <x:f>IF(W$1="","",IFERROR(INDEX('代表咚声数据'!$B$2:$AO$39,ROW()-1,MATCH(W$1&amp;"_较响",'代表咚声数据'!$B$1:$AO$1,0)),""))</x:f>
      </x:c>
    </x:row>
    <x:row r="6">
      <x:c r="A6" t="n">
        <x:v>0.4</x:v>
      </x:c>
      <x:c r="B6" t="n">
        <x:f>IF(B$1="","",IFERROR(INDEX('包络曲线数据'!$B$2:$U$742,ROW()-1,MATCH(B$1,'包络曲线数据'!$B$1:$U$1,0)),""))</x:f>
        <x:v>69.57936513849639</x:v>
      </x:c>
      <x:c r="C6" t="n">
        <x:f>IF(C$1="","",IFERROR(INDEX('包络曲线数据'!$B$2:$U$742,ROW()-1,MATCH(C$1,'包络曲线数据'!$B$1:$U$1,0)),""))</x:f>
        <x:v>76.51494455686499</x:v>
      </x:c>
      <x:c r="D6" t="str">
        <x:f>IF(D$1="","",IFERROR(INDEX('包络曲线数据'!$B$2:$U$742,ROW()-1,MATCH(D$1,'包络曲线数据'!$B$1:$U$1,0)),""))</x:f>
      </x:c>
      <x:c r="E6" t="str">
        <x:f>IF(E$1="","",IFERROR(INDEX('包络曲线数据'!$B$2:$U$742,ROW()-1,MATCH(E$1,'包络曲线数据'!$B$1:$U$1,0)),""))</x:f>
      </x:c>
      <x:c r="F6" t="str">
        <x:f>IF(F$1="","",IFERROR(INDEX('包络曲线数据'!$B$2:$U$742,ROW()-1,MATCH(F$1,'包络曲线数据'!$B$1:$U$1,0)),""))</x:f>
      </x:c>
      <x:c r="G6" t="str">
        <x:f>IF(G$1="","",IFERROR(INDEX('包络曲线数据'!$B$2:$U$742,ROW()-1,MATCH(G$1,'包络曲线数据'!$B$1:$U$1,0)),""))</x:f>
      </x:c>
      <x:c r="I6" t="n">
        <x:v>-219.99999999999991</x:v>
      </x:c>
      <x:c r="J6" t="n">
        <x:f>IF(J$1="","",IFERROR(INDEX('代表咚声数据'!$B$2:$AO$39,ROW()-1,MATCH(J$1&amp;"_常见",'代表咚声数据'!$B$1:$AO$1,0)),""))</x:f>
        <x:v>64.74871837104504</x:v>
      </x:c>
      <x:c r="K6" t="n">
        <x:f>IF(K$1="","",IFERROR(INDEX('代表咚声数据'!$B$2:$AO$39,ROW()-1,MATCH(K$1&amp;"_常见",'代表咚声数据'!$B$1:$AO$1,0)),""))</x:f>
        <x:v>66.14968357294973</x:v>
      </x:c>
      <x:c r="L6" t="str">
        <x:f>IF(L$1="","",IFERROR(INDEX('代表咚声数据'!$B$2:$AO$39,ROW()-1,MATCH(L$1&amp;"_常见",'代表咚声数据'!$B$1:$AO$1,0)),""))</x:f>
      </x:c>
      <x:c r="M6" t="str">
        <x:f>IF(M$1="","",IFERROR(INDEX('代表咚声数据'!$B$2:$AO$39,ROW()-1,MATCH(M$1&amp;"_常见",'代表咚声数据'!$B$1:$AO$1,0)),""))</x:f>
      </x:c>
      <x:c r="N6" t="str">
        <x:f>IF(N$1="","",IFERROR(INDEX('代表咚声数据'!$B$2:$AO$39,ROW()-1,MATCH(N$1&amp;"_常见",'代表咚声数据'!$B$1:$AO$1,0)),""))</x:f>
      </x:c>
      <x:c r="O6" t="str">
        <x:f>IF(O$1="","",IFERROR(INDEX('代表咚声数据'!$B$2:$AO$39,ROW()-1,MATCH(O$1&amp;"_常见",'代表咚声数据'!$B$1:$AO$1,0)),""))</x:f>
      </x:c>
      <x:c r="Q6" t="n">
        <x:v>-219.99999999999991</x:v>
      </x:c>
      <x:c r="R6" t="n">
        <x:f>IF(R$1="","",IFERROR(INDEX('代表咚声数据'!$B$2:$AO$39,ROW()-1,MATCH(R$1&amp;"_较响",'代表咚声数据'!$B$1:$AO$1,0)),""))</x:f>
        <x:v>63.29090420235828</x:v>
      </x:c>
      <x:c r="S6" t="n">
        <x:f>IF(S$1="","",IFERROR(INDEX('代表咚声数据'!$B$2:$AO$39,ROW()-1,MATCH(S$1&amp;"_较响",'代表咚声数据'!$B$1:$AO$1,0)),""))</x:f>
        <x:v>73.65327589503552</x:v>
      </x:c>
      <x:c r="T6" t="str">
        <x:f>IF(T$1="","",IFERROR(INDEX('代表咚声数据'!$B$2:$AO$39,ROW()-1,MATCH(T$1&amp;"_较响",'代表咚声数据'!$B$1:$AO$1,0)),""))</x:f>
      </x:c>
      <x:c r="U6" t="str">
        <x:f>IF(U$1="","",IFERROR(INDEX('代表咚声数据'!$B$2:$AO$39,ROW()-1,MATCH(U$1&amp;"_较响",'代表咚声数据'!$B$1:$AO$1,0)),""))</x:f>
      </x:c>
      <x:c r="V6" t="str">
        <x:f>IF(V$1="","",IFERROR(INDEX('代表咚声数据'!$B$2:$AO$39,ROW()-1,MATCH(V$1&amp;"_较响",'代表咚声数据'!$B$1:$AO$1,0)),""))</x:f>
      </x:c>
      <x:c r="W6" t="str">
        <x:f>IF(W$1="","",IFERROR(INDEX('代表咚声数据'!$B$2:$AO$39,ROW()-1,MATCH(W$1&amp;"_较响",'代表咚声数据'!$B$1:$AO$1,0)),""))</x:f>
      </x:c>
    </x:row>
    <x:row r="7">
      <x:c r="A7" t="n">
        <x:v>0.5</x:v>
      </x:c>
      <x:c r="B7" t="n">
        <x:f>IF(B$1="","",IFERROR(INDEX('包络曲线数据'!$B$2:$U$742,ROW()-1,MATCH(B$1,'包络曲线数据'!$B$1:$U$1,0)),""))</x:f>
        <x:v>65.59906658938077</x:v>
      </x:c>
      <x:c r="C7" t="n">
        <x:f>IF(C$1="","",IFERROR(INDEX('包络曲线数据'!$B$2:$U$742,ROW()-1,MATCH(C$1,'包络曲线数据'!$B$1:$U$1,0)),""))</x:f>
        <x:v>77.6332748027896</x:v>
      </x:c>
      <x:c r="D7" t="str">
        <x:f>IF(D$1="","",IFERROR(INDEX('包络曲线数据'!$B$2:$U$742,ROW()-1,MATCH(D$1,'包络曲线数据'!$B$1:$U$1,0)),""))</x:f>
      </x:c>
      <x:c r="E7" t="str">
        <x:f>IF(E$1="","",IFERROR(INDEX('包络曲线数据'!$B$2:$U$742,ROW()-1,MATCH(E$1,'包络曲线数据'!$B$1:$U$1,0)),""))</x:f>
      </x:c>
      <x:c r="F7" t="str">
        <x:f>IF(F$1="","",IFERROR(INDEX('包络曲线数据'!$B$2:$U$742,ROW()-1,MATCH(F$1,'包络曲线数据'!$B$1:$U$1,0)),""))</x:f>
      </x:c>
      <x:c r="G7" t="str">
        <x:f>IF(G$1="","",IFERROR(INDEX('包络曲线数据'!$B$2:$U$742,ROW()-1,MATCH(G$1,'包络曲线数据'!$B$1:$U$1,0)),""))</x:f>
      </x:c>
      <x:c r="I7" t="n">
        <x:v>-199.9999999999999</x:v>
      </x:c>
      <x:c r="J7" t="n">
        <x:f>IF(J$1="","",IFERROR(INDEX('代表咚声数据'!$B$2:$AO$39,ROW()-1,MATCH(J$1&amp;"_常见",'代表咚声数据'!$B$1:$AO$1,0)),""))</x:f>
        <x:v>64.06068887860732</x:v>
      </x:c>
      <x:c r="K7" t="n">
        <x:f>IF(K$1="","",IFERROR(INDEX('代表咚声数据'!$B$2:$AO$39,ROW()-1,MATCH(K$1&amp;"_常见",'代表咚声数据'!$B$1:$AO$1,0)),""))</x:f>
        <x:v>66.20640600701292</x:v>
      </x:c>
      <x:c r="L7" t="str">
        <x:f>IF(L$1="","",IFERROR(INDEX('代表咚声数据'!$B$2:$AO$39,ROW()-1,MATCH(L$1&amp;"_常见",'代表咚声数据'!$B$1:$AO$1,0)),""))</x:f>
      </x:c>
      <x:c r="M7" t="str">
        <x:f>IF(M$1="","",IFERROR(INDEX('代表咚声数据'!$B$2:$AO$39,ROW()-1,MATCH(M$1&amp;"_常见",'代表咚声数据'!$B$1:$AO$1,0)),""))</x:f>
      </x:c>
      <x:c r="N7" t="str">
        <x:f>IF(N$1="","",IFERROR(INDEX('代表咚声数据'!$B$2:$AO$39,ROW()-1,MATCH(N$1&amp;"_常见",'代表咚声数据'!$B$1:$AO$1,0)),""))</x:f>
      </x:c>
      <x:c r="O7" t="str">
        <x:f>IF(O$1="","",IFERROR(INDEX('代表咚声数据'!$B$2:$AO$39,ROW()-1,MATCH(O$1&amp;"_常见",'代表咚声数据'!$B$1:$AO$1,0)),""))</x:f>
      </x:c>
      <x:c r="Q7" t="n">
        <x:v>-199.9999999999999</x:v>
      </x:c>
      <x:c r="R7" t="n">
        <x:f>IF(R$1="","",IFERROR(INDEX('代表咚声数据'!$B$2:$AO$39,ROW()-1,MATCH(R$1&amp;"_较响",'代表咚声数据'!$B$1:$AO$1,0)),""))</x:f>
        <x:v>63.678022549771484</x:v>
      </x:c>
      <x:c r="S7" t="n">
        <x:f>IF(S$1="","",IFERROR(INDEX('代表咚声数据'!$B$2:$AO$39,ROW()-1,MATCH(S$1&amp;"_较响",'代表咚声数据'!$B$1:$AO$1,0)),""))</x:f>
        <x:v>74.16817965358476</x:v>
      </x:c>
      <x:c r="T7" t="str">
        <x:f>IF(T$1="","",IFERROR(INDEX('代表咚声数据'!$B$2:$AO$39,ROW()-1,MATCH(T$1&amp;"_较响",'代表咚声数据'!$B$1:$AO$1,0)),""))</x:f>
      </x:c>
      <x:c r="U7" t="str">
        <x:f>IF(U$1="","",IFERROR(INDEX('代表咚声数据'!$B$2:$AO$39,ROW()-1,MATCH(U$1&amp;"_较响",'代表咚声数据'!$B$1:$AO$1,0)),""))</x:f>
      </x:c>
      <x:c r="V7" t="str">
        <x:f>IF(V$1="","",IFERROR(INDEX('代表咚声数据'!$B$2:$AO$39,ROW()-1,MATCH(V$1&amp;"_较响",'代表咚声数据'!$B$1:$AO$1,0)),""))</x:f>
      </x:c>
      <x:c r="W7" t="str">
        <x:f>IF(W$1="","",IFERROR(INDEX('代表咚声数据'!$B$2:$AO$39,ROW()-1,MATCH(W$1&amp;"_较响",'代表咚声数据'!$B$1:$AO$1,0)),""))</x:f>
      </x:c>
    </x:row>
    <x:row r="8">
      <x:c r="A8" t="n">
        <x:v>0.6000000000000001</x:v>
      </x:c>
      <x:c r="B8" t="n">
        <x:f>IF(B$1="","",IFERROR(INDEX('包络曲线数据'!$B$2:$U$742,ROW()-1,MATCH(B$1,'包络曲线数据'!$B$1:$U$1,0)),""))</x:f>
        <x:v>62.93080181840511</x:v>
      </x:c>
      <x:c r="C8" t="n">
        <x:f>IF(C$1="","",IFERROR(INDEX('包络曲线数据'!$B$2:$U$742,ROW()-1,MATCH(C$1,'包络曲线数据'!$B$1:$U$1,0)),""))</x:f>
        <x:v>77.6332748027896</x:v>
      </x:c>
      <x:c r="D8" t="str">
        <x:f>IF(D$1="","",IFERROR(INDEX('包络曲线数据'!$B$2:$U$742,ROW()-1,MATCH(D$1,'包络曲线数据'!$B$1:$U$1,0)),""))</x:f>
      </x:c>
      <x:c r="E8" t="str">
        <x:f>IF(E$1="","",IFERROR(INDEX('包络曲线数据'!$B$2:$U$742,ROW()-1,MATCH(E$1,'包络曲线数据'!$B$1:$U$1,0)),""))</x:f>
      </x:c>
      <x:c r="F8" t="str">
        <x:f>IF(F$1="","",IFERROR(INDEX('包络曲线数据'!$B$2:$U$742,ROW()-1,MATCH(F$1,'包络曲线数据'!$B$1:$U$1,0)),""))</x:f>
      </x:c>
      <x:c r="G8" t="str">
        <x:f>IF(G$1="","",IFERROR(INDEX('包络曲线数据'!$B$2:$U$742,ROW()-1,MATCH(G$1,'包络曲线数据'!$B$1:$U$1,0)),""))</x:f>
      </x:c>
      <x:c r="I8" t="n">
        <x:v>-179.9999999999999</x:v>
      </x:c>
      <x:c r="J8" t="n">
        <x:f>IF(J$1="","",IFERROR(INDEX('代表咚声数据'!$B$2:$AO$39,ROW()-1,MATCH(J$1&amp;"_常见",'代表咚声数据'!$B$1:$AO$1,0)),""))</x:f>
        <x:v>63.072319120833896</x:v>
      </x:c>
      <x:c r="K8" t="n">
        <x:f>IF(K$1="","",IFERROR(INDEX('代表咚声数据'!$B$2:$AO$39,ROW()-1,MATCH(K$1&amp;"_常见",'代表咚声数据'!$B$1:$AO$1,0)),""))</x:f>
        <x:v>66.15034108866251</x:v>
      </x:c>
      <x:c r="L8" t="str">
        <x:f>IF(L$1="","",IFERROR(INDEX('代表咚声数据'!$B$2:$AO$39,ROW()-1,MATCH(L$1&amp;"_常见",'代表咚声数据'!$B$1:$AO$1,0)),""))</x:f>
      </x:c>
      <x:c r="M8" t="str">
        <x:f>IF(M$1="","",IFERROR(INDEX('代表咚声数据'!$B$2:$AO$39,ROW()-1,MATCH(M$1&amp;"_常见",'代表咚声数据'!$B$1:$AO$1,0)),""))</x:f>
      </x:c>
      <x:c r="N8" t="str">
        <x:f>IF(N$1="","",IFERROR(INDEX('代表咚声数据'!$B$2:$AO$39,ROW()-1,MATCH(N$1&amp;"_常见",'代表咚声数据'!$B$1:$AO$1,0)),""))</x:f>
      </x:c>
      <x:c r="O8" t="str">
        <x:f>IF(O$1="","",IFERROR(INDEX('代表咚声数据'!$B$2:$AO$39,ROW()-1,MATCH(O$1&amp;"_常见",'代表咚声数据'!$B$1:$AO$1,0)),""))</x:f>
      </x:c>
      <x:c r="Q8" t="n">
        <x:v>-179.9999999999999</x:v>
      </x:c>
      <x:c r="R8" t="n">
        <x:f>IF(R$1="","",IFERROR(INDEX('代表咚声数据'!$B$2:$AO$39,ROW()-1,MATCH(R$1&amp;"_较响",'代表咚声数据'!$B$1:$AO$1,0)),""))</x:f>
        <x:v>64.7766769743009</x:v>
      </x:c>
      <x:c r="S8" t="n">
        <x:f>IF(S$1="","",IFERROR(INDEX('代表咚声数据'!$B$2:$AO$39,ROW()-1,MATCH(S$1&amp;"_较响",'代表咚声数据'!$B$1:$AO$1,0)),""))</x:f>
        <x:v>74.50021876262107</x:v>
      </x:c>
      <x:c r="T8" t="str">
        <x:f>IF(T$1="","",IFERROR(INDEX('代表咚声数据'!$B$2:$AO$39,ROW()-1,MATCH(T$1&amp;"_较响",'代表咚声数据'!$B$1:$AO$1,0)),""))</x:f>
      </x:c>
      <x:c r="U8" t="str">
        <x:f>IF(U$1="","",IFERROR(INDEX('代表咚声数据'!$B$2:$AO$39,ROW()-1,MATCH(U$1&amp;"_较响",'代表咚声数据'!$B$1:$AO$1,0)),""))</x:f>
      </x:c>
      <x:c r="V8" t="str">
        <x:f>IF(V$1="","",IFERROR(INDEX('代表咚声数据'!$B$2:$AO$39,ROW()-1,MATCH(V$1&amp;"_较响",'代表咚声数据'!$B$1:$AO$1,0)),""))</x:f>
      </x:c>
      <x:c r="W8" t="str">
        <x:f>IF(W$1="","",IFERROR(INDEX('代表咚声数据'!$B$2:$AO$39,ROW()-1,MATCH(W$1&amp;"_较响",'代表咚声数据'!$B$1:$AO$1,0)),""))</x:f>
      </x:c>
    </x:row>
    <x:row r="9">
      <x:c r="A9" t="n">
        <x:v>0.7000000000000001</x:v>
      </x:c>
      <x:c r="B9" t="n">
        <x:f>IF(B$1="","",IFERROR(INDEX('包络曲线数据'!$B$2:$U$742,ROW()-1,MATCH(B$1,'包络曲线数据'!$B$1:$U$1,0)),""))</x:f>
        <x:v>60.81769774030242</x:v>
      </x:c>
      <x:c r="C9" t="n">
        <x:f>IF(C$1="","",IFERROR(INDEX('包络曲线数据'!$B$2:$U$742,ROW()-1,MATCH(C$1,'包络曲线数据'!$B$1:$U$1,0)),""))</x:f>
        <x:v>77.60771399033794</x:v>
      </x:c>
      <x:c r="D9" t="str">
        <x:f>IF(D$1="","",IFERROR(INDEX('包络曲线数据'!$B$2:$U$742,ROW()-1,MATCH(D$1,'包络曲线数据'!$B$1:$U$1,0)),""))</x:f>
      </x:c>
      <x:c r="E9" t="str">
        <x:f>IF(E$1="","",IFERROR(INDEX('包络曲线数据'!$B$2:$U$742,ROW()-1,MATCH(E$1,'包络曲线数据'!$B$1:$U$1,0)),""))</x:f>
      </x:c>
      <x:c r="F9" t="str">
        <x:f>IF(F$1="","",IFERROR(INDEX('包络曲线数据'!$B$2:$U$742,ROW()-1,MATCH(F$1,'包络曲线数据'!$B$1:$U$1,0)),""))</x:f>
      </x:c>
      <x:c r="G9" t="str">
        <x:f>IF(G$1="","",IFERROR(INDEX('包络曲线数据'!$B$2:$U$742,ROW()-1,MATCH(G$1,'包络曲线数据'!$B$1:$U$1,0)),""))</x:f>
      </x:c>
      <x:c r="I9" t="n">
        <x:v>-159.99999999999986</x:v>
      </x:c>
      <x:c r="J9" t="n">
        <x:f>IF(J$1="","",IFERROR(INDEX('代表咚声数据'!$B$2:$AO$39,ROW()-1,MATCH(J$1&amp;"_常见",'代表咚声数据'!$B$1:$AO$1,0)),""))</x:f>
        <x:v>62.65478003891579</x:v>
      </x:c>
      <x:c r="K9" t="n">
        <x:f>IF(K$1="","",IFERROR(INDEX('代表咚声数据'!$B$2:$AO$39,ROW()-1,MATCH(K$1&amp;"_常见",'代表咚声数据'!$B$1:$AO$1,0)),""))</x:f>
        <x:v>66.31309065772544</x:v>
      </x:c>
      <x:c r="L9" t="str">
        <x:f>IF(L$1="","",IFERROR(INDEX('代表咚声数据'!$B$2:$AO$39,ROW()-1,MATCH(L$1&amp;"_常见",'代表咚声数据'!$B$1:$AO$1,0)),""))</x:f>
      </x:c>
      <x:c r="M9" t="str">
        <x:f>IF(M$1="","",IFERROR(INDEX('代表咚声数据'!$B$2:$AO$39,ROW()-1,MATCH(M$1&amp;"_常见",'代表咚声数据'!$B$1:$AO$1,0)),""))</x:f>
      </x:c>
      <x:c r="N9" t="str">
        <x:f>IF(N$1="","",IFERROR(INDEX('代表咚声数据'!$B$2:$AO$39,ROW()-1,MATCH(N$1&amp;"_常见",'代表咚声数据'!$B$1:$AO$1,0)),""))</x:f>
      </x:c>
      <x:c r="O9" t="str">
        <x:f>IF(O$1="","",IFERROR(INDEX('代表咚声数据'!$B$2:$AO$39,ROW()-1,MATCH(O$1&amp;"_常见",'代表咚声数据'!$B$1:$AO$1,0)),""))</x:f>
      </x:c>
      <x:c r="Q9" t="n">
        <x:v>-159.99999999999986</x:v>
      </x:c>
      <x:c r="R9" t="n">
        <x:f>IF(R$1="","",IFERROR(INDEX('代表咚声数据'!$B$2:$AO$39,ROW()-1,MATCH(R$1&amp;"_较响",'代表咚声数据'!$B$1:$AO$1,0)),""))</x:f>
        <x:v>66.2158095209088</x:v>
      </x:c>
      <x:c r="S9" t="n">
        <x:f>IF(S$1="","",IFERROR(INDEX('代表咚声数据'!$B$2:$AO$39,ROW()-1,MATCH(S$1&amp;"_较响",'代表咚声数据'!$B$1:$AO$1,0)),""))</x:f>
        <x:v>73.91092947301476</x:v>
      </x:c>
      <x:c r="T9" t="str">
        <x:f>IF(T$1="","",IFERROR(INDEX('代表咚声数据'!$B$2:$AO$39,ROW()-1,MATCH(T$1&amp;"_较响",'代表咚声数据'!$B$1:$AO$1,0)),""))</x:f>
      </x:c>
      <x:c r="U9" t="str">
        <x:f>IF(U$1="","",IFERROR(INDEX('代表咚声数据'!$B$2:$AO$39,ROW()-1,MATCH(U$1&amp;"_较响",'代表咚声数据'!$B$1:$AO$1,0)),""))</x:f>
      </x:c>
      <x:c r="V9" t="str">
        <x:f>IF(V$1="","",IFERROR(INDEX('代表咚声数据'!$B$2:$AO$39,ROW()-1,MATCH(V$1&amp;"_较响",'代表咚声数据'!$B$1:$AO$1,0)),""))</x:f>
      </x:c>
      <x:c r="W9" t="str">
        <x:f>IF(W$1="","",IFERROR(INDEX('代表咚声数据'!$B$2:$AO$39,ROW()-1,MATCH(W$1&amp;"_较响",'代表咚声数据'!$B$1:$AO$1,0)),""))</x:f>
      </x:c>
    </x:row>
    <x:row r="10">
      <x:c r="A10" t="n">
        <x:v>0.8</x:v>
      </x:c>
      <x:c r="B10" t="n">
        <x:f>IF(B$1="","",IFERROR(INDEX('包络曲线数据'!$B$2:$U$742,ROW()-1,MATCH(B$1,'包络曲线数据'!$B$1:$U$1,0)),""))</x:f>
        <x:v>64.0496218229024</x:v>
      </x:c>
      <x:c r="C10" t="n">
        <x:f>IF(C$1="","",IFERROR(INDEX('包络曲线数据'!$B$2:$U$742,ROW()-1,MATCH(C$1,'包络曲线数据'!$B$1:$U$1,0)),""))</x:f>
        <x:v>77.60771399033794</x:v>
      </x:c>
      <x:c r="D10" t="str">
        <x:f>IF(D$1="","",IFERROR(INDEX('包络曲线数据'!$B$2:$U$742,ROW()-1,MATCH(D$1,'包络曲线数据'!$B$1:$U$1,0)),""))</x:f>
      </x:c>
      <x:c r="E10" t="str">
        <x:f>IF(E$1="","",IFERROR(INDEX('包络曲线数据'!$B$2:$U$742,ROW()-1,MATCH(E$1,'包络曲线数据'!$B$1:$U$1,0)),""))</x:f>
      </x:c>
      <x:c r="F10" t="str">
        <x:f>IF(F$1="","",IFERROR(INDEX('包络曲线数据'!$B$2:$U$742,ROW()-1,MATCH(F$1,'包络曲线数据'!$B$1:$U$1,0)),""))</x:f>
      </x:c>
      <x:c r="G10" t="str">
        <x:f>IF(G$1="","",IFERROR(INDEX('包络曲线数据'!$B$2:$U$742,ROW()-1,MATCH(G$1,'包络曲线数据'!$B$1:$U$1,0)),""))</x:f>
      </x:c>
      <x:c r="I10" t="n">
        <x:v>-139.99999999999986</x:v>
      </x:c>
      <x:c r="J10" t="n">
        <x:f>IF(J$1="","",IFERROR(INDEX('代表咚声数据'!$B$2:$AO$39,ROW()-1,MATCH(J$1&amp;"_常见",'代表咚声数据'!$B$1:$AO$1,0)),""))</x:f>
        <x:v>61.37959299004268</x:v>
      </x:c>
      <x:c r="K10" t="n">
        <x:f>IF(K$1="","",IFERROR(INDEX('代表咚声数据'!$B$2:$AO$39,ROW()-1,MATCH(K$1&amp;"_常见",'代表咚声数据'!$B$1:$AO$1,0)),""))</x:f>
        <x:v>66.49661930639098</x:v>
      </x:c>
      <x:c r="L10" t="str">
        <x:f>IF(L$1="","",IFERROR(INDEX('代表咚声数据'!$B$2:$AO$39,ROW()-1,MATCH(L$1&amp;"_常见",'代表咚声数据'!$B$1:$AO$1,0)),""))</x:f>
      </x:c>
      <x:c r="M10" t="str">
        <x:f>IF(M$1="","",IFERROR(INDEX('代表咚声数据'!$B$2:$AO$39,ROW()-1,MATCH(M$1&amp;"_常见",'代表咚声数据'!$B$1:$AO$1,0)),""))</x:f>
      </x:c>
      <x:c r="N10" t="str">
        <x:f>IF(N$1="","",IFERROR(INDEX('代表咚声数据'!$B$2:$AO$39,ROW()-1,MATCH(N$1&amp;"_常见",'代表咚声数据'!$B$1:$AO$1,0)),""))</x:f>
      </x:c>
      <x:c r="O10" t="str">
        <x:f>IF(O$1="","",IFERROR(INDEX('代表咚声数据'!$B$2:$AO$39,ROW()-1,MATCH(O$1&amp;"_常见",'代表咚声数据'!$B$1:$AO$1,0)),""))</x:f>
      </x:c>
      <x:c r="Q10" t="n">
        <x:v>-139.99999999999986</x:v>
      </x:c>
      <x:c r="R10" t="n">
        <x:f>IF(R$1="","",IFERROR(INDEX('代表咚声数据'!$B$2:$AO$39,ROW()-1,MATCH(R$1&amp;"_较响",'代表咚声数据'!$B$1:$AO$1,0)),""))</x:f>
        <x:v>66.19660746848642</x:v>
      </x:c>
      <x:c r="S10" t="n">
        <x:f>IF(S$1="","",IFERROR(INDEX('代表咚声数据'!$B$2:$AO$39,ROW()-1,MATCH(S$1&amp;"_较响",'代表咚声数据'!$B$1:$AO$1,0)),""))</x:f>
        <x:v>73.63760925210195</x:v>
      </x:c>
      <x:c r="T10" t="str">
        <x:f>IF(T$1="","",IFERROR(INDEX('代表咚声数据'!$B$2:$AO$39,ROW()-1,MATCH(T$1&amp;"_较响",'代表咚声数据'!$B$1:$AO$1,0)),""))</x:f>
      </x:c>
      <x:c r="U10" t="str">
        <x:f>IF(U$1="","",IFERROR(INDEX('代表咚声数据'!$B$2:$AO$39,ROW()-1,MATCH(U$1&amp;"_较响",'代表咚声数据'!$B$1:$AO$1,0)),""))</x:f>
      </x:c>
      <x:c r="V10" t="str">
        <x:f>IF(V$1="","",IFERROR(INDEX('代表咚声数据'!$B$2:$AO$39,ROW()-1,MATCH(V$1&amp;"_较响",'代表咚声数据'!$B$1:$AO$1,0)),""))</x:f>
      </x:c>
      <x:c r="W10" t="str">
        <x:f>IF(W$1="","",IFERROR(INDEX('代表咚声数据'!$B$2:$AO$39,ROW()-1,MATCH(W$1&amp;"_较响",'代表咚声数据'!$B$1:$AO$1,0)),""))</x:f>
      </x:c>
    </x:row>
    <x:row r="11">
      <x:c r="A11" t="n">
        <x:v>0.9</x:v>
      </x:c>
      <x:c r="B11" t="n">
        <x:f>IF(B$1="","",IFERROR(INDEX('包络曲线数据'!$B$2:$U$742,ROW()-1,MATCH(B$1,'包络曲线数据'!$B$1:$U$1,0)),""))</x:f>
        <x:v>64.5897386100657</x:v>
      </x:c>
      <x:c r="C11" t="n">
        <x:f>IF(C$1="","",IFERROR(INDEX('包络曲线数据'!$B$2:$U$742,ROW()-1,MATCH(C$1,'包络曲线数据'!$B$1:$U$1,0)),""))</x:f>
        <x:v>77.14586585003104</x:v>
      </x:c>
      <x:c r="D11" t="str">
        <x:f>IF(D$1="","",IFERROR(INDEX('包络曲线数据'!$B$2:$U$742,ROW()-1,MATCH(D$1,'包络曲线数据'!$B$1:$U$1,0)),""))</x:f>
      </x:c>
      <x:c r="E11" t="str">
        <x:f>IF(E$1="","",IFERROR(INDEX('包络曲线数据'!$B$2:$U$742,ROW()-1,MATCH(E$1,'包络曲线数据'!$B$1:$U$1,0)),""))</x:f>
      </x:c>
      <x:c r="F11" t="str">
        <x:f>IF(F$1="","",IFERROR(INDEX('包络曲线数据'!$B$2:$U$742,ROW()-1,MATCH(F$1,'包络曲线数据'!$B$1:$U$1,0)),""))</x:f>
      </x:c>
      <x:c r="G11" t="str">
        <x:f>IF(G$1="","",IFERROR(INDEX('包络曲线数据'!$B$2:$U$742,ROW()-1,MATCH(G$1,'包络曲线数据'!$B$1:$U$1,0)),""))</x:f>
      </x:c>
      <x:c r="I11" t="n">
        <x:v>-119.99999999999983</x:v>
      </x:c>
      <x:c r="J11" t="n">
        <x:f>IF(J$1="","",IFERROR(INDEX('代表咚声数据'!$B$2:$AO$39,ROW()-1,MATCH(J$1&amp;"_常见",'代表咚声数据'!$B$1:$AO$1,0)),""))</x:f>
        <x:v>60.63894786213188</x:v>
      </x:c>
      <x:c r="K11" t="n">
        <x:f>IF(K$1="","",IFERROR(INDEX('代表咚声数据'!$B$2:$AO$39,ROW()-1,MATCH(K$1&amp;"_常见",'代表咚声数据'!$B$1:$AO$1,0)),""))</x:f>
        <x:v>66.49396793846958</x:v>
      </x:c>
      <x:c r="L11" t="str">
        <x:f>IF(L$1="","",IFERROR(INDEX('代表咚声数据'!$B$2:$AO$39,ROW()-1,MATCH(L$1&amp;"_常见",'代表咚声数据'!$B$1:$AO$1,0)),""))</x:f>
      </x:c>
      <x:c r="M11" t="str">
        <x:f>IF(M$1="","",IFERROR(INDEX('代表咚声数据'!$B$2:$AO$39,ROW()-1,MATCH(M$1&amp;"_常见",'代表咚声数据'!$B$1:$AO$1,0)),""))</x:f>
      </x:c>
      <x:c r="N11" t="str">
        <x:f>IF(N$1="","",IFERROR(INDEX('代表咚声数据'!$B$2:$AO$39,ROW()-1,MATCH(N$1&amp;"_常见",'代表咚声数据'!$B$1:$AO$1,0)),""))</x:f>
      </x:c>
      <x:c r="O11" t="str">
        <x:f>IF(O$1="","",IFERROR(INDEX('代表咚声数据'!$B$2:$AO$39,ROW()-1,MATCH(O$1&amp;"_常见",'代表咚声数据'!$B$1:$AO$1,0)),""))</x:f>
      </x:c>
      <x:c r="Q11" t="n">
        <x:v>-119.99999999999983</x:v>
      </x:c>
      <x:c r="R11" t="n">
        <x:f>IF(R$1="","",IFERROR(INDEX('代表咚声数据'!$B$2:$AO$39,ROW()-1,MATCH(R$1&amp;"_较响",'代表咚声数据'!$B$1:$AO$1,0)),""))</x:f>
        <x:v>65.75374624654869</x:v>
      </x:c>
      <x:c r="S11" t="n">
        <x:f>IF(S$1="","",IFERROR(INDEX('代表咚声数据'!$B$2:$AO$39,ROW()-1,MATCH(S$1&amp;"_较响",'代表咚声数据'!$B$1:$AO$1,0)),""))</x:f>
        <x:v>72.87408674554348</x:v>
      </x:c>
      <x:c r="T11" t="str">
        <x:f>IF(T$1="","",IFERROR(INDEX('代表咚声数据'!$B$2:$AO$39,ROW()-1,MATCH(T$1&amp;"_较响",'代表咚声数据'!$B$1:$AO$1,0)),""))</x:f>
      </x:c>
      <x:c r="U11" t="str">
        <x:f>IF(U$1="","",IFERROR(INDEX('代表咚声数据'!$B$2:$AO$39,ROW()-1,MATCH(U$1&amp;"_较响",'代表咚声数据'!$B$1:$AO$1,0)),""))</x:f>
      </x:c>
      <x:c r="V11" t="str">
        <x:f>IF(V$1="","",IFERROR(INDEX('代表咚声数据'!$B$2:$AO$39,ROW()-1,MATCH(V$1&amp;"_较响",'代表咚声数据'!$B$1:$AO$1,0)),""))</x:f>
      </x:c>
      <x:c r="W11" t="str">
        <x:f>IF(W$1="","",IFERROR(INDEX('代表咚声数据'!$B$2:$AO$39,ROW()-1,MATCH(W$1&amp;"_较响",'代表咚声数据'!$B$1:$AO$1,0)),""))</x:f>
      </x:c>
    </x:row>
    <x:row r="12">
      <x:c r="A12" t="n">
        <x:v>1</x:v>
      </x:c>
      <x:c r="B12" t="n">
        <x:f>IF(B$1="","",IFERROR(INDEX('包络曲线数据'!$B$2:$U$742,ROW()-1,MATCH(B$1,'包络曲线数据'!$B$1:$U$1,0)),""))</x:f>
        <x:v>63.623037049783036</x:v>
      </x:c>
      <x:c r="C12" t="n">
        <x:f>IF(C$1="","",IFERROR(INDEX('包络曲线数据'!$B$2:$U$742,ROW()-1,MATCH(C$1,'包络曲线数据'!$B$1:$U$1,0)),""))</x:f>
        <x:v>76.21117235164553</x:v>
      </x:c>
      <x:c r="D12" t="str">
        <x:f>IF(D$1="","",IFERROR(INDEX('包络曲线数据'!$B$2:$U$742,ROW()-1,MATCH(D$1,'包络曲线数据'!$B$1:$U$1,0)),""))</x:f>
      </x:c>
      <x:c r="E12" t="str">
        <x:f>IF(E$1="","",IFERROR(INDEX('包络曲线数据'!$B$2:$U$742,ROW()-1,MATCH(E$1,'包络曲线数据'!$B$1:$U$1,0)),""))</x:f>
      </x:c>
      <x:c r="F12" t="str">
        <x:f>IF(F$1="","",IFERROR(INDEX('包络曲线数据'!$B$2:$U$742,ROW()-1,MATCH(F$1,'包络曲线数据'!$B$1:$U$1,0)),""))</x:f>
      </x:c>
      <x:c r="G12" t="str">
        <x:f>IF(G$1="","",IFERROR(INDEX('包络曲线数据'!$B$2:$U$742,ROW()-1,MATCH(G$1,'包络曲线数据'!$B$1:$U$1,0)),""))</x:f>
      </x:c>
      <x:c r="I12" t="n">
        <x:v>-99.99999999999982</x:v>
      </x:c>
      <x:c r="J12" t="n">
        <x:f>IF(J$1="","",IFERROR(INDEX('代表咚声数据'!$B$2:$AO$39,ROW()-1,MATCH(J$1&amp;"_常见",'代表咚声数据'!$B$1:$AO$1,0)),""))</x:f>
        <x:v>63.35803297350079</x:v>
      </x:c>
      <x:c r="K12" t="n">
        <x:f>IF(K$1="","",IFERROR(INDEX('代表咚声数据'!$B$2:$AO$39,ROW()-1,MATCH(K$1&amp;"_常见",'代表咚声数据'!$B$1:$AO$1,0)),""))</x:f>
        <x:v>74.64234151752638</x:v>
      </x:c>
      <x:c r="L12" t="str">
        <x:f>IF(L$1="","",IFERROR(INDEX('代表咚声数据'!$B$2:$AO$39,ROW()-1,MATCH(L$1&amp;"_常见",'代表咚声数据'!$B$1:$AO$1,0)),""))</x:f>
      </x:c>
      <x:c r="M12" t="str">
        <x:f>IF(M$1="","",IFERROR(INDEX('代表咚声数据'!$B$2:$AO$39,ROW()-1,MATCH(M$1&amp;"_常见",'代表咚声数据'!$B$1:$AO$1,0)),""))</x:f>
      </x:c>
      <x:c r="N12" t="str">
        <x:f>IF(N$1="","",IFERROR(INDEX('代表咚声数据'!$B$2:$AO$39,ROW()-1,MATCH(N$1&amp;"_常见",'代表咚声数据'!$B$1:$AO$1,0)),""))</x:f>
      </x:c>
      <x:c r="O12" t="str">
        <x:f>IF(O$1="","",IFERROR(INDEX('代表咚声数据'!$B$2:$AO$39,ROW()-1,MATCH(O$1&amp;"_常见",'代表咚声数据'!$B$1:$AO$1,0)),""))</x:f>
      </x:c>
      <x:c r="Q12" t="n">
        <x:v>-99.99999999999982</x:v>
      </x:c>
      <x:c r="R12" t="n">
        <x:f>IF(R$1="","",IFERROR(INDEX('代表咚声数据'!$B$2:$AO$39,ROW()-1,MATCH(R$1&amp;"_较响",'代表咚声数据'!$B$1:$AO$1,0)),""))</x:f>
        <x:v>65.28109534872836</x:v>
      </x:c>
      <x:c r="S12" t="n">
        <x:f>IF(S$1="","",IFERROR(INDEX('代表咚声数据'!$B$2:$AO$39,ROW()-1,MATCH(S$1&amp;"_较响",'代表咚声数据'!$B$1:$AO$1,0)),""))</x:f>
        <x:v>71.7743219779617</x:v>
      </x:c>
      <x:c r="T12" t="str">
        <x:f>IF(T$1="","",IFERROR(INDEX('代表咚声数据'!$B$2:$AO$39,ROW()-1,MATCH(T$1&amp;"_较响",'代表咚声数据'!$B$1:$AO$1,0)),""))</x:f>
      </x:c>
      <x:c r="U12" t="str">
        <x:f>IF(U$1="","",IFERROR(INDEX('代表咚声数据'!$B$2:$AO$39,ROW()-1,MATCH(U$1&amp;"_较响",'代表咚声数据'!$B$1:$AO$1,0)),""))</x:f>
      </x:c>
      <x:c r="V12" t="str">
        <x:f>IF(V$1="","",IFERROR(INDEX('代表咚声数据'!$B$2:$AO$39,ROW()-1,MATCH(V$1&amp;"_较响",'代表咚声数据'!$B$1:$AO$1,0)),""))</x:f>
      </x:c>
      <x:c r="W12" t="str">
        <x:f>IF(W$1="","",IFERROR(INDEX('代表咚声数据'!$B$2:$AO$39,ROW()-1,MATCH(W$1&amp;"_较响",'代表咚声数据'!$B$1:$AO$1,0)),""))</x:f>
      </x:c>
    </x:row>
    <x:row r="13">
      <x:c r="A13" t="n">
        <x:v>1.1</x:v>
      </x:c>
      <x:c r="B13" t="n">
        <x:f>IF(B$1="","",IFERROR(INDEX('包络曲线数据'!$B$2:$U$742,ROW()-1,MATCH(B$1,'包络曲线数据'!$B$1:$U$1,0)),""))</x:f>
        <x:v>67.68505178175559</x:v>
      </x:c>
      <x:c r="C13" t="n">
        <x:f>IF(C$1="","",IFERROR(INDEX('包络曲线数据'!$B$2:$U$742,ROW()-1,MATCH(C$1,'包络曲线数据'!$B$1:$U$1,0)),""))</x:f>
        <x:v>74.81463257920802</x:v>
      </x:c>
      <x:c r="D13" t="str">
        <x:f>IF(D$1="","",IFERROR(INDEX('包络曲线数据'!$B$2:$U$742,ROW()-1,MATCH(D$1,'包络曲线数据'!$B$1:$U$1,0)),""))</x:f>
      </x:c>
      <x:c r="E13" t="str">
        <x:f>IF(E$1="","",IFERROR(INDEX('包络曲线数据'!$B$2:$U$742,ROW()-1,MATCH(E$1,'包络曲线数据'!$B$1:$U$1,0)),""))</x:f>
      </x:c>
      <x:c r="F13" t="str">
        <x:f>IF(F$1="","",IFERROR(INDEX('包络曲线数据'!$B$2:$U$742,ROW()-1,MATCH(F$1,'包络曲线数据'!$B$1:$U$1,0)),""))</x:f>
      </x:c>
      <x:c r="G13" t="str">
        <x:f>IF(G$1="","",IFERROR(INDEX('包络曲线数据'!$B$2:$U$742,ROW()-1,MATCH(G$1,'包络曲线数据'!$B$1:$U$1,0)),""))</x:f>
      </x:c>
      <x:c r="I13" t="n">
        <x:v>-79.99999999999979</x:v>
      </x:c>
      <x:c r="J13" t="n">
        <x:f>IF(J$1="","",IFERROR(INDEX('代表咚声数据'!$B$2:$AO$39,ROW()-1,MATCH(J$1&amp;"_常见",'代表咚声数据'!$B$1:$AO$1,0)),""))</x:f>
        <x:v>65.89121772460479</x:v>
      </x:c>
      <x:c r="K13" t="n">
        <x:f>IF(K$1="","",IFERROR(INDEX('代表咚声数据'!$B$2:$AO$39,ROW()-1,MATCH(K$1&amp;"_常见",'代表咚声数据'!$B$1:$AO$1,0)),""))</x:f>
        <x:v>80.32936372728837</x:v>
      </x:c>
      <x:c r="L13" t="str">
        <x:f>IF(L$1="","",IFERROR(INDEX('代表咚声数据'!$B$2:$AO$39,ROW()-1,MATCH(L$1&amp;"_常见",'代表咚声数据'!$B$1:$AO$1,0)),""))</x:f>
      </x:c>
      <x:c r="M13" t="str">
        <x:f>IF(M$1="","",IFERROR(INDEX('代表咚声数据'!$B$2:$AO$39,ROW()-1,MATCH(M$1&amp;"_常见",'代表咚声数据'!$B$1:$AO$1,0)),""))</x:f>
      </x:c>
      <x:c r="N13" t="str">
        <x:f>IF(N$1="","",IFERROR(INDEX('代表咚声数据'!$B$2:$AO$39,ROW()-1,MATCH(N$1&amp;"_常见",'代表咚声数据'!$B$1:$AO$1,0)),""))</x:f>
      </x:c>
      <x:c r="O13" t="str">
        <x:f>IF(O$1="","",IFERROR(INDEX('代表咚声数据'!$B$2:$AO$39,ROW()-1,MATCH(O$1&amp;"_常见",'代表咚声数据'!$B$1:$AO$1,0)),""))</x:f>
      </x:c>
      <x:c r="Q13" t="n">
        <x:v>-79.99999999999979</x:v>
      </x:c>
      <x:c r="R13" t="n">
        <x:f>IF(R$1="","",IFERROR(INDEX('代表咚声数据'!$B$2:$AO$39,ROW()-1,MATCH(R$1&amp;"_较响",'代表咚声数据'!$B$1:$AO$1,0)),""))</x:f>
        <x:v>69.23232388041866</x:v>
      </x:c>
      <x:c r="S13" t="n">
        <x:f>IF(S$1="","",IFERROR(INDEX('代表咚声数据'!$B$2:$AO$39,ROW()-1,MATCH(S$1&amp;"_较响",'代表咚声数据'!$B$1:$AO$1,0)),""))</x:f>
        <x:v>76.38495138640586</x:v>
      </x:c>
      <x:c r="T13" t="str">
        <x:f>IF(T$1="","",IFERROR(INDEX('代表咚声数据'!$B$2:$AO$39,ROW()-1,MATCH(T$1&amp;"_较响",'代表咚声数据'!$B$1:$AO$1,0)),""))</x:f>
      </x:c>
      <x:c r="U13" t="str">
        <x:f>IF(U$1="","",IFERROR(INDEX('代表咚声数据'!$B$2:$AO$39,ROW()-1,MATCH(U$1&amp;"_较响",'代表咚声数据'!$B$1:$AO$1,0)),""))</x:f>
      </x:c>
      <x:c r="V13" t="str">
        <x:f>IF(V$1="","",IFERROR(INDEX('代表咚声数据'!$B$2:$AO$39,ROW()-1,MATCH(V$1&amp;"_较响",'代表咚声数据'!$B$1:$AO$1,0)),""))</x:f>
      </x:c>
      <x:c r="W13" t="str">
        <x:f>IF(W$1="","",IFERROR(INDEX('代表咚声数据'!$B$2:$AO$39,ROW()-1,MATCH(W$1&amp;"_较响",'代表咚声数据'!$B$1:$AO$1,0)),""))</x:f>
      </x:c>
    </x:row>
    <x:row r="14">
      <x:c r="A14" t="n">
        <x:v>1.2000000000000002</x:v>
      </x:c>
      <x:c r="B14" t="n">
        <x:f>IF(B$1="","",IFERROR(INDEX('包络曲线数据'!$B$2:$U$742,ROW()-1,MATCH(B$1,'包络曲线数据'!$B$1:$U$1,0)),""))</x:f>
        <x:v>67.68505178175559</x:v>
      </x:c>
      <x:c r="C14" t="n">
        <x:f>IF(C$1="","",IFERROR(INDEX('包络曲线数据'!$B$2:$U$742,ROW()-1,MATCH(C$1,'包络曲线数据'!$B$1:$U$1,0)),""))</x:f>
        <x:v>68.80704539522502</x:v>
      </x:c>
      <x:c r="D14" t="str">
        <x:f>IF(D$1="","",IFERROR(INDEX('包络曲线数据'!$B$2:$U$742,ROW()-1,MATCH(D$1,'包络曲线数据'!$B$1:$U$1,0)),""))</x:f>
      </x:c>
      <x:c r="E14" t="str">
        <x:f>IF(E$1="","",IFERROR(INDEX('包络曲线数据'!$B$2:$U$742,ROW()-1,MATCH(E$1,'包络曲线数据'!$B$1:$U$1,0)),""))</x:f>
      </x:c>
      <x:c r="F14" t="str">
        <x:f>IF(F$1="","",IFERROR(INDEX('包络曲线数据'!$B$2:$U$742,ROW()-1,MATCH(F$1,'包络曲线数据'!$B$1:$U$1,0)),""))</x:f>
      </x:c>
      <x:c r="G14" t="str">
        <x:f>IF(G$1="","",IFERROR(INDEX('包络曲线数据'!$B$2:$U$742,ROW()-1,MATCH(G$1,'包络曲线数据'!$B$1:$U$1,0)),""))</x:f>
      </x:c>
      <x:c r="I14" t="n">
        <x:v>-59.99999999999977</x:v>
      </x:c>
      <x:c r="J14" t="n">
        <x:f>IF(J$1="","",IFERROR(INDEX('代表咚声数据'!$B$2:$AO$39,ROW()-1,MATCH(J$1&amp;"_常见",'代表咚声数据'!$B$1:$AO$1,0)),""))</x:f>
        <x:v>68.50273396071299</x:v>
      </x:c>
      <x:c r="K14" t="n">
        <x:f>IF(K$1="","",IFERROR(INDEX('代表咚声数据'!$B$2:$AO$39,ROW()-1,MATCH(K$1&amp;"_常见",'代表咚声数据'!$B$1:$AO$1,0)),""))</x:f>
        <x:v>81.0721528254921</x:v>
      </x:c>
      <x:c r="L14" t="str">
        <x:f>IF(L$1="","",IFERROR(INDEX('代表咚声数据'!$B$2:$AO$39,ROW()-1,MATCH(L$1&amp;"_常见",'代表咚声数据'!$B$1:$AO$1,0)),""))</x:f>
      </x:c>
      <x:c r="M14" t="str">
        <x:f>IF(M$1="","",IFERROR(INDEX('代表咚声数据'!$B$2:$AO$39,ROW()-1,MATCH(M$1&amp;"_常见",'代表咚声数据'!$B$1:$AO$1,0)),""))</x:f>
      </x:c>
      <x:c r="N14" t="str">
        <x:f>IF(N$1="","",IFERROR(INDEX('代表咚声数据'!$B$2:$AO$39,ROW()-1,MATCH(N$1&amp;"_常见",'代表咚声数据'!$B$1:$AO$1,0)),""))</x:f>
      </x:c>
      <x:c r="O14" t="str">
        <x:f>IF(O$1="","",IFERROR(INDEX('代表咚声数据'!$B$2:$AO$39,ROW()-1,MATCH(O$1&amp;"_常见",'代表咚声数据'!$B$1:$AO$1,0)),""))</x:f>
      </x:c>
      <x:c r="Q14" t="n">
        <x:v>-59.99999999999977</x:v>
      </x:c>
      <x:c r="R14" t="n">
        <x:f>IF(R$1="","",IFERROR(INDEX('代表咚声数据'!$B$2:$AO$39,ROW()-1,MATCH(R$1&amp;"_较响",'代表咚声数据'!$B$1:$AO$1,0)),""))</x:f>
        <x:v>77.15443895564151</x:v>
      </x:c>
      <x:c r="S14" t="n">
        <x:f>IF(S$1="","",IFERROR(INDEX('代表咚声数据'!$B$2:$AO$39,ROW()-1,MATCH(S$1&amp;"_较响",'代表咚声数据'!$B$1:$AO$1,0)),""))</x:f>
        <x:v>81.8016132682099</x:v>
      </x:c>
      <x:c r="T14" t="str">
        <x:f>IF(T$1="","",IFERROR(INDEX('代表咚声数据'!$B$2:$AO$39,ROW()-1,MATCH(T$1&amp;"_较响",'代表咚声数据'!$B$1:$AO$1,0)),""))</x:f>
      </x:c>
      <x:c r="U14" t="str">
        <x:f>IF(U$1="","",IFERROR(INDEX('代表咚声数据'!$B$2:$AO$39,ROW()-1,MATCH(U$1&amp;"_较响",'代表咚声数据'!$B$1:$AO$1,0)),""))</x:f>
      </x:c>
      <x:c r="V14" t="str">
        <x:f>IF(V$1="","",IFERROR(INDEX('代表咚声数据'!$B$2:$AO$39,ROW()-1,MATCH(V$1&amp;"_较响",'代表咚声数据'!$B$1:$AO$1,0)),""))</x:f>
      </x:c>
      <x:c r="W14" t="str">
        <x:f>IF(W$1="","",IFERROR(INDEX('代表咚声数据'!$B$2:$AO$39,ROW()-1,MATCH(W$1&amp;"_较响",'代表咚声数据'!$B$1:$AO$1,0)),""))</x:f>
      </x:c>
    </x:row>
    <x:row r="15">
      <x:c r="A15" t="n">
        <x:v>1.3</x:v>
      </x:c>
      <x:c r="B15" t="n">
        <x:f>IF(B$1="","",IFERROR(INDEX('包络曲线数据'!$B$2:$U$742,ROW()-1,MATCH(B$1,'包络曲线数据'!$B$1:$U$1,0)),""))</x:f>
        <x:v>61.23760074527628</x:v>
      </x:c>
      <x:c r="C15" t="n">
        <x:f>IF(C$1="","",IFERROR(INDEX('包络曲线数据'!$B$2:$U$742,ROW()-1,MATCH(C$1,'包络曲线数据'!$B$1:$U$1,0)),""))</x:f>
        <x:v>82.59357078509203</x:v>
      </x:c>
      <x:c r="D15" t="str">
        <x:f>IF(D$1="","",IFERROR(INDEX('包络曲线数据'!$B$2:$U$742,ROW()-1,MATCH(D$1,'包络曲线数据'!$B$1:$U$1,0)),""))</x:f>
      </x:c>
      <x:c r="E15" t="str">
        <x:f>IF(E$1="","",IFERROR(INDEX('包络曲线数据'!$B$2:$U$742,ROW()-1,MATCH(E$1,'包络曲线数据'!$B$1:$U$1,0)),""))</x:f>
      </x:c>
      <x:c r="F15" t="str">
        <x:f>IF(F$1="","",IFERROR(INDEX('包络曲线数据'!$B$2:$U$742,ROW()-1,MATCH(F$1,'包络曲线数据'!$B$1:$U$1,0)),""))</x:f>
      </x:c>
      <x:c r="G15" t="str">
        <x:f>IF(G$1="","",IFERROR(INDEX('包络曲线数据'!$B$2:$U$742,ROW()-1,MATCH(G$1,'包络曲线数据'!$B$1:$U$1,0)),""))</x:f>
      </x:c>
      <x:c r="I15" t="n">
        <x:v>-39.99999999999976</x:v>
      </x:c>
      <x:c r="J15" t="n">
        <x:f>IF(J$1="","",IFERROR(INDEX('代表咚声数据'!$B$2:$AO$39,ROW()-1,MATCH(J$1&amp;"_常见",'代表咚声数据'!$B$1:$AO$1,0)),""))</x:f>
        <x:v>70.20403692056041</x:v>
      </x:c>
      <x:c r="K15" t="n">
        <x:f>IF(K$1="","",IFERROR(INDEX('代表咚声数据'!$B$2:$AO$39,ROW()-1,MATCH(K$1&amp;"_常见",'代表咚声数据'!$B$1:$AO$1,0)),""))</x:f>
        <x:v>81.67701027316319</x:v>
      </x:c>
      <x:c r="L15" t="str">
        <x:f>IF(L$1="","",IFERROR(INDEX('代表咚声数据'!$B$2:$AO$39,ROW()-1,MATCH(L$1&amp;"_常见",'代表咚声数据'!$B$1:$AO$1,0)),""))</x:f>
      </x:c>
      <x:c r="M15" t="str">
        <x:f>IF(M$1="","",IFERROR(INDEX('代表咚声数据'!$B$2:$AO$39,ROW()-1,MATCH(M$1&amp;"_常见",'代表咚声数据'!$B$1:$AO$1,0)),""))</x:f>
      </x:c>
      <x:c r="N15" t="str">
        <x:f>IF(N$1="","",IFERROR(INDEX('代表咚声数据'!$B$2:$AO$39,ROW()-1,MATCH(N$1&amp;"_常见",'代表咚声数据'!$B$1:$AO$1,0)),""))</x:f>
      </x:c>
      <x:c r="O15" t="str">
        <x:f>IF(O$1="","",IFERROR(INDEX('代表咚声数据'!$B$2:$AO$39,ROW()-1,MATCH(O$1&amp;"_常见",'代表咚声数据'!$B$1:$AO$1,0)),""))</x:f>
      </x:c>
      <x:c r="Q15" t="n">
        <x:v>-39.99999999999976</x:v>
      </x:c>
      <x:c r="R15" t="n">
        <x:f>IF(R$1="","",IFERROR(INDEX('代表咚声数据'!$B$2:$AO$39,ROW()-1,MATCH(R$1&amp;"_较响",'代表咚声数据'!$B$1:$AO$1,0)),""))</x:f>
        <x:v>78.85505459034323</x:v>
      </x:c>
      <x:c r="S15" t="n">
        <x:f>IF(S$1="","",IFERROR(INDEX('代表咚声数据'!$B$2:$AO$39,ROW()-1,MATCH(S$1&amp;"_较响",'代表咚声数据'!$B$1:$AO$1,0)),""))</x:f>
        <x:v>84.07286633002664</x:v>
      </x:c>
      <x:c r="T15" t="str">
        <x:f>IF(T$1="","",IFERROR(INDEX('代表咚声数据'!$B$2:$AO$39,ROW()-1,MATCH(T$1&amp;"_较响",'代表咚声数据'!$B$1:$AO$1,0)),""))</x:f>
      </x:c>
      <x:c r="U15" t="str">
        <x:f>IF(U$1="","",IFERROR(INDEX('代表咚声数据'!$B$2:$AO$39,ROW()-1,MATCH(U$1&amp;"_较响",'代表咚声数据'!$B$1:$AO$1,0)),""))</x:f>
      </x:c>
      <x:c r="V15" t="str">
        <x:f>IF(V$1="","",IFERROR(INDEX('代表咚声数据'!$B$2:$AO$39,ROW()-1,MATCH(V$1&amp;"_较响",'代表咚声数据'!$B$1:$AO$1,0)),""))</x:f>
      </x:c>
      <x:c r="W15" t="str">
        <x:f>IF(W$1="","",IFERROR(INDEX('代表咚声数据'!$B$2:$AO$39,ROW()-1,MATCH(W$1&amp;"_较响",'代表咚声数据'!$B$1:$AO$1,0)),""))</x:f>
      </x:c>
    </x:row>
    <x:row r="16">
      <x:c r="A16" t="n">
        <x:v>1.4000000000000001</x:v>
      </x:c>
      <x:c r="B16" t="n">
        <x:f>IF(B$1="","",IFERROR(INDEX('包络曲线数据'!$B$2:$U$742,ROW()-1,MATCH(B$1,'包络曲线数据'!$B$1:$U$1,0)),""))</x:f>
        <x:v>59.108825302158166</x:v>
      </x:c>
      <x:c r="C16" t="n">
        <x:f>IF(C$1="","",IFERROR(INDEX('包络曲线数据'!$B$2:$U$742,ROW()-1,MATCH(C$1,'包络曲线数据'!$B$1:$U$1,0)),""))</x:f>
        <x:v>82.59357078509203</x:v>
      </x:c>
      <x:c r="D16" t="str">
        <x:f>IF(D$1="","",IFERROR(INDEX('包络曲线数据'!$B$2:$U$742,ROW()-1,MATCH(D$1,'包络曲线数据'!$B$1:$U$1,0)),""))</x:f>
      </x:c>
      <x:c r="E16" t="str">
        <x:f>IF(E$1="","",IFERROR(INDEX('包络曲线数据'!$B$2:$U$742,ROW()-1,MATCH(E$1,'包络曲线数据'!$B$1:$U$1,0)),""))</x:f>
      </x:c>
      <x:c r="F16" t="str">
        <x:f>IF(F$1="","",IFERROR(INDEX('包络曲线数据'!$B$2:$U$742,ROW()-1,MATCH(F$1,'包络曲线数据'!$B$1:$U$1,0)),""))</x:f>
      </x:c>
      <x:c r="G16" t="str">
        <x:f>IF(G$1="","",IFERROR(INDEX('包络曲线数据'!$B$2:$U$742,ROW()-1,MATCH(G$1,'包络曲线数据'!$B$1:$U$1,0)),""))</x:f>
      </x:c>
      <x:c r="I16" t="n">
        <x:v>-19.99999999999974</x:v>
      </x:c>
      <x:c r="J16" t="n">
        <x:f>IF(J$1="","",IFERROR(INDEX('代表咚声数据'!$B$2:$AO$39,ROW()-1,MATCH(J$1&amp;"_常见",'代表咚声数据'!$B$1:$AO$1,0)),""))</x:f>
        <x:v>70.6434034689307</x:v>
      </x:c>
      <x:c r="K16" t="n">
        <x:f>IF(K$1="","",IFERROR(INDEX('代表咚声数据'!$B$2:$AO$39,ROW()-1,MATCH(K$1&amp;"_常见",'代表咚声数据'!$B$1:$AO$1,0)),""))</x:f>
        <x:v>81.37400081981065</x:v>
      </x:c>
      <x:c r="L16" t="str">
        <x:f>IF(L$1="","",IFERROR(INDEX('代表咚声数据'!$B$2:$AO$39,ROW()-1,MATCH(L$1&amp;"_常见",'代表咚声数据'!$B$1:$AO$1,0)),""))</x:f>
      </x:c>
      <x:c r="M16" t="str">
        <x:f>IF(M$1="","",IFERROR(INDEX('代表咚声数据'!$B$2:$AO$39,ROW()-1,MATCH(M$1&amp;"_常见",'代表咚声数据'!$B$1:$AO$1,0)),""))</x:f>
      </x:c>
      <x:c r="N16" t="str">
        <x:f>IF(N$1="","",IFERROR(INDEX('代表咚声数据'!$B$2:$AO$39,ROW()-1,MATCH(N$1&amp;"_常见",'代表咚声数据'!$B$1:$AO$1,0)),""))</x:f>
      </x:c>
      <x:c r="O16" t="str">
        <x:f>IF(O$1="","",IFERROR(INDEX('代表咚声数据'!$B$2:$AO$39,ROW()-1,MATCH(O$1&amp;"_常见",'代表咚声数据'!$B$1:$AO$1,0)),""))</x:f>
      </x:c>
      <x:c r="Q16" t="n">
        <x:v>-19.99999999999974</x:v>
      </x:c>
      <x:c r="R16" t="n">
        <x:f>IF(R$1="","",IFERROR(INDEX('代表咚声数据'!$B$2:$AO$39,ROW()-1,MATCH(R$1&amp;"_较响",'代表咚声数据'!$B$1:$AO$1,0)),""))</x:f>
        <x:v>79.30309939854395</x:v>
      </x:c>
      <x:c r="S16" t="n">
        <x:f>IF(S$1="","",IFERROR(INDEX('代表咚声数据'!$B$2:$AO$39,ROW()-1,MATCH(S$1&amp;"_较响",'代表咚声数据'!$B$1:$AO$1,0)),""))</x:f>
        <x:v>84.76161326583394</x:v>
      </x:c>
      <x:c r="T16" t="str">
        <x:f>IF(T$1="","",IFERROR(INDEX('代表咚声数据'!$B$2:$AO$39,ROW()-1,MATCH(T$1&amp;"_较响",'代表咚声数据'!$B$1:$AO$1,0)),""))</x:f>
      </x:c>
      <x:c r="U16" t="str">
        <x:f>IF(U$1="","",IFERROR(INDEX('代表咚声数据'!$B$2:$AO$39,ROW()-1,MATCH(U$1&amp;"_较响",'代表咚声数据'!$B$1:$AO$1,0)),""))</x:f>
      </x:c>
      <x:c r="V16" t="str">
        <x:f>IF(V$1="","",IFERROR(INDEX('代表咚声数据'!$B$2:$AO$39,ROW()-1,MATCH(V$1&amp;"_较响",'代表咚声数据'!$B$1:$AO$1,0)),""))</x:f>
      </x:c>
      <x:c r="W16" t="str">
        <x:f>IF(W$1="","",IFERROR(INDEX('代表咚声数据'!$B$2:$AO$39,ROW()-1,MATCH(W$1&amp;"_较响",'代表咚声数据'!$B$1:$AO$1,0)),""))</x:f>
      </x:c>
    </x:row>
    <x:row r="17">
      <x:c r="A17" t="n">
        <x:v>1.5</x:v>
      </x:c>
      <x:c r="B17" t="n">
        <x:f>IF(B$1="","",IFERROR(INDEX('包络曲线数据'!$B$2:$U$742,ROW()-1,MATCH(B$1,'包络曲线数据'!$B$1:$U$1,0)),""))</x:f>
        <x:v>60.05904443808387</x:v>
      </x:c>
      <x:c r="C17" t="n">
        <x:f>IF(C$1="","",IFERROR(INDEX('包络曲线数据'!$B$2:$U$742,ROW()-1,MATCH(C$1,'包络曲线数据'!$B$1:$U$1,0)),""))</x:f>
        <x:v>77.93474150955831</x:v>
      </x:c>
      <x:c r="D17" t="str">
        <x:f>IF(D$1="","",IFERROR(INDEX('包络曲线数据'!$B$2:$U$742,ROW()-1,MATCH(D$1,'包络曲线数据'!$B$1:$U$1,0)),""))</x:f>
      </x:c>
      <x:c r="E17" t="str">
        <x:f>IF(E$1="","",IFERROR(INDEX('包络曲线数据'!$B$2:$U$742,ROW()-1,MATCH(E$1,'包络曲线数据'!$B$1:$U$1,0)),""))</x:f>
      </x:c>
      <x:c r="F17" t="str">
        <x:f>IF(F$1="","",IFERROR(INDEX('包络曲线数据'!$B$2:$U$742,ROW()-1,MATCH(F$1,'包络曲线数据'!$B$1:$U$1,0)),""))</x:f>
      </x:c>
      <x:c r="G17" t="str">
        <x:f>IF(G$1="","",IFERROR(INDEX('包络曲线数据'!$B$2:$U$742,ROW()-1,MATCH(G$1,'包络曲线数据'!$B$1:$U$1,0)),""))</x:f>
      </x:c>
      <x:c r="I17" t="n">
        <x:v>2.7755575615628914e-13</x:v>
      </x:c>
      <x:c r="J17" t="n">
        <x:f>IF(J$1="","",IFERROR(INDEX('代表咚声数据'!$B$2:$AO$39,ROW()-1,MATCH(J$1&amp;"_常见",'代表咚声数据'!$B$1:$AO$1,0)),""))</x:f>
        <x:v>70.253991281182</x:v>
      </x:c>
      <x:c r="K17" t="n">
        <x:f>IF(K$1="","",IFERROR(INDEX('代表咚声数据'!$B$2:$AO$39,ROW()-1,MATCH(K$1&amp;"_常见",'代表咚声数据'!$B$1:$AO$1,0)),""))</x:f>
        <x:v>77.9902263181255</x:v>
      </x:c>
      <x:c r="L17" t="str">
        <x:f>IF(L$1="","",IFERROR(INDEX('代表咚声数据'!$B$2:$AO$39,ROW()-1,MATCH(L$1&amp;"_常见",'代表咚声数据'!$B$1:$AO$1,0)),""))</x:f>
      </x:c>
      <x:c r="M17" t="str">
        <x:f>IF(M$1="","",IFERROR(INDEX('代表咚声数据'!$B$2:$AO$39,ROW()-1,MATCH(M$1&amp;"_常见",'代表咚声数据'!$B$1:$AO$1,0)),""))</x:f>
      </x:c>
      <x:c r="N17" t="str">
        <x:f>IF(N$1="","",IFERROR(INDEX('代表咚声数据'!$B$2:$AO$39,ROW()-1,MATCH(N$1&amp;"_常见",'代表咚声数据'!$B$1:$AO$1,0)),""))</x:f>
      </x:c>
      <x:c r="O17" t="str">
        <x:f>IF(O$1="","",IFERROR(INDEX('代表咚声数据'!$B$2:$AO$39,ROW()-1,MATCH(O$1&amp;"_常见",'代表咚声数据'!$B$1:$AO$1,0)),""))</x:f>
      </x:c>
      <x:c r="Q17" t="n">
        <x:v>2.7755575615628914e-13</x:v>
      </x:c>
      <x:c r="R17" t="n">
        <x:f>IF(R$1="","",IFERROR(INDEX('代表咚声数据'!$B$2:$AO$39,ROW()-1,MATCH(R$1&amp;"_较响",'代表咚声数据'!$B$1:$AO$1,0)),""))</x:f>
        <x:v>79.21135875325764</x:v>
      </x:c>
      <x:c r="S17" t="n">
        <x:f>IF(S$1="","",IFERROR(INDEX('代表咚声数据'!$B$2:$AO$39,ROW()-1,MATCH(S$1&amp;"_较响",'代表咚声数据'!$B$1:$AO$1,0)),""))</x:f>
        <x:v>84.74651866471322</x:v>
      </x:c>
      <x:c r="T17" t="str">
        <x:f>IF(T$1="","",IFERROR(INDEX('代表咚声数据'!$B$2:$AO$39,ROW()-1,MATCH(T$1&amp;"_较响",'代表咚声数据'!$B$1:$AO$1,0)),""))</x:f>
      </x:c>
      <x:c r="U17" t="str">
        <x:f>IF(U$1="","",IFERROR(INDEX('代表咚声数据'!$B$2:$AO$39,ROW()-1,MATCH(U$1&amp;"_较响",'代表咚声数据'!$B$1:$AO$1,0)),""))</x:f>
      </x:c>
      <x:c r="V17" t="str">
        <x:f>IF(V$1="","",IFERROR(INDEX('代表咚声数据'!$B$2:$AO$39,ROW()-1,MATCH(V$1&amp;"_较响",'代表咚声数据'!$B$1:$AO$1,0)),""))</x:f>
      </x:c>
      <x:c r="W17" t="str">
        <x:f>IF(W$1="","",IFERROR(INDEX('代表咚声数据'!$B$2:$AO$39,ROW()-1,MATCH(W$1&amp;"_较响",'代表咚声数据'!$B$1:$AO$1,0)),""))</x:f>
      </x:c>
    </x:row>
    <x:row r="18">
      <x:c r="A18" t="n">
        <x:v>1.6</x:v>
      </x:c>
      <x:c r="B18" t="n">
        <x:f>IF(B$1="","",IFERROR(INDEX('包络曲线数据'!$B$2:$U$742,ROW()-1,MATCH(B$1,'包络曲线数据'!$B$1:$U$1,0)),""))</x:f>
        <x:v>61.723427967503326</x:v>
      </x:c>
      <x:c r="C18" t="n">
        <x:f>IF(C$1="","",IFERROR(INDEX('包络曲线数据'!$B$2:$U$742,ROW()-1,MATCH(C$1,'包络曲线数据'!$B$1:$U$1,0)),""))</x:f>
        <x:v>69.05933987708832</x:v>
      </x:c>
      <x:c r="D18" t="str">
        <x:f>IF(D$1="","",IFERROR(INDEX('包络曲线数据'!$B$2:$U$742,ROW()-1,MATCH(D$1,'包络曲线数据'!$B$1:$U$1,0)),""))</x:f>
      </x:c>
      <x:c r="E18" t="str">
        <x:f>IF(E$1="","",IFERROR(INDEX('包络曲线数据'!$B$2:$U$742,ROW()-1,MATCH(E$1,'包络曲线数据'!$B$1:$U$1,0)),""))</x:f>
      </x:c>
      <x:c r="F18" t="str">
        <x:f>IF(F$1="","",IFERROR(INDEX('包络曲线数据'!$B$2:$U$742,ROW()-1,MATCH(F$1,'包络曲线数据'!$B$1:$U$1,0)),""))</x:f>
      </x:c>
      <x:c r="G18" t="str">
        <x:f>IF(G$1="","",IFERROR(INDEX('包络曲线数据'!$B$2:$U$742,ROW()-1,MATCH(G$1,'包络曲线数据'!$B$1:$U$1,0)),""))</x:f>
      </x:c>
      <x:c r="I18" t="n">
        <x:v>20.000000000000295</x:v>
      </x:c>
      <x:c r="J18" t="n">
        <x:f>IF(J$1="","",IFERROR(INDEX('代表咚声数据'!$B$2:$AO$39,ROW()-1,MATCH(J$1&amp;"_常见",'代表咚声数据'!$B$1:$AO$1,0)),""))</x:f>
        <x:v>69.27764164481925</x:v>
      </x:c>
      <x:c r="K18" t="n">
        <x:f>IF(K$1="","",IFERROR(INDEX('代表咚声数据'!$B$2:$AO$39,ROW()-1,MATCH(K$1&amp;"_常见",'代表咚声数据'!$B$1:$AO$1,0)),""))</x:f>
        <x:v>76.63837604194973</x:v>
      </x:c>
      <x:c r="L18" t="str">
        <x:f>IF(L$1="","",IFERROR(INDEX('代表咚声数据'!$B$2:$AO$39,ROW()-1,MATCH(L$1&amp;"_常见",'代表咚声数据'!$B$1:$AO$1,0)),""))</x:f>
      </x:c>
      <x:c r="M18" t="str">
        <x:f>IF(M$1="","",IFERROR(INDEX('代表咚声数据'!$B$2:$AO$39,ROW()-1,MATCH(M$1&amp;"_常见",'代表咚声数据'!$B$1:$AO$1,0)),""))</x:f>
      </x:c>
      <x:c r="N18" t="str">
        <x:f>IF(N$1="","",IFERROR(INDEX('代表咚声数据'!$B$2:$AO$39,ROW()-1,MATCH(N$1&amp;"_常见",'代表咚声数据'!$B$1:$AO$1,0)),""))</x:f>
      </x:c>
      <x:c r="O18" t="str">
        <x:f>IF(O$1="","",IFERROR(INDEX('代表咚声数据'!$B$2:$AO$39,ROW()-1,MATCH(O$1&amp;"_常见",'代表咚声数据'!$B$1:$AO$1,0)),""))</x:f>
      </x:c>
      <x:c r="Q18" t="n">
        <x:v>20.000000000000295</x:v>
      </x:c>
      <x:c r="R18" t="n">
        <x:f>IF(R$1="","",IFERROR(INDEX('代表咚声数据'!$B$2:$AO$39,ROW()-1,MATCH(R$1&amp;"_较响",'代表咚声数据'!$B$1:$AO$1,0)),""))</x:f>
        <x:v>76.59040889893416</x:v>
      </x:c>
      <x:c r="S18" t="n">
        <x:f>IF(S$1="","",IFERROR(INDEX('代表咚声数据'!$B$2:$AO$39,ROW()-1,MATCH(S$1&amp;"_较响",'代表咚声数据'!$B$1:$AO$1,0)),""))</x:f>
        <x:v>83.03840790109571</x:v>
      </x:c>
      <x:c r="T18" t="str">
        <x:f>IF(T$1="","",IFERROR(INDEX('代表咚声数据'!$B$2:$AO$39,ROW()-1,MATCH(T$1&amp;"_较响",'代表咚声数据'!$B$1:$AO$1,0)),""))</x:f>
      </x:c>
      <x:c r="U18" t="str">
        <x:f>IF(U$1="","",IFERROR(INDEX('代表咚声数据'!$B$2:$AO$39,ROW()-1,MATCH(U$1&amp;"_较响",'代表咚声数据'!$B$1:$AO$1,0)),""))</x:f>
      </x:c>
      <x:c r="V18" t="str">
        <x:f>IF(V$1="","",IFERROR(INDEX('代表咚声数据'!$B$2:$AO$39,ROW()-1,MATCH(V$1&amp;"_较响",'代表咚声数据'!$B$1:$AO$1,0)),""))</x:f>
      </x:c>
      <x:c r="W18" t="str">
        <x:f>IF(W$1="","",IFERROR(INDEX('代表咚声数据'!$B$2:$AO$39,ROW()-1,MATCH(W$1&amp;"_较响",'代表咚声数据'!$B$1:$AO$1,0)),""))</x:f>
      </x:c>
    </x:row>
    <x:row r="19">
      <x:c r="A19" t="n">
        <x:v>1.7000000000000002</x:v>
      </x:c>
      <x:c r="B19" t="n">
        <x:f>IF(B$1="","",IFERROR(INDEX('包络曲线数据'!$B$2:$U$742,ROW()-1,MATCH(B$1,'包络曲线数据'!$B$1:$U$1,0)),""))</x:f>
        <x:v>62.08878258680123</x:v>
      </x:c>
      <x:c r="C19" t="n">
        <x:f>IF(C$1="","",IFERROR(INDEX('包络曲线数据'!$B$2:$U$742,ROW()-1,MATCH(C$1,'包络曲线数据'!$B$1:$U$1,0)),""))</x:f>
        <x:v>50</x:v>
      </x:c>
      <x:c r="D19" t="str">
        <x:f>IF(D$1="","",IFERROR(INDEX('包络曲线数据'!$B$2:$U$742,ROW()-1,MATCH(D$1,'包络曲线数据'!$B$1:$U$1,0)),""))</x:f>
      </x:c>
      <x:c r="E19" t="str">
        <x:f>IF(E$1="","",IFERROR(INDEX('包络曲线数据'!$B$2:$U$742,ROW()-1,MATCH(E$1,'包络曲线数据'!$B$1:$U$1,0)),""))</x:f>
      </x:c>
      <x:c r="F19" t="str">
        <x:f>IF(F$1="","",IFERROR(INDEX('包络曲线数据'!$B$2:$U$742,ROW()-1,MATCH(F$1,'包络曲线数据'!$B$1:$U$1,0)),""))</x:f>
      </x:c>
      <x:c r="G19" t="str">
        <x:f>IF(G$1="","",IFERROR(INDEX('包络曲线数据'!$B$2:$U$742,ROW()-1,MATCH(G$1,'包络曲线数据'!$B$1:$U$1,0)),""))</x:f>
      </x:c>
      <x:c r="I19" t="n">
        <x:v>40.00000000000031</x:v>
      </x:c>
      <x:c r="J19" t="n">
        <x:f>IF(J$1="","",IFERROR(INDEX('代表咚声数据'!$B$2:$AO$39,ROW()-1,MATCH(J$1&amp;"_常见",'代表咚声数据'!$B$1:$AO$1,0)),""))</x:f>
        <x:v>67.30391588699392</x:v>
      </x:c>
      <x:c r="K19" t="n">
        <x:f>IF(K$1="","",IFERROR(INDEX('代表咚声数据'!$B$2:$AO$39,ROW()-1,MATCH(K$1&amp;"_常见",'代表咚声数据'!$B$1:$AO$1,0)),""))</x:f>
        <x:v>74.96774498310369</x:v>
      </x:c>
      <x:c r="L19" t="str">
        <x:f>IF(L$1="","",IFERROR(INDEX('代表咚声数据'!$B$2:$AO$39,ROW()-1,MATCH(L$1&amp;"_常见",'代表咚声数据'!$B$1:$AO$1,0)),""))</x:f>
      </x:c>
      <x:c r="M19" t="str">
        <x:f>IF(M$1="","",IFERROR(INDEX('代表咚声数据'!$B$2:$AO$39,ROW()-1,MATCH(M$1&amp;"_常见",'代表咚声数据'!$B$1:$AO$1,0)),""))</x:f>
      </x:c>
      <x:c r="N19" t="str">
        <x:f>IF(N$1="","",IFERROR(INDEX('代表咚声数据'!$B$2:$AO$39,ROW()-1,MATCH(N$1&amp;"_常见",'代表咚声数据'!$B$1:$AO$1,0)),""))</x:f>
      </x:c>
      <x:c r="O19" t="str">
        <x:f>IF(O$1="","",IFERROR(INDEX('代表咚声数据'!$B$2:$AO$39,ROW()-1,MATCH(O$1&amp;"_常见",'代表咚声数据'!$B$1:$AO$1,0)),""))</x:f>
      </x:c>
      <x:c r="Q19" t="n">
        <x:v>40.00000000000031</x:v>
      </x:c>
      <x:c r="R19" t="n">
        <x:f>IF(R$1="","",IFERROR(INDEX('代表咚声数据'!$B$2:$AO$39,ROW()-1,MATCH(R$1&amp;"_较响",'代表咚声数据'!$B$1:$AO$1,0)),""))</x:f>
        <x:v>74.09241479481017</x:v>
      </x:c>
      <x:c r="S19" t="n">
        <x:f>IF(S$1="","",IFERROR(INDEX('代表咚声数据'!$B$2:$AO$39,ROW()-1,MATCH(S$1&amp;"_较响",'代表咚声数据'!$B$1:$AO$1,0)),""))</x:f>
        <x:v>80.17747346789167</x:v>
      </x:c>
      <x:c r="T19" t="str">
        <x:f>IF(T$1="","",IFERROR(INDEX('代表咚声数据'!$B$2:$AO$39,ROW()-1,MATCH(T$1&amp;"_较响",'代表咚声数据'!$B$1:$AO$1,0)),""))</x:f>
      </x:c>
      <x:c r="U19" t="str">
        <x:f>IF(U$1="","",IFERROR(INDEX('代表咚声数据'!$B$2:$AO$39,ROW()-1,MATCH(U$1&amp;"_较响",'代表咚声数据'!$B$1:$AO$1,0)),""))</x:f>
      </x:c>
      <x:c r="V19" t="str">
        <x:f>IF(V$1="","",IFERROR(INDEX('代表咚声数据'!$B$2:$AO$39,ROW()-1,MATCH(V$1&amp;"_较响",'代表咚声数据'!$B$1:$AO$1,0)),""))</x:f>
      </x:c>
      <x:c r="W19" t="str">
        <x:f>IF(W$1="","",IFERROR(INDEX('代表咚声数据'!$B$2:$AO$39,ROW()-1,MATCH(W$1&amp;"_较响",'代表咚声数据'!$B$1:$AO$1,0)),""))</x:f>
      </x:c>
    </x:row>
    <x:row r="20">
      <x:c r="A20" t="n">
        <x:v>1.8</x:v>
      </x:c>
      <x:c r="B20" t="n">
        <x:f>IF(B$1="","",IFERROR(INDEX('包络曲线数据'!$B$2:$U$742,ROW()-1,MATCH(B$1,'包络曲线数据'!$B$1:$U$1,0)),""))</x:f>
        <x:v>62.08878258680123</x:v>
      </x:c>
      <x:c r="C20" t="n">
        <x:f>IF(C$1="","",IFERROR(INDEX('包络曲线数据'!$B$2:$U$742,ROW()-1,MATCH(C$1,'包络曲线数据'!$B$1:$U$1,0)),""))</x:f>
        <x:v>50</x:v>
      </x:c>
      <x:c r="D20" t="str">
        <x:f>IF(D$1="","",IFERROR(INDEX('包络曲线数据'!$B$2:$U$742,ROW()-1,MATCH(D$1,'包络曲线数据'!$B$1:$U$1,0)),""))</x:f>
      </x:c>
      <x:c r="E20" t="str">
        <x:f>IF(E$1="","",IFERROR(INDEX('包络曲线数据'!$B$2:$U$742,ROW()-1,MATCH(E$1,'包络曲线数据'!$B$1:$U$1,0)),""))</x:f>
      </x:c>
      <x:c r="F20" t="str">
        <x:f>IF(F$1="","",IFERROR(INDEX('包络曲线数据'!$B$2:$U$742,ROW()-1,MATCH(F$1,'包络曲线数据'!$B$1:$U$1,0)),""))</x:f>
      </x:c>
      <x:c r="G20" t="str">
        <x:f>IF(G$1="","",IFERROR(INDEX('包络曲线数据'!$B$2:$U$742,ROW()-1,MATCH(G$1,'包络曲线数据'!$B$1:$U$1,0)),""))</x:f>
      </x:c>
      <x:c r="I20" t="n">
        <x:v>60.000000000000334</x:v>
      </x:c>
      <x:c r="J20" t="n">
        <x:f>IF(J$1="","",IFERROR(INDEX('代表咚声数据'!$B$2:$AO$39,ROW()-1,MATCH(J$1&amp;"_常见",'代表咚声数据'!$B$1:$AO$1,0)),""))</x:f>
        <x:v>65.57355264333962</x:v>
      </x:c>
      <x:c r="K20" t="n">
        <x:f>IF(K$1="","",IFERROR(INDEX('代表咚声数据'!$B$2:$AO$39,ROW()-1,MATCH(K$1&amp;"_常见",'代表咚声数据'!$B$1:$AO$1,0)),""))</x:f>
        <x:v>72.84520483131018</x:v>
      </x:c>
      <x:c r="L20" t="str">
        <x:f>IF(L$1="","",IFERROR(INDEX('代表咚声数据'!$B$2:$AO$39,ROW()-1,MATCH(L$1&amp;"_常见",'代表咚声数据'!$B$1:$AO$1,0)),""))</x:f>
      </x:c>
      <x:c r="M20" t="str">
        <x:f>IF(M$1="","",IFERROR(INDEX('代表咚声数据'!$B$2:$AO$39,ROW()-1,MATCH(M$1&amp;"_常见",'代表咚声数据'!$B$1:$AO$1,0)),""))</x:f>
      </x:c>
      <x:c r="N20" t="str">
        <x:f>IF(N$1="","",IFERROR(INDEX('代表咚声数据'!$B$2:$AO$39,ROW()-1,MATCH(N$1&amp;"_常见",'代表咚声数据'!$B$1:$AO$1,0)),""))</x:f>
      </x:c>
      <x:c r="O20" t="str">
        <x:f>IF(O$1="","",IFERROR(INDEX('代表咚声数据'!$B$2:$AO$39,ROW()-1,MATCH(O$1&amp;"_常见",'代表咚声数据'!$B$1:$AO$1,0)),""))</x:f>
      </x:c>
      <x:c r="Q20" t="n">
        <x:v>60.000000000000334</x:v>
      </x:c>
      <x:c r="R20" t="n">
        <x:f>IF(R$1="","",IFERROR(INDEX('代表咚声数据'!$B$2:$AO$39,ROW()-1,MATCH(R$1&amp;"_较响",'代表咚声数据'!$B$1:$AO$1,0)),""))</x:f>
        <x:v>73.57320509355043</x:v>
      </x:c>
      <x:c r="S20" t="n">
        <x:f>IF(S$1="","",IFERROR(INDEX('代表咚声数据'!$B$2:$AO$39,ROW()-1,MATCH(S$1&amp;"_较响",'代表咚声数据'!$B$1:$AO$1,0)),""))</x:f>
        <x:v>78.35937307936342</x:v>
      </x:c>
      <x:c r="T20" t="str">
        <x:f>IF(T$1="","",IFERROR(INDEX('代表咚声数据'!$B$2:$AO$39,ROW()-1,MATCH(T$1&amp;"_较响",'代表咚声数据'!$B$1:$AO$1,0)),""))</x:f>
      </x:c>
      <x:c r="U20" t="str">
        <x:f>IF(U$1="","",IFERROR(INDEX('代表咚声数据'!$B$2:$AO$39,ROW()-1,MATCH(U$1&amp;"_较响",'代表咚声数据'!$B$1:$AO$1,0)),""))</x:f>
      </x:c>
      <x:c r="V20" t="str">
        <x:f>IF(V$1="","",IFERROR(INDEX('代表咚声数据'!$B$2:$AO$39,ROW()-1,MATCH(V$1&amp;"_较响",'代表咚声数据'!$B$1:$AO$1,0)),""))</x:f>
      </x:c>
      <x:c r="W20" t="str">
        <x:f>IF(W$1="","",IFERROR(INDEX('代表咚声数据'!$B$2:$AO$39,ROW()-1,MATCH(W$1&amp;"_较响",'代表咚声数据'!$B$1:$AO$1,0)),""))</x:f>
      </x:c>
    </x:row>
    <x:row r="21">
      <x:c r="A21" t="n">
        <x:v>1.9000000000000001</x:v>
      </x:c>
      <x:c r="B21" t="n">
        <x:f>IF(B$1="","",IFERROR(INDEX('包络曲线数据'!$B$2:$U$742,ROW()-1,MATCH(B$1,'包络曲线数据'!$B$1:$U$1,0)),""))</x:f>
        <x:v>60.03140581727936</x:v>
      </x:c>
      <x:c r="C21" t="n">
        <x:f>IF(C$1="","",IFERROR(INDEX('包络曲线数据'!$B$2:$U$742,ROW()-1,MATCH(C$1,'包络曲线数据'!$B$1:$U$1,0)),""))</x:f>
        <x:v>60.63703835825441</x:v>
      </x:c>
      <x:c r="D21" t="str">
        <x:f>IF(D$1="","",IFERROR(INDEX('包络曲线数据'!$B$2:$U$742,ROW()-1,MATCH(D$1,'包络曲线数据'!$B$1:$U$1,0)),""))</x:f>
      </x:c>
      <x:c r="E21" t="str">
        <x:f>IF(E$1="","",IFERROR(INDEX('包络曲线数据'!$B$2:$U$742,ROW()-1,MATCH(E$1,'包络曲线数据'!$B$1:$U$1,0)),""))</x:f>
      </x:c>
      <x:c r="F21" t="str">
        <x:f>IF(F$1="","",IFERROR(INDEX('包络曲线数据'!$B$2:$U$742,ROW()-1,MATCH(F$1,'包络曲线数据'!$B$1:$U$1,0)),""))</x:f>
      </x:c>
      <x:c r="G21" t="str">
        <x:f>IF(G$1="","",IFERROR(INDEX('包络曲线数据'!$B$2:$U$742,ROW()-1,MATCH(G$1,'包络曲线数据'!$B$1:$U$1,0)),""))</x:f>
      </x:c>
      <x:c r="I21" t="n">
        <x:v>80.00000000000036</x:v>
      </x:c>
      <x:c r="J21" t="n">
        <x:f>IF(J$1="","",IFERROR(INDEX('代表咚声数据'!$B$2:$AO$39,ROW()-1,MATCH(J$1&amp;"_常见",'代表咚声数据'!$B$1:$AO$1,0)),""))</x:f>
        <x:v>64.40861155905695</x:v>
      </x:c>
      <x:c r="K21" t="n">
        <x:f>IF(K$1="","",IFERROR(INDEX('代表咚声数据'!$B$2:$AO$39,ROW()-1,MATCH(K$1&amp;"_常见",'代表咚声数据'!$B$1:$AO$1,0)),""))</x:f>
        <x:v>72.20754067335447</x:v>
      </x:c>
      <x:c r="L21" t="str">
        <x:f>IF(L$1="","",IFERROR(INDEX('代表咚声数据'!$B$2:$AO$39,ROW()-1,MATCH(L$1&amp;"_常见",'代表咚声数据'!$B$1:$AO$1,0)),""))</x:f>
      </x:c>
      <x:c r="M21" t="str">
        <x:f>IF(M$1="","",IFERROR(INDEX('代表咚声数据'!$B$2:$AO$39,ROW()-1,MATCH(M$1&amp;"_常见",'代表咚声数据'!$B$1:$AO$1,0)),""))</x:f>
      </x:c>
      <x:c r="N21" t="str">
        <x:f>IF(N$1="","",IFERROR(INDEX('代表咚声数据'!$B$2:$AO$39,ROW()-1,MATCH(N$1&amp;"_常见",'代表咚声数据'!$B$1:$AO$1,0)),""))</x:f>
      </x:c>
      <x:c r="O21" t="str">
        <x:f>IF(O$1="","",IFERROR(INDEX('代表咚声数据'!$B$2:$AO$39,ROW()-1,MATCH(O$1&amp;"_常见",'代表咚声数据'!$B$1:$AO$1,0)),""))</x:f>
      </x:c>
      <x:c r="Q21" t="n">
        <x:v>80.00000000000036</x:v>
      </x:c>
      <x:c r="R21" t="n">
        <x:f>IF(R$1="","",IFERROR(INDEX('代表咚声数据'!$B$2:$AO$39,ROW()-1,MATCH(R$1&amp;"_较响",'代表咚声数据'!$B$1:$AO$1,0)),""))</x:f>
        <x:v>73.20000602233797</x:v>
      </x:c>
      <x:c r="S21" t="n">
        <x:f>IF(S$1="","",IFERROR(INDEX('代表咚声数据'!$B$2:$AO$39,ROW()-1,MATCH(S$1&amp;"_较响",'代表咚声数据'!$B$1:$AO$1,0)),""))</x:f>
        <x:v>76.6608525235295</x:v>
      </x:c>
      <x:c r="T21" t="str">
        <x:f>IF(T$1="","",IFERROR(INDEX('代表咚声数据'!$B$2:$AO$39,ROW()-1,MATCH(T$1&amp;"_较响",'代表咚声数据'!$B$1:$AO$1,0)),""))</x:f>
      </x:c>
      <x:c r="U21" t="str">
        <x:f>IF(U$1="","",IFERROR(INDEX('代表咚声数据'!$B$2:$AO$39,ROW()-1,MATCH(U$1&amp;"_较响",'代表咚声数据'!$B$1:$AO$1,0)),""))</x:f>
      </x:c>
      <x:c r="V21" t="str">
        <x:f>IF(V$1="","",IFERROR(INDEX('代表咚声数据'!$B$2:$AO$39,ROW()-1,MATCH(V$1&amp;"_较响",'代表咚声数据'!$B$1:$AO$1,0)),""))</x:f>
      </x:c>
      <x:c r="W21" t="str">
        <x:f>IF(W$1="","",IFERROR(INDEX('代表咚声数据'!$B$2:$AO$39,ROW()-1,MATCH(W$1&amp;"_较响",'代表咚声数据'!$B$1:$AO$1,0)),""))</x:f>
      </x:c>
    </x:row>
    <x:row r="22">
      <x:c r="A22" t="n">
        <x:v>2</x:v>
      </x:c>
      <x:c r="B22" t="n">
        <x:f>IF(B$1="","",IFERROR(INDEX('包络曲线数据'!$B$2:$U$742,ROW()-1,MATCH(B$1,'包络曲线数据'!$B$1:$U$1,0)),""))</x:f>
        <x:v>62.052620321322806</x:v>
      </x:c>
      <x:c r="C22" t="n">
        <x:f>IF(C$1="","",IFERROR(INDEX('包络曲线数据'!$B$2:$U$742,ROW()-1,MATCH(C$1,'包络曲线数据'!$B$1:$U$1,0)),""))</x:f>
        <x:v>71.27407671650879</x:v>
      </x:c>
      <x:c r="D22" t="str">
        <x:f>IF(D$1="","",IFERROR(INDEX('包络曲线数据'!$B$2:$U$742,ROW()-1,MATCH(D$1,'包络曲线数据'!$B$1:$U$1,0)),""))</x:f>
      </x:c>
      <x:c r="E22" t="str">
        <x:f>IF(E$1="","",IFERROR(INDEX('包络曲线数据'!$B$2:$U$742,ROW()-1,MATCH(E$1,'包络曲线数据'!$B$1:$U$1,0)),""))</x:f>
      </x:c>
      <x:c r="F22" t="str">
        <x:f>IF(F$1="","",IFERROR(INDEX('包络曲线数据'!$B$2:$U$742,ROW()-1,MATCH(F$1,'包络曲线数据'!$B$1:$U$1,0)),""))</x:f>
      </x:c>
      <x:c r="G22" t="str">
        <x:f>IF(G$1="","",IFERROR(INDEX('包络曲线数据'!$B$2:$U$742,ROW()-1,MATCH(G$1,'包络曲线数据'!$B$1:$U$1,0)),""))</x:f>
      </x:c>
      <x:c r="I22" t="n">
        <x:v>100.00000000000037</x:v>
      </x:c>
      <x:c r="J22" t="n">
        <x:f>IF(J$1="","",IFERROR(INDEX('代表咚声数据'!$B$2:$AO$39,ROW()-1,MATCH(J$1&amp;"_常见",'代表咚声数据'!$B$1:$AO$1,0)),""))</x:f>
        <x:v>62.89745602705032</x:v>
      </x:c>
      <x:c r="K22" t="n">
        <x:f>IF(K$1="","",IFERROR(INDEX('代表咚声数据'!$B$2:$AO$39,ROW()-1,MATCH(K$1&amp;"_常见",'代表咚声数据'!$B$1:$AO$1,0)),""))</x:f>
        <x:v>71.50483007451068</x:v>
      </x:c>
      <x:c r="L22" t="str">
        <x:f>IF(L$1="","",IFERROR(INDEX('代表咚声数据'!$B$2:$AO$39,ROW()-1,MATCH(L$1&amp;"_常见",'代表咚声数据'!$B$1:$AO$1,0)),""))</x:f>
      </x:c>
      <x:c r="M22" t="str">
        <x:f>IF(M$1="","",IFERROR(INDEX('代表咚声数据'!$B$2:$AO$39,ROW()-1,MATCH(M$1&amp;"_常见",'代表咚声数据'!$B$1:$AO$1,0)),""))</x:f>
      </x:c>
      <x:c r="N22" t="str">
        <x:f>IF(N$1="","",IFERROR(INDEX('代表咚声数据'!$B$2:$AO$39,ROW()-1,MATCH(N$1&amp;"_常见",'代表咚声数据'!$B$1:$AO$1,0)),""))</x:f>
      </x:c>
      <x:c r="O22" t="str">
        <x:f>IF(O$1="","",IFERROR(INDEX('代表咚声数据'!$B$2:$AO$39,ROW()-1,MATCH(O$1&amp;"_常见",'代表咚声数据'!$B$1:$AO$1,0)),""))</x:f>
      </x:c>
      <x:c r="Q22" t="n">
        <x:v>100.00000000000037</x:v>
      </x:c>
      <x:c r="R22" t="n">
        <x:f>IF(R$1="","",IFERROR(INDEX('代表咚声数据'!$B$2:$AO$39,ROW()-1,MATCH(R$1&amp;"_较响",'代表咚声数据'!$B$1:$AO$1,0)),""))</x:f>
        <x:v>71.83820083003032</x:v>
      </x:c>
      <x:c r="S22" t="n">
        <x:f>IF(S$1="","",IFERROR(INDEX('代表咚声数据'!$B$2:$AO$39,ROW()-1,MATCH(S$1&amp;"_较响",'代表咚声数据'!$B$1:$AO$1,0)),""))</x:f>
        <x:v>75.55359117179614</x:v>
      </x:c>
      <x:c r="T22" t="str">
        <x:f>IF(T$1="","",IFERROR(INDEX('代表咚声数据'!$B$2:$AO$39,ROW()-1,MATCH(T$1&amp;"_较响",'代表咚声数据'!$B$1:$AO$1,0)),""))</x:f>
      </x:c>
      <x:c r="U22" t="str">
        <x:f>IF(U$1="","",IFERROR(INDEX('代表咚声数据'!$B$2:$AO$39,ROW()-1,MATCH(U$1&amp;"_较响",'代表咚声数据'!$B$1:$AO$1,0)),""))</x:f>
      </x:c>
      <x:c r="V22" t="str">
        <x:f>IF(V$1="","",IFERROR(INDEX('代表咚声数据'!$B$2:$AO$39,ROW()-1,MATCH(V$1&amp;"_较响",'代表咚声数据'!$B$1:$AO$1,0)),""))</x:f>
      </x:c>
      <x:c r="W22" t="str">
        <x:f>IF(W$1="","",IFERROR(INDEX('代表咚声数据'!$B$2:$AO$39,ROW()-1,MATCH(W$1&amp;"_较响",'代表咚声数据'!$B$1:$AO$1,0)),""))</x:f>
      </x:c>
    </x:row>
    <x:row r="23">
      <x:c r="A23" t="n">
        <x:v>2.1</x:v>
      </x:c>
      <x:c r="B23" t="n">
        <x:f>IF(B$1="","",IFERROR(INDEX('包络曲线数据'!$B$2:$U$742,ROW()-1,MATCH(B$1,'包络曲线数据'!$B$1:$U$1,0)),""))</x:f>
        <x:v>62.052620321322806</x:v>
      </x:c>
      <x:c r="C23" t="n">
        <x:f>IF(C$1="","",IFERROR(INDEX('包络曲线数据'!$B$2:$U$742,ROW()-1,MATCH(C$1,'包络曲线数据'!$B$1:$U$1,0)),""))</x:f>
        <x:v>74.00686887991509</x:v>
      </x:c>
      <x:c r="D23" t="str">
        <x:f>IF(D$1="","",IFERROR(INDEX('包络曲线数据'!$B$2:$U$742,ROW()-1,MATCH(D$1,'包络曲线数据'!$B$1:$U$1,0)),""))</x:f>
      </x:c>
      <x:c r="E23" t="str">
        <x:f>IF(E$1="","",IFERROR(INDEX('包络曲线数据'!$B$2:$U$742,ROW()-1,MATCH(E$1,'包络曲线数据'!$B$1:$U$1,0)),""))</x:f>
      </x:c>
      <x:c r="F23" t="str">
        <x:f>IF(F$1="","",IFERROR(INDEX('包络曲线数据'!$B$2:$U$742,ROW()-1,MATCH(F$1,'包络曲线数据'!$B$1:$U$1,0)),""))</x:f>
      </x:c>
      <x:c r="G23" t="str">
        <x:f>IF(G$1="","",IFERROR(INDEX('包络曲线数据'!$B$2:$U$742,ROW()-1,MATCH(G$1,'包络曲线数据'!$B$1:$U$1,0)),""))</x:f>
      </x:c>
      <x:c r="I23" t="n">
        <x:v>120.00000000000038</x:v>
      </x:c>
      <x:c r="J23" t="n">
        <x:f>IF(J$1="","",IFERROR(INDEX('代表咚声数据'!$B$2:$AO$39,ROW()-1,MATCH(J$1&amp;"_常见",'代表咚声数据'!$B$1:$AO$1,0)),""))</x:f>
        <x:v>62.773308370179386</x:v>
      </x:c>
      <x:c r="K23" t="n">
        <x:f>IF(K$1="","",IFERROR(INDEX('代表咚声数据'!$B$2:$AO$39,ROW()-1,MATCH(K$1&amp;"_常见",'代表咚声数据'!$B$1:$AO$1,0)),""))</x:f>
        <x:v>70.31219291454975</x:v>
      </x:c>
      <x:c r="L23" t="str">
        <x:f>IF(L$1="","",IFERROR(INDEX('代表咚声数据'!$B$2:$AO$39,ROW()-1,MATCH(L$1&amp;"_常见",'代表咚声数据'!$B$1:$AO$1,0)),""))</x:f>
      </x:c>
      <x:c r="M23" t="str">
        <x:f>IF(M$1="","",IFERROR(INDEX('代表咚声数据'!$B$2:$AO$39,ROW()-1,MATCH(M$1&amp;"_常见",'代表咚声数据'!$B$1:$AO$1,0)),""))</x:f>
      </x:c>
      <x:c r="N23" t="str">
        <x:f>IF(N$1="","",IFERROR(INDEX('代表咚声数据'!$B$2:$AO$39,ROW()-1,MATCH(N$1&amp;"_常见",'代表咚声数据'!$B$1:$AO$1,0)),""))</x:f>
      </x:c>
      <x:c r="O23" t="str">
        <x:f>IF(O$1="","",IFERROR(INDEX('代表咚声数据'!$B$2:$AO$39,ROW()-1,MATCH(O$1&amp;"_常见",'代表咚声数据'!$B$1:$AO$1,0)),""))</x:f>
      </x:c>
      <x:c r="Q23" t="n">
        <x:v>120.00000000000038</x:v>
      </x:c>
      <x:c r="R23" t="n">
        <x:f>IF(R$1="","",IFERROR(INDEX('代表咚声数据'!$B$2:$AO$39,ROW()-1,MATCH(R$1&amp;"_较响",'代表咚声数据'!$B$1:$AO$1,0)),""))</x:f>
        <x:v>70.31932397093931</x:v>
      </x:c>
      <x:c r="S23" t="n">
        <x:f>IF(S$1="","",IFERROR(INDEX('代表咚声数据'!$B$2:$AO$39,ROW()-1,MATCH(S$1&amp;"_较响",'代表咚声数据'!$B$1:$AO$1,0)),""))</x:f>
        <x:v>74.4963777514842</x:v>
      </x:c>
      <x:c r="T23" t="str">
        <x:f>IF(T$1="","",IFERROR(INDEX('代表咚声数据'!$B$2:$AO$39,ROW()-1,MATCH(T$1&amp;"_较响",'代表咚声数据'!$B$1:$AO$1,0)),""))</x:f>
      </x:c>
      <x:c r="U23" t="str">
        <x:f>IF(U$1="","",IFERROR(INDEX('代表咚声数据'!$B$2:$AO$39,ROW()-1,MATCH(U$1&amp;"_较响",'代表咚声数据'!$B$1:$AO$1,0)),""))</x:f>
      </x:c>
      <x:c r="V23" t="str">
        <x:f>IF(V$1="","",IFERROR(INDEX('代表咚声数据'!$B$2:$AO$39,ROW()-1,MATCH(V$1&amp;"_较响",'代表咚声数据'!$B$1:$AO$1,0)),""))</x:f>
      </x:c>
      <x:c r="W23" t="str">
        <x:f>IF(W$1="","",IFERROR(INDEX('代表咚声数据'!$B$2:$AO$39,ROW()-1,MATCH(W$1&amp;"_较响",'代表咚声数据'!$B$1:$AO$1,0)),""))</x:f>
      </x:c>
    </x:row>
    <x:row r="24">
      <x:c r="A24" t="n">
        <x:v>2.2</x:v>
      </x:c>
      <x:c r="B24" t="n">
        <x:f>IF(B$1="","",IFERROR(INDEX('包络曲线数据'!$B$2:$U$742,ROW()-1,MATCH(B$1,'包络曲线数据'!$B$1:$U$1,0)),""))</x:f>
        <x:v>61.552952489089996</x:v>
      </x:c>
      <x:c r="C24" t="n">
        <x:f>IF(C$1="","",IFERROR(INDEX('包络曲线数据'!$B$2:$U$742,ROW()-1,MATCH(C$1,'包络曲线数据'!$B$1:$U$1,0)),""))</x:f>
        <x:v>76.22125552198871</x:v>
      </x:c>
      <x:c r="D24" t="str">
        <x:f>IF(D$1="","",IFERROR(INDEX('包络曲线数据'!$B$2:$U$742,ROW()-1,MATCH(D$1,'包络曲线数据'!$B$1:$U$1,0)),""))</x:f>
      </x:c>
      <x:c r="E24" t="str">
        <x:f>IF(E$1="","",IFERROR(INDEX('包络曲线数据'!$B$2:$U$742,ROW()-1,MATCH(E$1,'包络曲线数据'!$B$1:$U$1,0)),""))</x:f>
      </x:c>
      <x:c r="F24" t="str">
        <x:f>IF(F$1="","",IFERROR(INDEX('包络曲线数据'!$B$2:$U$742,ROW()-1,MATCH(F$1,'包络曲线数据'!$B$1:$U$1,0)),""))</x:f>
      </x:c>
      <x:c r="G24" t="str">
        <x:f>IF(G$1="","",IFERROR(INDEX('包络曲线数据'!$B$2:$U$742,ROW()-1,MATCH(G$1,'包络曲线数据'!$B$1:$U$1,0)),""))</x:f>
      </x:c>
      <x:c r="I24" t="n">
        <x:v>140.0000000000004</x:v>
      </x:c>
      <x:c r="J24" t="n">
        <x:f>IF(J$1="","",IFERROR(INDEX('代表咚声数据'!$B$2:$AO$39,ROW()-1,MATCH(J$1&amp;"_常见",'代表咚声数据'!$B$1:$AO$1,0)),""))</x:f>
        <x:v>62.06347915381105</x:v>
      </x:c>
      <x:c r="K24" t="n">
        <x:f>IF(K$1="","",IFERROR(INDEX('代表咚声数据'!$B$2:$AO$39,ROW()-1,MATCH(K$1&amp;"_常见",'代表咚声数据'!$B$1:$AO$1,0)),""))</x:f>
        <x:v>69.4421445567284</x:v>
      </x:c>
      <x:c r="L24" t="str">
        <x:f>IF(L$1="","",IFERROR(INDEX('代表咚声数据'!$B$2:$AO$39,ROW()-1,MATCH(L$1&amp;"_常见",'代表咚声数据'!$B$1:$AO$1,0)),""))</x:f>
      </x:c>
      <x:c r="M24" t="str">
        <x:f>IF(M$1="","",IFERROR(INDEX('代表咚声数据'!$B$2:$AO$39,ROW()-1,MATCH(M$1&amp;"_常见",'代表咚声数据'!$B$1:$AO$1,0)),""))</x:f>
      </x:c>
      <x:c r="N24" t="str">
        <x:f>IF(N$1="","",IFERROR(INDEX('代表咚声数据'!$B$2:$AO$39,ROW()-1,MATCH(N$1&amp;"_常见",'代表咚声数据'!$B$1:$AO$1,0)),""))</x:f>
      </x:c>
      <x:c r="O24" t="str">
        <x:f>IF(O$1="","",IFERROR(INDEX('代表咚声数据'!$B$2:$AO$39,ROW()-1,MATCH(O$1&amp;"_常见",'代表咚声数据'!$B$1:$AO$1,0)),""))</x:f>
      </x:c>
      <x:c r="Q24" t="n">
        <x:v>140.0000000000004</x:v>
      </x:c>
      <x:c r="R24" t="n">
        <x:f>IF(R$1="","",IFERROR(INDEX('代表咚声数据'!$B$2:$AO$39,ROW()-1,MATCH(R$1&amp;"_较响",'代表咚声数据'!$B$1:$AO$1,0)),""))</x:f>
        <x:v>67.18900972642447</x:v>
      </x:c>
      <x:c r="S24" t="n">
        <x:f>IF(S$1="","",IFERROR(INDEX('代表咚声数据'!$B$2:$AO$39,ROW()-1,MATCH(S$1&amp;"_较响",'代表咚声数据'!$B$1:$AO$1,0)),""))</x:f>
        <x:v>72.8887913694837</x:v>
      </x:c>
      <x:c r="T24" t="str">
        <x:f>IF(T$1="","",IFERROR(INDEX('代表咚声数据'!$B$2:$AO$39,ROW()-1,MATCH(T$1&amp;"_较响",'代表咚声数据'!$B$1:$AO$1,0)),""))</x:f>
      </x:c>
      <x:c r="U24" t="str">
        <x:f>IF(U$1="","",IFERROR(INDEX('代表咚声数据'!$B$2:$AO$39,ROW()-1,MATCH(U$1&amp;"_较响",'代表咚声数据'!$B$1:$AO$1,0)),""))</x:f>
      </x:c>
      <x:c r="V24" t="str">
        <x:f>IF(V$1="","",IFERROR(INDEX('代表咚声数据'!$B$2:$AO$39,ROW()-1,MATCH(V$1&amp;"_较响",'代表咚声数据'!$B$1:$AO$1,0)),""))</x:f>
      </x:c>
      <x:c r="W24" t="str">
        <x:f>IF(W$1="","",IFERROR(INDEX('代表咚声数据'!$B$2:$AO$39,ROW()-1,MATCH(W$1&amp;"_较响",'代表咚声数据'!$B$1:$AO$1,0)),""))</x:f>
      </x:c>
    </x:row>
    <x:row r="25">
      <x:c r="A25" t="n">
        <x:v>2.3000000000000003</x:v>
      </x:c>
      <x:c r="B25" t="n">
        <x:f>IF(B$1="","",IFERROR(INDEX('包络曲线数据'!$B$2:$U$742,ROW()-1,MATCH(B$1,'包络曲线数据'!$B$1:$U$1,0)),""))</x:f>
        <x:v>61.10362100399614</x:v>
      </x:c>
      <x:c r="C25" t="n">
        <x:f>IF(C$1="","",IFERROR(INDEX('包络曲线数据'!$B$2:$U$742,ROW()-1,MATCH(C$1,'包络曲线数据'!$B$1:$U$1,0)),""))</x:f>
        <x:v>76.22125552198871</x:v>
      </x:c>
      <x:c r="D25" t="str">
        <x:f>IF(D$1="","",IFERROR(INDEX('包络曲线数据'!$B$2:$U$742,ROW()-1,MATCH(D$1,'包络曲线数据'!$B$1:$U$1,0)),""))</x:f>
      </x:c>
      <x:c r="E25" t="str">
        <x:f>IF(E$1="","",IFERROR(INDEX('包络曲线数据'!$B$2:$U$742,ROW()-1,MATCH(E$1,'包络曲线数据'!$B$1:$U$1,0)),""))</x:f>
      </x:c>
      <x:c r="F25" t="str">
        <x:f>IF(F$1="","",IFERROR(INDEX('包络曲线数据'!$B$2:$U$742,ROW()-1,MATCH(F$1,'包络曲线数据'!$B$1:$U$1,0)),""))</x:f>
      </x:c>
      <x:c r="G25" t="str">
        <x:f>IF(G$1="","",IFERROR(INDEX('包络曲线数据'!$B$2:$U$742,ROW()-1,MATCH(G$1,'包络曲线数据'!$B$1:$U$1,0)),""))</x:f>
      </x:c>
      <x:c r="I25" t="n">
        <x:v>160.00000000000043</x:v>
      </x:c>
      <x:c r="J25" t="n">
        <x:f>IF(J$1="","",IFERROR(INDEX('代表咚声数据'!$B$2:$AO$39,ROW()-1,MATCH(J$1&amp;"_常见",'代表咚声数据'!$B$1:$AO$1,0)),""))</x:f>
        <x:v>62.189789229218775</x:v>
      </x:c>
      <x:c r="K25" t="n">
        <x:f>IF(K$1="","",IFERROR(INDEX('代表咚声数据'!$B$2:$AO$39,ROW()-1,MATCH(K$1&amp;"_常见",'代表咚声数据'!$B$1:$AO$1,0)),""))</x:f>
        <x:v>68.55720692583452</x:v>
      </x:c>
      <x:c r="L25" t="str">
        <x:f>IF(L$1="","",IFERROR(INDEX('代表咚声数据'!$B$2:$AO$39,ROW()-1,MATCH(L$1&amp;"_常见",'代表咚声数据'!$B$1:$AO$1,0)),""))</x:f>
      </x:c>
      <x:c r="M25" t="str">
        <x:f>IF(M$1="","",IFERROR(INDEX('代表咚声数据'!$B$2:$AO$39,ROW()-1,MATCH(M$1&amp;"_常见",'代表咚声数据'!$B$1:$AO$1,0)),""))</x:f>
      </x:c>
      <x:c r="N25" t="str">
        <x:f>IF(N$1="","",IFERROR(INDEX('代表咚声数据'!$B$2:$AO$39,ROW()-1,MATCH(N$1&amp;"_常见",'代表咚声数据'!$B$1:$AO$1,0)),""))</x:f>
      </x:c>
      <x:c r="O25" t="str">
        <x:f>IF(O$1="","",IFERROR(INDEX('代表咚声数据'!$B$2:$AO$39,ROW()-1,MATCH(O$1&amp;"_常见",'代表咚声数据'!$B$1:$AO$1,0)),""))</x:f>
      </x:c>
      <x:c r="Q25" t="n">
        <x:v>160.00000000000043</x:v>
      </x:c>
      <x:c r="R25" t="n">
        <x:f>IF(R$1="","",IFERROR(INDEX('代表咚声数据'!$B$2:$AO$39,ROW()-1,MATCH(R$1&amp;"_较响",'代表咚声数据'!$B$1:$AO$1,0)),""))</x:f>
        <x:v>64.73188781447935</x:v>
      </x:c>
      <x:c r="S25" t="n">
        <x:f>IF(S$1="","",IFERROR(INDEX('代表咚声数据'!$B$2:$AO$39,ROW()-1,MATCH(S$1&amp;"_较响",'代表咚声数据'!$B$1:$AO$1,0)),""))</x:f>
        <x:v>69.78458467954556</x:v>
      </x:c>
      <x:c r="T25" t="str">
        <x:f>IF(T$1="","",IFERROR(INDEX('代表咚声数据'!$B$2:$AO$39,ROW()-1,MATCH(T$1&amp;"_较响",'代表咚声数据'!$B$1:$AO$1,0)),""))</x:f>
      </x:c>
      <x:c r="U25" t="str">
        <x:f>IF(U$1="","",IFERROR(INDEX('代表咚声数据'!$B$2:$AO$39,ROW()-1,MATCH(U$1&amp;"_较响",'代表咚声数据'!$B$1:$AO$1,0)),""))</x:f>
      </x:c>
      <x:c r="V25" t="str">
        <x:f>IF(V$1="","",IFERROR(INDEX('代表咚声数据'!$B$2:$AO$39,ROW()-1,MATCH(V$1&amp;"_较响",'代表咚声数据'!$B$1:$AO$1,0)),""))</x:f>
      </x:c>
      <x:c r="W25" t="str">
        <x:f>IF(W$1="","",IFERROR(INDEX('代表咚声数据'!$B$2:$AO$39,ROW()-1,MATCH(W$1&amp;"_较响",'代表咚声数据'!$B$1:$AO$1,0)),""))</x:f>
      </x:c>
    </x:row>
    <x:row r="26">
      <x:c r="A26" t="n">
        <x:v>2.4000000000000004</x:v>
      </x:c>
      <x:c r="B26" t="n">
        <x:f>IF(B$1="","",IFERROR(INDEX('包络曲线数据'!$B$2:$U$742,ROW()-1,MATCH(B$1,'包络曲线数据'!$B$1:$U$1,0)),""))</x:f>
        <x:v>72.05367469521968</x:v>
      </x:c>
      <x:c r="C26" t="n">
        <x:f>IF(C$1="","",IFERROR(INDEX('包络曲线数据'!$B$2:$U$742,ROW()-1,MATCH(C$1,'包络曲线数据'!$B$1:$U$1,0)),""))</x:f>
        <x:v>67.23743553295925</x:v>
      </x:c>
      <x:c r="D26" t="str">
        <x:f>IF(D$1="","",IFERROR(INDEX('包络曲线数据'!$B$2:$U$742,ROW()-1,MATCH(D$1,'包络曲线数据'!$B$1:$U$1,0)),""))</x:f>
      </x:c>
      <x:c r="E26" t="str">
        <x:f>IF(E$1="","",IFERROR(INDEX('包络曲线数据'!$B$2:$U$742,ROW()-1,MATCH(E$1,'包络曲线数据'!$B$1:$U$1,0)),""))</x:f>
      </x:c>
      <x:c r="F26" t="str">
        <x:f>IF(F$1="","",IFERROR(INDEX('包络曲线数据'!$B$2:$U$742,ROW()-1,MATCH(F$1,'包络曲线数据'!$B$1:$U$1,0)),""))</x:f>
      </x:c>
      <x:c r="G26" t="str">
        <x:f>IF(G$1="","",IFERROR(INDEX('包络曲线数据'!$B$2:$U$742,ROW()-1,MATCH(G$1,'包络曲线数据'!$B$1:$U$1,0)),""))</x:f>
      </x:c>
      <x:c r="I26" t="n">
        <x:v>180.00000000000043</x:v>
      </x:c>
      <x:c r="J26" t="n">
        <x:f>IF(J$1="","",IFERROR(INDEX('代表咚声数据'!$B$2:$AO$39,ROW()-1,MATCH(J$1&amp;"_常见",'代表咚声数据'!$B$1:$AO$1,0)),""))</x:f>
        <x:v>61.89322454036715</x:v>
      </x:c>
      <x:c r="K26" t="n">
        <x:f>IF(K$1="","",IFERROR(INDEX('代表咚声数据'!$B$2:$AO$39,ROW()-1,MATCH(K$1&amp;"_常见",'代表咚声数据'!$B$1:$AO$1,0)),""))</x:f>
        <x:v>68.14635824508939</x:v>
      </x:c>
      <x:c r="L26" t="str">
        <x:f>IF(L$1="","",IFERROR(INDEX('代表咚声数据'!$B$2:$AO$39,ROW()-1,MATCH(L$1&amp;"_常见",'代表咚声数据'!$B$1:$AO$1,0)),""))</x:f>
      </x:c>
      <x:c r="M26" t="str">
        <x:f>IF(M$1="","",IFERROR(INDEX('代表咚声数据'!$B$2:$AO$39,ROW()-1,MATCH(M$1&amp;"_常见",'代表咚声数据'!$B$1:$AO$1,0)),""))</x:f>
      </x:c>
      <x:c r="N26" t="str">
        <x:f>IF(N$1="","",IFERROR(INDEX('代表咚声数据'!$B$2:$AO$39,ROW()-1,MATCH(N$1&amp;"_常见",'代表咚声数据'!$B$1:$AO$1,0)),""))</x:f>
      </x:c>
      <x:c r="O26" t="str">
        <x:f>IF(O$1="","",IFERROR(INDEX('代表咚声数据'!$B$2:$AO$39,ROW()-1,MATCH(O$1&amp;"_常见",'代表咚声数据'!$B$1:$AO$1,0)),""))</x:f>
      </x:c>
      <x:c r="Q26" t="n">
        <x:v>180.00000000000043</x:v>
      </x:c>
      <x:c r="R26" t="n">
        <x:f>IF(R$1="","",IFERROR(INDEX('代表咚声数据'!$B$2:$AO$39,ROW()-1,MATCH(R$1&amp;"_较响",'代表咚声数据'!$B$1:$AO$1,0)),""))</x:f>
        <x:v>64.49720146663286</x:v>
      </x:c>
      <x:c r="S26" t="n">
        <x:f>IF(S$1="","",IFERROR(INDEX('代表咚声数据'!$B$2:$AO$39,ROW()-1,MATCH(S$1&amp;"_较响",'代表咚声数据'!$B$1:$AO$1,0)),""))</x:f>
        <x:v>68.56824552092213</x:v>
      </x:c>
      <x:c r="T26" t="str">
        <x:f>IF(T$1="","",IFERROR(INDEX('代表咚声数据'!$B$2:$AO$39,ROW()-1,MATCH(T$1&amp;"_较响",'代表咚声数据'!$B$1:$AO$1,0)),""))</x:f>
      </x:c>
      <x:c r="U26" t="str">
        <x:f>IF(U$1="","",IFERROR(INDEX('代表咚声数据'!$B$2:$AO$39,ROW()-1,MATCH(U$1&amp;"_较响",'代表咚声数据'!$B$1:$AO$1,0)),""))</x:f>
      </x:c>
      <x:c r="V26" t="str">
        <x:f>IF(V$1="","",IFERROR(INDEX('代表咚声数据'!$B$2:$AO$39,ROW()-1,MATCH(V$1&amp;"_较响",'代表咚声数据'!$B$1:$AO$1,0)),""))</x:f>
      </x:c>
      <x:c r="W26" t="str">
        <x:f>IF(W$1="","",IFERROR(INDEX('代表咚声数据'!$B$2:$AO$39,ROW()-1,MATCH(W$1&amp;"_较响",'代表咚声数据'!$B$1:$AO$1,0)),""))</x:f>
      </x:c>
    </x:row>
    <x:row r="27">
      <x:c r="A27" t="n">
        <x:v>2.5</x:v>
      </x:c>
      <x:c r="B27" t="n">
        <x:f>IF(B$1="","",IFERROR(INDEX('包络曲线数据'!$B$2:$U$742,ROW()-1,MATCH(B$1,'包络曲线数据'!$B$1:$U$1,0)),""))</x:f>
        <x:v>72.30226399527106</x:v>
      </x:c>
      <x:c r="C27" t="n">
        <x:f>IF(C$1="","",IFERROR(INDEX('包络曲线数据'!$B$2:$U$742,ROW()-1,MATCH(C$1,'包络曲线数据'!$B$1:$U$1,0)),""))</x:f>
        <x:v>73.10525019297405</x:v>
      </x:c>
      <x:c r="D27" t="str">
        <x:f>IF(D$1="","",IFERROR(INDEX('包络曲线数据'!$B$2:$U$742,ROW()-1,MATCH(D$1,'包络曲线数据'!$B$1:$U$1,0)),""))</x:f>
      </x:c>
      <x:c r="E27" t="str">
        <x:f>IF(E$1="","",IFERROR(INDEX('包络曲线数据'!$B$2:$U$742,ROW()-1,MATCH(E$1,'包络曲线数据'!$B$1:$U$1,0)),""))</x:f>
      </x:c>
      <x:c r="F27" t="str">
        <x:f>IF(F$1="","",IFERROR(INDEX('包络曲线数据'!$B$2:$U$742,ROW()-1,MATCH(F$1,'包络曲线数据'!$B$1:$U$1,0)),""))</x:f>
      </x:c>
      <x:c r="G27" t="str">
        <x:f>IF(G$1="","",IFERROR(INDEX('包络曲线数据'!$B$2:$U$742,ROW()-1,MATCH(G$1,'包络曲线数据'!$B$1:$U$1,0)),""))</x:f>
      </x:c>
      <x:c r="I27" t="n">
        <x:v>200.00000000000045</x:v>
      </x:c>
      <x:c r="J27" t="n">
        <x:f>IF(J$1="","",IFERROR(INDEX('代表咚声数据'!$B$2:$AO$39,ROW()-1,MATCH(J$1&amp;"_常见",'代表咚声数据'!$B$1:$AO$1,0)),""))</x:f>
        <x:v>60.85083528515799</x:v>
      </x:c>
      <x:c r="K27" t="n">
        <x:f>IF(K$1="","",IFERROR(INDEX('代表咚声数据'!$B$2:$AO$39,ROW()-1,MATCH(K$1&amp;"_常见",'代表咚声数据'!$B$1:$AO$1,0)),""))</x:f>
        <x:v>67.78753474470557</x:v>
      </x:c>
      <x:c r="L27" t="str">
        <x:f>IF(L$1="","",IFERROR(INDEX('代表咚声数据'!$B$2:$AO$39,ROW()-1,MATCH(L$1&amp;"_常见",'代表咚声数据'!$B$1:$AO$1,0)),""))</x:f>
      </x:c>
      <x:c r="M27" t="str">
        <x:f>IF(M$1="","",IFERROR(INDEX('代表咚声数据'!$B$2:$AO$39,ROW()-1,MATCH(M$1&amp;"_常见",'代表咚声数据'!$B$1:$AO$1,0)),""))</x:f>
      </x:c>
      <x:c r="N27" t="str">
        <x:f>IF(N$1="","",IFERROR(INDEX('代表咚声数据'!$B$2:$AO$39,ROW()-1,MATCH(N$1&amp;"_常见",'代表咚声数据'!$B$1:$AO$1,0)),""))</x:f>
      </x:c>
      <x:c r="O27" t="str">
        <x:f>IF(O$1="","",IFERROR(INDEX('代表咚声数据'!$B$2:$AO$39,ROW()-1,MATCH(O$1&amp;"_常见",'代表咚声数据'!$B$1:$AO$1,0)),""))</x:f>
      </x:c>
      <x:c r="Q27" t="n">
        <x:v>200.00000000000045</x:v>
      </x:c>
      <x:c r="R27" t="n">
        <x:f>IF(R$1="","",IFERROR(INDEX('代表咚声数据'!$B$2:$AO$39,ROW()-1,MATCH(R$1&amp;"_较响",'代表咚声数据'!$B$1:$AO$1,0)),""))</x:f>
        <x:v>63.54144229203512</x:v>
      </x:c>
      <x:c r="S27" t="n">
        <x:f>IF(S$1="","",IFERROR(INDEX('代表咚声数据'!$B$2:$AO$39,ROW()-1,MATCH(S$1&amp;"_较响",'代表咚声数据'!$B$1:$AO$1,0)),""))</x:f>
        <x:v>68.07482612392221</x:v>
      </x:c>
      <x:c r="T27" t="str">
        <x:f>IF(T$1="","",IFERROR(INDEX('代表咚声数据'!$B$2:$AO$39,ROW()-1,MATCH(T$1&amp;"_较响",'代表咚声数据'!$B$1:$AO$1,0)),""))</x:f>
      </x:c>
      <x:c r="U27" t="str">
        <x:f>IF(U$1="","",IFERROR(INDEX('代表咚声数据'!$B$2:$AO$39,ROW()-1,MATCH(U$1&amp;"_较响",'代表咚声数据'!$B$1:$AO$1,0)),""))</x:f>
      </x:c>
      <x:c r="V27" t="str">
        <x:f>IF(V$1="","",IFERROR(INDEX('代表咚声数据'!$B$2:$AO$39,ROW()-1,MATCH(V$1&amp;"_较响",'代表咚声数据'!$B$1:$AO$1,0)),""))</x:f>
      </x:c>
      <x:c r="W27" t="str">
        <x:f>IF(W$1="","",IFERROR(INDEX('代表咚声数据'!$B$2:$AO$39,ROW()-1,MATCH(W$1&amp;"_较响",'代表咚声数据'!$B$1:$AO$1,0)),""))</x:f>
      </x:c>
    </x:row>
    <x:row r="28">
      <x:c r="A28" t="n">
        <x:v>2.6</x:v>
      </x:c>
      <x:c r="B28" t="n">
        <x:f>IF(B$1="","",IFERROR(INDEX('包络曲线数据'!$B$2:$U$742,ROW()-1,MATCH(B$1,'包络曲线数据'!$B$1:$U$1,0)),""))</x:f>
        <x:v>71.77895135526323</x:v>
      </x:c>
      <x:c r="C28" t="n">
        <x:f>IF(C$1="","",IFERROR(INDEX('包络曲线数据'!$B$2:$U$742,ROW()-1,MATCH(C$1,'包络曲线数据'!$B$1:$U$1,0)),""))</x:f>
        <x:v>75.58450706927056</x:v>
      </x:c>
      <x:c r="D28" t="str">
        <x:f>IF(D$1="","",IFERROR(INDEX('包络曲线数据'!$B$2:$U$742,ROW()-1,MATCH(D$1,'包络曲线数据'!$B$1:$U$1,0)),""))</x:f>
      </x:c>
      <x:c r="E28" t="str">
        <x:f>IF(E$1="","",IFERROR(INDEX('包络曲线数据'!$B$2:$U$742,ROW()-1,MATCH(E$1,'包络曲线数据'!$B$1:$U$1,0)),""))</x:f>
      </x:c>
      <x:c r="F28" t="str">
        <x:f>IF(F$1="","",IFERROR(INDEX('包络曲线数据'!$B$2:$U$742,ROW()-1,MATCH(F$1,'包络曲线数据'!$B$1:$U$1,0)),""))</x:f>
      </x:c>
      <x:c r="G28" t="str">
        <x:f>IF(G$1="","",IFERROR(INDEX('包络曲线数据'!$B$2:$U$742,ROW()-1,MATCH(G$1,'包络曲线数据'!$B$1:$U$1,0)),""))</x:f>
      </x:c>
      <x:c r="I28" t="n">
        <x:v>220.00000000000048</x:v>
      </x:c>
      <x:c r="J28" t="n">
        <x:f>IF(J$1="","",IFERROR(INDEX('代表咚声数据'!$B$2:$AO$39,ROW()-1,MATCH(J$1&amp;"_常见",'代表咚声数据'!$B$1:$AO$1,0)),""))</x:f>
        <x:v>60.53277584968775</x:v>
      </x:c>
      <x:c r="K28" t="n">
        <x:f>IF(K$1="","",IFERROR(INDEX('代表咚声数据'!$B$2:$AO$39,ROW()-1,MATCH(K$1&amp;"_常见",'代表咚声数据'!$B$1:$AO$1,0)),""))</x:f>
        <x:v>67.11529645786938</x:v>
      </x:c>
      <x:c r="L28" t="str">
        <x:f>IF(L$1="","",IFERROR(INDEX('代表咚声数据'!$B$2:$AO$39,ROW()-1,MATCH(L$1&amp;"_常见",'代表咚声数据'!$B$1:$AO$1,0)),""))</x:f>
      </x:c>
      <x:c r="M28" t="str">
        <x:f>IF(M$1="","",IFERROR(INDEX('代表咚声数据'!$B$2:$AO$39,ROW()-1,MATCH(M$1&amp;"_常见",'代表咚声数据'!$B$1:$AO$1,0)),""))</x:f>
      </x:c>
      <x:c r="N28" t="str">
        <x:f>IF(N$1="","",IFERROR(INDEX('代表咚声数据'!$B$2:$AO$39,ROW()-1,MATCH(N$1&amp;"_常见",'代表咚声数据'!$B$1:$AO$1,0)),""))</x:f>
      </x:c>
      <x:c r="O28" t="str">
        <x:f>IF(O$1="","",IFERROR(INDEX('代表咚声数据'!$B$2:$AO$39,ROW()-1,MATCH(O$1&amp;"_常见",'代表咚声数据'!$B$1:$AO$1,0)),""))</x:f>
      </x:c>
      <x:c r="Q28" t="n">
        <x:v>220.00000000000048</x:v>
      </x:c>
      <x:c r="R28" t="n">
        <x:f>IF(R$1="","",IFERROR(INDEX('代表咚声数据'!$B$2:$AO$39,ROW()-1,MATCH(R$1&amp;"_较响",'代表咚声数据'!$B$1:$AO$1,0)),""))</x:f>
        <x:v>62.536105653853056</x:v>
      </x:c>
      <x:c r="S28" t="n">
        <x:f>IF(S$1="","",IFERROR(INDEX('代表咚声数据'!$B$2:$AO$39,ROW()-1,MATCH(S$1&amp;"_较响",'代表咚声数据'!$B$1:$AO$1,0)),""))</x:f>
        <x:v>67.60363304661237</x:v>
      </x:c>
      <x:c r="T28" t="str">
        <x:f>IF(T$1="","",IFERROR(INDEX('代表咚声数据'!$B$2:$AO$39,ROW()-1,MATCH(T$1&amp;"_较响",'代表咚声数据'!$B$1:$AO$1,0)),""))</x:f>
      </x:c>
      <x:c r="U28" t="str">
        <x:f>IF(U$1="","",IFERROR(INDEX('代表咚声数据'!$B$2:$AO$39,ROW()-1,MATCH(U$1&amp;"_较响",'代表咚声数据'!$B$1:$AO$1,0)),""))</x:f>
      </x:c>
      <x:c r="V28" t="str">
        <x:f>IF(V$1="","",IFERROR(INDEX('代表咚声数据'!$B$2:$AO$39,ROW()-1,MATCH(V$1&amp;"_较响",'代表咚声数据'!$B$1:$AO$1,0)),""))</x:f>
      </x:c>
      <x:c r="W28" t="str">
        <x:f>IF(W$1="","",IFERROR(INDEX('代表咚声数据'!$B$2:$AO$39,ROW()-1,MATCH(W$1&amp;"_较响",'代表咚声数据'!$B$1:$AO$1,0)),""))</x:f>
      </x:c>
    </x:row>
    <x:row r="29">
      <x:c r="A29" t="n">
        <x:v>2.7</x:v>
      </x:c>
      <x:c r="B29" t="n">
        <x:f>IF(B$1="","",IFERROR(INDEX('包络曲线数据'!$B$2:$U$742,ROW()-1,MATCH(B$1,'包络曲线数据'!$B$1:$U$1,0)),""))</x:f>
        <x:v>59.30137827588372</x:v>
      </x:c>
      <x:c r="C29" t="n">
        <x:f>IF(C$1="","",IFERROR(INDEX('包络曲线数据'!$B$2:$U$742,ROW()-1,MATCH(C$1,'包络曲线数据'!$B$1:$U$1,0)),""))</x:f>
        <x:v>75.58450706927056</x:v>
      </x:c>
      <x:c r="D29" t="str">
        <x:f>IF(D$1="","",IFERROR(INDEX('包络曲线数据'!$B$2:$U$742,ROW()-1,MATCH(D$1,'包络曲线数据'!$B$1:$U$1,0)),""))</x:f>
      </x:c>
      <x:c r="E29" t="str">
        <x:f>IF(E$1="","",IFERROR(INDEX('包络曲线数据'!$B$2:$U$742,ROW()-1,MATCH(E$1,'包络曲线数据'!$B$1:$U$1,0)),""))</x:f>
      </x:c>
      <x:c r="F29" t="str">
        <x:f>IF(F$1="","",IFERROR(INDEX('包络曲线数据'!$B$2:$U$742,ROW()-1,MATCH(F$1,'包络曲线数据'!$B$1:$U$1,0)),""))</x:f>
      </x:c>
      <x:c r="G29" t="str">
        <x:f>IF(G$1="","",IFERROR(INDEX('包络曲线数据'!$B$2:$U$742,ROW()-1,MATCH(G$1,'包络曲线数据'!$B$1:$U$1,0)),""))</x:f>
      </x:c>
      <x:c r="I29" t="n">
        <x:v>240.00000000000048</x:v>
      </x:c>
      <x:c r="J29" t="n">
        <x:f>IF(J$1="","",IFERROR(INDEX('代表咚声数据'!$B$2:$AO$39,ROW()-1,MATCH(J$1&amp;"_常见",'代表咚声数据'!$B$1:$AO$1,0)),""))</x:f>
        <x:v>60.73541325397897</x:v>
      </x:c>
      <x:c r="K29" t="n">
        <x:f>IF(K$1="","",IFERROR(INDEX('代表咚声数据'!$B$2:$AO$39,ROW()-1,MATCH(K$1&amp;"_常见",'代表咚声数据'!$B$1:$AO$1,0)),""))</x:f>
        <x:v>67.24797432095312</x:v>
      </x:c>
      <x:c r="L29" t="str">
        <x:f>IF(L$1="","",IFERROR(INDEX('代表咚声数据'!$B$2:$AO$39,ROW()-1,MATCH(L$1&amp;"_常见",'代表咚声数据'!$B$1:$AO$1,0)),""))</x:f>
      </x:c>
      <x:c r="M29" t="str">
        <x:f>IF(M$1="","",IFERROR(INDEX('代表咚声数据'!$B$2:$AO$39,ROW()-1,MATCH(M$1&amp;"_常见",'代表咚声数据'!$B$1:$AO$1,0)),""))</x:f>
      </x:c>
      <x:c r="N29" t="str">
        <x:f>IF(N$1="","",IFERROR(INDEX('代表咚声数据'!$B$2:$AO$39,ROW()-1,MATCH(N$1&amp;"_常见",'代表咚声数据'!$B$1:$AO$1,0)),""))</x:f>
      </x:c>
      <x:c r="O29" t="str">
        <x:f>IF(O$1="","",IFERROR(INDEX('代表咚声数据'!$B$2:$AO$39,ROW()-1,MATCH(O$1&amp;"_常见",'代表咚声数据'!$B$1:$AO$1,0)),""))</x:f>
      </x:c>
      <x:c r="Q29" t="n">
        <x:v>240.00000000000048</x:v>
      </x:c>
      <x:c r="R29" t="n">
        <x:f>IF(R$1="","",IFERROR(INDEX('代表咚声数据'!$B$2:$AO$39,ROW()-1,MATCH(R$1&amp;"_较响",'代表咚声数据'!$B$1:$AO$1,0)),""))</x:f>
        <x:v>61.47922273629017</x:v>
      </x:c>
      <x:c r="S29" t="n">
        <x:f>IF(S$1="","",IFERROR(INDEX('代表咚声数据'!$B$2:$AO$39,ROW()-1,MATCH(S$1&amp;"_较响",'代表咚声数据'!$B$1:$AO$1,0)),""))</x:f>
        <x:v>67.01671158995886</x:v>
      </x:c>
      <x:c r="T29" t="str">
        <x:f>IF(T$1="","",IFERROR(INDEX('代表咚声数据'!$B$2:$AO$39,ROW()-1,MATCH(T$1&amp;"_较响",'代表咚声数据'!$B$1:$AO$1,0)),""))</x:f>
      </x:c>
      <x:c r="U29" t="str">
        <x:f>IF(U$1="","",IFERROR(INDEX('代表咚声数据'!$B$2:$AO$39,ROW()-1,MATCH(U$1&amp;"_较响",'代表咚声数据'!$B$1:$AO$1,0)),""))</x:f>
      </x:c>
      <x:c r="V29" t="str">
        <x:f>IF(V$1="","",IFERROR(INDEX('代表咚声数据'!$B$2:$AO$39,ROW()-1,MATCH(V$1&amp;"_较响",'代表咚声数据'!$B$1:$AO$1,0)),""))</x:f>
      </x:c>
      <x:c r="W29" t="str">
        <x:f>IF(W$1="","",IFERROR(INDEX('代表咚声数据'!$B$2:$AO$39,ROW()-1,MATCH(W$1&amp;"_较响",'代表咚声数据'!$B$1:$AO$1,0)),""))</x:f>
      </x:c>
    </x:row>
    <x:row r="30">
      <x:c r="A30" t="n">
        <x:v>2.8000000000000003</x:v>
      </x:c>
      <x:c r="B30" t="n">
        <x:f>IF(B$1="","",IFERROR(INDEX('包络曲线数据'!$B$2:$U$742,ROW()-1,MATCH(B$1,'包络曲线数据'!$B$1:$U$1,0)),""))</x:f>
        <x:v>50</x:v>
      </x:c>
      <x:c r="C30" t="n">
        <x:f>IF(C$1="","",IFERROR(INDEX('包络曲线数据'!$B$2:$U$742,ROW()-1,MATCH(C$1,'包络曲线数据'!$B$1:$U$1,0)),""))</x:f>
        <x:v>75.67051006821535</x:v>
      </x:c>
      <x:c r="D30" t="str">
        <x:f>IF(D$1="","",IFERROR(INDEX('包络曲线数据'!$B$2:$U$742,ROW()-1,MATCH(D$1,'包络曲线数据'!$B$1:$U$1,0)),""))</x:f>
      </x:c>
      <x:c r="E30" t="str">
        <x:f>IF(E$1="","",IFERROR(INDEX('包络曲线数据'!$B$2:$U$742,ROW()-1,MATCH(E$1,'包络曲线数据'!$B$1:$U$1,0)),""))</x:f>
      </x:c>
      <x:c r="F30" t="str">
        <x:f>IF(F$1="","",IFERROR(INDEX('包络曲线数据'!$B$2:$U$742,ROW()-1,MATCH(F$1,'包络曲线数据'!$B$1:$U$1,0)),""))</x:f>
      </x:c>
      <x:c r="G30" t="str">
        <x:f>IF(G$1="","",IFERROR(INDEX('包络曲线数据'!$B$2:$U$742,ROW()-1,MATCH(G$1,'包络曲线数据'!$B$1:$U$1,0)),""))</x:f>
      </x:c>
      <x:c r="I30" t="n">
        <x:v>260.0000000000005</x:v>
      </x:c>
      <x:c r="J30" t="n">
        <x:f>IF(J$1="","",IFERROR(INDEX('代表咚声数据'!$B$2:$AO$39,ROW()-1,MATCH(J$1&amp;"_常见",'代表咚声数据'!$B$1:$AO$1,0)),""))</x:f>
        <x:v>60.78338130844665</x:v>
      </x:c>
      <x:c r="K30" t="n">
        <x:f>IF(K$1="","",IFERROR(INDEX('代表咚声数据'!$B$2:$AO$39,ROW()-1,MATCH(K$1&amp;"_常见",'代表咚声数据'!$B$1:$AO$1,0)),""))</x:f>
        <x:v>66.84853076322568</x:v>
      </x:c>
      <x:c r="L30" t="str">
        <x:f>IF(L$1="","",IFERROR(INDEX('代表咚声数据'!$B$2:$AO$39,ROW()-1,MATCH(L$1&amp;"_常见",'代表咚声数据'!$B$1:$AO$1,0)),""))</x:f>
      </x:c>
      <x:c r="M30" t="str">
        <x:f>IF(M$1="","",IFERROR(INDEX('代表咚声数据'!$B$2:$AO$39,ROW()-1,MATCH(M$1&amp;"_常见",'代表咚声数据'!$B$1:$AO$1,0)),""))</x:f>
      </x:c>
      <x:c r="N30" t="str">
        <x:f>IF(N$1="","",IFERROR(INDEX('代表咚声数据'!$B$2:$AO$39,ROW()-1,MATCH(N$1&amp;"_常见",'代表咚声数据'!$B$1:$AO$1,0)),""))</x:f>
      </x:c>
      <x:c r="O30" t="str">
        <x:f>IF(O$1="","",IFERROR(INDEX('代表咚声数据'!$B$2:$AO$39,ROW()-1,MATCH(O$1&amp;"_常见",'代表咚声数据'!$B$1:$AO$1,0)),""))</x:f>
      </x:c>
      <x:c r="Q30" t="n">
        <x:v>260.0000000000005</x:v>
      </x:c>
      <x:c r="R30" t="n">
        <x:f>IF(R$1="","",IFERROR(INDEX('代表咚声数据'!$B$2:$AO$39,ROW()-1,MATCH(R$1&amp;"_较响",'代表咚声数据'!$B$1:$AO$1,0)),""))</x:f>
        <x:v>61.049198751367555</x:v>
      </x:c>
      <x:c r="S30" t="n">
        <x:f>IF(S$1="","",IFERROR(INDEX('代表咚声数据'!$B$2:$AO$39,ROW()-1,MATCH(S$1&amp;"_较响",'代表咚声数据'!$B$1:$AO$1,0)),""))</x:f>
        <x:v>66.6773085567261</x:v>
      </x:c>
      <x:c r="T30" t="str">
        <x:f>IF(T$1="","",IFERROR(INDEX('代表咚声数据'!$B$2:$AO$39,ROW()-1,MATCH(T$1&amp;"_较响",'代表咚声数据'!$B$1:$AO$1,0)),""))</x:f>
      </x:c>
      <x:c r="U30" t="str">
        <x:f>IF(U$1="","",IFERROR(INDEX('代表咚声数据'!$B$2:$AO$39,ROW()-1,MATCH(U$1&amp;"_较响",'代表咚声数据'!$B$1:$AO$1,0)),""))</x:f>
      </x:c>
      <x:c r="V30" t="str">
        <x:f>IF(V$1="","",IFERROR(INDEX('代表咚声数据'!$B$2:$AO$39,ROW()-1,MATCH(V$1&amp;"_较响",'代表咚声数据'!$B$1:$AO$1,0)),""))</x:f>
      </x:c>
      <x:c r="W30" t="str">
        <x:f>IF(W$1="","",IFERROR(INDEX('代表咚声数据'!$B$2:$AO$39,ROW()-1,MATCH(W$1&amp;"_较响",'代表咚声数据'!$B$1:$AO$1,0)),""))</x:f>
      </x:c>
    </x:row>
    <x:row r="31">
      <x:c r="A31" t="n">
        <x:v>2.9000000000000004</x:v>
      </x:c>
      <x:c r="B31" t="n">
        <x:f>IF(B$1="","",IFERROR(INDEX('包络曲线数据'!$B$2:$U$742,ROW()-1,MATCH(B$1,'包络曲线数据'!$B$1:$U$1,0)),""))</x:f>
        <x:v>53.00978505770685</x:v>
      </x:c>
      <x:c r="C31" t="n">
        <x:f>IF(C$1="","",IFERROR(INDEX('包络曲线数据'!$B$2:$U$742,ROW()-1,MATCH(C$1,'包络曲线数据'!$B$1:$U$1,0)),""))</x:f>
        <x:v>76.2534385406627</x:v>
      </x:c>
      <x:c r="D31" t="str">
        <x:f>IF(D$1="","",IFERROR(INDEX('包络曲线数据'!$B$2:$U$742,ROW()-1,MATCH(D$1,'包络曲线数据'!$B$1:$U$1,0)),""))</x:f>
      </x:c>
      <x:c r="E31" t="str">
        <x:f>IF(E$1="","",IFERROR(INDEX('包络曲线数据'!$B$2:$U$742,ROW()-1,MATCH(E$1,'包络曲线数据'!$B$1:$U$1,0)),""))</x:f>
      </x:c>
      <x:c r="F31" t="str">
        <x:f>IF(F$1="","",IFERROR(INDEX('包络曲线数据'!$B$2:$U$742,ROW()-1,MATCH(F$1,'包络曲线数据'!$B$1:$U$1,0)),""))</x:f>
      </x:c>
      <x:c r="G31" t="str">
        <x:f>IF(G$1="","",IFERROR(INDEX('包络曲线数据'!$B$2:$U$742,ROW()-1,MATCH(G$1,'包络曲线数据'!$B$1:$U$1,0)),""))</x:f>
      </x:c>
      <x:c r="I31" t="n">
        <x:v>280.0000000000005</x:v>
      </x:c>
      <x:c r="J31" t="n">
        <x:f>IF(J$1="","",IFERROR(INDEX('代表咚声数据'!$B$2:$AO$39,ROW()-1,MATCH(J$1&amp;"_常见",'代表咚声数据'!$B$1:$AO$1,0)),""))</x:f>
        <x:v>62.22899505275654</x:v>
      </x:c>
      <x:c r="K31" t="n">
        <x:f>IF(K$1="","",IFERROR(INDEX('代表咚声数据'!$B$2:$AO$39,ROW()-1,MATCH(K$1&amp;"_常见",'代表咚声数据'!$B$1:$AO$1,0)),""))</x:f>
        <x:v>66.11261362731994</x:v>
      </x:c>
      <x:c r="L31" t="str">
        <x:f>IF(L$1="","",IFERROR(INDEX('代表咚声数据'!$B$2:$AO$39,ROW()-1,MATCH(L$1&amp;"_常见",'代表咚声数据'!$B$1:$AO$1,0)),""))</x:f>
      </x:c>
      <x:c r="M31" t="str">
        <x:f>IF(M$1="","",IFERROR(INDEX('代表咚声数据'!$B$2:$AO$39,ROW()-1,MATCH(M$1&amp;"_常见",'代表咚声数据'!$B$1:$AO$1,0)),""))</x:f>
      </x:c>
      <x:c r="N31" t="str">
        <x:f>IF(N$1="","",IFERROR(INDEX('代表咚声数据'!$B$2:$AO$39,ROW()-1,MATCH(N$1&amp;"_常见",'代表咚声数据'!$B$1:$AO$1,0)),""))</x:f>
      </x:c>
      <x:c r="O31" t="str">
        <x:f>IF(O$1="","",IFERROR(INDEX('代表咚声数据'!$B$2:$AO$39,ROW()-1,MATCH(O$1&amp;"_常见",'代表咚声数据'!$B$1:$AO$1,0)),""))</x:f>
      </x:c>
      <x:c r="Q31" t="n">
        <x:v>280.0000000000005</x:v>
      </x:c>
      <x:c r="R31" t="n">
        <x:f>IF(R$1="","",IFERROR(INDEX('代表咚声数据'!$B$2:$AO$39,ROW()-1,MATCH(R$1&amp;"_较响",'代表咚声数据'!$B$1:$AO$1,0)),""))</x:f>
        <x:v>61.00277747501562</x:v>
      </x:c>
      <x:c r="S31" t="n">
        <x:f>IF(S$1="","",IFERROR(INDEX('代表咚声数据'!$B$2:$AO$39,ROW()-1,MATCH(S$1&amp;"_较响",'代表咚声数据'!$B$1:$AO$1,0)),""))</x:f>
        <x:v>66.18828786452552</x:v>
      </x:c>
      <x:c r="T31" t="str">
        <x:f>IF(T$1="","",IFERROR(INDEX('代表咚声数据'!$B$2:$AO$39,ROW()-1,MATCH(T$1&amp;"_较响",'代表咚声数据'!$B$1:$AO$1,0)),""))</x:f>
      </x:c>
      <x:c r="U31" t="str">
        <x:f>IF(U$1="","",IFERROR(INDEX('代表咚声数据'!$B$2:$AO$39,ROW()-1,MATCH(U$1&amp;"_较响",'代表咚声数据'!$B$1:$AO$1,0)),""))</x:f>
      </x:c>
      <x:c r="V31" t="str">
        <x:f>IF(V$1="","",IFERROR(INDEX('代表咚声数据'!$B$2:$AO$39,ROW()-1,MATCH(V$1&amp;"_较响",'代表咚声数据'!$B$1:$AO$1,0)),""))</x:f>
      </x:c>
      <x:c r="W31" t="str">
        <x:f>IF(W$1="","",IFERROR(INDEX('代表咚声数据'!$B$2:$AO$39,ROW()-1,MATCH(W$1&amp;"_较响",'代表咚声数据'!$B$1:$AO$1,0)),""))</x:f>
      </x:c>
    </x:row>
    <x:row r="32">
      <x:c r="A32" t="n">
        <x:v>3</x:v>
      </x:c>
      <x:c r="B32" t="n">
        <x:f>IF(B$1="","",IFERROR(INDEX('包络曲线数据'!$B$2:$U$742,ROW()-1,MATCH(B$1,'包络曲线数据'!$B$1:$U$1,0)),""))</x:f>
        <x:v>58.026093487218205</x:v>
      </x:c>
      <x:c r="C32" t="n">
        <x:f>IF(C$1="","",IFERROR(INDEX('包络曲线数据'!$B$2:$U$742,ROW()-1,MATCH(C$1,'包络曲线数据'!$B$1:$U$1,0)),""))</x:f>
        <x:v>76.2534385406627</x:v>
      </x:c>
      <x:c r="D32" t="str">
        <x:f>IF(D$1="","",IFERROR(INDEX('包络曲线数据'!$B$2:$U$742,ROW()-1,MATCH(D$1,'包络曲线数据'!$B$1:$U$1,0)),""))</x:f>
      </x:c>
      <x:c r="E32" t="str">
        <x:f>IF(E$1="","",IFERROR(INDEX('包络曲线数据'!$B$2:$U$742,ROW()-1,MATCH(E$1,'包络曲线数据'!$B$1:$U$1,0)),""))</x:f>
      </x:c>
      <x:c r="F32" t="str">
        <x:f>IF(F$1="","",IFERROR(INDEX('包络曲线数据'!$B$2:$U$742,ROW()-1,MATCH(F$1,'包络曲线数据'!$B$1:$U$1,0)),""))</x:f>
      </x:c>
      <x:c r="G32" t="str">
        <x:f>IF(G$1="","",IFERROR(INDEX('包络曲线数据'!$B$2:$U$742,ROW()-1,MATCH(G$1,'包络曲线数据'!$B$1:$U$1,0)),""))</x:f>
      </x:c>
      <x:c r="I32" t="n">
        <x:v>300.00000000000057</x:v>
      </x:c>
      <x:c r="J32" t="n">
        <x:f>IF(J$1="","",IFERROR(INDEX('代表咚声数据'!$B$2:$AO$39,ROW()-1,MATCH(J$1&amp;"_常见",'代表咚声数据'!$B$1:$AO$1,0)),""))</x:f>
        <x:v>63.01330768831512</x:v>
      </x:c>
      <x:c r="K32" t="n">
        <x:f>IF(K$1="","",IFERROR(INDEX('代表咚声数据'!$B$2:$AO$39,ROW()-1,MATCH(K$1&amp;"_常见",'代表咚声数据'!$B$1:$AO$1,0)),""))</x:f>
        <x:v>65.9379453181631</x:v>
      </x:c>
      <x:c r="L32" t="str">
        <x:f>IF(L$1="","",IFERROR(INDEX('代表咚声数据'!$B$2:$AO$39,ROW()-1,MATCH(L$1&amp;"_常见",'代表咚声数据'!$B$1:$AO$1,0)),""))</x:f>
      </x:c>
      <x:c r="M32" t="str">
        <x:f>IF(M$1="","",IFERROR(INDEX('代表咚声数据'!$B$2:$AO$39,ROW()-1,MATCH(M$1&amp;"_常见",'代表咚声数据'!$B$1:$AO$1,0)),""))</x:f>
      </x:c>
      <x:c r="N32" t="str">
        <x:f>IF(N$1="","",IFERROR(INDEX('代表咚声数据'!$B$2:$AO$39,ROW()-1,MATCH(N$1&amp;"_常见",'代表咚声数据'!$B$1:$AO$1,0)),""))</x:f>
      </x:c>
      <x:c r="O32" t="str">
        <x:f>IF(O$1="","",IFERROR(INDEX('代表咚声数据'!$B$2:$AO$39,ROW()-1,MATCH(O$1&amp;"_常见",'代表咚声数据'!$B$1:$AO$1,0)),""))</x:f>
      </x:c>
      <x:c r="Q32" t="n">
        <x:v>300.00000000000057</x:v>
      </x:c>
      <x:c r="R32" t="n">
        <x:f>IF(R$1="","",IFERROR(INDEX('代表咚声数据'!$B$2:$AO$39,ROW()-1,MATCH(R$1&amp;"_较响",'代表咚声数据'!$B$1:$AO$1,0)),""))</x:f>
        <x:v>60.57014781274583</x:v>
      </x:c>
      <x:c r="S32" t="n">
        <x:f>IF(S$1="","",IFERROR(INDEX('代表咚声数据'!$B$2:$AO$39,ROW()-1,MATCH(S$1&amp;"_较响",'代表咚声数据'!$B$1:$AO$1,0)),""))</x:f>
        <x:v>65.84706558668319</x:v>
      </x:c>
      <x:c r="T32" t="str">
        <x:f>IF(T$1="","",IFERROR(INDEX('代表咚声数据'!$B$2:$AO$39,ROW()-1,MATCH(T$1&amp;"_较响",'代表咚声数据'!$B$1:$AO$1,0)),""))</x:f>
      </x:c>
      <x:c r="U32" t="str">
        <x:f>IF(U$1="","",IFERROR(INDEX('代表咚声数据'!$B$2:$AO$39,ROW()-1,MATCH(U$1&amp;"_较响",'代表咚声数据'!$B$1:$AO$1,0)),""))</x:f>
      </x:c>
      <x:c r="V32" t="str">
        <x:f>IF(V$1="","",IFERROR(INDEX('代表咚声数据'!$B$2:$AO$39,ROW()-1,MATCH(V$1&amp;"_较响",'代表咚声数据'!$B$1:$AO$1,0)),""))</x:f>
      </x:c>
      <x:c r="W32" t="str">
        <x:f>IF(W$1="","",IFERROR(INDEX('代表咚声数据'!$B$2:$AO$39,ROW()-1,MATCH(W$1&amp;"_较响",'代表咚声数据'!$B$1:$AO$1,0)),""))</x:f>
      </x:c>
    </x:row>
    <x:row r="33">
      <x:c r="A33" t="n">
        <x:v>3.1</x:v>
      </x:c>
      <x:c r="B33" t="n">
        <x:f>IF(B$1="","",IFERROR(INDEX('包络曲线数据'!$B$2:$U$742,ROW()-1,MATCH(B$1,'包络曲线数据'!$B$1:$U$1,0)),""))</x:f>
        <x:v>61.63865419104604</x:v>
      </x:c>
      <x:c r="C33" t="n">
        <x:f>IF(C$1="","",IFERROR(INDEX('包络曲线数据'!$B$2:$U$742,ROW()-1,MATCH(C$1,'包络曲线数据'!$B$1:$U$1,0)),""))</x:f>
        <x:v>75.65846033073605</x:v>
      </x:c>
      <x:c r="D33" t="str">
        <x:f>IF(D$1="","",IFERROR(INDEX('包络曲线数据'!$B$2:$U$742,ROW()-1,MATCH(D$1,'包络曲线数据'!$B$1:$U$1,0)),""))</x:f>
      </x:c>
      <x:c r="E33" t="str">
        <x:f>IF(E$1="","",IFERROR(INDEX('包络曲线数据'!$B$2:$U$742,ROW()-1,MATCH(E$1,'包络曲线数据'!$B$1:$U$1,0)),""))</x:f>
      </x:c>
      <x:c r="F33" t="str">
        <x:f>IF(F$1="","",IFERROR(INDEX('包络曲线数据'!$B$2:$U$742,ROW()-1,MATCH(F$1,'包络曲线数据'!$B$1:$U$1,0)),""))</x:f>
      </x:c>
      <x:c r="G33" t="str">
        <x:f>IF(G$1="","",IFERROR(INDEX('包络曲线数据'!$B$2:$U$742,ROW()-1,MATCH(G$1,'包络曲线数据'!$B$1:$U$1,0)),""))</x:f>
      </x:c>
      <x:c r="I33" t="n">
        <x:v>320.00000000000057</x:v>
      </x:c>
      <x:c r="J33" t="n">
        <x:f>IF(J$1="","",IFERROR(INDEX('代表咚声数据'!$B$2:$AO$39,ROW()-1,MATCH(J$1&amp;"_常见",'代表咚声数据'!$B$1:$AO$1,0)),""))</x:f>
        <x:v>63.049578779533775</x:v>
      </x:c>
      <x:c r="K33" t="n">
        <x:f>IF(K$1="","",IFERROR(INDEX('代表咚声数据'!$B$2:$AO$39,ROW()-1,MATCH(K$1&amp;"_常见",'代表咚声数据'!$B$1:$AO$1,0)),""))</x:f>
        <x:v>64.20420505998419</x:v>
      </x:c>
      <x:c r="L33" t="str">
        <x:f>IF(L$1="","",IFERROR(INDEX('代表咚声数据'!$B$2:$AO$39,ROW()-1,MATCH(L$1&amp;"_常见",'代表咚声数据'!$B$1:$AO$1,0)),""))</x:f>
      </x:c>
      <x:c r="M33" t="str">
        <x:f>IF(M$1="","",IFERROR(INDEX('代表咚声数据'!$B$2:$AO$39,ROW()-1,MATCH(M$1&amp;"_常见",'代表咚声数据'!$B$1:$AO$1,0)),""))</x:f>
      </x:c>
      <x:c r="N33" t="str">
        <x:f>IF(N$1="","",IFERROR(INDEX('代表咚声数据'!$B$2:$AO$39,ROW()-1,MATCH(N$1&amp;"_常见",'代表咚声数据'!$B$1:$AO$1,0)),""))</x:f>
      </x:c>
      <x:c r="O33" t="str">
        <x:f>IF(O$1="","",IFERROR(INDEX('代表咚声数据'!$B$2:$AO$39,ROW()-1,MATCH(O$1&amp;"_常见",'代表咚声数据'!$B$1:$AO$1,0)),""))</x:f>
      </x:c>
      <x:c r="Q33" t="n">
        <x:v>320.00000000000057</x:v>
      </x:c>
      <x:c r="R33" t="n">
        <x:f>IF(R$1="","",IFERROR(INDEX('代表咚声数据'!$B$2:$AO$39,ROW()-1,MATCH(R$1&amp;"_较响",'代表咚声数据'!$B$1:$AO$1,0)),""))</x:f>
        <x:v>60.90465361597718</x:v>
      </x:c>
      <x:c r="S33" t="n">
        <x:f>IF(S$1="","",IFERROR(INDEX('代表咚声数据'!$B$2:$AO$39,ROW()-1,MATCH(S$1&amp;"_较响",'代表咚声数据'!$B$1:$AO$1,0)),""))</x:f>
        <x:v>65.82786375461872</x:v>
      </x:c>
      <x:c r="T33" t="str">
        <x:f>IF(T$1="","",IFERROR(INDEX('代表咚声数据'!$B$2:$AO$39,ROW()-1,MATCH(T$1&amp;"_较响",'代表咚声数据'!$B$1:$AO$1,0)),""))</x:f>
      </x:c>
      <x:c r="U33" t="str">
        <x:f>IF(U$1="","",IFERROR(INDEX('代表咚声数据'!$B$2:$AO$39,ROW()-1,MATCH(U$1&amp;"_较响",'代表咚声数据'!$B$1:$AO$1,0)),""))</x:f>
      </x:c>
      <x:c r="V33" t="str">
        <x:f>IF(V$1="","",IFERROR(INDEX('代表咚声数据'!$B$2:$AO$39,ROW()-1,MATCH(V$1&amp;"_较响",'代表咚声数据'!$B$1:$AO$1,0)),""))</x:f>
      </x:c>
      <x:c r="W33" t="str">
        <x:f>IF(W$1="","",IFERROR(INDEX('代表咚声数据'!$B$2:$AO$39,ROW()-1,MATCH(W$1&amp;"_较响",'代表咚声数据'!$B$1:$AO$1,0)),""))</x:f>
      </x:c>
    </x:row>
    <x:row r="34">
      <x:c r="A34" t="n">
        <x:v>3.2</x:v>
      </x:c>
      <x:c r="B34" t="n">
        <x:f>IF(B$1="","",IFERROR(INDEX('包络曲线数据'!$B$2:$U$742,ROW()-1,MATCH(B$1,'包络曲线数据'!$B$1:$U$1,0)),""))</x:f>
        <x:v>61.63865419104604</x:v>
      </x:c>
      <x:c r="C34" t="n">
        <x:f>IF(C$1="","",IFERROR(INDEX('包络曲线数据'!$B$2:$U$742,ROW()-1,MATCH(C$1,'包络曲线数据'!$B$1:$U$1,0)),""))</x:f>
        <x:v>76.62750426764856</x:v>
      </x:c>
      <x:c r="D34" t="str">
        <x:f>IF(D$1="","",IFERROR(INDEX('包络曲线数据'!$B$2:$U$742,ROW()-1,MATCH(D$1,'包络曲线数据'!$B$1:$U$1,0)),""))</x:f>
      </x:c>
      <x:c r="E34" t="str">
        <x:f>IF(E$1="","",IFERROR(INDEX('包络曲线数据'!$B$2:$U$742,ROW()-1,MATCH(E$1,'包络曲线数据'!$B$1:$U$1,0)),""))</x:f>
      </x:c>
      <x:c r="F34" t="str">
        <x:f>IF(F$1="","",IFERROR(INDEX('包络曲线数据'!$B$2:$U$742,ROW()-1,MATCH(F$1,'包络曲线数据'!$B$1:$U$1,0)),""))</x:f>
      </x:c>
      <x:c r="G34" t="str">
        <x:f>IF(G$1="","",IFERROR(INDEX('包络曲线数据'!$B$2:$U$742,ROW()-1,MATCH(G$1,'包络曲线数据'!$B$1:$U$1,0)),""))</x:f>
      </x:c>
      <x:c r="I34" t="n">
        <x:v>340.00000000000057</x:v>
      </x:c>
      <x:c r="J34" t="n">
        <x:f>IF(J$1="","",IFERROR(INDEX('代表咚声数据'!$B$2:$AO$39,ROW()-1,MATCH(J$1&amp;"_常见",'代表咚声数据'!$B$1:$AO$1,0)),""))</x:f>
        <x:v>63.23472558602883</x:v>
      </x:c>
      <x:c r="K34" t="n">
        <x:f>IF(K$1="","",IFERROR(INDEX('代表咚声数据'!$B$2:$AO$39,ROW()-1,MATCH(K$1&amp;"_常见",'代表咚声数据'!$B$1:$AO$1,0)),""))</x:f>
        <x:v>63.69698620022188</x:v>
      </x:c>
      <x:c r="L34" t="str">
        <x:f>IF(L$1="","",IFERROR(INDEX('代表咚声数据'!$B$2:$AO$39,ROW()-1,MATCH(L$1&amp;"_常见",'代表咚声数据'!$B$1:$AO$1,0)),""))</x:f>
      </x:c>
      <x:c r="M34" t="str">
        <x:f>IF(M$1="","",IFERROR(INDEX('代表咚声数据'!$B$2:$AO$39,ROW()-1,MATCH(M$1&amp;"_常见",'代表咚声数据'!$B$1:$AO$1,0)),""))</x:f>
      </x:c>
      <x:c r="N34" t="str">
        <x:f>IF(N$1="","",IFERROR(INDEX('代表咚声数据'!$B$2:$AO$39,ROW()-1,MATCH(N$1&amp;"_常见",'代表咚声数据'!$B$1:$AO$1,0)),""))</x:f>
      </x:c>
      <x:c r="O34" t="str">
        <x:f>IF(O$1="","",IFERROR(INDEX('代表咚声数据'!$B$2:$AO$39,ROW()-1,MATCH(O$1&amp;"_常见",'代表咚声数据'!$B$1:$AO$1,0)),""))</x:f>
      </x:c>
      <x:c r="Q34" t="n">
        <x:v>340.00000000000057</x:v>
      </x:c>
      <x:c r="R34" t="n">
        <x:f>IF(R$1="","",IFERROR(INDEX('代表咚声数据'!$B$2:$AO$39,ROW()-1,MATCH(R$1&amp;"_较响",'代表咚声数据'!$B$1:$AO$1,0)),""))</x:f>
        <x:v>60.383319901011625</x:v>
      </x:c>
      <x:c r="S34" t="n">
        <x:f>IF(S$1="","",IFERROR(INDEX('代表咚声数据'!$B$2:$AO$39,ROW()-1,MATCH(S$1&amp;"_较响",'代表咚声数据'!$B$1:$AO$1,0)),""))</x:f>
        <x:v>65.5933007164517</x:v>
      </x:c>
      <x:c r="T34" t="str">
        <x:f>IF(T$1="","",IFERROR(INDEX('代表咚声数据'!$B$2:$AO$39,ROW()-1,MATCH(T$1&amp;"_较响",'代表咚声数据'!$B$1:$AO$1,0)),""))</x:f>
      </x:c>
      <x:c r="U34" t="str">
        <x:f>IF(U$1="","",IFERROR(INDEX('代表咚声数据'!$B$2:$AO$39,ROW()-1,MATCH(U$1&amp;"_较响",'代表咚声数据'!$B$1:$AO$1,0)),""))</x:f>
      </x:c>
      <x:c r="V34" t="str">
        <x:f>IF(V$1="","",IFERROR(INDEX('代表咚声数据'!$B$2:$AO$39,ROW()-1,MATCH(V$1&amp;"_较响",'代表咚声数据'!$B$1:$AO$1,0)),""))</x:f>
      </x:c>
      <x:c r="W34" t="str">
        <x:f>IF(W$1="","",IFERROR(INDEX('代表咚声数据'!$B$2:$AO$39,ROW()-1,MATCH(W$1&amp;"_较响",'代表咚声数据'!$B$1:$AO$1,0)),""))</x:f>
      </x:c>
    </x:row>
    <x:row r="35">
      <x:c r="A35" t="n">
        <x:v>3.3000000000000003</x:v>
      </x:c>
      <x:c r="B35" t="n">
        <x:f>IF(B$1="","",IFERROR(INDEX('包络曲线数据'!$B$2:$U$742,ROW()-1,MATCH(B$1,'包络曲线数据'!$B$1:$U$1,0)),""))</x:f>
        <x:v>67.0600623098521</x:v>
      </x:c>
      <x:c r="C35" t="n">
        <x:f>IF(C$1="","",IFERROR(INDEX('包络曲线数据'!$B$2:$U$742,ROW()-1,MATCH(C$1,'包络曲线数据'!$B$1:$U$1,0)),""))</x:f>
        <x:v>76.7341024747715</x:v>
      </x:c>
      <x:c r="D35" t="str">
        <x:f>IF(D$1="","",IFERROR(INDEX('包络曲线数据'!$B$2:$U$742,ROW()-1,MATCH(D$1,'包络曲线数据'!$B$1:$U$1,0)),""))</x:f>
      </x:c>
      <x:c r="E35" t="str">
        <x:f>IF(E$1="","",IFERROR(INDEX('包络曲线数据'!$B$2:$U$742,ROW()-1,MATCH(E$1,'包络曲线数据'!$B$1:$U$1,0)),""))</x:f>
      </x:c>
      <x:c r="F35" t="str">
        <x:f>IF(F$1="","",IFERROR(INDEX('包络曲线数据'!$B$2:$U$742,ROW()-1,MATCH(F$1,'包络曲线数据'!$B$1:$U$1,0)),""))</x:f>
      </x:c>
      <x:c r="G35" t="str">
        <x:f>IF(G$1="","",IFERROR(INDEX('包络曲线数据'!$B$2:$U$742,ROW()-1,MATCH(G$1,'包络曲线数据'!$B$1:$U$1,0)),""))</x:f>
      </x:c>
      <x:c r="I35" t="n">
        <x:v>360.0000000000006</x:v>
      </x:c>
      <x:c r="J35" t="n">
        <x:f>IF(J$1="","",IFERROR(INDEX('代表咚声数据'!$B$2:$AO$39,ROW()-1,MATCH(J$1&amp;"_常见",'代表咚声数据'!$B$1:$AO$1,0)),""))</x:f>
        <x:v>63.119503444419536</x:v>
      </x:c>
      <x:c r="K35" t="n">
        <x:f>IF(K$1="","",IFERROR(INDEX('代表咚声数据'!$B$2:$AO$39,ROW()-1,MATCH(K$1&amp;"_常见",'代表咚声数据'!$B$1:$AO$1,0)),""))</x:f>
        <x:v>63.602252774808726</x:v>
      </x:c>
      <x:c r="L35" t="str">
        <x:f>IF(L$1="","",IFERROR(INDEX('代表咚声数据'!$B$2:$AO$39,ROW()-1,MATCH(L$1&amp;"_常见",'代表咚声数据'!$B$1:$AO$1,0)),""))</x:f>
      </x:c>
      <x:c r="M35" t="str">
        <x:f>IF(M$1="","",IFERROR(INDEX('代表咚声数据'!$B$2:$AO$39,ROW()-1,MATCH(M$1&amp;"_常见",'代表咚声数据'!$B$1:$AO$1,0)),""))</x:f>
      </x:c>
      <x:c r="N35" t="str">
        <x:f>IF(N$1="","",IFERROR(INDEX('代表咚声数据'!$B$2:$AO$39,ROW()-1,MATCH(N$1&amp;"_常见",'代表咚声数据'!$B$1:$AO$1,0)),""))</x:f>
      </x:c>
      <x:c r="O35" t="str">
        <x:f>IF(O$1="","",IFERROR(INDEX('代表咚声数据'!$B$2:$AO$39,ROW()-1,MATCH(O$1&amp;"_常见",'代表咚声数据'!$B$1:$AO$1,0)),""))</x:f>
      </x:c>
      <x:c r="Q35" t="n">
        <x:v>360.0000000000006</x:v>
      </x:c>
      <x:c r="R35" t="n">
        <x:f>IF(R$1="","",IFERROR(INDEX('代表咚声数据'!$B$2:$AO$39,ROW()-1,MATCH(R$1&amp;"_较响",'代表咚声数据'!$B$1:$AO$1,0)),""))</x:f>
        <x:v>60.167000019548645</x:v>
      </x:c>
      <x:c r="S35" t="n">
        <x:f>IF(S$1="","",IFERROR(INDEX('代表咚声数据'!$B$2:$AO$39,ROW()-1,MATCH(S$1&amp;"_较响",'代表咚声数据'!$B$1:$AO$1,0)),""))</x:f>
        <x:v>65.60880542559221</x:v>
      </x:c>
      <x:c r="T35" t="str">
        <x:f>IF(T$1="","",IFERROR(INDEX('代表咚声数据'!$B$2:$AO$39,ROW()-1,MATCH(T$1&amp;"_较响",'代表咚声数据'!$B$1:$AO$1,0)),""))</x:f>
      </x:c>
      <x:c r="U35" t="str">
        <x:f>IF(U$1="","",IFERROR(INDEX('代表咚声数据'!$B$2:$AO$39,ROW()-1,MATCH(U$1&amp;"_较响",'代表咚声数据'!$B$1:$AO$1,0)),""))</x:f>
      </x:c>
      <x:c r="V35" t="str">
        <x:f>IF(V$1="","",IFERROR(INDEX('代表咚声数据'!$B$2:$AO$39,ROW()-1,MATCH(V$1&amp;"_较响",'代表咚声数据'!$B$1:$AO$1,0)),""))</x:f>
      </x:c>
      <x:c r="W35" t="str">
        <x:f>IF(W$1="","",IFERROR(INDEX('代表咚声数据'!$B$2:$AO$39,ROW()-1,MATCH(W$1&amp;"_较响",'代表咚声数据'!$B$1:$AO$1,0)),""))</x:f>
      </x:c>
    </x:row>
    <x:row r="36">
      <x:c r="A36" t="n">
        <x:v>3.4000000000000004</x:v>
      </x:c>
      <x:c r="B36" t="n">
        <x:f>IF(B$1="","",IFERROR(INDEX('包络曲线数据'!$B$2:$U$742,ROW()-1,MATCH(B$1,'包络曲线数据'!$B$1:$U$1,0)),""))</x:f>
        <x:v>67.0600623098521</x:v>
      </x:c>
      <x:c r="C36" t="n">
        <x:f>IF(C$1="","",IFERROR(INDEX('包络曲线数据'!$B$2:$U$742,ROW()-1,MATCH(C$1,'包络曲线数据'!$B$1:$U$1,0)),""))</x:f>
        <x:v>90.43519794140671</x:v>
      </x:c>
      <x:c r="D36" t="str">
        <x:f>IF(D$1="","",IFERROR(INDEX('包络曲线数据'!$B$2:$U$742,ROW()-1,MATCH(D$1,'包络曲线数据'!$B$1:$U$1,0)),""))</x:f>
      </x:c>
      <x:c r="E36" t="str">
        <x:f>IF(E$1="","",IFERROR(INDEX('包络曲线数据'!$B$2:$U$742,ROW()-1,MATCH(E$1,'包络曲线数据'!$B$1:$U$1,0)),""))</x:f>
      </x:c>
      <x:c r="F36" t="str">
        <x:f>IF(F$1="","",IFERROR(INDEX('包络曲线数据'!$B$2:$U$742,ROW()-1,MATCH(F$1,'包络曲线数据'!$B$1:$U$1,0)),""))</x:f>
      </x:c>
      <x:c r="G36" t="str">
        <x:f>IF(G$1="","",IFERROR(INDEX('包络曲线数据'!$B$2:$U$742,ROW()-1,MATCH(G$1,'包络曲线数据'!$B$1:$U$1,0)),""))</x:f>
      </x:c>
      <x:c r="I36" t="n">
        <x:v>380.0000000000006</x:v>
      </x:c>
      <x:c r="J36" t="n">
        <x:f>IF(J$1="","",IFERROR(INDEX('代表咚声数据'!$B$2:$AO$39,ROW()-1,MATCH(J$1&amp;"_常见",'代表咚声数据'!$B$1:$AO$1,0)),""))</x:f>
        <x:v>62.410490450459776</x:v>
      </x:c>
      <x:c r="K36" t="n">
        <x:f>IF(K$1="","",IFERROR(INDEX('代表咚声数据'!$B$2:$AO$39,ROW()-1,MATCH(K$1&amp;"_常见",'代表咚声数据'!$B$1:$AO$1,0)),""))</x:f>
        <x:v>63.170553392150275</x:v>
      </x:c>
      <x:c r="L36" t="str">
        <x:f>IF(L$1="","",IFERROR(INDEX('代表咚声数据'!$B$2:$AO$39,ROW()-1,MATCH(L$1&amp;"_常见",'代表咚声数据'!$B$1:$AO$1,0)),""))</x:f>
      </x:c>
      <x:c r="M36" t="str">
        <x:f>IF(M$1="","",IFERROR(INDEX('代表咚声数据'!$B$2:$AO$39,ROW()-1,MATCH(M$1&amp;"_常见",'代表咚声数据'!$B$1:$AO$1,0)),""))</x:f>
      </x:c>
      <x:c r="N36" t="str">
        <x:f>IF(N$1="","",IFERROR(INDEX('代表咚声数据'!$B$2:$AO$39,ROW()-1,MATCH(N$1&amp;"_常见",'代表咚声数据'!$B$1:$AO$1,0)),""))</x:f>
      </x:c>
      <x:c r="O36" t="str">
        <x:f>IF(O$1="","",IFERROR(INDEX('代表咚声数据'!$B$2:$AO$39,ROW()-1,MATCH(O$1&amp;"_常见",'代表咚声数据'!$B$1:$AO$1,0)),""))</x:f>
      </x:c>
      <x:c r="Q36" t="n">
        <x:v>380.0000000000006</x:v>
      </x:c>
      <x:c r="R36" t="n">
        <x:f>IF(R$1="","",IFERROR(INDEX('代表咚声数据'!$B$2:$AO$39,ROW()-1,MATCH(R$1&amp;"_较响",'代表咚声数据'!$B$1:$AO$1,0)),""))</x:f>
        <x:v>59.86568866595114</x:v>
      </x:c>
      <x:c r="S36" t="n">
        <x:f>IF(S$1="","",IFERROR(INDEX('代表咚声数据'!$B$2:$AO$39,ROW()-1,MATCH(S$1&amp;"_较响",'代表咚声数据'!$B$1:$AO$1,0)),""))</x:f>
        <x:v>65.08413764151656</x:v>
      </x:c>
      <x:c r="T36" t="str">
        <x:f>IF(T$1="","",IFERROR(INDEX('代表咚声数据'!$B$2:$AO$39,ROW()-1,MATCH(T$1&amp;"_较响",'代表咚声数据'!$B$1:$AO$1,0)),""))</x:f>
      </x:c>
      <x:c r="U36" t="str">
        <x:f>IF(U$1="","",IFERROR(INDEX('代表咚声数据'!$B$2:$AO$39,ROW()-1,MATCH(U$1&amp;"_较响",'代表咚声数据'!$B$1:$AO$1,0)),""))</x:f>
      </x:c>
      <x:c r="V36" t="str">
        <x:f>IF(V$1="","",IFERROR(INDEX('代表咚声数据'!$B$2:$AO$39,ROW()-1,MATCH(V$1&amp;"_较响",'代表咚声数据'!$B$1:$AO$1,0)),""))</x:f>
      </x:c>
      <x:c r="W36" t="str">
        <x:f>IF(W$1="","",IFERROR(INDEX('代表咚声数据'!$B$2:$AO$39,ROW()-1,MATCH(W$1&amp;"_较响",'代表咚声数据'!$B$1:$AO$1,0)),""))</x:f>
      </x:c>
    </x:row>
    <x:row r="37">
      <x:c r="A37" t="n">
        <x:v>3.5</x:v>
      </x:c>
      <x:c r="B37" t="n">
        <x:f>IF(B$1="","",IFERROR(INDEX('包络曲线数据'!$B$2:$U$742,ROW()-1,MATCH(B$1,'包络曲线数据'!$B$1:$U$1,0)),""))</x:f>
        <x:v>62.740826814223034</x:v>
      </x:c>
      <x:c r="C37" t="n">
        <x:f>IF(C$1="","",IFERROR(INDEX('包络曲线数据'!$B$2:$U$742,ROW()-1,MATCH(C$1,'包络曲线数据'!$B$1:$U$1,0)),""))</x:f>
        <x:v>91.2256466904601</x:v>
      </x:c>
      <x:c r="D37" t="str">
        <x:f>IF(D$1="","",IFERROR(INDEX('包络曲线数据'!$B$2:$U$742,ROW()-1,MATCH(D$1,'包络曲线数据'!$B$1:$U$1,0)),""))</x:f>
      </x:c>
      <x:c r="E37" t="str">
        <x:f>IF(E$1="","",IFERROR(INDEX('包络曲线数据'!$B$2:$U$742,ROW()-1,MATCH(E$1,'包络曲线数据'!$B$1:$U$1,0)),""))</x:f>
      </x:c>
      <x:c r="F37" t="str">
        <x:f>IF(F$1="","",IFERROR(INDEX('包络曲线数据'!$B$2:$U$742,ROW()-1,MATCH(F$1,'包络曲线数据'!$B$1:$U$1,0)),""))</x:f>
      </x:c>
      <x:c r="G37" t="str">
        <x:f>IF(G$1="","",IFERROR(INDEX('包络曲线数据'!$B$2:$U$742,ROW()-1,MATCH(G$1,'包络曲线数据'!$B$1:$U$1,0)),""))</x:f>
      </x:c>
      <x:c r="I37" t="n">
        <x:v>400.0000000000006</x:v>
      </x:c>
      <x:c r="J37" t="n">
        <x:f>IF(J$1="","",IFERROR(INDEX('代表咚声数据'!$B$2:$AO$39,ROW()-1,MATCH(J$1&amp;"_常见",'代表咚声数据'!$B$1:$AO$1,0)),""))</x:f>
        <x:v>62.46164333453933</x:v>
      </x:c>
      <x:c r="K37" t="n">
        <x:f>IF(K$1="","",IFERROR(INDEX('代表咚声数据'!$B$2:$AO$39,ROW()-1,MATCH(K$1&amp;"_常见",'代表咚声数据'!$B$1:$AO$1,0)),""))</x:f>
        <x:v>64.7250710727104</x:v>
      </x:c>
      <x:c r="L37" t="str">
        <x:f>IF(L$1="","",IFERROR(INDEX('代表咚声数据'!$B$2:$AO$39,ROW()-1,MATCH(L$1&amp;"_常见",'代表咚声数据'!$B$1:$AO$1,0)),""))</x:f>
      </x:c>
      <x:c r="M37" t="str">
        <x:f>IF(M$1="","",IFERROR(INDEX('代表咚声数据'!$B$2:$AO$39,ROW()-1,MATCH(M$1&amp;"_常见",'代表咚声数据'!$B$1:$AO$1,0)),""))</x:f>
      </x:c>
      <x:c r="N37" t="str">
        <x:f>IF(N$1="","",IFERROR(INDEX('代表咚声数据'!$B$2:$AO$39,ROW()-1,MATCH(N$1&amp;"_常见",'代表咚声数据'!$B$1:$AO$1,0)),""))</x:f>
      </x:c>
      <x:c r="O37" t="str">
        <x:f>IF(O$1="","",IFERROR(INDEX('代表咚声数据'!$B$2:$AO$39,ROW()-1,MATCH(O$1&amp;"_常见",'代表咚声数据'!$B$1:$AO$1,0)),""))</x:f>
      </x:c>
      <x:c r="Q37" t="n">
        <x:v>400.0000000000006</x:v>
      </x:c>
      <x:c r="R37" t="n">
        <x:f>IF(R$1="","",IFERROR(INDEX('代表咚声数据'!$B$2:$AO$39,ROW()-1,MATCH(R$1&amp;"_较响",'代表咚声数据'!$B$1:$AO$1,0)),""))</x:f>
        <x:v>59.100852640180825</x:v>
      </x:c>
      <x:c r="S37" t="n">
        <x:f>IF(S$1="","",IFERROR(INDEX('代表咚声数据'!$B$2:$AO$39,ROW()-1,MATCH(S$1&amp;"_较响",'代表咚声数据'!$B$1:$AO$1,0)),""))</x:f>
        <x:v>64.6576443822992</x:v>
      </x:c>
      <x:c r="T37" t="str">
        <x:f>IF(T$1="","",IFERROR(INDEX('代表咚声数据'!$B$2:$AO$39,ROW()-1,MATCH(T$1&amp;"_较响",'代表咚声数据'!$B$1:$AO$1,0)),""))</x:f>
      </x:c>
      <x:c r="U37" t="str">
        <x:f>IF(U$1="","",IFERROR(INDEX('代表咚声数据'!$B$2:$AO$39,ROW()-1,MATCH(U$1&amp;"_较响",'代表咚声数据'!$B$1:$AO$1,0)),""))</x:f>
      </x:c>
      <x:c r="V37" t="str">
        <x:f>IF(V$1="","",IFERROR(INDEX('代表咚声数据'!$B$2:$AO$39,ROW()-1,MATCH(V$1&amp;"_较响",'代表咚声数据'!$B$1:$AO$1,0)),""))</x:f>
      </x:c>
      <x:c r="W37" t="str">
        <x:f>IF(W$1="","",IFERROR(INDEX('代表咚声数据'!$B$2:$AO$39,ROW()-1,MATCH(W$1&amp;"_较响",'代表咚声数据'!$B$1:$AO$1,0)),""))</x:f>
      </x:c>
    </x:row>
    <x:row r="38">
      <x:c r="A38" t="n">
        <x:v>3.6</x:v>
      </x:c>
      <x:c r="B38" t="n">
        <x:f>IF(B$1="","",IFERROR(INDEX('包络曲线数据'!$B$2:$U$742,ROW()-1,MATCH(B$1,'包络曲线数据'!$B$1:$U$1,0)),""))</x:f>
        <x:v>58.89492176065887</x:v>
      </x:c>
      <x:c r="C38" t="n">
        <x:f>IF(C$1="","",IFERROR(INDEX('包络曲线数据'!$B$2:$U$742,ROW()-1,MATCH(C$1,'包络曲线数据'!$B$1:$U$1,0)),""))</x:f>
        <x:v>90.68868005246514</x:v>
      </x:c>
      <x:c r="D38" t="str">
        <x:f>IF(D$1="","",IFERROR(INDEX('包络曲线数据'!$B$2:$U$742,ROW()-1,MATCH(D$1,'包络曲线数据'!$B$1:$U$1,0)),""))</x:f>
      </x:c>
      <x:c r="E38" t="str">
        <x:f>IF(E$1="","",IFERROR(INDEX('包络曲线数据'!$B$2:$U$742,ROW()-1,MATCH(E$1,'包络曲线数据'!$B$1:$U$1,0)),""))</x:f>
      </x:c>
      <x:c r="F38" t="str">
        <x:f>IF(F$1="","",IFERROR(INDEX('包络曲线数据'!$B$2:$U$742,ROW()-1,MATCH(F$1,'包络曲线数据'!$B$1:$U$1,0)),""))</x:f>
      </x:c>
      <x:c r="G38" t="str">
        <x:f>IF(G$1="","",IFERROR(INDEX('包络曲线数据'!$B$2:$U$742,ROW()-1,MATCH(G$1,'包络曲线数据'!$B$1:$U$1,0)),""))</x:f>
      </x:c>
      <x:c r="I38" t="n">
        <x:v>420.0000000000006</x:v>
      </x:c>
      <x:c r="J38" t="n">
        <x:f>IF(J$1="","",IFERROR(INDEX('代表咚声数据'!$B$2:$AO$39,ROW()-1,MATCH(J$1&amp;"_常见",'代表咚声数据'!$B$1:$AO$1,0)),""))</x:f>
        <x:v>62.83879639668946</x:v>
      </x:c>
      <x:c r="K38" t="n">
        <x:f>IF(K$1="","",IFERROR(INDEX('代表咚声数据'!$B$2:$AO$39,ROW()-1,MATCH(K$1&amp;"_常见",'代表咚声数据'!$B$1:$AO$1,0)),""))</x:f>
        <x:v>65.52503719996743</x:v>
      </x:c>
      <x:c r="L38" t="str">
        <x:f>IF(L$1="","",IFERROR(INDEX('代表咚声数据'!$B$2:$AO$39,ROW()-1,MATCH(L$1&amp;"_常见",'代表咚声数据'!$B$1:$AO$1,0)),""))</x:f>
      </x:c>
      <x:c r="M38" t="str">
        <x:f>IF(M$1="","",IFERROR(INDEX('代表咚声数据'!$B$2:$AO$39,ROW()-1,MATCH(M$1&amp;"_常见",'代表咚声数据'!$B$1:$AO$1,0)),""))</x:f>
      </x:c>
      <x:c r="N38" t="str">
        <x:f>IF(N$1="","",IFERROR(INDEX('代表咚声数据'!$B$2:$AO$39,ROW()-1,MATCH(N$1&amp;"_常见",'代表咚声数据'!$B$1:$AO$1,0)),""))</x:f>
      </x:c>
      <x:c r="O38" t="str">
        <x:f>IF(O$1="","",IFERROR(INDEX('代表咚声数据'!$B$2:$AO$39,ROW()-1,MATCH(O$1&amp;"_常见",'代表咚声数据'!$B$1:$AO$1,0)),""))</x:f>
      </x:c>
      <x:c r="Q38" t="n">
        <x:v>420.0000000000006</x:v>
      </x:c>
      <x:c r="R38" t="n">
        <x:f>IF(R$1="","",IFERROR(INDEX('代表咚声数据'!$B$2:$AO$39,ROW()-1,MATCH(R$1&amp;"_较响",'代表咚声数据'!$B$1:$AO$1,0)),""))</x:f>
        <x:v>59.409575945585324</x:v>
      </x:c>
      <x:c r="S38" t="n">
        <x:f>IF(S$1="","",IFERROR(INDEX('代表咚声数据'!$B$2:$AO$39,ROW()-1,MATCH(S$1&amp;"_较响",'代表咚声数据'!$B$1:$AO$1,0)),""))</x:f>
        <x:v>65.0735288763289</x:v>
      </x:c>
      <x:c r="T38" t="str">
        <x:f>IF(T$1="","",IFERROR(INDEX('代表咚声数据'!$B$2:$AO$39,ROW()-1,MATCH(T$1&amp;"_较响",'代表咚声数据'!$B$1:$AO$1,0)),""))</x:f>
      </x:c>
      <x:c r="U38" t="str">
        <x:f>IF(U$1="","",IFERROR(INDEX('代表咚声数据'!$B$2:$AO$39,ROW()-1,MATCH(U$1&amp;"_较响",'代表咚声数据'!$B$1:$AO$1,0)),""))</x:f>
      </x:c>
      <x:c r="V38" t="str">
        <x:f>IF(V$1="","",IFERROR(INDEX('代表咚声数据'!$B$2:$AO$39,ROW()-1,MATCH(V$1&amp;"_较响",'代表咚声数据'!$B$1:$AO$1,0)),""))</x:f>
      </x:c>
      <x:c r="W38" t="str">
        <x:f>IF(W$1="","",IFERROR(INDEX('代表咚声数据'!$B$2:$AO$39,ROW()-1,MATCH(W$1&amp;"_较响",'代表咚声数据'!$B$1:$AO$1,0)),""))</x:f>
      </x:c>
    </x:row>
    <x:row r="39">
      <x:c r="A39" t="n">
        <x:v>3.7</x:v>
      </x:c>
      <x:c r="B39" t="n">
        <x:f>IF(B$1="","",IFERROR(INDEX('包络曲线数据'!$B$2:$U$742,ROW()-1,MATCH(B$1,'包络曲线数据'!$B$1:$U$1,0)),""))</x:f>
        <x:v>59.67642105137487</x:v>
      </x:c>
      <x:c r="C39" t="n">
        <x:f>IF(C$1="","",IFERROR(INDEX('包络曲线数据'!$B$2:$U$742,ROW()-1,MATCH(C$1,'包络曲线数据'!$B$1:$U$1,0)),""))</x:f>
        <x:v>81.17578866149466</x:v>
      </x:c>
      <x:c r="D39" t="str">
        <x:f>IF(D$1="","",IFERROR(INDEX('包络曲线数据'!$B$2:$U$742,ROW()-1,MATCH(D$1,'包络曲线数据'!$B$1:$U$1,0)),""))</x:f>
      </x:c>
      <x:c r="E39" t="str">
        <x:f>IF(E$1="","",IFERROR(INDEX('包络曲线数据'!$B$2:$U$742,ROW()-1,MATCH(E$1,'包络曲线数据'!$B$1:$U$1,0)),""))</x:f>
      </x:c>
      <x:c r="F39" t="str">
        <x:f>IF(F$1="","",IFERROR(INDEX('包络曲线数据'!$B$2:$U$742,ROW()-1,MATCH(F$1,'包络曲线数据'!$B$1:$U$1,0)),""))</x:f>
      </x:c>
      <x:c r="G39" t="str">
        <x:f>IF(G$1="","",IFERROR(INDEX('包络曲线数据'!$B$2:$U$742,ROW()-1,MATCH(G$1,'包络曲线数据'!$B$1:$U$1,0)),""))</x:f>
      </x:c>
      <x:c r="I39" t="n">
        <x:v>440.0000000000007</x:v>
      </x:c>
      <x:c r="J39" t="n">
        <x:f>IF(J$1="","",IFERROR(INDEX('代表咚声数据'!$B$2:$AO$39,ROW()-1,MATCH(J$1&amp;"_常见",'代表咚声数据'!$B$1:$AO$1,0)),""))</x:f>
        <x:v>63.76306561577686</x:v>
      </x:c>
      <x:c r="K39" t="n">
        <x:f>IF(K$1="","",IFERROR(INDEX('代表咚声数据'!$B$2:$AO$39,ROW()-1,MATCH(K$1&amp;"_常见",'代表咚声数据'!$B$1:$AO$1,0)),""))</x:f>
        <x:v>65.38803983850642</x:v>
      </x:c>
      <x:c r="L39" t="str">
        <x:f>IF(L$1="","",IFERROR(INDEX('代表咚声数据'!$B$2:$AO$39,ROW()-1,MATCH(L$1&amp;"_常见",'代表咚声数据'!$B$1:$AO$1,0)),""))</x:f>
      </x:c>
      <x:c r="M39" t="str">
        <x:f>IF(M$1="","",IFERROR(INDEX('代表咚声数据'!$B$2:$AO$39,ROW()-1,MATCH(M$1&amp;"_常见",'代表咚声数据'!$B$1:$AO$1,0)),""))</x:f>
      </x:c>
      <x:c r="N39" t="str">
        <x:f>IF(N$1="","",IFERROR(INDEX('代表咚声数据'!$B$2:$AO$39,ROW()-1,MATCH(N$1&amp;"_常见",'代表咚声数据'!$B$1:$AO$1,0)),""))</x:f>
      </x:c>
      <x:c r="O39" t="str">
        <x:f>IF(O$1="","",IFERROR(INDEX('代表咚声数据'!$B$2:$AO$39,ROW()-1,MATCH(O$1&amp;"_常见",'代表咚声数据'!$B$1:$AO$1,0)),""))</x:f>
      </x:c>
      <x:c r="Q39" t="n">
        <x:v>440.0000000000007</x:v>
      </x:c>
      <x:c r="R39" t="n">
        <x:f>IF(R$1="","",IFERROR(INDEX('代表咚声数据'!$B$2:$AO$39,ROW()-1,MATCH(R$1&amp;"_较响",'代表咚声数据'!$B$1:$AO$1,0)),""))</x:f>
        <x:v>59.099303167439956</x:v>
      </x:c>
      <x:c r="S39" t="n">
        <x:f>IF(S$1="","",IFERROR(INDEX('代表咚声数据'!$B$2:$AO$39,ROW()-1,MATCH(S$1&amp;"_较响",'代表咚声数据'!$B$1:$AO$1,0)),""))</x:f>
        <x:v>66.12176444404724</x:v>
      </x:c>
      <x:c r="T39" t="str">
        <x:f>IF(T$1="","",IFERROR(INDEX('代表咚声数据'!$B$2:$AO$39,ROW()-1,MATCH(T$1&amp;"_较响",'代表咚声数据'!$B$1:$AO$1,0)),""))</x:f>
      </x:c>
      <x:c r="U39" t="str">
        <x:f>IF(U$1="","",IFERROR(INDEX('代表咚声数据'!$B$2:$AO$39,ROW()-1,MATCH(U$1&amp;"_较响",'代表咚声数据'!$B$1:$AO$1,0)),""))</x:f>
      </x:c>
      <x:c r="V39" t="str">
        <x:f>IF(V$1="","",IFERROR(INDEX('代表咚声数据'!$B$2:$AO$39,ROW()-1,MATCH(V$1&amp;"_较响",'代表咚声数据'!$B$1:$AO$1,0)),""))</x:f>
      </x:c>
      <x:c r="W39" t="str">
        <x:f>IF(W$1="","",IFERROR(INDEX('代表咚声数据'!$B$2:$AO$39,ROW()-1,MATCH(W$1&amp;"_较响",'代表咚声数据'!$B$1:$AO$1,0)),""))</x:f>
      </x:c>
    </x:row>
    <x:row r="40">
      <x:c r="A40" t="n">
        <x:v>3.8000000000000003</x:v>
      </x:c>
      <x:c r="B40" t="n">
        <x:f>IF(B$1="","",IFERROR(INDEX('包络曲线数据'!$B$2:$U$742,ROW()-1,MATCH(B$1,'包络曲线数据'!$B$1:$U$1,0)),""))</x:f>
        <x:v>60.3722016515481</x:v>
      </x:c>
      <x:c r="C40" t="n">
        <x:f>IF(C$1="","",IFERROR(INDEX('包络曲线数据'!$B$2:$U$742,ROW()-1,MATCH(C$1,'包络曲线数据'!$B$1:$U$1,0)),""))</x:f>
        <x:v>74.26216708669601</x:v>
      </x:c>
      <x:c r="D40" t="str">
        <x:f>IF(D$1="","",IFERROR(INDEX('包络曲线数据'!$B$2:$U$742,ROW()-1,MATCH(D$1,'包络曲线数据'!$B$1:$U$1,0)),""))</x:f>
      </x:c>
      <x:c r="E40" t="str">
        <x:f>IF(E$1="","",IFERROR(INDEX('包络曲线数据'!$B$2:$U$742,ROW()-1,MATCH(E$1,'包络曲线数据'!$B$1:$U$1,0)),""))</x:f>
      </x:c>
      <x:c r="F40" t="str">
        <x:f>IF(F$1="","",IFERROR(INDEX('包络曲线数据'!$B$2:$U$742,ROW()-1,MATCH(F$1,'包络曲线数据'!$B$1:$U$1,0)),""))</x:f>
      </x:c>
      <x:c r="G40" t="str">
        <x:f>IF(G$1="","",IFERROR(INDEX('包络曲线数据'!$B$2:$U$742,ROW()-1,MATCH(G$1,'包络曲线数据'!$B$1:$U$1,0)),""))</x:f>
      </x:c>
    </x:row>
    <x:row r="41">
      <x:c r="A41" t="n">
        <x:v>3.9000000000000004</x:v>
      </x:c>
      <x:c r="B41" t="n">
        <x:f>IF(B$1="","",IFERROR(INDEX('包络曲线数据'!$B$2:$U$742,ROW()-1,MATCH(B$1,'包络曲线数据'!$B$1:$U$1,0)),""))</x:f>
        <x:v>61.93282974480268</x:v>
      </x:c>
      <x:c r="C41" t="n">
        <x:f>IF(C$1="","",IFERROR(INDEX('包络曲线数据'!$B$2:$U$742,ROW()-1,MATCH(C$1,'包络曲线数据'!$B$1:$U$1,0)),""))</x:f>
        <x:v>72.06359802259817</x:v>
      </x:c>
      <x:c r="D41" t="str">
        <x:f>IF(D$1="","",IFERROR(INDEX('包络曲线数据'!$B$2:$U$742,ROW()-1,MATCH(D$1,'包络曲线数据'!$B$1:$U$1,0)),""))</x:f>
      </x:c>
      <x:c r="E41" t="str">
        <x:f>IF(E$1="","",IFERROR(INDEX('包络曲线数据'!$B$2:$U$742,ROW()-1,MATCH(E$1,'包络曲线数据'!$B$1:$U$1,0)),""))</x:f>
      </x:c>
      <x:c r="F41" t="str">
        <x:f>IF(F$1="","",IFERROR(INDEX('包络曲线数据'!$B$2:$U$742,ROW()-1,MATCH(F$1,'包络曲线数据'!$B$1:$U$1,0)),""))</x:f>
      </x:c>
      <x:c r="G41" t="str">
        <x:f>IF(G$1="","",IFERROR(INDEX('包络曲线数据'!$B$2:$U$742,ROW()-1,MATCH(G$1,'包络曲线数据'!$B$1:$U$1,0)),""))</x:f>
      </x:c>
    </x:row>
    <x:row r="42">
      <x:c r="A42" t="n">
        <x:v>4</x:v>
      </x:c>
      <x:c r="B42" t="n">
        <x:f>IF(B$1="","",IFERROR(INDEX('包络曲线数据'!$B$2:$U$742,ROW()-1,MATCH(B$1,'包络曲线数据'!$B$1:$U$1,0)),""))</x:f>
        <x:v>61.466973123817326</x:v>
      </x:c>
      <x:c r="C42" t="n">
        <x:f>IF(C$1="","",IFERROR(INDEX('包络曲线数据'!$B$2:$U$742,ROW()-1,MATCH(C$1,'包络曲线数据'!$B$1:$U$1,0)),""))</x:f>
        <x:v>57.74173591282451</x:v>
      </x:c>
      <x:c r="D42" t="str">
        <x:f>IF(D$1="","",IFERROR(INDEX('包络曲线数据'!$B$2:$U$742,ROW()-1,MATCH(D$1,'包络曲线数据'!$B$1:$U$1,0)),""))</x:f>
      </x:c>
      <x:c r="E42" t="str">
        <x:f>IF(E$1="","",IFERROR(INDEX('包络曲线数据'!$B$2:$U$742,ROW()-1,MATCH(E$1,'包络曲线数据'!$B$1:$U$1,0)),""))</x:f>
      </x:c>
      <x:c r="F42" t="str">
        <x:f>IF(F$1="","",IFERROR(INDEX('包络曲线数据'!$B$2:$U$742,ROW()-1,MATCH(F$1,'包络曲线数据'!$B$1:$U$1,0)),""))</x:f>
      </x:c>
      <x:c r="G42" t="str">
        <x:f>IF(G$1="","",IFERROR(INDEX('包络曲线数据'!$B$2:$U$742,ROW()-1,MATCH(G$1,'包络曲线数据'!$B$1:$U$1,0)),""))</x:f>
      </x:c>
    </x:row>
    <x:row r="43">
      <x:c r="A43" t="n">
        <x:v>4.1000000000000005</x:v>
      </x:c>
      <x:c r="B43" t="n">
        <x:f>IF(B$1="","",IFERROR(INDEX('包络曲线数据'!$B$2:$U$742,ROW()-1,MATCH(B$1,'包络曲线数据'!$B$1:$U$1,0)),""))</x:f>
        <x:v>61.941435659660364</x:v>
      </x:c>
      <x:c r="C43" t="n">
        <x:f>IF(C$1="","",IFERROR(INDEX('包络曲线数据'!$B$2:$U$742,ROW()-1,MATCH(C$1,'包络曲线数据'!$B$1:$U$1,0)),""))</x:f>
        <x:v>65.60930312983683</x:v>
      </x:c>
      <x:c r="D43" t="str">
        <x:f>IF(D$1="","",IFERROR(INDEX('包络曲线数据'!$B$2:$U$742,ROW()-1,MATCH(D$1,'包络曲线数据'!$B$1:$U$1,0)),""))</x:f>
      </x:c>
      <x:c r="E43" t="str">
        <x:f>IF(E$1="","",IFERROR(INDEX('包络曲线数据'!$B$2:$U$742,ROW()-1,MATCH(E$1,'包络曲线数据'!$B$1:$U$1,0)),""))</x:f>
      </x:c>
      <x:c r="F43" t="str">
        <x:f>IF(F$1="","",IFERROR(INDEX('包络曲线数据'!$B$2:$U$742,ROW()-1,MATCH(F$1,'包络曲线数据'!$B$1:$U$1,0)),""))</x:f>
      </x:c>
      <x:c r="G43" t="str">
        <x:f>IF(G$1="","",IFERROR(INDEX('包络曲线数据'!$B$2:$U$742,ROW()-1,MATCH(G$1,'包络曲线数据'!$B$1:$U$1,0)),""))</x:f>
      </x:c>
    </x:row>
    <x:row r="44">
      <x:c r="A44" t="n">
        <x:v>4.2</x:v>
      </x:c>
      <x:c r="B44" t="n">
        <x:f>IF(B$1="","",IFERROR(INDEX('包络曲线数据'!$B$2:$U$742,ROW()-1,MATCH(B$1,'包络曲线数据'!$B$1:$U$1,0)),""))</x:f>
        <x:v>62.872694177997516</x:v>
      </x:c>
      <x:c r="C44" t="n">
        <x:f>IF(C$1="","",IFERROR(INDEX('包络曲线数据'!$B$2:$U$742,ROW()-1,MATCH(C$1,'包络曲线数据'!$B$1:$U$1,0)),""))</x:f>
        <x:v>65.60930312983683</x:v>
      </x:c>
      <x:c r="D44" t="str">
        <x:f>IF(D$1="","",IFERROR(INDEX('包络曲线数据'!$B$2:$U$742,ROW()-1,MATCH(D$1,'包络曲线数据'!$B$1:$U$1,0)),""))</x:f>
      </x:c>
      <x:c r="E44" t="str">
        <x:f>IF(E$1="","",IFERROR(INDEX('包络曲线数据'!$B$2:$U$742,ROW()-1,MATCH(E$1,'包络曲线数据'!$B$1:$U$1,0)),""))</x:f>
      </x:c>
      <x:c r="F44" t="str">
        <x:f>IF(F$1="","",IFERROR(INDEX('包络曲线数据'!$B$2:$U$742,ROW()-1,MATCH(F$1,'包络曲线数据'!$B$1:$U$1,0)),""))</x:f>
      </x:c>
      <x:c r="G44" t="str">
        <x:f>IF(G$1="","",IFERROR(INDEX('包络曲线数据'!$B$2:$U$742,ROW()-1,MATCH(G$1,'包络曲线数据'!$B$1:$U$1,0)),""))</x:f>
      </x:c>
    </x:row>
    <x:row r="45">
      <x:c r="A45" t="n">
        <x:v>4.3</x:v>
      </x:c>
      <x:c r="B45" t="n">
        <x:f>IF(B$1="","",IFERROR(INDEX('包络曲线数据'!$B$2:$U$742,ROW()-1,MATCH(B$1,'包络曲线数据'!$B$1:$U$1,0)),""))</x:f>
        <x:v>63.02405403318932</x:v>
      </x:c>
      <x:c r="C45" t="n">
        <x:f>IF(C$1="","",IFERROR(INDEX('包络曲线数据'!$B$2:$U$742,ROW()-1,MATCH(C$1,'包络曲线数据'!$B$1:$U$1,0)),""))</x:f>
        <x:v>74.42661022205496</x:v>
      </x:c>
      <x:c r="D45" t="str">
        <x:f>IF(D$1="","",IFERROR(INDEX('包络曲线数据'!$B$2:$U$742,ROW()-1,MATCH(D$1,'包络曲线数据'!$B$1:$U$1,0)),""))</x:f>
      </x:c>
      <x:c r="E45" t="str">
        <x:f>IF(E$1="","",IFERROR(INDEX('包络曲线数据'!$B$2:$U$742,ROW()-1,MATCH(E$1,'包络曲线数据'!$B$1:$U$1,0)),""))</x:f>
      </x:c>
      <x:c r="F45" t="str">
        <x:f>IF(F$1="","",IFERROR(INDEX('包络曲线数据'!$B$2:$U$742,ROW()-1,MATCH(F$1,'包络曲线数据'!$B$1:$U$1,0)),""))</x:f>
      </x:c>
      <x:c r="G45" t="str">
        <x:f>IF(G$1="","",IFERROR(INDEX('包络曲线数据'!$B$2:$U$742,ROW()-1,MATCH(G$1,'包络曲线数据'!$B$1:$U$1,0)),""))</x:f>
      </x:c>
    </x:row>
    <x:row r="46">
      <x:c r="A46" t="n">
        <x:v>4.4</x:v>
      </x:c>
      <x:c r="B46" t="n">
        <x:f>IF(B$1="","",IFERROR(INDEX('包络曲线数据'!$B$2:$U$742,ROW()-1,MATCH(B$1,'包络曲线数据'!$B$1:$U$1,0)),""))</x:f>
        <x:v>81.2120387401104</x:v>
      </x:c>
      <x:c r="C46" t="n">
        <x:f>IF(C$1="","",IFERROR(INDEX('包络曲线数据'!$B$2:$U$742,ROW()-1,MATCH(C$1,'包络曲线数据'!$B$1:$U$1,0)),""))</x:f>
        <x:v>74.42661022205496</x:v>
      </x:c>
      <x:c r="D46" t="str">
        <x:f>IF(D$1="","",IFERROR(INDEX('包络曲线数据'!$B$2:$U$742,ROW()-1,MATCH(D$1,'包络曲线数据'!$B$1:$U$1,0)),""))</x:f>
      </x:c>
      <x:c r="E46" t="str">
        <x:f>IF(E$1="","",IFERROR(INDEX('包络曲线数据'!$B$2:$U$742,ROW()-1,MATCH(E$1,'包络曲线数据'!$B$1:$U$1,0)),""))</x:f>
      </x:c>
      <x:c r="F46" t="str">
        <x:f>IF(F$1="","",IFERROR(INDEX('包络曲线数据'!$B$2:$U$742,ROW()-1,MATCH(F$1,'包络曲线数据'!$B$1:$U$1,0)),""))</x:f>
      </x:c>
      <x:c r="G46" t="str">
        <x:f>IF(G$1="","",IFERROR(INDEX('包络曲线数据'!$B$2:$U$742,ROW()-1,MATCH(G$1,'包络曲线数据'!$B$1:$U$1,0)),""))</x:f>
      </x:c>
    </x:row>
    <x:row r="47">
      <x:c r="A47" t="n">
        <x:v>4.5</x:v>
      </x:c>
      <x:c r="B47" t="n">
        <x:f>IF(B$1="","",IFERROR(INDEX('包络曲线数据'!$B$2:$U$742,ROW()-1,MATCH(B$1,'包络曲线数据'!$B$1:$U$1,0)),""))</x:f>
        <x:v>82.89481338461111</x:v>
      </x:c>
      <x:c r="C47" t="n">
        <x:f>IF(C$1="","",IFERROR(INDEX('包络曲线数据'!$B$2:$U$742,ROW()-1,MATCH(C$1,'包络曲线数据'!$B$1:$U$1,0)),""))</x:f>
        <x:v>68.3530550885787</x:v>
      </x:c>
      <x:c r="D47" t="str">
        <x:f>IF(D$1="","",IFERROR(INDEX('包络曲线数据'!$B$2:$U$742,ROW()-1,MATCH(D$1,'包络曲线数据'!$B$1:$U$1,0)),""))</x:f>
      </x:c>
      <x:c r="E47" t="str">
        <x:f>IF(E$1="","",IFERROR(INDEX('包络曲线数据'!$B$2:$U$742,ROW()-1,MATCH(E$1,'包络曲线数据'!$B$1:$U$1,0)),""))</x:f>
      </x:c>
      <x:c r="F47" t="str">
        <x:f>IF(F$1="","",IFERROR(INDEX('包络曲线数据'!$B$2:$U$742,ROW()-1,MATCH(F$1,'包络曲线数据'!$B$1:$U$1,0)),""))</x:f>
      </x:c>
      <x:c r="G47" t="str">
        <x:f>IF(G$1="","",IFERROR(INDEX('包络曲线数据'!$B$2:$U$742,ROW()-1,MATCH(G$1,'包络曲线数据'!$B$1:$U$1,0)),""))</x:f>
      </x:c>
    </x:row>
    <x:row r="48">
      <x:c r="A48" t="n">
        <x:v>4.6000000000000005</x:v>
      </x:c>
      <x:c r="B48" t="n">
        <x:f>IF(B$1="","",IFERROR(INDEX('包络曲线数据'!$B$2:$U$742,ROW()-1,MATCH(B$1,'包络曲线数据'!$B$1:$U$1,0)),""))</x:f>
        <x:v>82.894813384611</x:v>
      </x:c>
      <x:c r="C48" t="n">
        <x:f>IF(C$1="","",IFERROR(INDEX('包络曲线数据'!$B$2:$U$742,ROW()-1,MATCH(C$1,'包络曲线数据'!$B$1:$U$1,0)),""))</x:f>
        <x:v>50.00000000000048</x:v>
      </x:c>
      <x:c r="D48" t="str">
        <x:f>IF(D$1="","",IFERROR(INDEX('包络曲线数据'!$B$2:$U$742,ROW()-1,MATCH(D$1,'包络曲线数据'!$B$1:$U$1,0)),""))</x:f>
      </x:c>
      <x:c r="E48" t="str">
        <x:f>IF(E$1="","",IFERROR(INDEX('包络曲线数据'!$B$2:$U$742,ROW()-1,MATCH(E$1,'包络曲线数据'!$B$1:$U$1,0)),""))</x:f>
      </x:c>
      <x:c r="F48" t="str">
        <x:f>IF(F$1="","",IFERROR(INDEX('包络曲线数据'!$B$2:$U$742,ROW()-1,MATCH(F$1,'包络曲线数据'!$B$1:$U$1,0)),""))</x:f>
      </x:c>
      <x:c r="G48" t="str">
        <x:f>IF(G$1="","",IFERROR(INDEX('包络曲线数据'!$B$2:$U$742,ROW()-1,MATCH(G$1,'包络曲线数据'!$B$1:$U$1,0)),""))</x:f>
      </x:c>
    </x:row>
    <x:row r="49">
      <x:c r="A49" t="n">
        <x:v>4.7</x:v>
      </x:c>
      <x:c r="B49" t="n">
        <x:f>IF(B$1="","",IFERROR(INDEX('包络曲线数据'!$B$2:$U$742,ROW()-1,MATCH(B$1,'包络曲线数据'!$B$1:$U$1,0)),""))</x:f>
        <x:v>75.52718849018095</x:v>
      </x:c>
      <x:c r="C49" t="n">
        <x:f>IF(C$1="","",IFERROR(INDEX('包络曲线数据'!$B$2:$U$742,ROW()-1,MATCH(C$1,'包络曲线数据'!$B$1:$U$1,0)),""))</x:f>
        <x:v>69.43903041070698</x:v>
      </x:c>
      <x:c r="D49" t="str">
        <x:f>IF(D$1="","",IFERROR(INDEX('包络曲线数据'!$B$2:$U$742,ROW()-1,MATCH(D$1,'包络曲线数据'!$B$1:$U$1,0)),""))</x:f>
      </x:c>
      <x:c r="E49" t="str">
        <x:f>IF(E$1="","",IFERROR(INDEX('包络曲线数据'!$B$2:$U$742,ROW()-1,MATCH(E$1,'包络曲线数据'!$B$1:$U$1,0)),""))</x:f>
      </x:c>
      <x:c r="F49" t="str">
        <x:f>IF(F$1="","",IFERROR(INDEX('包络曲线数据'!$B$2:$U$742,ROW()-1,MATCH(F$1,'包络曲线数据'!$B$1:$U$1,0)),""))</x:f>
      </x:c>
      <x:c r="G49" t="str">
        <x:f>IF(G$1="","",IFERROR(INDEX('包络曲线数据'!$B$2:$U$742,ROW()-1,MATCH(G$1,'包络曲线数据'!$B$1:$U$1,0)),""))</x:f>
      </x:c>
    </x:row>
    <x:row r="50">
      <x:c r="A50" t="n">
        <x:v>4.800000000000001</x:v>
      </x:c>
      <x:c r="B50" t="n">
        <x:f>IF(B$1="","",IFERROR(INDEX('包络曲线数据'!$B$2:$U$742,ROW()-1,MATCH(B$1,'包络曲线数据'!$B$1:$U$1,0)),""))</x:f>
        <x:v>67.40447953971216</x:v>
      </x:c>
      <x:c r="C50" t="n">
        <x:f>IF(C$1="","",IFERROR(INDEX('包络曲线数据'!$B$2:$U$742,ROW()-1,MATCH(C$1,'包络曲线数据'!$B$1:$U$1,0)),""))</x:f>
        <x:v>69.43903041070698</x:v>
      </x:c>
      <x:c r="D50" t="str">
        <x:f>IF(D$1="","",IFERROR(INDEX('包络曲线数据'!$B$2:$U$742,ROW()-1,MATCH(D$1,'包络曲线数据'!$B$1:$U$1,0)),""))</x:f>
      </x:c>
      <x:c r="E50" t="str">
        <x:f>IF(E$1="","",IFERROR(INDEX('包络曲线数据'!$B$2:$U$742,ROW()-1,MATCH(E$1,'包络曲线数据'!$B$1:$U$1,0)),""))</x:f>
      </x:c>
      <x:c r="F50" t="str">
        <x:f>IF(F$1="","",IFERROR(INDEX('包络曲线数据'!$B$2:$U$742,ROW()-1,MATCH(F$1,'包络曲线数据'!$B$1:$U$1,0)),""))</x:f>
      </x:c>
      <x:c r="G50" t="str">
        <x:f>IF(G$1="","",IFERROR(INDEX('包络曲线数据'!$B$2:$U$742,ROW()-1,MATCH(G$1,'包络曲线数据'!$B$1:$U$1,0)),""))</x:f>
      </x:c>
    </x:row>
    <x:row r="51">
      <x:c r="A51" t="n">
        <x:v>4.9</x:v>
      </x:c>
      <x:c r="B51" t="n">
        <x:f>IF(B$1="","",IFERROR(INDEX('包络曲线数据'!$B$2:$U$742,ROW()-1,MATCH(B$1,'包络曲线数据'!$B$1:$U$1,0)),""))</x:f>
        <x:v>57.52715457712975</x:v>
      </x:c>
      <x:c r="C51" t="n">
        <x:f>IF(C$1="","",IFERROR(INDEX('包络曲线数据'!$B$2:$U$742,ROW()-1,MATCH(C$1,'包络曲线数据'!$B$1:$U$1,0)),""))</x:f>
        <x:v>70.69155283733046</x:v>
      </x:c>
      <x:c r="D51" t="str">
        <x:f>IF(D$1="","",IFERROR(INDEX('包络曲线数据'!$B$2:$U$742,ROW()-1,MATCH(D$1,'包络曲线数据'!$B$1:$U$1,0)),""))</x:f>
      </x:c>
      <x:c r="E51" t="str">
        <x:f>IF(E$1="","",IFERROR(INDEX('包络曲线数据'!$B$2:$U$742,ROW()-1,MATCH(E$1,'包络曲线数据'!$B$1:$U$1,0)),""))</x:f>
      </x:c>
      <x:c r="F51" t="str">
        <x:f>IF(F$1="","",IFERROR(INDEX('包络曲线数据'!$B$2:$U$742,ROW()-1,MATCH(F$1,'包络曲线数据'!$B$1:$U$1,0)),""))</x:f>
      </x:c>
      <x:c r="G51" t="str">
        <x:f>IF(G$1="","",IFERROR(INDEX('包络曲线数据'!$B$2:$U$742,ROW()-1,MATCH(G$1,'包络曲线数据'!$B$1:$U$1,0)),""))</x:f>
      </x:c>
    </x:row>
    <x:row r="52">
      <x:c r="A52" t="n">
        <x:v>5</x:v>
      </x:c>
      <x:c r="B52" t="n">
        <x:f>IF(B$1="","",IFERROR(INDEX('包络曲线数据'!$B$2:$U$742,ROW()-1,MATCH(B$1,'包络曲线数据'!$B$1:$U$1,0)),""))</x:f>
        <x:v>63.890335002976606</x:v>
      </x:c>
      <x:c r="C52" t="n">
        <x:f>IF(C$1="","",IFERROR(INDEX('包络曲线数据'!$B$2:$U$742,ROW()-1,MATCH(C$1,'包络曲线数据'!$B$1:$U$1,0)),""))</x:f>
        <x:v>70.86903131491519</x:v>
      </x:c>
      <x:c r="D52" t="str">
        <x:f>IF(D$1="","",IFERROR(INDEX('包络曲线数据'!$B$2:$U$742,ROW()-1,MATCH(D$1,'包络曲线数据'!$B$1:$U$1,0)),""))</x:f>
      </x:c>
      <x:c r="E52" t="str">
        <x:f>IF(E$1="","",IFERROR(INDEX('包络曲线数据'!$B$2:$U$742,ROW()-1,MATCH(E$1,'包络曲线数据'!$B$1:$U$1,0)),""))</x:f>
      </x:c>
      <x:c r="F52" t="str">
        <x:f>IF(F$1="","",IFERROR(INDEX('包络曲线数据'!$B$2:$U$742,ROW()-1,MATCH(F$1,'包络曲线数据'!$B$1:$U$1,0)),""))</x:f>
      </x:c>
      <x:c r="G52" t="str">
        <x:f>IF(G$1="","",IFERROR(INDEX('包络曲线数据'!$B$2:$U$742,ROW()-1,MATCH(G$1,'包络曲线数据'!$B$1:$U$1,0)),""))</x:f>
      </x:c>
    </x:row>
    <x:row r="53">
      <x:c r="A53" t="n">
        <x:v>5.1000000000000005</x:v>
      </x:c>
      <x:c r="B53" t="n">
        <x:f>IF(B$1="","",IFERROR(INDEX('包络曲线数据'!$B$2:$U$742,ROW()-1,MATCH(B$1,'包络曲线数据'!$B$1:$U$1,0)),""))</x:f>
        <x:v>63.890335002976606</x:v>
      </x:c>
      <x:c r="C53" t="n">
        <x:f>IF(C$1="","",IFERROR(INDEX('包络曲线数据'!$B$2:$U$742,ROW()-1,MATCH(C$1,'包络曲线数据'!$B$1:$U$1,0)),""))</x:f>
        <x:v>72.53801315218823</x:v>
      </x:c>
      <x:c r="D53" t="str">
        <x:f>IF(D$1="","",IFERROR(INDEX('包络曲线数据'!$B$2:$U$742,ROW()-1,MATCH(D$1,'包络曲线数据'!$B$1:$U$1,0)),""))</x:f>
      </x:c>
      <x:c r="E53" t="str">
        <x:f>IF(E$1="","",IFERROR(INDEX('包络曲线数据'!$B$2:$U$742,ROW()-1,MATCH(E$1,'包络曲线数据'!$B$1:$U$1,0)),""))</x:f>
      </x:c>
      <x:c r="F53" t="str">
        <x:f>IF(F$1="","",IFERROR(INDEX('包络曲线数据'!$B$2:$U$742,ROW()-1,MATCH(F$1,'包络曲线数据'!$B$1:$U$1,0)),""))</x:f>
      </x:c>
      <x:c r="G53" t="str">
        <x:f>IF(G$1="","",IFERROR(INDEX('包络曲线数据'!$B$2:$U$742,ROW()-1,MATCH(G$1,'包络曲线数据'!$B$1:$U$1,0)),""))</x:f>
      </x:c>
    </x:row>
    <x:row r="54">
      <x:c r="A54" t="n">
        <x:v>5.2</x:v>
      </x:c>
      <x:c r="B54" t="n">
        <x:f>IF(B$1="","",IFERROR(INDEX('包络曲线数据'!$B$2:$U$742,ROW()-1,MATCH(B$1,'包络曲线数据'!$B$1:$U$1,0)),""))</x:f>
        <x:v>55.91081434827626</x:v>
      </x:c>
      <x:c r="C54" t="n">
        <x:f>IF(C$1="","",IFERROR(INDEX('包络曲线数据'!$B$2:$U$742,ROW()-1,MATCH(C$1,'包络曲线数据'!$B$1:$U$1,0)),""))</x:f>
        <x:v>72.83523050586662</x:v>
      </x:c>
      <x:c r="D54" t="str">
        <x:f>IF(D$1="","",IFERROR(INDEX('包络曲线数据'!$B$2:$U$742,ROW()-1,MATCH(D$1,'包络曲线数据'!$B$1:$U$1,0)),""))</x:f>
      </x:c>
      <x:c r="E54" t="str">
        <x:f>IF(E$1="","",IFERROR(INDEX('包络曲线数据'!$B$2:$U$742,ROW()-1,MATCH(E$1,'包络曲线数据'!$B$1:$U$1,0)),""))</x:f>
      </x:c>
      <x:c r="F54" t="str">
        <x:f>IF(F$1="","",IFERROR(INDEX('包络曲线数据'!$B$2:$U$742,ROW()-1,MATCH(F$1,'包络曲线数据'!$B$1:$U$1,0)),""))</x:f>
      </x:c>
      <x:c r="G54" t="str">
        <x:f>IF(G$1="","",IFERROR(INDEX('包络曲线数据'!$B$2:$U$742,ROW()-1,MATCH(G$1,'包络曲线数据'!$B$1:$U$1,0)),""))</x:f>
      </x:c>
    </x:row>
    <x:row r="55">
      <x:c r="A55" t="n">
        <x:v>5.300000000000001</x:v>
      </x:c>
      <x:c r="B55" t="n">
        <x:f>IF(B$1="","",IFERROR(INDEX('包络曲线数据'!$B$2:$U$742,ROW()-1,MATCH(B$1,'包络曲线数据'!$B$1:$U$1,0)),""))</x:f>
        <x:v>70.39687288271466</x:v>
      </x:c>
      <x:c r="C55" t="n">
        <x:f>IF(C$1="","",IFERROR(INDEX('包络曲线数据'!$B$2:$U$742,ROW()-1,MATCH(C$1,'包络曲线数据'!$B$1:$U$1,0)),""))</x:f>
        <x:v>76.68870609084965</x:v>
      </x:c>
      <x:c r="D55" t="str">
        <x:f>IF(D$1="","",IFERROR(INDEX('包络曲线数据'!$B$2:$U$742,ROW()-1,MATCH(D$1,'包络曲线数据'!$B$1:$U$1,0)),""))</x:f>
      </x:c>
      <x:c r="E55" t="str">
        <x:f>IF(E$1="","",IFERROR(INDEX('包络曲线数据'!$B$2:$U$742,ROW()-1,MATCH(E$1,'包络曲线数据'!$B$1:$U$1,0)),""))</x:f>
      </x:c>
      <x:c r="F55" t="str">
        <x:f>IF(F$1="","",IFERROR(INDEX('包络曲线数据'!$B$2:$U$742,ROW()-1,MATCH(F$1,'包络曲线数据'!$B$1:$U$1,0)),""))</x:f>
      </x:c>
      <x:c r="G55" t="str">
        <x:f>IF(G$1="","",IFERROR(INDEX('包络曲线数据'!$B$2:$U$742,ROW()-1,MATCH(G$1,'包络曲线数据'!$B$1:$U$1,0)),""))</x:f>
      </x:c>
    </x:row>
    <x:row r="56">
      <x:c r="A56" t="n">
        <x:v>5.4</x:v>
      </x:c>
      <x:c r="B56" t="n">
        <x:f>IF(B$1="","",IFERROR(INDEX('包络曲线数据'!$B$2:$U$742,ROW()-1,MATCH(B$1,'包络曲线数据'!$B$1:$U$1,0)),""))</x:f>
        <x:v>70.39687288271466</x:v>
      </x:c>
      <x:c r="C56" t="n">
        <x:f>IF(C$1="","",IFERROR(INDEX('包络曲线数据'!$B$2:$U$742,ROW()-1,MATCH(C$1,'包络曲线数据'!$B$1:$U$1,0)),""))</x:f>
        <x:v>76.68870609084965</x:v>
      </x:c>
      <x:c r="D56" t="str">
        <x:f>IF(D$1="","",IFERROR(INDEX('包络曲线数据'!$B$2:$U$742,ROW()-1,MATCH(D$1,'包络曲线数据'!$B$1:$U$1,0)),""))</x:f>
      </x:c>
      <x:c r="E56" t="str">
        <x:f>IF(E$1="","",IFERROR(INDEX('包络曲线数据'!$B$2:$U$742,ROW()-1,MATCH(E$1,'包络曲线数据'!$B$1:$U$1,0)),""))</x:f>
      </x:c>
      <x:c r="F56" t="str">
        <x:f>IF(F$1="","",IFERROR(INDEX('包络曲线数据'!$B$2:$U$742,ROW()-1,MATCH(F$1,'包络曲线数据'!$B$1:$U$1,0)),""))</x:f>
      </x:c>
      <x:c r="G56" t="str">
        <x:f>IF(G$1="","",IFERROR(INDEX('包络曲线数据'!$B$2:$U$742,ROW()-1,MATCH(G$1,'包络曲线数据'!$B$1:$U$1,0)),""))</x:f>
      </x:c>
    </x:row>
    <x:row r="57">
      <x:c r="A57" t="n">
        <x:v>5.5</x:v>
      </x:c>
      <x:c r="B57" t="n">
        <x:f>IF(B$1="","",IFERROR(INDEX('包络曲线数据'!$B$2:$U$742,ROW()-1,MATCH(B$1,'包络曲线数据'!$B$1:$U$1,0)),""))</x:f>
        <x:v>68.56825060113314</x:v>
      </x:c>
      <x:c r="C57" t="n">
        <x:f>IF(C$1="","",IFERROR(INDEX('包络曲线数据'!$B$2:$U$742,ROW()-1,MATCH(C$1,'包络曲线数据'!$B$1:$U$1,0)),""))</x:f>
        <x:v>88.20117526105611</x:v>
      </x:c>
      <x:c r="D57" t="str">
        <x:f>IF(D$1="","",IFERROR(INDEX('包络曲线数据'!$B$2:$U$742,ROW()-1,MATCH(D$1,'包络曲线数据'!$B$1:$U$1,0)),""))</x:f>
      </x:c>
      <x:c r="E57" t="str">
        <x:f>IF(E$1="","",IFERROR(INDEX('包络曲线数据'!$B$2:$U$742,ROW()-1,MATCH(E$1,'包络曲线数据'!$B$1:$U$1,0)),""))</x:f>
      </x:c>
      <x:c r="F57" t="str">
        <x:f>IF(F$1="","",IFERROR(INDEX('包络曲线数据'!$B$2:$U$742,ROW()-1,MATCH(F$1,'包络曲线数据'!$B$1:$U$1,0)),""))</x:f>
      </x:c>
      <x:c r="G57" t="str">
        <x:f>IF(G$1="","",IFERROR(INDEX('包络曲线数据'!$B$2:$U$742,ROW()-1,MATCH(G$1,'包络曲线数据'!$B$1:$U$1,0)),""))</x:f>
      </x:c>
    </x:row>
    <x:row r="58">
      <x:c r="A58" t="n">
        <x:v>5.6000000000000005</x:v>
      </x:c>
      <x:c r="B58" t="n">
        <x:f>IF(B$1="","",IFERROR(INDEX('包络曲线数据'!$B$2:$U$742,ROW()-1,MATCH(B$1,'包络曲线数据'!$B$1:$U$1,0)),""))</x:f>
        <x:v>61.95068022299914</x:v>
      </x:c>
      <x:c r="C58" t="n">
        <x:f>IF(C$1="","",IFERROR(INDEX('包络曲线数据'!$B$2:$U$742,ROW()-1,MATCH(C$1,'包络曲线数据'!$B$1:$U$1,0)),""))</x:f>
        <x:v>91.84826249779366</x:v>
      </x:c>
      <x:c r="D58" t="str">
        <x:f>IF(D$1="","",IFERROR(INDEX('包络曲线数据'!$B$2:$U$742,ROW()-1,MATCH(D$1,'包络曲线数据'!$B$1:$U$1,0)),""))</x:f>
      </x:c>
      <x:c r="E58" t="str">
        <x:f>IF(E$1="","",IFERROR(INDEX('包络曲线数据'!$B$2:$U$742,ROW()-1,MATCH(E$1,'包络曲线数据'!$B$1:$U$1,0)),""))</x:f>
      </x:c>
      <x:c r="F58" t="str">
        <x:f>IF(F$1="","",IFERROR(INDEX('包络曲线数据'!$B$2:$U$742,ROW()-1,MATCH(F$1,'包络曲线数据'!$B$1:$U$1,0)),""))</x:f>
      </x:c>
      <x:c r="G58" t="str">
        <x:f>IF(G$1="","",IFERROR(INDEX('包络曲线数据'!$B$2:$U$742,ROW()-1,MATCH(G$1,'包络曲线数据'!$B$1:$U$1,0)),""))</x:f>
      </x:c>
    </x:row>
    <x:row r="59">
      <x:c r="A59" t="n">
        <x:v>5.7</x:v>
      </x:c>
      <x:c r="B59" t="n">
        <x:f>IF(B$1="","",IFERROR(INDEX('包络曲线数据'!$B$2:$U$742,ROW()-1,MATCH(B$1,'包络曲线数据'!$B$1:$U$1,0)),""))</x:f>
        <x:v>60.07086709733204</x:v>
      </x:c>
      <x:c r="C59" t="n">
        <x:f>IF(C$1="","",IFERROR(INDEX('包络曲线数据'!$B$2:$U$742,ROW()-1,MATCH(C$1,'包络曲线数据'!$B$1:$U$1,0)),""))</x:f>
        <x:v>91.84826249779366</x:v>
      </x:c>
      <x:c r="D59" t="str">
        <x:f>IF(D$1="","",IFERROR(INDEX('包络曲线数据'!$B$2:$U$742,ROW()-1,MATCH(D$1,'包络曲线数据'!$B$1:$U$1,0)),""))</x:f>
      </x:c>
      <x:c r="E59" t="str">
        <x:f>IF(E$1="","",IFERROR(INDEX('包络曲线数据'!$B$2:$U$742,ROW()-1,MATCH(E$1,'包络曲线数据'!$B$1:$U$1,0)),""))</x:f>
      </x:c>
      <x:c r="F59" t="str">
        <x:f>IF(F$1="","",IFERROR(INDEX('包络曲线数据'!$B$2:$U$742,ROW()-1,MATCH(F$1,'包络曲线数据'!$B$1:$U$1,0)),""))</x:f>
      </x:c>
      <x:c r="G59" t="str">
        <x:f>IF(G$1="","",IFERROR(INDEX('包络曲线数据'!$B$2:$U$742,ROW()-1,MATCH(G$1,'包络曲线数据'!$B$1:$U$1,0)),""))</x:f>
      </x:c>
    </x:row>
    <x:row r="60">
      <x:c r="A60" t="n">
        <x:v>5.800000000000001</x:v>
      </x:c>
      <x:c r="B60" t="n">
        <x:f>IF(B$1="","",IFERROR(INDEX('包络曲线数据'!$B$2:$U$742,ROW()-1,MATCH(B$1,'包络曲线数据'!$B$1:$U$1,0)),""))</x:f>
        <x:v>60.07086709733204</x:v>
      </x:c>
      <x:c r="C60" t="n">
        <x:f>IF(C$1="","",IFERROR(INDEX('包络曲线数据'!$B$2:$U$742,ROW()-1,MATCH(C$1,'包络曲线数据'!$B$1:$U$1,0)),""))</x:f>
        <x:v>82.3861146826603</x:v>
      </x:c>
      <x:c r="D60" t="str">
        <x:f>IF(D$1="","",IFERROR(INDEX('包络曲线数据'!$B$2:$U$742,ROW()-1,MATCH(D$1,'包络曲线数据'!$B$1:$U$1,0)),""))</x:f>
      </x:c>
      <x:c r="E60" t="str">
        <x:f>IF(E$1="","",IFERROR(INDEX('包络曲线数据'!$B$2:$U$742,ROW()-1,MATCH(E$1,'包络曲线数据'!$B$1:$U$1,0)),""))</x:f>
      </x:c>
      <x:c r="F60" t="str">
        <x:f>IF(F$1="","",IFERROR(INDEX('包络曲线数据'!$B$2:$U$742,ROW()-1,MATCH(F$1,'包络曲线数据'!$B$1:$U$1,0)),""))</x:f>
      </x:c>
      <x:c r="G60" t="str">
        <x:f>IF(G$1="","",IFERROR(INDEX('包络曲线数据'!$B$2:$U$742,ROW()-1,MATCH(G$1,'包络曲线数据'!$B$1:$U$1,0)),""))</x:f>
      </x:c>
    </x:row>
    <x:row r="61">
      <x:c r="A61" t="n">
        <x:v>5.9</x:v>
      </x:c>
      <x:c r="B61" t="n">
        <x:f>IF(B$1="","",IFERROR(INDEX('包络曲线数据'!$B$2:$U$742,ROW()-1,MATCH(B$1,'包络曲线数据'!$B$1:$U$1,0)),""))</x:f>
        <x:v>59.69403140393166</x:v>
      </x:c>
      <x:c r="C61" t="n">
        <x:f>IF(C$1="","",IFERROR(INDEX('包络曲线数据'!$B$2:$U$742,ROW()-1,MATCH(C$1,'包络曲线数据'!$B$1:$U$1,0)),""))</x:f>
        <x:v>77.12928870322048</x:v>
      </x:c>
      <x:c r="D61" t="str">
        <x:f>IF(D$1="","",IFERROR(INDEX('包络曲线数据'!$B$2:$U$742,ROW()-1,MATCH(D$1,'包络曲线数据'!$B$1:$U$1,0)),""))</x:f>
      </x:c>
      <x:c r="E61" t="str">
        <x:f>IF(E$1="","",IFERROR(INDEX('包络曲线数据'!$B$2:$U$742,ROW()-1,MATCH(E$1,'包络曲线数据'!$B$1:$U$1,0)),""))</x:f>
      </x:c>
      <x:c r="F61" t="str">
        <x:f>IF(F$1="","",IFERROR(INDEX('包络曲线数据'!$B$2:$U$742,ROW()-1,MATCH(F$1,'包络曲线数据'!$B$1:$U$1,0)),""))</x:f>
      </x:c>
      <x:c r="G61" t="str">
        <x:f>IF(G$1="","",IFERROR(INDEX('包络曲线数据'!$B$2:$U$742,ROW()-1,MATCH(G$1,'包络曲线数据'!$B$1:$U$1,0)),""))</x:f>
      </x:c>
    </x:row>
    <x:row r="62">
      <x:c r="A62" t="n">
        <x:v>6</x:v>
      </x:c>
      <x:c r="B62" t="n">
        <x:f>IF(B$1="","",IFERROR(INDEX('包络曲线数据'!$B$2:$U$742,ROW()-1,MATCH(B$1,'包络曲线数据'!$B$1:$U$1,0)),""))</x:f>
        <x:v>59.69403140393166</x:v>
      </x:c>
      <x:c r="C62" t="n">
        <x:f>IF(C$1="","",IFERROR(INDEX('包络曲线数据'!$B$2:$U$742,ROW()-1,MATCH(C$1,'包络曲线数据'!$B$1:$U$1,0)),""))</x:f>
        <x:v>73.82176971129832</x:v>
      </x:c>
      <x:c r="D62" t="str">
        <x:f>IF(D$1="","",IFERROR(INDEX('包络曲线数据'!$B$2:$U$742,ROW()-1,MATCH(D$1,'包络曲线数据'!$B$1:$U$1,0)),""))</x:f>
      </x:c>
      <x:c r="E62" t="str">
        <x:f>IF(E$1="","",IFERROR(INDEX('包络曲线数据'!$B$2:$U$742,ROW()-1,MATCH(E$1,'包络曲线数据'!$B$1:$U$1,0)),""))</x:f>
      </x:c>
      <x:c r="F62" t="str">
        <x:f>IF(F$1="","",IFERROR(INDEX('包络曲线数据'!$B$2:$U$742,ROW()-1,MATCH(F$1,'包络曲线数据'!$B$1:$U$1,0)),""))</x:f>
      </x:c>
      <x:c r="G62" t="str">
        <x:f>IF(G$1="","",IFERROR(INDEX('包络曲线数据'!$B$2:$U$742,ROW()-1,MATCH(G$1,'包络曲线数据'!$B$1:$U$1,0)),""))</x:f>
      </x:c>
    </x:row>
    <x:row r="63">
      <x:c r="A63" t="n">
        <x:v>6.1000000000000005</x:v>
      </x:c>
      <x:c r="B63" t="n">
        <x:f>IF(B$1="","",IFERROR(INDEX('包络曲线数据'!$B$2:$U$742,ROW()-1,MATCH(B$1,'包络曲线数据'!$B$1:$U$1,0)),""))</x:f>
        <x:v>60.50649549281729</x:v>
      </x:c>
      <x:c r="C63" t="n">
        <x:f>IF(C$1="","",IFERROR(INDEX('包络曲线数据'!$B$2:$U$742,ROW()-1,MATCH(C$1,'包络曲线数据'!$B$1:$U$1,0)),""))</x:f>
        <x:v>72.93288547472834</x:v>
      </x:c>
      <x:c r="D63" t="str">
        <x:f>IF(D$1="","",IFERROR(INDEX('包络曲线数据'!$B$2:$U$742,ROW()-1,MATCH(D$1,'包络曲线数据'!$B$1:$U$1,0)),""))</x:f>
      </x:c>
      <x:c r="E63" t="str">
        <x:f>IF(E$1="","",IFERROR(INDEX('包络曲线数据'!$B$2:$U$742,ROW()-1,MATCH(E$1,'包络曲线数据'!$B$1:$U$1,0)),""))</x:f>
      </x:c>
      <x:c r="F63" t="str">
        <x:f>IF(F$1="","",IFERROR(INDEX('包络曲线数据'!$B$2:$U$742,ROW()-1,MATCH(F$1,'包络曲线数据'!$B$1:$U$1,0)),""))</x:f>
      </x:c>
      <x:c r="G63" t="str">
        <x:f>IF(G$1="","",IFERROR(INDEX('包络曲线数据'!$B$2:$U$742,ROW()-1,MATCH(G$1,'包络曲线数据'!$B$1:$U$1,0)),""))</x:f>
      </x:c>
    </x:row>
    <x:row r="64">
      <x:c r="A64" t="n">
        <x:v>6.2</x:v>
      </x:c>
      <x:c r="B64" t="n">
        <x:f>IF(B$1="","",IFERROR(INDEX('包络曲线数据'!$B$2:$U$742,ROW()-1,MATCH(B$1,'包络曲线数据'!$B$1:$U$1,0)),""))</x:f>
        <x:v>60.50649549281729</x:v>
      </x:c>
      <x:c r="C64" t="n">
        <x:f>IF(C$1="","",IFERROR(INDEX('包络曲线数据'!$B$2:$U$742,ROW()-1,MATCH(C$1,'包络曲线数据'!$B$1:$U$1,0)),""))</x:f>
        <x:v>66.61135873162061</x:v>
      </x:c>
      <x:c r="D64" t="str">
        <x:f>IF(D$1="","",IFERROR(INDEX('包络曲线数据'!$B$2:$U$742,ROW()-1,MATCH(D$1,'包络曲线数据'!$B$1:$U$1,0)),""))</x:f>
      </x:c>
      <x:c r="E64" t="str">
        <x:f>IF(E$1="","",IFERROR(INDEX('包络曲线数据'!$B$2:$U$742,ROW()-1,MATCH(E$1,'包络曲线数据'!$B$1:$U$1,0)),""))</x:f>
      </x:c>
      <x:c r="F64" t="str">
        <x:f>IF(F$1="","",IFERROR(INDEX('包络曲线数据'!$B$2:$U$742,ROW()-1,MATCH(F$1,'包络曲线数据'!$B$1:$U$1,0)),""))</x:f>
      </x:c>
      <x:c r="G64" t="str">
        <x:f>IF(G$1="","",IFERROR(INDEX('包络曲线数据'!$B$2:$U$742,ROW()-1,MATCH(G$1,'包络曲线数据'!$B$1:$U$1,0)),""))</x:f>
      </x:c>
    </x:row>
    <x:row r="65">
      <x:c r="A65" t="n">
        <x:v>6.300000000000001</x:v>
      </x:c>
      <x:c r="B65" t="n">
        <x:f>IF(B$1="","",IFERROR(INDEX('包络曲线数据'!$B$2:$U$742,ROW()-1,MATCH(B$1,'包络曲线数据'!$B$1:$U$1,0)),""))</x:f>
        <x:v>59.64976228379262</x:v>
      </x:c>
      <x:c r="C65" t="n">
        <x:f>IF(C$1="","",IFERROR(INDEX('包络曲线数据'!$B$2:$U$742,ROW()-1,MATCH(C$1,'包络曲线数据'!$B$1:$U$1,0)),""))</x:f>
        <x:v>66.61135873162061</x:v>
      </x:c>
      <x:c r="D65" t="str">
        <x:f>IF(D$1="","",IFERROR(INDEX('包络曲线数据'!$B$2:$U$742,ROW()-1,MATCH(D$1,'包络曲线数据'!$B$1:$U$1,0)),""))</x:f>
      </x:c>
      <x:c r="E65" t="str">
        <x:f>IF(E$1="","",IFERROR(INDEX('包络曲线数据'!$B$2:$U$742,ROW()-1,MATCH(E$1,'包络曲线数据'!$B$1:$U$1,0)),""))</x:f>
      </x:c>
      <x:c r="F65" t="str">
        <x:f>IF(F$1="","",IFERROR(INDEX('包络曲线数据'!$B$2:$U$742,ROW()-1,MATCH(F$1,'包络曲线数据'!$B$1:$U$1,0)),""))</x:f>
      </x:c>
      <x:c r="G65" t="str">
        <x:f>IF(G$1="","",IFERROR(INDEX('包络曲线数据'!$B$2:$U$742,ROW()-1,MATCH(G$1,'包络曲线数据'!$B$1:$U$1,0)),""))</x:f>
      </x:c>
    </x:row>
    <x:row r="66">
      <x:c r="A66" t="n">
        <x:v>6.4</x:v>
      </x:c>
      <x:c r="B66" t="n">
        <x:f>IF(B$1="","",IFERROR(INDEX('包络曲线数据'!$B$2:$U$742,ROW()-1,MATCH(B$1,'包络曲线数据'!$B$1:$U$1,0)),""))</x:f>
        <x:v>61.1742789204508</x:v>
      </x:c>
      <x:c r="C66" t="n">
        <x:f>IF(C$1="","",IFERROR(INDEX('包络曲线数据'!$B$2:$U$742,ROW()-1,MATCH(C$1,'包络曲线数据'!$B$1:$U$1,0)),""))</x:f>
        <x:v>75.98984228667452</x:v>
      </x:c>
      <x:c r="D66" t="str">
        <x:f>IF(D$1="","",IFERROR(INDEX('包络曲线数据'!$B$2:$U$742,ROW()-1,MATCH(D$1,'包络曲线数据'!$B$1:$U$1,0)),""))</x:f>
      </x:c>
      <x:c r="E66" t="str">
        <x:f>IF(E$1="","",IFERROR(INDEX('包络曲线数据'!$B$2:$U$742,ROW()-1,MATCH(E$1,'包络曲线数据'!$B$1:$U$1,0)),""))</x:f>
      </x:c>
      <x:c r="F66" t="str">
        <x:f>IF(F$1="","",IFERROR(INDEX('包络曲线数据'!$B$2:$U$742,ROW()-1,MATCH(F$1,'包络曲线数据'!$B$1:$U$1,0)),""))</x:f>
      </x:c>
      <x:c r="G66" t="str">
        <x:f>IF(G$1="","",IFERROR(INDEX('包络曲线数据'!$B$2:$U$742,ROW()-1,MATCH(G$1,'包络曲线数据'!$B$1:$U$1,0)),""))</x:f>
      </x:c>
    </x:row>
    <x:row r="67">
      <x:c r="A67" t="n">
        <x:v>6.5</x:v>
      </x:c>
      <x:c r="B67" t="n">
        <x:f>IF(B$1="","",IFERROR(INDEX('包络曲线数据'!$B$2:$U$742,ROW()-1,MATCH(B$1,'包络曲线数据'!$B$1:$U$1,0)),""))</x:f>
        <x:v>61.1742789204508</x:v>
      </x:c>
      <x:c r="C67" t="n">
        <x:f>IF(C$1="","",IFERROR(INDEX('包络曲线数据'!$B$2:$U$742,ROW()-1,MATCH(C$1,'包络曲线数据'!$B$1:$U$1,0)),""))</x:f>
        <x:v>75.98984228667452</x:v>
      </x:c>
      <x:c r="D67" t="str">
        <x:f>IF(D$1="","",IFERROR(INDEX('包络曲线数据'!$B$2:$U$742,ROW()-1,MATCH(D$1,'包络曲线数据'!$B$1:$U$1,0)),""))</x:f>
      </x:c>
      <x:c r="E67" t="str">
        <x:f>IF(E$1="","",IFERROR(INDEX('包络曲线数据'!$B$2:$U$742,ROW()-1,MATCH(E$1,'包络曲线数据'!$B$1:$U$1,0)),""))</x:f>
      </x:c>
      <x:c r="F67" t="str">
        <x:f>IF(F$1="","",IFERROR(INDEX('包络曲线数据'!$B$2:$U$742,ROW()-1,MATCH(F$1,'包络曲线数据'!$B$1:$U$1,0)),""))</x:f>
      </x:c>
      <x:c r="G67" t="str">
        <x:f>IF(G$1="","",IFERROR(INDEX('包络曲线数据'!$B$2:$U$742,ROW()-1,MATCH(G$1,'包络曲线数据'!$B$1:$U$1,0)),""))</x:f>
      </x:c>
    </x:row>
    <x:row r="68">
      <x:c r="A68" t="n">
        <x:v>6.6000000000000005</x:v>
      </x:c>
      <x:c r="B68" t="n">
        <x:f>IF(B$1="","",IFERROR(INDEX('包络曲线数据'!$B$2:$U$742,ROW()-1,MATCH(B$1,'包络曲线数据'!$B$1:$U$1,0)),""))</x:f>
        <x:v>65.10535724693024</x:v>
      </x:c>
      <x:c r="C68" t="n">
        <x:f>IF(C$1="","",IFERROR(INDEX('包络曲线数据'!$B$2:$U$742,ROW()-1,MATCH(C$1,'包络曲线数据'!$B$1:$U$1,0)),""))</x:f>
        <x:v>72.504129718022</x:v>
      </x:c>
      <x:c r="D68" t="str">
        <x:f>IF(D$1="","",IFERROR(INDEX('包络曲线数据'!$B$2:$U$742,ROW()-1,MATCH(D$1,'包络曲线数据'!$B$1:$U$1,0)),""))</x:f>
      </x:c>
      <x:c r="E68" t="str">
        <x:f>IF(E$1="","",IFERROR(INDEX('包络曲线数据'!$B$2:$U$742,ROW()-1,MATCH(E$1,'包络曲线数据'!$B$1:$U$1,0)),""))</x:f>
      </x:c>
      <x:c r="F68" t="str">
        <x:f>IF(F$1="","",IFERROR(INDEX('包络曲线数据'!$B$2:$U$742,ROW()-1,MATCH(F$1,'包络曲线数据'!$B$1:$U$1,0)),""))</x:f>
      </x:c>
      <x:c r="G68" t="str">
        <x:f>IF(G$1="","",IFERROR(INDEX('包络曲线数据'!$B$2:$U$742,ROW()-1,MATCH(G$1,'包络曲线数据'!$B$1:$U$1,0)),""))</x:f>
      </x:c>
    </x:row>
    <x:row r="69">
      <x:c r="A69" t="n">
        <x:v>6.7</x:v>
      </x:c>
      <x:c r="B69" t="n">
        <x:f>IF(B$1="","",IFERROR(INDEX('包络曲线数据'!$B$2:$U$742,ROW()-1,MATCH(B$1,'包络曲线数据'!$B$1:$U$1,0)),""))</x:f>
        <x:v>73.1298401554368</x:v>
      </x:c>
      <x:c r="C69" t="n">
        <x:f>IF(C$1="","",IFERROR(INDEX('包络曲线数据'!$B$2:$U$742,ROW()-1,MATCH(C$1,'包络曲线数据'!$B$1:$U$1,0)),""))</x:f>
        <x:v>50</x:v>
      </x:c>
      <x:c r="D69" t="str">
        <x:f>IF(D$1="","",IFERROR(INDEX('包络曲线数据'!$B$2:$U$742,ROW()-1,MATCH(D$1,'包络曲线数据'!$B$1:$U$1,0)),""))</x:f>
      </x:c>
      <x:c r="E69" t="str">
        <x:f>IF(E$1="","",IFERROR(INDEX('包络曲线数据'!$B$2:$U$742,ROW()-1,MATCH(E$1,'包络曲线数据'!$B$1:$U$1,0)),""))</x:f>
      </x:c>
      <x:c r="F69" t="str">
        <x:f>IF(F$1="","",IFERROR(INDEX('包络曲线数据'!$B$2:$U$742,ROW()-1,MATCH(F$1,'包络曲线数据'!$B$1:$U$1,0)),""))</x:f>
      </x:c>
      <x:c r="G69" t="str">
        <x:f>IF(G$1="","",IFERROR(INDEX('包络曲线数据'!$B$2:$U$742,ROW()-1,MATCH(G$1,'包络曲线数据'!$B$1:$U$1,0)),""))</x:f>
      </x:c>
    </x:row>
    <x:row r="70">
      <x:c r="A70" t="n">
        <x:v>6.800000000000001</x:v>
      </x:c>
      <x:c r="B70" t="n">
        <x:f>IF(B$1="","",IFERROR(INDEX('包络曲线数据'!$B$2:$U$742,ROW()-1,MATCH(B$1,'包络曲线数据'!$B$1:$U$1,0)),""))</x:f>
        <x:v>73.1298401554368</x:v>
      </x:c>
      <x:c r="C70" t="n">
        <x:f>IF(C$1="","",IFERROR(INDEX('包络曲线数据'!$B$2:$U$742,ROW()-1,MATCH(C$1,'包络曲线数据'!$B$1:$U$1,0)),""))</x:f>
        <x:v>71.73205265620048</x:v>
      </x:c>
      <x:c r="D70" t="str">
        <x:f>IF(D$1="","",IFERROR(INDEX('包络曲线数据'!$B$2:$U$742,ROW()-1,MATCH(D$1,'包络曲线数据'!$B$1:$U$1,0)),""))</x:f>
      </x:c>
      <x:c r="E70" t="str">
        <x:f>IF(E$1="","",IFERROR(INDEX('包络曲线数据'!$B$2:$U$742,ROW()-1,MATCH(E$1,'包络曲线数据'!$B$1:$U$1,0)),""))</x:f>
      </x:c>
      <x:c r="F70" t="str">
        <x:f>IF(F$1="","",IFERROR(INDEX('包络曲线数据'!$B$2:$U$742,ROW()-1,MATCH(F$1,'包络曲线数据'!$B$1:$U$1,0)),""))</x:f>
      </x:c>
      <x:c r="G70" t="str">
        <x:f>IF(G$1="","",IFERROR(INDEX('包络曲线数据'!$B$2:$U$742,ROW()-1,MATCH(G$1,'包络曲线数据'!$B$1:$U$1,0)),""))</x:f>
      </x:c>
    </x:row>
    <x:row r="71">
      <x:c r="A71" t="n">
        <x:v>6.9</x:v>
      </x:c>
      <x:c r="B71" t="n">
        <x:f>IF(B$1="","",IFERROR(INDEX('包络曲线数据'!$B$2:$U$742,ROW()-1,MATCH(B$1,'包络曲线数据'!$B$1:$U$1,0)),""))</x:f>
        <x:v>67.64005946466294</x:v>
      </x:c>
      <x:c r="C71" t="n">
        <x:f>IF(C$1="","",IFERROR(INDEX('包络曲线数据'!$B$2:$U$742,ROW()-1,MATCH(C$1,'包络曲线数据'!$B$1:$U$1,0)),""))</x:f>
        <x:v>72.91524009204396</x:v>
      </x:c>
      <x:c r="D71" t="str">
        <x:f>IF(D$1="","",IFERROR(INDEX('包络曲线数据'!$B$2:$U$742,ROW()-1,MATCH(D$1,'包络曲线数据'!$B$1:$U$1,0)),""))</x:f>
      </x:c>
      <x:c r="E71" t="str">
        <x:f>IF(E$1="","",IFERROR(INDEX('包络曲线数据'!$B$2:$U$742,ROW()-1,MATCH(E$1,'包络曲线数据'!$B$1:$U$1,0)),""))</x:f>
      </x:c>
      <x:c r="F71" t="str">
        <x:f>IF(F$1="","",IFERROR(INDEX('包络曲线数据'!$B$2:$U$742,ROW()-1,MATCH(F$1,'包络曲线数据'!$B$1:$U$1,0)),""))</x:f>
      </x:c>
      <x:c r="G71" t="str">
        <x:f>IF(G$1="","",IFERROR(INDEX('包络曲线数据'!$B$2:$U$742,ROW()-1,MATCH(G$1,'包络曲线数据'!$B$1:$U$1,0)),""))</x:f>
      </x:c>
    </x:row>
    <x:row r="72">
      <x:c r="A72" t="n">
        <x:v>7</x:v>
      </x:c>
      <x:c r="B72" t="n">
        <x:f>IF(B$1="","",IFERROR(INDEX('包络曲线数据'!$B$2:$U$742,ROW()-1,MATCH(B$1,'包络曲线数据'!$B$1:$U$1,0)),""))</x:f>
        <x:v>50</x:v>
      </x:c>
      <x:c r="C72" t="n">
        <x:f>IF(C$1="","",IFERROR(INDEX('包络曲线数据'!$B$2:$U$742,ROW()-1,MATCH(C$1,'包络曲线数据'!$B$1:$U$1,0)),""))</x:f>
        <x:v>72.92395263111827</x:v>
      </x:c>
      <x:c r="D72" t="str">
        <x:f>IF(D$1="","",IFERROR(INDEX('包络曲线数据'!$B$2:$U$742,ROW()-1,MATCH(D$1,'包络曲线数据'!$B$1:$U$1,0)),""))</x:f>
      </x:c>
      <x:c r="E72" t="str">
        <x:f>IF(E$1="","",IFERROR(INDEX('包络曲线数据'!$B$2:$U$742,ROW()-1,MATCH(E$1,'包络曲线数据'!$B$1:$U$1,0)),""))</x:f>
      </x:c>
      <x:c r="F72" t="str">
        <x:f>IF(F$1="","",IFERROR(INDEX('包络曲线数据'!$B$2:$U$742,ROW()-1,MATCH(F$1,'包络曲线数据'!$B$1:$U$1,0)),""))</x:f>
      </x:c>
      <x:c r="G72" t="str">
        <x:f>IF(G$1="","",IFERROR(INDEX('包络曲线数据'!$B$2:$U$742,ROW()-1,MATCH(G$1,'包络曲线数据'!$B$1:$U$1,0)),""))</x:f>
      </x:c>
    </x:row>
    <x:row r="73">
      <x:c r="A73" t="n">
        <x:v>7.1000000000000005</x:v>
      </x:c>
      <x:c r="B73" t="n">
        <x:f>IF(B$1="","",IFERROR(INDEX('包络曲线数据'!$B$2:$U$742,ROW()-1,MATCH(B$1,'包络曲线数据'!$B$1:$U$1,0)),""))</x:f>
        <x:v>51.128313002116286</x:v>
      </x:c>
      <x:c r="C73" t="n">
        <x:f>IF(C$1="","",IFERROR(INDEX('包络曲线数据'!$B$2:$U$742,ROW()-1,MATCH(C$1,'包络曲线数据'!$B$1:$U$1,0)),""))</x:f>
        <x:v>74.45692958019625</x:v>
      </x:c>
      <x:c r="D73" t="str">
        <x:f>IF(D$1="","",IFERROR(INDEX('包络曲线数据'!$B$2:$U$742,ROW()-1,MATCH(D$1,'包络曲线数据'!$B$1:$U$1,0)),""))</x:f>
      </x:c>
      <x:c r="E73" t="str">
        <x:f>IF(E$1="","",IFERROR(INDEX('包络曲线数据'!$B$2:$U$742,ROW()-1,MATCH(E$1,'包络曲线数据'!$B$1:$U$1,0)),""))</x:f>
      </x:c>
      <x:c r="F73" t="str">
        <x:f>IF(F$1="","",IFERROR(INDEX('包络曲线数据'!$B$2:$U$742,ROW()-1,MATCH(F$1,'包络曲线数据'!$B$1:$U$1,0)),""))</x:f>
      </x:c>
      <x:c r="G73" t="str">
        <x:f>IF(G$1="","",IFERROR(INDEX('包络曲线数据'!$B$2:$U$742,ROW()-1,MATCH(G$1,'包络曲线数据'!$B$1:$U$1,0)),""))</x:f>
      </x:c>
    </x:row>
    <x:row r="74">
      <x:c r="A74" t="n">
        <x:v>7.2</x:v>
      </x:c>
      <x:c r="B74" t="n">
        <x:f>IF(B$1="","",IFERROR(INDEX('包络曲线数据'!$B$2:$U$742,ROW()-1,MATCH(B$1,'包络曲线数据'!$B$1:$U$1,0)),""))</x:f>
        <x:v>56.76987801269756</x:v>
      </x:c>
      <x:c r="C74" t="n">
        <x:f>IF(C$1="","",IFERROR(INDEX('包络曲线数据'!$B$2:$U$742,ROW()-1,MATCH(C$1,'包络曲线数据'!$B$1:$U$1,0)),""))</x:f>
        <x:v>75.69276360140734</x:v>
      </x:c>
      <x:c r="D74" t="str">
        <x:f>IF(D$1="","",IFERROR(INDEX('包络曲线数据'!$B$2:$U$742,ROW()-1,MATCH(D$1,'包络曲线数据'!$B$1:$U$1,0)),""))</x:f>
      </x:c>
      <x:c r="E74" t="str">
        <x:f>IF(E$1="","",IFERROR(INDEX('包络曲线数据'!$B$2:$U$742,ROW()-1,MATCH(E$1,'包络曲线数据'!$B$1:$U$1,0)),""))</x:f>
      </x:c>
      <x:c r="F74" t="str">
        <x:f>IF(F$1="","",IFERROR(INDEX('包络曲线数据'!$B$2:$U$742,ROW()-1,MATCH(F$1,'包络曲线数据'!$B$1:$U$1,0)),""))</x:f>
      </x:c>
      <x:c r="G74" t="str">
        <x:f>IF(G$1="","",IFERROR(INDEX('包络曲线数据'!$B$2:$U$742,ROW()-1,MATCH(G$1,'包络曲线数据'!$B$1:$U$1,0)),""))</x:f>
      </x:c>
    </x:row>
    <x:row r="75">
      <x:c r="A75" t="n">
        <x:v>7.300000000000001</x:v>
      </x:c>
      <x:c r="B75" t="n">
        <x:f>IF(B$1="","",IFERROR(INDEX('包络曲线数据'!$B$2:$U$742,ROW()-1,MATCH(B$1,'包络曲线数据'!$B$1:$U$1,0)),""))</x:f>
        <x:v>62.41144302327889</x:v>
      </x:c>
      <x:c r="C75" t="n">
        <x:f>IF(C$1="","",IFERROR(INDEX('包络曲线数据'!$B$2:$U$742,ROW()-1,MATCH(C$1,'包络曲线数据'!$B$1:$U$1,0)),""))</x:f>
        <x:v>75.93512654656433</x:v>
      </x:c>
      <x:c r="D75" t="str">
        <x:f>IF(D$1="","",IFERROR(INDEX('包络曲线数据'!$B$2:$U$742,ROW()-1,MATCH(D$1,'包络曲线数据'!$B$1:$U$1,0)),""))</x:f>
      </x:c>
      <x:c r="E75" t="str">
        <x:f>IF(E$1="","",IFERROR(INDEX('包络曲线数据'!$B$2:$U$742,ROW()-1,MATCH(E$1,'包络曲线数据'!$B$1:$U$1,0)),""))</x:f>
      </x:c>
      <x:c r="F75" t="str">
        <x:f>IF(F$1="","",IFERROR(INDEX('包络曲线数据'!$B$2:$U$742,ROW()-1,MATCH(F$1,'包络曲线数据'!$B$1:$U$1,0)),""))</x:f>
      </x:c>
      <x:c r="G75" t="str">
        <x:f>IF(G$1="","",IFERROR(INDEX('包络曲线数据'!$B$2:$U$742,ROW()-1,MATCH(G$1,'包络曲线数据'!$B$1:$U$1,0)),""))</x:f>
      </x:c>
    </x:row>
    <x:row r="76">
      <x:c r="A76" t="n">
        <x:v>7.4</x:v>
      </x:c>
      <x:c r="B76" t="n">
        <x:f>IF(B$1="","",IFERROR(INDEX('包络曲线数据'!$B$2:$U$742,ROW()-1,MATCH(B$1,'包络曲线数据'!$B$1:$U$1,0)),""))</x:f>
        <x:v>64.66806902751136</x:v>
      </x:c>
      <x:c r="C76" t="n">
        <x:f>IF(C$1="","",IFERROR(INDEX('包络曲线数据'!$B$2:$U$742,ROW()-1,MATCH(C$1,'包络曲线数据'!$B$1:$U$1,0)),""))</x:f>
        <x:v>75.9964478547761</x:v>
      </x:c>
      <x:c r="D76" t="str">
        <x:f>IF(D$1="","",IFERROR(INDEX('包络曲线数据'!$B$2:$U$742,ROW()-1,MATCH(D$1,'包络曲线数据'!$B$1:$U$1,0)),""))</x:f>
      </x:c>
      <x:c r="E76" t="str">
        <x:f>IF(E$1="","",IFERROR(INDEX('包络曲线数据'!$B$2:$U$742,ROW()-1,MATCH(E$1,'包络曲线数据'!$B$1:$U$1,0)),""))</x:f>
      </x:c>
      <x:c r="F76" t="str">
        <x:f>IF(F$1="","",IFERROR(INDEX('包络曲线数据'!$B$2:$U$742,ROW()-1,MATCH(F$1,'包络曲线数据'!$B$1:$U$1,0)),""))</x:f>
      </x:c>
      <x:c r="G76" t="str">
        <x:f>IF(G$1="","",IFERROR(INDEX('包络曲线数据'!$B$2:$U$742,ROW()-1,MATCH(G$1,'包络曲线数据'!$B$1:$U$1,0)),""))</x:f>
      </x:c>
    </x:row>
    <x:row r="77">
      <x:c r="A77" t="n">
        <x:v>7.5</x:v>
      </x:c>
      <x:c r="B77" t="n">
        <x:f>IF(B$1="","",IFERROR(INDEX('包络曲线数据'!$B$2:$U$742,ROW()-1,MATCH(B$1,'包络曲线数据'!$B$1:$U$1,0)),""))</x:f>
        <x:v>66.26500428157351</x:v>
      </x:c>
      <x:c r="C77" t="n">
        <x:f>IF(C$1="","",IFERROR(INDEX('包络曲线数据'!$B$2:$U$742,ROW()-1,MATCH(C$1,'包络曲线数据'!$B$1:$U$1,0)),""))</x:f>
        <x:v>77.01025088805179</x:v>
      </x:c>
      <x:c r="D77" t="str">
        <x:f>IF(D$1="","",IFERROR(INDEX('包络曲线数据'!$B$2:$U$742,ROW()-1,MATCH(D$1,'包络曲线数据'!$B$1:$U$1,0)),""))</x:f>
      </x:c>
      <x:c r="E77" t="str">
        <x:f>IF(E$1="","",IFERROR(INDEX('包络曲线数据'!$B$2:$U$742,ROW()-1,MATCH(E$1,'包络曲线数据'!$B$1:$U$1,0)),""))</x:f>
      </x:c>
      <x:c r="F77" t="str">
        <x:f>IF(F$1="","",IFERROR(INDEX('包络曲线数据'!$B$2:$U$742,ROW()-1,MATCH(F$1,'包络曲线数据'!$B$1:$U$1,0)),""))</x:f>
      </x:c>
      <x:c r="G77" t="str">
        <x:f>IF(G$1="","",IFERROR(INDEX('包络曲线数据'!$B$2:$U$742,ROW()-1,MATCH(G$1,'包络曲线数据'!$B$1:$U$1,0)),""))</x:f>
      </x:c>
    </x:row>
    <x:row r="78">
      <x:c r="A78" t="n">
        <x:v>7.6000000000000005</x:v>
      </x:c>
      <x:c r="B78" t="n">
        <x:f>IF(B$1="","",IFERROR(INDEX('包络曲线数据'!$B$2:$U$742,ROW()-1,MATCH(B$1,'包络曲线数据'!$B$1:$U$1,0)),""))</x:f>
        <x:v>67.82309184739017</x:v>
      </x:c>
      <x:c r="C78" t="n">
        <x:f>IF(C$1="","",IFERROR(INDEX('包络曲线数据'!$B$2:$U$742,ROW()-1,MATCH(C$1,'包络曲线数据'!$B$1:$U$1,0)),""))</x:f>
        <x:v>77.01025088805179</x:v>
      </x:c>
      <x:c r="D78" t="str">
        <x:f>IF(D$1="","",IFERROR(INDEX('包络曲线数据'!$B$2:$U$742,ROW()-1,MATCH(D$1,'包络曲线数据'!$B$1:$U$1,0)),""))</x:f>
      </x:c>
      <x:c r="E78" t="str">
        <x:f>IF(E$1="","",IFERROR(INDEX('包络曲线数据'!$B$2:$U$742,ROW()-1,MATCH(E$1,'包络曲线数据'!$B$1:$U$1,0)),""))</x:f>
      </x:c>
      <x:c r="F78" t="str">
        <x:f>IF(F$1="","",IFERROR(INDEX('包络曲线数据'!$B$2:$U$742,ROW()-1,MATCH(F$1,'包络曲线数据'!$B$1:$U$1,0)),""))</x:f>
      </x:c>
      <x:c r="G78" t="str">
        <x:f>IF(G$1="","",IFERROR(INDEX('包络曲线数据'!$B$2:$U$742,ROW()-1,MATCH(G$1,'包络曲线数据'!$B$1:$U$1,0)),""))</x:f>
      </x:c>
    </x:row>
    <x:row r="79">
      <x:c r="A79" t="n">
        <x:v>7.7</x:v>
      </x:c>
      <x:c r="B79" t="n">
        <x:f>IF(B$1="","",IFERROR(INDEX('包络曲线数据'!$B$2:$U$742,ROW()-1,MATCH(B$1,'包络曲线数据'!$B$1:$U$1,0)),""))</x:f>
        <x:v>67.82309184739017</x:v>
      </x:c>
      <x:c r="C79" t="n">
        <x:f>IF(C$1="","",IFERROR(INDEX('包络曲线数据'!$B$2:$U$742,ROW()-1,MATCH(C$1,'包络曲线数据'!$B$1:$U$1,0)),""))</x:f>
        <x:v>76.16813161537245</x:v>
      </x:c>
      <x:c r="D79" t="str">
        <x:f>IF(D$1="","",IFERROR(INDEX('包络曲线数据'!$B$2:$U$742,ROW()-1,MATCH(D$1,'包络曲线数据'!$B$1:$U$1,0)),""))</x:f>
      </x:c>
      <x:c r="E79" t="str">
        <x:f>IF(E$1="","",IFERROR(INDEX('包络曲线数据'!$B$2:$U$742,ROW()-1,MATCH(E$1,'包络曲线数据'!$B$1:$U$1,0)),""))</x:f>
      </x:c>
      <x:c r="F79" t="str">
        <x:f>IF(F$1="","",IFERROR(INDEX('包络曲线数据'!$B$2:$U$742,ROW()-1,MATCH(F$1,'包络曲线数据'!$B$1:$U$1,0)),""))</x:f>
      </x:c>
      <x:c r="G79" t="str">
        <x:f>IF(G$1="","",IFERROR(INDEX('包络曲线数据'!$B$2:$U$742,ROW()-1,MATCH(G$1,'包络曲线数据'!$B$1:$U$1,0)),""))</x:f>
      </x:c>
    </x:row>
    <x:row r="80">
      <x:c r="A80" t="n">
        <x:v>7.800000000000001</x:v>
      </x:c>
      <x:c r="B80" t="n">
        <x:f>IF(B$1="","",IFERROR(INDEX('包络曲线数据'!$B$2:$U$742,ROW()-1,MATCH(B$1,'包络曲线数据'!$B$1:$U$1,0)),""))</x:f>
        <x:v>63.62555754664477</x:v>
      </x:c>
      <x:c r="C80" t="n">
        <x:f>IF(C$1="","",IFERROR(INDEX('包络曲线数据'!$B$2:$U$742,ROW()-1,MATCH(C$1,'包络曲线数据'!$B$1:$U$1,0)),""))</x:f>
        <x:v>86.72036289109103</x:v>
      </x:c>
      <x:c r="D80" t="str">
        <x:f>IF(D$1="","",IFERROR(INDEX('包络曲线数据'!$B$2:$U$742,ROW()-1,MATCH(D$1,'包络曲线数据'!$B$1:$U$1,0)),""))</x:f>
      </x:c>
      <x:c r="E80" t="str">
        <x:f>IF(E$1="","",IFERROR(INDEX('包络曲线数据'!$B$2:$U$742,ROW()-1,MATCH(E$1,'包络曲线数据'!$B$1:$U$1,0)),""))</x:f>
      </x:c>
      <x:c r="F80" t="str">
        <x:f>IF(F$1="","",IFERROR(INDEX('包络曲线数据'!$B$2:$U$742,ROW()-1,MATCH(F$1,'包络曲线数据'!$B$1:$U$1,0)),""))</x:f>
      </x:c>
      <x:c r="G80" t="str">
        <x:f>IF(G$1="","",IFERROR(INDEX('包络曲线数据'!$B$2:$U$742,ROW()-1,MATCH(G$1,'包络曲线数据'!$B$1:$U$1,0)),""))</x:f>
      </x:c>
    </x:row>
    <x:row r="81">
      <x:c r="A81" t="n">
        <x:v>7.9</x:v>
      </x:c>
      <x:c r="B81" t="n">
        <x:f>IF(B$1="","",IFERROR(INDEX('包络曲线数据'!$B$2:$U$742,ROW()-1,MATCH(B$1,'包络曲线数据'!$B$1:$U$1,0)),""))</x:f>
        <x:v>63.37069096766116</x:v>
      </x:c>
      <x:c r="C81" t="n">
        <x:f>IF(C$1="","",IFERROR(INDEX('包络曲线数据'!$B$2:$U$742,ROW()-1,MATCH(C$1,'包络曲线数据'!$B$1:$U$1,0)),""))</x:f>
        <x:v>86.72036289109103</x:v>
      </x:c>
      <x:c r="D81" t="str">
        <x:f>IF(D$1="","",IFERROR(INDEX('包络曲线数据'!$B$2:$U$742,ROW()-1,MATCH(D$1,'包络曲线数据'!$B$1:$U$1,0)),""))</x:f>
      </x:c>
      <x:c r="E81" t="str">
        <x:f>IF(E$1="","",IFERROR(INDEX('包络曲线数据'!$B$2:$U$742,ROW()-1,MATCH(E$1,'包络曲线数据'!$B$1:$U$1,0)),""))</x:f>
      </x:c>
      <x:c r="F81" t="str">
        <x:f>IF(F$1="","",IFERROR(INDEX('包络曲线数据'!$B$2:$U$742,ROW()-1,MATCH(F$1,'包络曲线数据'!$B$1:$U$1,0)),""))</x:f>
      </x:c>
      <x:c r="G81" t="str">
        <x:f>IF(G$1="","",IFERROR(INDEX('包络曲线数据'!$B$2:$U$742,ROW()-1,MATCH(G$1,'包络曲线数据'!$B$1:$U$1,0)),""))</x:f>
      </x:c>
    </x:row>
    <x:row r="82">
      <x:c r="A82" t="n">
        <x:v>8</x:v>
      </x:c>
      <x:c r="B82" t="n">
        <x:f>IF(B$1="","",IFERROR(INDEX('包络曲线数据'!$B$2:$U$742,ROW()-1,MATCH(B$1,'包络曲线数据'!$B$1:$U$1,0)),""))</x:f>
        <x:v>63.37069096766116</x:v>
      </x:c>
      <x:c r="C82" t="n">
        <x:f>IF(C$1="","",IFERROR(INDEX('包络曲线数据'!$B$2:$U$742,ROW()-1,MATCH(C$1,'包络曲线数据'!$B$1:$U$1,0)),""))</x:f>
        <x:v>82.1715736449258</x:v>
      </x:c>
      <x:c r="D82" t="str">
        <x:f>IF(D$1="","",IFERROR(INDEX('包络曲线数据'!$B$2:$U$742,ROW()-1,MATCH(D$1,'包络曲线数据'!$B$1:$U$1,0)),""))</x:f>
      </x:c>
      <x:c r="E82" t="str">
        <x:f>IF(E$1="","",IFERROR(INDEX('包络曲线数据'!$B$2:$U$742,ROW()-1,MATCH(E$1,'包络曲线数据'!$B$1:$U$1,0)),""))</x:f>
      </x:c>
      <x:c r="F82" t="str">
        <x:f>IF(F$1="","",IFERROR(INDEX('包络曲线数据'!$B$2:$U$742,ROW()-1,MATCH(F$1,'包络曲线数据'!$B$1:$U$1,0)),""))</x:f>
      </x:c>
      <x:c r="G82" t="str">
        <x:f>IF(G$1="","",IFERROR(INDEX('包络曲线数据'!$B$2:$U$742,ROW()-1,MATCH(G$1,'包络曲线数据'!$B$1:$U$1,0)),""))</x:f>
      </x:c>
    </x:row>
    <x:row r="83">
      <x:c r="A83" t="n">
        <x:v>8.1</x:v>
      </x:c>
      <x:c r="B83" t="n">
        <x:f>IF(B$1="","",IFERROR(INDEX('包络曲线数据'!$B$2:$U$742,ROW()-1,MATCH(B$1,'包络曲线数据'!$B$1:$U$1,0)),""))</x:f>
        <x:v>62.62610293547759</x:v>
      </x:c>
      <x:c r="C83" t="n">
        <x:f>IF(C$1="","",IFERROR(INDEX('包络曲线数据'!$B$2:$U$742,ROW()-1,MATCH(C$1,'包络曲线数据'!$B$1:$U$1,0)),""))</x:f>
        <x:v>71.71355490200693</x:v>
      </x:c>
      <x:c r="D83" t="str">
        <x:f>IF(D$1="","",IFERROR(INDEX('包络曲线数据'!$B$2:$U$742,ROW()-1,MATCH(D$1,'包络曲线数据'!$B$1:$U$1,0)),""))</x:f>
      </x:c>
      <x:c r="E83" t="str">
        <x:f>IF(E$1="","",IFERROR(INDEX('包络曲线数据'!$B$2:$U$742,ROW()-1,MATCH(E$1,'包络曲线数据'!$B$1:$U$1,0)),""))</x:f>
      </x:c>
      <x:c r="F83" t="str">
        <x:f>IF(F$1="","",IFERROR(INDEX('包络曲线数据'!$B$2:$U$742,ROW()-1,MATCH(F$1,'包络曲线数据'!$B$1:$U$1,0)),""))</x:f>
      </x:c>
      <x:c r="G83" t="str">
        <x:f>IF(G$1="","",IFERROR(INDEX('包络曲线数据'!$B$2:$U$742,ROW()-1,MATCH(G$1,'包络曲线数据'!$B$1:$U$1,0)),""))</x:f>
      </x:c>
    </x:row>
    <x:row r="84">
      <x:c r="A84" t="n">
        <x:v>8.200000000000001</x:v>
      </x:c>
      <x:c r="B84" t="n">
        <x:f>IF(B$1="","",IFERROR(INDEX('包络曲线数据'!$B$2:$U$742,ROW()-1,MATCH(B$1,'包络曲线数据'!$B$1:$U$1,0)),""))</x:f>
        <x:v>62.640442090163944</x:v>
      </x:c>
      <x:c r="C84" t="n">
        <x:f>IF(C$1="","",IFERROR(INDEX('包络曲线数据'!$B$2:$U$742,ROW()-1,MATCH(C$1,'包络曲线数据'!$B$1:$U$1,0)),""))</x:f>
        <x:v>62.863826176266485</x:v>
      </x:c>
      <x:c r="D84" t="str">
        <x:f>IF(D$1="","",IFERROR(INDEX('包络曲线数据'!$B$2:$U$742,ROW()-1,MATCH(D$1,'包络曲线数据'!$B$1:$U$1,0)),""))</x:f>
      </x:c>
      <x:c r="E84" t="str">
        <x:f>IF(E$1="","",IFERROR(INDEX('包络曲线数据'!$B$2:$U$742,ROW()-1,MATCH(E$1,'包络曲线数据'!$B$1:$U$1,0)),""))</x:f>
      </x:c>
      <x:c r="F84" t="str">
        <x:f>IF(F$1="","",IFERROR(INDEX('包络曲线数据'!$B$2:$U$742,ROW()-1,MATCH(F$1,'包络曲线数据'!$B$1:$U$1,0)),""))</x:f>
      </x:c>
      <x:c r="G84" t="str">
        <x:f>IF(G$1="","",IFERROR(INDEX('包络曲线数据'!$B$2:$U$742,ROW()-1,MATCH(G$1,'包络曲线数据'!$B$1:$U$1,0)),""))</x:f>
      </x:c>
    </x:row>
    <x:row r="85">
      <x:c r="A85" t="n">
        <x:v>8.3</x:v>
      </x:c>
      <x:c r="B85" t="n">
        <x:f>IF(B$1="","",IFERROR(INDEX('包络曲线数据'!$B$2:$U$742,ROW()-1,MATCH(B$1,'包络曲线数据'!$B$1:$U$1,0)),""))</x:f>
        <x:v>64.29089824574392</x:v>
      </x:c>
      <x:c r="C85" t="n">
        <x:f>IF(C$1="","",IFERROR(INDEX('包络曲线数据'!$B$2:$U$742,ROW()-1,MATCH(C$1,'包络曲线数据'!$B$1:$U$1,0)),""))</x:f>
        <x:v>50</x:v>
      </x:c>
      <x:c r="D85" t="str">
        <x:f>IF(D$1="","",IFERROR(INDEX('包络曲线数据'!$B$2:$U$742,ROW()-1,MATCH(D$1,'包络曲线数据'!$B$1:$U$1,0)),""))</x:f>
      </x:c>
      <x:c r="E85" t="str">
        <x:f>IF(E$1="","",IFERROR(INDEX('包络曲线数据'!$B$2:$U$742,ROW()-1,MATCH(E$1,'包络曲线数据'!$B$1:$U$1,0)),""))</x:f>
      </x:c>
      <x:c r="F85" t="str">
        <x:f>IF(F$1="","",IFERROR(INDEX('包络曲线数据'!$B$2:$U$742,ROW()-1,MATCH(F$1,'包络曲线数据'!$B$1:$U$1,0)),""))</x:f>
      </x:c>
      <x:c r="G85" t="str">
        <x:f>IF(G$1="","",IFERROR(INDEX('包络曲线数据'!$B$2:$U$742,ROW()-1,MATCH(G$1,'包络曲线数据'!$B$1:$U$1,0)),""))</x:f>
      </x:c>
    </x:row>
    <x:row r="86">
      <x:c r="A86" t="n">
        <x:v>8.4</x:v>
      </x:c>
      <x:c r="B86" t="n">
        <x:f>IF(B$1="","",IFERROR(INDEX('包络曲线数据'!$B$2:$U$742,ROW()-1,MATCH(B$1,'包络曲线数据'!$B$1:$U$1,0)),""))</x:f>
        <x:v>64.29089824574392</x:v>
      </x:c>
      <x:c r="C86" t="n">
        <x:f>IF(C$1="","",IFERROR(INDEX('包络曲线数据'!$B$2:$U$742,ROW()-1,MATCH(C$1,'包络曲线数据'!$B$1:$U$1,0)),""))</x:f>
        <x:v>61.82652153517522</x:v>
      </x:c>
      <x:c r="D86" t="str">
        <x:f>IF(D$1="","",IFERROR(INDEX('包络曲线数据'!$B$2:$U$742,ROW()-1,MATCH(D$1,'包络曲线数据'!$B$1:$U$1,0)),""))</x:f>
      </x:c>
      <x:c r="E86" t="str">
        <x:f>IF(E$1="","",IFERROR(INDEX('包络曲线数据'!$B$2:$U$742,ROW()-1,MATCH(E$1,'包络曲线数据'!$B$1:$U$1,0)),""))</x:f>
      </x:c>
      <x:c r="F86" t="str">
        <x:f>IF(F$1="","",IFERROR(INDEX('包络曲线数据'!$B$2:$U$742,ROW()-1,MATCH(F$1,'包络曲线数据'!$B$1:$U$1,0)),""))</x:f>
      </x:c>
      <x:c r="G86" t="str">
        <x:f>IF(G$1="","",IFERROR(INDEX('包络曲线数据'!$B$2:$U$742,ROW()-1,MATCH(G$1,'包络曲线数据'!$B$1:$U$1,0)),""))</x:f>
      </x:c>
    </x:row>
    <x:row r="87">
      <x:c r="A87" t="n">
        <x:v>8.5</x:v>
      </x:c>
      <x:c r="B87" t="n">
        <x:f>IF(B$1="","",IFERROR(INDEX('包络曲线数据'!$B$2:$U$742,ROW()-1,MATCH(B$1,'包络曲线数据'!$B$1:$U$1,0)),""))</x:f>
        <x:v>62.70779624556369</x:v>
      </x:c>
      <x:c r="C87" t="n">
        <x:f>IF(C$1="","",IFERROR(INDEX('包络曲线数据'!$B$2:$U$742,ROW()-1,MATCH(C$1,'包络曲线数据'!$B$1:$U$1,0)),""))</x:f>
        <x:v>66.55713014924522</x:v>
      </x:c>
      <x:c r="D87" t="str">
        <x:f>IF(D$1="","",IFERROR(INDEX('包络曲线数据'!$B$2:$U$742,ROW()-1,MATCH(D$1,'包络曲线数据'!$B$1:$U$1,0)),""))</x:f>
      </x:c>
      <x:c r="E87" t="str">
        <x:f>IF(E$1="","",IFERROR(INDEX('包络曲线数据'!$B$2:$U$742,ROW()-1,MATCH(E$1,'包络曲线数据'!$B$1:$U$1,0)),""))</x:f>
      </x:c>
      <x:c r="F87" t="str">
        <x:f>IF(F$1="","",IFERROR(INDEX('包络曲线数据'!$B$2:$U$742,ROW()-1,MATCH(F$1,'包络曲线数据'!$B$1:$U$1,0)),""))</x:f>
      </x:c>
      <x:c r="G87" t="str">
        <x:f>IF(G$1="","",IFERROR(INDEX('包络曲线数据'!$B$2:$U$742,ROW()-1,MATCH(G$1,'包络曲线数据'!$B$1:$U$1,0)),""))</x:f>
      </x:c>
    </x:row>
    <x:row r="88">
      <x:c r="A88" t="n">
        <x:v>8.6</x:v>
      </x:c>
      <x:c r="B88" t="n">
        <x:f>IF(B$1="","",IFERROR(INDEX('包络曲线数据'!$B$2:$U$742,ROW()-1,MATCH(B$1,'包络曲线数据'!$B$1:$U$1,0)),""))</x:f>
        <x:v>62.81015573790096</x:v>
      </x:c>
      <x:c r="C88" t="n">
        <x:f>IF(C$1="","",IFERROR(INDEX('包络曲线数据'!$B$2:$U$742,ROW()-1,MATCH(C$1,'包络曲线数据'!$B$1:$U$1,0)),""))</x:f>
        <x:v>74.86670335342863</x:v>
      </x:c>
      <x:c r="D88" t="str">
        <x:f>IF(D$1="","",IFERROR(INDEX('包络曲线数据'!$B$2:$U$742,ROW()-1,MATCH(D$1,'包络曲线数据'!$B$1:$U$1,0)),""))</x:f>
      </x:c>
      <x:c r="E88" t="str">
        <x:f>IF(E$1="","",IFERROR(INDEX('包络曲线数据'!$B$2:$U$742,ROW()-1,MATCH(E$1,'包络曲线数据'!$B$1:$U$1,0)),""))</x:f>
      </x:c>
      <x:c r="F88" t="str">
        <x:f>IF(F$1="","",IFERROR(INDEX('包络曲线数据'!$B$2:$U$742,ROW()-1,MATCH(F$1,'包络曲线数据'!$B$1:$U$1,0)),""))</x:f>
      </x:c>
      <x:c r="G88" t="str">
        <x:f>IF(G$1="","",IFERROR(INDEX('包络曲线数据'!$B$2:$U$742,ROW()-1,MATCH(G$1,'包络曲线数据'!$B$1:$U$1,0)),""))</x:f>
      </x:c>
    </x:row>
    <x:row r="89">
      <x:c r="A89" t="n">
        <x:v>8.700000000000001</x:v>
      </x:c>
      <x:c r="B89" t="n">
        <x:f>IF(B$1="","",IFERROR(INDEX('包络曲线数据'!$B$2:$U$742,ROW()-1,MATCH(B$1,'包络曲线数据'!$B$1:$U$1,0)),""))</x:f>
        <x:v>62.877582497891126</x:v>
      </x:c>
      <x:c r="C89" t="n">
        <x:f>IF(C$1="","",IFERROR(INDEX('包络曲线数据'!$B$2:$U$742,ROW()-1,MATCH(C$1,'包络曲线数据'!$B$1:$U$1,0)),""))</x:f>
        <x:v>75.84750031834196</x:v>
      </x:c>
      <x:c r="D89" t="str">
        <x:f>IF(D$1="","",IFERROR(INDEX('包络曲线数据'!$B$2:$U$742,ROW()-1,MATCH(D$1,'包络曲线数据'!$B$1:$U$1,0)),""))</x:f>
      </x:c>
      <x:c r="E89" t="str">
        <x:f>IF(E$1="","",IFERROR(INDEX('包络曲线数据'!$B$2:$U$742,ROW()-1,MATCH(E$1,'包络曲线数据'!$B$1:$U$1,0)),""))</x:f>
      </x:c>
      <x:c r="F89" t="str">
        <x:f>IF(F$1="","",IFERROR(INDEX('包络曲线数据'!$B$2:$U$742,ROW()-1,MATCH(F$1,'包络曲线数据'!$B$1:$U$1,0)),""))</x:f>
      </x:c>
      <x:c r="G89" t="str">
        <x:f>IF(G$1="","",IFERROR(INDEX('包络曲线数据'!$B$2:$U$742,ROW()-1,MATCH(G$1,'包络曲线数据'!$B$1:$U$1,0)),""))</x:f>
      </x:c>
    </x:row>
    <x:row r="90">
      <x:c r="A90" t="n">
        <x:v>8.8</x:v>
      </x:c>
      <x:c r="B90" t="n">
        <x:f>IF(B$1="","",IFERROR(INDEX('包络曲线数据'!$B$2:$U$742,ROW()-1,MATCH(B$1,'包络曲线数据'!$B$1:$U$1,0)),""))</x:f>
        <x:v>79.00790257786969</x:v>
      </x:c>
      <x:c r="C90" t="n">
        <x:f>IF(C$1="","",IFERROR(INDEX('包络曲线数据'!$B$2:$U$742,ROW()-1,MATCH(C$1,'包络曲线数据'!$B$1:$U$1,0)),""))</x:f>
        <x:v>75.84750031834196</x:v>
      </x:c>
      <x:c r="D90" t="str">
        <x:f>IF(D$1="","",IFERROR(INDEX('包络曲线数据'!$B$2:$U$742,ROW()-1,MATCH(D$1,'包络曲线数据'!$B$1:$U$1,0)),""))</x:f>
      </x:c>
      <x:c r="E90" t="str">
        <x:f>IF(E$1="","",IFERROR(INDEX('包络曲线数据'!$B$2:$U$742,ROW()-1,MATCH(E$1,'包络曲线数据'!$B$1:$U$1,0)),""))</x:f>
      </x:c>
      <x:c r="F90" t="str">
        <x:f>IF(F$1="","",IFERROR(INDEX('包络曲线数据'!$B$2:$U$742,ROW()-1,MATCH(F$1,'包络曲线数据'!$B$1:$U$1,0)),""))</x:f>
      </x:c>
      <x:c r="G90" t="str">
        <x:f>IF(G$1="","",IFERROR(INDEX('包络曲线数据'!$B$2:$U$742,ROW()-1,MATCH(G$1,'包络曲线数据'!$B$1:$U$1,0)),""))</x:f>
      </x:c>
    </x:row>
    <x:row r="91">
      <x:c r="A91" t="n">
        <x:v>8.9</x:v>
      </x:c>
      <x:c r="B91" t="n">
        <x:f>IF(B$1="","",IFERROR(INDEX('包络曲线数据'!$B$2:$U$742,ROW()-1,MATCH(B$1,'包络曲线数据'!$B$1:$U$1,0)),""))</x:f>
        <x:v>79.00790257786969</x:v>
      </x:c>
      <x:c r="C91" t="n">
        <x:f>IF(C$1="","",IFERROR(INDEX('包络曲线数据'!$B$2:$U$742,ROW()-1,MATCH(C$1,'包络曲线数据'!$B$1:$U$1,0)),""))</x:f>
        <x:v>51.02451629988019</x:v>
      </x:c>
      <x:c r="D91" t="str">
        <x:f>IF(D$1="","",IFERROR(INDEX('包络曲线数据'!$B$2:$U$742,ROW()-1,MATCH(D$1,'包络曲线数据'!$B$1:$U$1,0)),""))</x:f>
      </x:c>
      <x:c r="E91" t="str">
        <x:f>IF(E$1="","",IFERROR(INDEX('包络曲线数据'!$B$2:$U$742,ROW()-1,MATCH(E$1,'包络曲线数据'!$B$1:$U$1,0)),""))</x:f>
      </x:c>
      <x:c r="F91" t="str">
        <x:f>IF(F$1="","",IFERROR(INDEX('包络曲线数据'!$B$2:$U$742,ROW()-1,MATCH(F$1,'包络曲线数据'!$B$1:$U$1,0)),""))</x:f>
      </x:c>
      <x:c r="G91" t="str">
        <x:f>IF(G$1="","",IFERROR(INDEX('包络曲线数据'!$B$2:$U$742,ROW()-1,MATCH(G$1,'包络曲线数据'!$B$1:$U$1,0)),""))</x:f>
      </x:c>
    </x:row>
    <x:row r="92">
      <x:c r="A92" t="n">
        <x:v>9</x:v>
      </x:c>
      <x:c r="B92" t="n">
        <x:f>IF(B$1="","",IFERROR(INDEX('包络曲线数据'!$B$2:$U$742,ROW()-1,MATCH(B$1,'包络曲线数据'!$B$1:$U$1,0)),""))</x:f>
        <x:v>73.91963788900243</x:v>
      </x:c>
      <x:c r="C92" t="n">
        <x:f>IF(C$1="","",IFERROR(INDEX('包络曲线数据'!$B$2:$U$742,ROW()-1,MATCH(C$1,'包络曲线数据'!$B$1:$U$1,0)),""))</x:f>
        <x:v>72.39936401050807</x:v>
      </x:c>
      <x:c r="D92" t="str">
        <x:f>IF(D$1="","",IFERROR(INDEX('包络曲线数据'!$B$2:$U$742,ROW()-1,MATCH(D$1,'包络曲线数据'!$B$1:$U$1,0)),""))</x:f>
      </x:c>
      <x:c r="E92" t="str">
        <x:f>IF(E$1="","",IFERROR(INDEX('包络曲线数据'!$B$2:$U$742,ROW()-1,MATCH(E$1,'包络曲线数据'!$B$1:$U$1,0)),""))</x:f>
      </x:c>
      <x:c r="F92" t="str">
        <x:f>IF(F$1="","",IFERROR(INDEX('包络曲线数据'!$B$2:$U$742,ROW()-1,MATCH(F$1,'包络曲线数据'!$B$1:$U$1,0)),""))</x:f>
      </x:c>
      <x:c r="G92" t="str">
        <x:f>IF(G$1="","",IFERROR(INDEX('包络曲线数据'!$B$2:$U$742,ROW()-1,MATCH(G$1,'包络曲线数据'!$B$1:$U$1,0)),""))</x:f>
      </x:c>
    </x:row>
    <x:row r="93">
      <x:c r="A93" t="n">
        <x:v>9.1</x:v>
      </x:c>
      <x:c r="B93" t="n">
        <x:f>IF(B$1="","",IFERROR(INDEX('包络曲线数据'!$B$2:$U$742,ROW()-1,MATCH(B$1,'包络曲线数据'!$B$1:$U$1,0)),""))</x:f>
        <x:v>62.275951084463806</x:v>
      </x:c>
      <x:c r="C93" t="n">
        <x:f>IF(C$1="","",IFERROR(INDEX('包络曲线数据'!$B$2:$U$742,ROW()-1,MATCH(C$1,'包络曲线数据'!$B$1:$U$1,0)),""))</x:f>
        <x:v>72.85531701333561</x:v>
      </x:c>
      <x:c r="D93" t="str">
        <x:f>IF(D$1="","",IFERROR(INDEX('包络曲线数据'!$B$2:$U$742,ROW()-1,MATCH(D$1,'包络曲线数据'!$B$1:$U$1,0)),""))</x:f>
      </x:c>
      <x:c r="E93" t="str">
        <x:f>IF(E$1="","",IFERROR(INDEX('包络曲线数据'!$B$2:$U$742,ROW()-1,MATCH(E$1,'包络曲线数据'!$B$1:$U$1,0)),""))</x:f>
      </x:c>
      <x:c r="F93" t="str">
        <x:f>IF(F$1="","",IFERROR(INDEX('包络曲线数据'!$B$2:$U$742,ROW()-1,MATCH(F$1,'包络曲线数据'!$B$1:$U$1,0)),""))</x:f>
      </x:c>
      <x:c r="G93" t="str">
        <x:f>IF(G$1="","",IFERROR(INDEX('包络曲线数据'!$B$2:$U$742,ROW()-1,MATCH(G$1,'包络曲线数据'!$B$1:$U$1,0)),""))</x:f>
      </x:c>
    </x:row>
    <x:row r="94">
      <x:c r="A94" t="n">
        <x:v>9.200000000000001</x:v>
      </x:c>
      <x:c r="B94" t="n">
        <x:f>IF(B$1="","",IFERROR(INDEX('包络曲线数据'!$B$2:$U$742,ROW()-1,MATCH(B$1,'包络曲线数据'!$B$1:$U$1,0)),""))</x:f>
        <x:v>50</x:v>
      </x:c>
      <x:c r="C94" t="n">
        <x:f>IF(C$1="","",IFERROR(INDEX('包络曲线数据'!$B$2:$U$742,ROW()-1,MATCH(C$1,'包络曲线数据'!$B$1:$U$1,0)),""))</x:f>
        <x:v>75.88135985672577</x:v>
      </x:c>
      <x:c r="D94" t="str">
        <x:f>IF(D$1="","",IFERROR(INDEX('包络曲线数据'!$B$2:$U$742,ROW()-1,MATCH(D$1,'包络曲线数据'!$B$1:$U$1,0)),""))</x:f>
      </x:c>
      <x:c r="E94" t="str">
        <x:f>IF(E$1="","",IFERROR(INDEX('包络曲线数据'!$B$2:$U$742,ROW()-1,MATCH(E$1,'包络曲线数据'!$B$1:$U$1,0)),""))</x:f>
      </x:c>
      <x:c r="F94" t="str">
        <x:f>IF(F$1="","",IFERROR(INDEX('包络曲线数据'!$B$2:$U$742,ROW()-1,MATCH(F$1,'包络曲线数据'!$B$1:$U$1,0)),""))</x:f>
      </x:c>
      <x:c r="G94" t="str">
        <x:f>IF(G$1="","",IFERROR(INDEX('包络曲线数据'!$B$2:$U$742,ROW()-1,MATCH(G$1,'包络曲线数据'!$B$1:$U$1,0)),""))</x:f>
      </x:c>
    </x:row>
    <x:row r="95">
      <x:c r="A95" t="n">
        <x:v>9.3</x:v>
      </x:c>
      <x:c r="B95" t="n">
        <x:f>IF(B$1="","",IFERROR(INDEX('包络曲线数据'!$B$2:$U$742,ROW()-1,MATCH(B$1,'包络曲线数据'!$B$1:$U$1,0)),""))</x:f>
        <x:v>53.31998103027726</x:v>
      </x:c>
      <x:c r="C95" t="n">
        <x:f>IF(C$1="","",IFERROR(INDEX('包络曲线数据'!$B$2:$U$742,ROW()-1,MATCH(C$1,'包络曲线数据'!$B$1:$U$1,0)),""))</x:f>
        <x:v>76.00387553541717</x:v>
      </x:c>
      <x:c r="D95" t="str">
        <x:f>IF(D$1="","",IFERROR(INDEX('包络曲线数据'!$B$2:$U$742,ROW()-1,MATCH(D$1,'包络曲线数据'!$B$1:$U$1,0)),""))</x:f>
      </x:c>
      <x:c r="E95" t="str">
        <x:f>IF(E$1="","",IFERROR(INDEX('包络曲线数据'!$B$2:$U$742,ROW()-1,MATCH(E$1,'包络曲线数据'!$B$1:$U$1,0)),""))</x:f>
      </x:c>
      <x:c r="F95" t="str">
        <x:f>IF(F$1="","",IFERROR(INDEX('包络曲线数据'!$B$2:$U$742,ROW()-1,MATCH(F$1,'包络曲线数据'!$B$1:$U$1,0)),""))</x:f>
      </x:c>
      <x:c r="G95" t="str">
        <x:f>IF(G$1="","",IFERROR(INDEX('包络曲线数据'!$B$2:$U$742,ROW()-1,MATCH(G$1,'包络曲线数据'!$B$1:$U$1,0)),""))</x:f>
      </x:c>
    </x:row>
    <x:row r="96">
      <x:c r="A96" t="n">
        <x:v>9.4</x:v>
      </x:c>
      <x:c r="B96" t="n">
        <x:f>IF(B$1="","",IFERROR(INDEX('包络曲线数据'!$B$2:$U$742,ROW()-1,MATCH(B$1,'包络曲线数据'!$B$1:$U$1,0)),""))</x:f>
        <x:v>61.6199336059702</x:v>
      </x:c>
      <x:c r="C96" t="n">
        <x:f>IF(C$1="","",IFERROR(INDEX('包络曲线数据'!$B$2:$U$742,ROW()-1,MATCH(C$1,'包络曲线数据'!$B$1:$U$1,0)),""))</x:f>
        <x:v>76.69137732566733</x:v>
      </x:c>
      <x:c r="D96" t="str">
        <x:f>IF(D$1="","",IFERROR(INDEX('包络曲线数据'!$B$2:$U$742,ROW()-1,MATCH(D$1,'包络曲线数据'!$B$1:$U$1,0)),""))</x:f>
      </x:c>
      <x:c r="E96" t="str">
        <x:f>IF(E$1="","",IFERROR(INDEX('包络曲线数据'!$B$2:$U$742,ROW()-1,MATCH(E$1,'包络曲线数据'!$B$1:$U$1,0)),""))</x:f>
      </x:c>
      <x:c r="F96" t="str">
        <x:f>IF(F$1="","",IFERROR(INDEX('包络曲线数据'!$B$2:$U$742,ROW()-1,MATCH(F$1,'包络曲线数据'!$B$1:$U$1,0)),""))</x:f>
      </x:c>
      <x:c r="G96" t="str">
        <x:f>IF(G$1="","",IFERROR(INDEX('包络曲线数据'!$B$2:$U$742,ROW()-1,MATCH(G$1,'包络曲线数据'!$B$1:$U$1,0)),""))</x:f>
      </x:c>
    </x:row>
    <x:row r="97">
      <x:c r="A97" t="n">
        <x:v>9.5</x:v>
      </x:c>
      <x:c r="B97" t="n">
        <x:f>IF(B$1="","",IFERROR(INDEX('包络曲线数据'!$B$2:$U$742,ROW()-1,MATCH(B$1,'包络曲线数据'!$B$1:$U$1,0)),""))</x:f>
        <x:v>63.27992412110876</x:v>
      </x:c>
      <x:c r="C97" t="n">
        <x:f>IF(C$1="","",IFERROR(INDEX('包络曲线数据'!$B$2:$U$742,ROW()-1,MATCH(C$1,'包络曲线数据'!$B$1:$U$1,0)),""))</x:f>
        <x:v>76.12942295742914</x:v>
      </x:c>
      <x:c r="D97" t="str">
        <x:f>IF(D$1="","",IFERROR(INDEX('包络曲线数据'!$B$2:$U$742,ROW()-1,MATCH(D$1,'包络曲线数据'!$B$1:$U$1,0)),""))</x:f>
      </x:c>
      <x:c r="E97" t="str">
        <x:f>IF(E$1="","",IFERROR(INDEX('包络曲线数据'!$B$2:$U$742,ROW()-1,MATCH(E$1,'包络曲线数据'!$B$1:$U$1,0)),""))</x:f>
      </x:c>
      <x:c r="F97" t="str">
        <x:f>IF(F$1="","",IFERROR(INDEX('包络曲线数据'!$B$2:$U$742,ROW()-1,MATCH(F$1,'包络曲线数据'!$B$1:$U$1,0)),""))</x:f>
      </x:c>
      <x:c r="G97" t="str">
        <x:f>IF(G$1="","",IFERROR(INDEX('包络曲线数据'!$B$2:$U$742,ROW()-1,MATCH(G$1,'包络曲线数据'!$B$1:$U$1,0)),""))</x:f>
      </x:c>
    </x:row>
    <x:row r="98">
      <x:c r="A98" t="n">
        <x:v>9.600000000000001</x:v>
      </x:c>
      <x:c r="B98" t="n">
        <x:f>IF(B$1="","",IFERROR(INDEX('包络曲线数据'!$B$2:$U$742,ROW()-1,MATCH(B$1,'包络曲线数据'!$B$1:$U$1,0)),""))</x:f>
        <x:v>63.00553868258905</x:v>
      </x:c>
      <x:c r="C98" t="n">
        <x:f>IF(C$1="","",IFERROR(INDEX('包络曲线数据'!$B$2:$U$742,ROW()-1,MATCH(C$1,'包络曲线数据'!$B$1:$U$1,0)),""))</x:f>
        <x:v>76.12942295742907</x:v>
      </x:c>
      <x:c r="D98" t="str">
        <x:f>IF(D$1="","",IFERROR(INDEX('包络曲线数据'!$B$2:$U$742,ROW()-1,MATCH(D$1,'包络曲线数据'!$B$1:$U$1,0)),""))</x:f>
      </x:c>
      <x:c r="E98" t="str">
        <x:f>IF(E$1="","",IFERROR(INDEX('包络曲线数据'!$B$2:$U$742,ROW()-1,MATCH(E$1,'包络曲线数据'!$B$1:$U$1,0)),""))</x:f>
      </x:c>
      <x:c r="F98" t="str">
        <x:f>IF(F$1="","",IFERROR(INDEX('包络曲线数据'!$B$2:$U$742,ROW()-1,MATCH(F$1,'包络曲线数据'!$B$1:$U$1,0)),""))</x:f>
      </x:c>
      <x:c r="G98" t="str">
        <x:f>IF(G$1="","",IFERROR(INDEX('包络曲线数据'!$B$2:$U$742,ROW()-1,MATCH(G$1,'包络曲线数据'!$B$1:$U$1,0)),""))</x:f>
      </x:c>
    </x:row>
    <x:row r="99">
      <x:c r="A99" t="n">
        <x:v>9.700000000000001</x:v>
      </x:c>
      <x:c r="B99" t="n">
        <x:f>IF(B$1="","",IFERROR(INDEX('包络曲线数据'!$B$2:$U$742,ROW()-1,MATCH(B$1,'包络曲线数据'!$B$1:$U$1,0)),""))</x:f>
        <x:v>70.57148171615626</x:v>
      </x:c>
      <x:c r="C99" t="n">
        <x:f>IF(C$1="","",IFERROR(INDEX('包络曲线数据'!$B$2:$U$742,ROW()-1,MATCH(C$1,'包络曲线数据'!$B$1:$U$1,0)),""))</x:f>
        <x:v>77.0798062239237</x:v>
      </x:c>
      <x:c r="D99" t="str">
        <x:f>IF(D$1="","",IFERROR(INDEX('包络曲线数据'!$B$2:$U$742,ROW()-1,MATCH(D$1,'包络曲线数据'!$B$1:$U$1,0)),""))</x:f>
      </x:c>
      <x:c r="E99" t="str">
        <x:f>IF(E$1="","",IFERROR(INDEX('包络曲线数据'!$B$2:$U$742,ROW()-1,MATCH(E$1,'包络曲线数据'!$B$1:$U$1,0)),""))</x:f>
      </x:c>
      <x:c r="F99" t="str">
        <x:f>IF(F$1="","",IFERROR(INDEX('包络曲线数据'!$B$2:$U$742,ROW()-1,MATCH(F$1,'包络曲线数据'!$B$1:$U$1,0)),""))</x:f>
      </x:c>
      <x:c r="G99" t="str">
        <x:f>IF(G$1="","",IFERROR(INDEX('包络曲线数据'!$B$2:$U$742,ROW()-1,MATCH(G$1,'包络曲线数据'!$B$1:$U$1,0)),""))</x:f>
      </x:c>
    </x:row>
    <x:row r="100">
      <x:c r="A100" t="n">
        <x:v>9.8</x:v>
      </x:c>
      <x:c r="B100" t="n">
        <x:f>IF(B$1="","",IFERROR(INDEX('包络曲线数据'!$B$2:$U$742,ROW()-1,MATCH(B$1,'包络曲线数据'!$B$1:$U$1,0)),""))</x:f>
        <x:v>70.57148171615626</x:v>
      </x:c>
      <x:c r="C100" t="n">
        <x:f>IF(C$1="","",IFERROR(INDEX('包络曲线数据'!$B$2:$U$742,ROW()-1,MATCH(C$1,'包络曲线数据'!$B$1:$U$1,0)),""))</x:f>
        <x:v>77.0798062239237</x:v>
      </x:c>
      <x:c r="D100" t="str">
        <x:f>IF(D$1="","",IFERROR(INDEX('包络曲线数据'!$B$2:$U$742,ROW()-1,MATCH(D$1,'包络曲线数据'!$B$1:$U$1,0)),""))</x:f>
      </x:c>
      <x:c r="E100" t="str">
        <x:f>IF(E$1="","",IFERROR(INDEX('包络曲线数据'!$B$2:$U$742,ROW()-1,MATCH(E$1,'包络曲线数据'!$B$1:$U$1,0)),""))</x:f>
      </x:c>
      <x:c r="F100" t="str">
        <x:f>IF(F$1="","",IFERROR(INDEX('包络曲线数据'!$B$2:$U$742,ROW()-1,MATCH(F$1,'包络曲线数据'!$B$1:$U$1,0)),""))</x:f>
      </x:c>
      <x:c r="G100" t="str">
        <x:f>IF(G$1="","",IFERROR(INDEX('包络曲线数据'!$B$2:$U$742,ROW()-1,MATCH(G$1,'包络曲线数据'!$B$1:$U$1,0)),""))</x:f>
      </x:c>
    </x:row>
    <x:row r="101">
      <x:c r="A101" t="n">
        <x:v>9.9</x:v>
      </x:c>
      <x:c r="B101" t="n">
        <x:f>IF(B$1="","",IFERROR(INDEX('包络曲线数据'!$B$2:$U$742,ROW()-1,MATCH(B$1,'包络曲线数据'!$B$1:$U$1,0)),""))</x:f>
        <x:v>63.50812638083414</x:v>
      </x:c>
      <x:c r="C101" t="n">
        <x:f>IF(C$1="","",IFERROR(INDEX('包络曲线数据'!$B$2:$U$742,ROW()-1,MATCH(C$1,'包络曲线数据'!$B$1:$U$1,0)),""))</x:f>
        <x:v>75.58299415777375</x:v>
      </x:c>
      <x:c r="D101" t="str">
        <x:f>IF(D$1="","",IFERROR(INDEX('包络曲线数据'!$B$2:$U$742,ROW()-1,MATCH(D$1,'包络曲线数据'!$B$1:$U$1,0)),""))</x:f>
      </x:c>
      <x:c r="E101" t="str">
        <x:f>IF(E$1="","",IFERROR(INDEX('包络曲线数据'!$B$2:$U$742,ROW()-1,MATCH(E$1,'包络曲线数据'!$B$1:$U$1,0)),""))</x:f>
      </x:c>
      <x:c r="F101" t="str">
        <x:f>IF(F$1="","",IFERROR(INDEX('包络曲线数据'!$B$2:$U$742,ROW()-1,MATCH(F$1,'包络曲线数据'!$B$1:$U$1,0)),""))</x:f>
      </x:c>
      <x:c r="G101" t="str">
        <x:f>IF(G$1="","",IFERROR(INDEX('包络曲线数据'!$B$2:$U$742,ROW()-1,MATCH(G$1,'包络曲线数据'!$B$1:$U$1,0)),""))</x:f>
      </x:c>
    </x:row>
    <x:row r="102">
      <x:c r="A102" t="n">
        <x:v>10</x:v>
      </x:c>
      <x:c r="B102" t="n">
        <x:f>IF(B$1="","",IFERROR(INDEX('包络曲线数据'!$B$2:$U$742,ROW()-1,MATCH(B$1,'包络曲线数据'!$B$1:$U$1,0)),""))</x:f>
        <x:v>62.74826707632208</x:v>
      </x:c>
      <x:c r="C102" t="n">
        <x:f>IF(C$1="","",IFERROR(INDEX('包络曲线数据'!$B$2:$U$742,ROW()-1,MATCH(C$1,'包络曲线数据'!$B$1:$U$1,0)),""))</x:f>
        <x:v>72.7501723836433</x:v>
      </x:c>
      <x:c r="D102" t="str">
        <x:f>IF(D$1="","",IFERROR(INDEX('包络曲线数据'!$B$2:$U$742,ROW()-1,MATCH(D$1,'包络曲线数据'!$B$1:$U$1,0)),""))</x:f>
      </x:c>
      <x:c r="E102" t="str">
        <x:f>IF(E$1="","",IFERROR(INDEX('包络曲线数据'!$B$2:$U$742,ROW()-1,MATCH(E$1,'包络曲线数据'!$B$1:$U$1,0)),""))</x:f>
      </x:c>
      <x:c r="F102" t="str">
        <x:f>IF(F$1="","",IFERROR(INDEX('包络曲线数据'!$B$2:$U$742,ROW()-1,MATCH(F$1,'包络曲线数据'!$B$1:$U$1,0)),""))</x:f>
      </x:c>
      <x:c r="G102" t="str">
        <x:f>IF(G$1="","",IFERROR(INDEX('包络曲线数据'!$B$2:$U$742,ROW()-1,MATCH(G$1,'包络曲线数据'!$B$1:$U$1,0)),""))</x:f>
      </x:c>
    </x:row>
    <x:row r="103">
      <x:c r="A103" t="n">
        <x:v>10.100000000000001</x:v>
      </x:c>
      <x:c r="B103" t="n">
        <x:f>IF(B$1="","",IFERROR(INDEX('包络曲线数据'!$B$2:$U$742,ROW()-1,MATCH(B$1,'包络曲线数据'!$B$1:$U$1,0)),""))</x:f>
        <x:v>64.05173598387528</x:v>
      </x:c>
      <x:c r="C103" t="n">
        <x:f>IF(C$1="","",IFERROR(INDEX('包络曲线数据'!$B$2:$U$742,ROW()-1,MATCH(C$1,'包络曲线数据'!$B$1:$U$1,0)),""))</x:f>
        <x:v>84.27343764252288</x:v>
      </x:c>
      <x:c r="D103" t="str">
        <x:f>IF(D$1="","",IFERROR(INDEX('包络曲线数据'!$B$2:$U$742,ROW()-1,MATCH(D$1,'包络曲线数据'!$B$1:$U$1,0)),""))</x:f>
      </x:c>
      <x:c r="E103" t="str">
        <x:f>IF(E$1="","",IFERROR(INDEX('包络曲线数据'!$B$2:$U$742,ROW()-1,MATCH(E$1,'包络曲线数据'!$B$1:$U$1,0)),""))</x:f>
      </x:c>
      <x:c r="F103" t="str">
        <x:f>IF(F$1="","",IFERROR(INDEX('包络曲线数据'!$B$2:$U$742,ROW()-1,MATCH(F$1,'包络曲线数据'!$B$1:$U$1,0)),""))</x:f>
      </x:c>
      <x:c r="G103" t="str">
        <x:f>IF(G$1="","",IFERROR(INDEX('包络曲线数据'!$B$2:$U$742,ROW()-1,MATCH(G$1,'包络曲线数据'!$B$1:$U$1,0)),""))</x:f>
      </x:c>
    </x:row>
    <x:row r="104">
      <x:c r="A104" t="n">
        <x:v>10.200000000000001</x:v>
      </x:c>
      <x:c r="B104" t="n">
        <x:f>IF(B$1="","",IFERROR(INDEX('包络曲线数据'!$B$2:$U$742,ROW()-1,MATCH(B$1,'包络曲线数据'!$B$1:$U$1,0)),""))</x:f>
        <x:v>64.3469133081388</x:v>
      </x:c>
      <x:c r="C104" t="n">
        <x:f>IF(C$1="","",IFERROR(INDEX('包络曲线数据'!$B$2:$U$742,ROW()-1,MATCH(C$1,'包络曲线数据'!$B$1:$U$1,0)),""))</x:f>
        <x:v>84.27343764252288</x:v>
      </x:c>
      <x:c r="D104" t="str">
        <x:f>IF(D$1="","",IFERROR(INDEX('包络曲线数据'!$B$2:$U$742,ROW()-1,MATCH(D$1,'包络曲线数据'!$B$1:$U$1,0)),""))</x:f>
      </x:c>
      <x:c r="E104" t="str">
        <x:f>IF(E$1="","",IFERROR(INDEX('包络曲线数据'!$B$2:$U$742,ROW()-1,MATCH(E$1,'包络曲线数据'!$B$1:$U$1,0)),""))</x:f>
      </x:c>
      <x:c r="F104" t="str">
        <x:f>IF(F$1="","",IFERROR(INDEX('包络曲线数据'!$B$2:$U$742,ROW()-1,MATCH(F$1,'包络曲线数据'!$B$1:$U$1,0)),""))</x:f>
      </x:c>
      <x:c r="G104" t="str">
        <x:f>IF(G$1="","",IFERROR(INDEX('包络曲线数据'!$B$2:$U$742,ROW()-1,MATCH(G$1,'包络曲线数据'!$B$1:$U$1,0)),""))</x:f>
      </x:c>
    </x:row>
    <x:row r="105">
      <x:c r="A105" t="n">
        <x:v>10.3</x:v>
      </x:c>
      <x:c r="B105" t="n">
        <x:f>IF(B$1="","",IFERROR(INDEX('包络曲线数据'!$B$2:$U$742,ROW()-1,MATCH(B$1,'包络曲线数据'!$B$1:$U$1,0)),""))</x:f>
        <x:v>64.0632476746539</x:v>
      </x:c>
      <x:c r="C105" t="n">
        <x:f>IF(C$1="","",IFERROR(INDEX('包络曲线数据'!$B$2:$U$742,ROW()-1,MATCH(C$1,'包络曲线数据'!$B$1:$U$1,0)),""))</x:f>
        <x:v>82.30093842697538</x:v>
      </x:c>
      <x:c r="D105" t="str">
        <x:f>IF(D$1="","",IFERROR(INDEX('包络曲线数据'!$B$2:$U$742,ROW()-1,MATCH(D$1,'包络曲线数据'!$B$1:$U$1,0)),""))</x:f>
      </x:c>
      <x:c r="E105" t="str">
        <x:f>IF(E$1="","",IFERROR(INDEX('包络曲线数据'!$B$2:$U$742,ROW()-1,MATCH(E$1,'包络曲线数据'!$B$1:$U$1,0)),""))</x:f>
      </x:c>
      <x:c r="F105" t="str">
        <x:f>IF(F$1="","",IFERROR(INDEX('包络曲线数据'!$B$2:$U$742,ROW()-1,MATCH(F$1,'包络曲线数据'!$B$1:$U$1,0)),""))</x:f>
      </x:c>
      <x:c r="G105" t="str">
        <x:f>IF(G$1="","",IFERROR(INDEX('包络曲线数据'!$B$2:$U$742,ROW()-1,MATCH(G$1,'包络曲线数据'!$B$1:$U$1,0)),""))</x:f>
      </x:c>
    </x:row>
    <x:row r="106">
      <x:c r="A106" t="n">
        <x:v>10.4</x:v>
      </x:c>
      <x:c r="B106" t="n">
        <x:f>IF(B$1="","",IFERROR(INDEX('包络曲线数据'!$B$2:$U$742,ROW()-1,MATCH(B$1,'包络曲线数据'!$B$1:$U$1,0)),""))</x:f>
        <x:v>63.5142762535379</x:v>
      </x:c>
      <x:c r="C106" t="n">
        <x:f>IF(C$1="","",IFERROR(INDEX('包络曲线数据'!$B$2:$U$742,ROW()-1,MATCH(C$1,'包络曲线数据'!$B$1:$U$1,0)),""))</x:f>
        <x:v>72.068540843856</x:v>
      </x:c>
      <x:c r="D106" t="str">
        <x:f>IF(D$1="","",IFERROR(INDEX('包络曲线数据'!$B$2:$U$742,ROW()-1,MATCH(D$1,'包络曲线数据'!$B$1:$U$1,0)),""))</x:f>
      </x:c>
      <x:c r="E106" t="str">
        <x:f>IF(E$1="","",IFERROR(INDEX('包络曲线数据'!$B$2:$U$742,ROW()-1,MATCH(E$1,'包络曲线数据'!$B$1:$U$1,0)),""))</x:f>
      </x:c>
      <x:c r="F106" t="str">
        <x:f>IF(F$1="","",IFERROR(INDEX('包络曲线数据'!$B$2:$U$742,ROW()-1,MATCH(F$1,'包络曲线数据'!$B$1:$U$1,0)),""))</x:f>
      </x:c>
      <x:c r="G106" t="str">
        <x:f>IF(G$1="","",IFERROR(INDEX('包络曲线数据'!$B$2:$U$742,ROW()-1,MATCH(G$1,'包络曲线数据'!$B$1:$U$1,0)),""))</x:f>
      </x:c>
    </x:row>
    <x:row r="107">
      <x:c r="A107" t="n">
        <x:v>10.5</x:v>
      </x:c>
      <x:c r="B107" t="n">
        <x:f>IF(B$1="","",IFERROR(INDEX('包络曲线数据'!$B$2:$U$742,ROW()-1,MATCH(B$1,'包络曲线数据'!$B$1:$U$1,0)),""))</x:f>
        <x:v>64.5069688002434</x:v>
      </x:c>
      <x:c r="C107" t="n">
        <x:f>IF(C$1="","",IFERROR(INDEX('包络曲线数据'!$B$2:$U$742,ROW()-1,MATCH(C$1,'包络曲线数据'!$B$1:$U$1,0)),""))</x:f>
        <x:v>68.0939338949739</x:v>
      </x:c>
      <x:c r="D107" t="str">
        <x:f>IF(D$1="","",IFERROR(INDEX('包络曲线数据'!$B$2:$U$742,ROW()-1,MATCH(D$1,'包络曲线数据'!$B$1:$U$1,0)),""))</x:f>
      </x:c>
      <x:c r="E107" t="str">
        <x:f>IF(E$1="","",IFERROR(INDEX('包络曲线数据'!$B$2:$U$742,ROW()-1,MATCH(E$1,'包络曲线数据'!$B$1:$U$1,0)),""))</x:f>
      </x:c>
      <x:c r="F107" t="str">
        <x:f>IF(F$1="","",IFERROR(INDEX('包络曲线数据'!$B$2:$U$742,ROW()-1,MATCH(F$1,'包络曲线数据'!$B$1:$U$1,0)),""))</x:f>
      </x:c>
      <x:c r="G107" t="str">
        <x:f>IF(G$1="","",IFERROR(INDEX('包络曲线数据'!$B$2:$U$742,ROW()-1,MATCH(G$1,'包络曲线数据'!$B$1:$U$1,0)),""))</x:f>
      </x:c>
    </x:row>
    <x:row r="108">
      <x:c r="A108" t="n">
        <x:v>10.600000000000001</x:v>
      </x:c>
      <x:c r="B108" t="n">
        <x:f>IF(B$1="","",IFERROR(INDEX('包络曲线数据'!$B$2:$U$742,ROW()-1,MATCH(B$1,'包络曲线数据'!$B$1:$U$1,0)),""))</x:f>
        <x:v>64.5069688002434</x:v>
      </x:c>
      <x:c r="C108" t="n">
        <x:f>IF(C$1="","",IFERROR(INDEX('包络曲线数据'!$B$2:$U$742,ROW()-1,MATCH(C$1,'包络曲线数据'!$B$1:$U$1,0)),""))</x:f>
        <x:v>67.27029626157743</x:v>
      </x:c>
      <x:c r="D108" t="str">
        <x:f>IF(D$1="","",IFERROR(INDEX('包络曲线数据'!$B$2:$U$742,ROW()-1,MATCH(D$1,'包络曲线数据'!$B$1:$U$1,0)),""))</x:f>
      </x:c>
      <x:c r="E108" t="str">
        <x:f>IF(E$1="","",IFERROR(INDEX('包络曲线数据'!$B$2:$U$742,ROW()-1,MATCH(E$1,'包络曲线数据'!$B$1:$U$1,0)),""))</x:f>
      </x:c>
      <x:c r="F108" t="str">
        <x:f>IF(F$1="","",IFERROR(INDEX('包络曲线数据'!$B$2:$U$742,ROW()-1,MATCH(F$1,'包络曲线数据'!$B$1:$U$1,0)),""))</x:f>
      </x:c>
      <x:c r="G108" t="str">
        <x:f>IF(G$1="","",IFERROR(INDEX('包络曲线数据'!$B$2:$U$742,ROW()-1,MATCH(G$1,'包络曲线数据'!$B$1:$U$1,0)),""))</x:f>
      </x:c>
    </x:row>
    <x:row r="109">
      <x:c r="A109" t="n">
        <x:v>10.700000000000001</x:v>
      </x:c>
      <x:c r="B109" t="n">
        <x:f>IF(B$1="","",IFERROR(INDEX('包络曲线数据'!$B$2:$U$742,ROW()-1,MATCH(B$1,'包络曲线数据'!$B$1:$U$1,0)),""))</x:f>
        <x:v>64.01187056846791</x:v>
      </x:c>
      <x:c r="C109" t="n">
        <x:f>IF(C$1="","",IFERROR(INDEX('包络曲线数据'!$B$2:$U$742,ROW()-1,MATCH(C$1,'包络曲线数据'!$B$1:$U$1,0)),""))</x:f>
        <x:v>66.44665862818097</x:v>
      </x:c>
      <x:c r="D109" t="str">
        <x:f>IF(D$1="","",IFERROR(INDEX('包络曲线数据'!$B$2:$U$742,ROW()-1,MATCH(D$1,'包络曲线数据'!$B$1:$U$1,0)),""))</x:f>
      </x:c>
      <x:c r="E109" t="str">
        <x:f>IF(E$1="","",IFERROR(INDEX('包络曲线数据'!$B$2:$U$742,ROW()-1,MATCH(E$1,'包络曲线数据'!$B$1:$U$1,0)),""))</x:f>
      </x:c>
      <x:c r="F109" t="str">
        <x:f>IF(F$1="","",IFERROR(INDEX('包络曲线数据'!$B$2:$U$742,ROW()-1,MATCH(F$1,'包络曲线数据'!$B$1:$U$1,0)),""))</x:f>
      </x:c>
      <x:c r="G109" t="str">
        <x:f>IF(G$1="","",IFERROR(INDEX('包络曲线数据'!$B$2:$U$742,ROW()-1,MATCH(G$1,'包络曲线数据'!$B$1:$U$1,0)),""))</x:f>
      </x:c>
    </x:row>
    <x:row r="110">
      <x:c r="A110" t="n">
        <x:v>10.8</x:v>
      </x:c>
      <x:c r="B110" t="n">
        <x:f>IF(B$1="","",IFERROR(INDEX('包络曲线数据'!$B$2:$U$742,ROW()-1,MATCH(B$1,'包络曲线数据'!$B$1:$U$1,0)),""))</x:f>
        <x:v>64.9215239943436</x:v>
      </x:c>
      <x:c r="C110" t="n">
        <x:f>IF(C$1="","",IFERROR(INDEX('包络曲线数据'!$B$2:$U$742,ROW()-1,MATCH(C$1,'包络曲线数据'!$B$1:$U$1,0)),""))</x:f>
        <x:v>65.78774852146381</x:v>
      </x:c>
      <x:c r="D110" t="str">
        <x:f>IF(D$1="","",IFERROR(INDEX('包络曲线数据'!$B$2:$U$742,ROW()-1,MATCH(D$1,'包络曲线数据'!$B$1:$U$1,0)),""))</x:f>
      </x:c>
      <x:c r="E110" t="str">
        <x:f>IF(E$1="","",IFERROR(INDEX('包络曲线数据'!$B$2:$U$742,ROW()-1,MATCH(E$1,'包络曲线数据'!$B$1:$U$1,0)),""))</x:f>
      </x:c>
      <x:c r="F110" t="str">
        <x:f>IF(F$1="","",IFERROR(INDEX('包络曲线数据'!$B$2:$U$742,ROW()-1,MATCH(F$1,'包络曲线数据'!$B$1:$U$1,0)),""))</x:f>
      </x:c>
      <x:c r="G110" t="str">
        <x:f>IF(G$1="","",IFERROR(INDEX('包络曲线数据'!$B$2:$U$742,ROW()-1,MATCH(G$1,'包络曲线数据'!$B$1:$U$1,0)),""))</x:f>
      </x:c>
    </x:row>
    <x:row r="111">
      <x:c r="A111" t="n">
        <x:v>10.9</x:v>
      </x:c>
      <x:c r="B111" t="n">
        <x:f>IF(B$1="","",IFERROR(INDEX('包络曲线数据'!$B$2:$U$742,ROW()-1,MATCH(B$1,'包络曲线数据'!$B$1:$U$1,0)),""))</x:f>
        <x:v>64.9215239943436</x:v>
      </x:c>
      <x:c r="C111" t="n">
        <x:f>IF(C$1="","",IFERROR(INDEX('包络曲线数据'!$B$2:$U$742,ROW()-1,MATCH(C$1,'包络曲线数据'!$B$1:$U$1,0)),""))</x:f>
        <x:v>71.23094169042602</x:v>
      </x:c>
      <x:c r="D111" t="str">
        <x:f>IF(D$1="","",IFERROR(INDEX('包络曲线数据'!$B$2:$U$742,ROW()-1,MATCH(D$1,'包络曲线数据'!$B$1:$U$1,0)),""))</x:f>
      </x:c>
      <x:c r="E111" t="str">
        <x:f>IF(E$1="","",IFERROR(INDEX('包络曲线数据'!$B$2:$U$742,ROW()-1,MATCH(E$1,'包络曲线数据'!$B$1:$U$1,0)),""))</x:f>
      </x:c>
      <x:c r="F111" t="str">
        <x:f>IF(F$1="","",IFERROR(INDEX('包络曲线数据'!$B$2:$U$742,ROW()-1,MATCH(F$1,'包络曲线数据'!$B$1:$U$1,0)),""))</x:f>
      </x:c>
      <x:c r="G111" t="str">
        <x:f>IF(G$1="","",IFERROR(INDEX('包络曲线数据'!$B$2:$U$742,ROW()-1,MATCH(G$1,'包络曲线数据'!$B$1:$U$1,0)),""))</x:f>
      </x:c>
    </x:row>
    <x:row r="112">
      <x:c r="A112" t="n">
        <x:v>11</x:v>
      </x:c>
      <x:c r="B112" t="n">
        <x:f>IF(B$1="","",IFERROR(INDEX('包络曲线数据'!$B$2:$U$742,ROW()-1,MATCH(B$1,'包络曲线数据'!$B$1:$U$1,0)),""))</x:f>
        <x:v>72.70770183021966</x:v>
      </x:c>
      <x:c r="C112" t="n">
        <x:f>IF(C$1="","",IFERROR(INDEX('包络曲线数据'!$B$2:$U$742,ROW()-1,MATCH(C$1,'包络曲线数据'!$B$1:$U$1,0)),""))</x:f>
        <x:v>76.06651022629217</x:v>
      </x:c>
      <x:c r="D112" t="str">
        <x:f>IF(D$1="","",IFERROR(INDEX('包络曲线数据'!$B$2:$U$742,ROW()-1,MATCH(D$1,'包络曲线数据'!$B$1:$U$1,0)),""))</x:f>
      </x:c>
      <x:c r="E112" t="str">
        <x:f>IF(E$1="","",IFERROR(INDEX('包络曲线数据'!$B$2:$U$742,ROW()-1,MATCH(E$1,'包络曲线数据'!$B$1:$U$1,0)),""))</x:f>
      </x:c>
      <x:c r="F112" t="str">
        <x:f>IF(F$1="","",IFERROR(INDEX('包络曲线数据'!$B$2:$U$742,ROW()-1,MATCH(F$1,'包络曲线数据'!$B$1:$U$1,0)),""))</x:f>
      </x:c>
      <x:c r="G112" t="str">
        <x:f>IF(G$1="","",IFERROR(INDEX('包络曲线数据'!$B$2:$U$742,ROW()-1,MATCH(G$1,'包络曲线数据'!$B$1:$U$1,0)),""))</x:f>
      </x:c>
    </x:row>
    <x:row r="113">
      <x:c r="A113" t="n">
        <x:v>11.100000000000001</x:v>
      </x:c>
      <x:c r="B113" t="n">
        <x:f>IF(B$1="","",IFERROR(INDEX('包络曲线数据'!$B$2:$U$742,ROW()-1,MATCH(B$1,'包络曲线数据'!$B$1:$U$1,0)),""))</x:f>
        <x:v>73.54670928763454</x:v>
      </x:c>
      <x:c r="C113" t="n">
        <x:f>IF(C$1="","",IFERROR(INDEX('包络曲线数据'!$B$2:$U$742,ROW()-1,MATCH(C$1,'包络曲线数据'!$B$1:$U$1,0)),""))</x:f>
        <x:v>76.06651022629217</x:v>
      </x:c>
      <x:c r="D113" t="str">
        <x:f>IF(D$1="","",IFERROR(INDEX('包络曲线数据'!$B$2:$U$742,ROW()-1,MATCH(D$1,'包络曲线数据'!$B$1:$U$1,0)),""))</x:f>
      </x:c>
      <x:c r="E113" t="str">
        <x:f>IF(E$1="","",IFERROR(INDEX('包络曲线数据'!$B$2:$U$742,ROW()-1,MATCH(E$1,'包络曲线数据'!$B$1:$U$1,0)),""))</x:f>
      </x:c>
      <x:c r="F113" t="str">
        <x:f>IF(F$1="","",IFERROR(INDEX('包络曲线数据'!$B$2:$U$742,ROW()-1,MATCH(F$1,'包络曲线数据'!$B$1:$U$1,0)),""))</x:f>
      </x:c>
      <x:c r="G113" t="str">
        <x:f>IF(G$1="","",IFERROR(INDEX('包络曲线数据'!$B$2:$U$742,ROW()-1,MATCH(G$1,'包络曲线数据'!$B$1:$U$1,0)),""))</x:f>
      </x:c>
    </x:row>
    <x:row r="114">
      <x:c r="A114" t="n">
        <x:v>11.200000000000001</x:v>
      </x:c>
      <x:c r="B114" t="n">
        <x:f>IF(B$1="","",IFERROR(INDEX('包络曲线数据'!$B$2:$U$742,ROW()-1,MATCH(B$1,'包络曲线数据'!$B$1:$U$1,0)),""))</x:f>
        <x:v>73.12773400735607</x:v>
      </x:c>
      <x:c r="C114" t="n">
        <x:f>IF(C$1="","",IFERROR(INDEX('包络曲线数据'!$B$2:$U$742,ROW()-1,MATCH(C$1,'包络曲线数据'!$B$1:$U$1,0)),""))</x:f>
        <x:v>68.29821036174351</x:v>
      </x:c>
      <x:c r="D114" t="str">
        <x:f>IF(D$1="","",IFERROR(INDEX('包络曲线数据'!$B$2:$U$742,ROW()-1,MATCH(D$1,'包络曲线数据'!$B$1:$U$1,0)),""))</x:f>
      </x:c>
      <x:c r="E114" t="str">
        <x:f>IF(E$1="","",IFERROR(INDEX('包络曲线数据'!$B$2:$U$742,ROW()-1,MATCH(E$1,'包络曲线数据'!$B$1:$U$1,0)),""))</x:f>
      </x:c>
      <x:c r="F114" t="str">
        <x:f>IF(F$1="","",IFERROR(INDEX('包络曲线数据'!$B$2:$U$742,ROW()-1,MATCH(F$1,'包络曲线数据'!$B$1:$U$1,0)),""))</x:f>
      </x:c>
      <x:c r="G114" t="str">
        <x:f>IF(G$1="","",IFERROR(INDEX('包络曲线数据'!$B$2:$U$742,ROW()-1,MATCH(G$1,'包络曲线数据'!$B$1:$U$1,0)),""))</x:f>
      </x:c>
    </x:row>
    <x:row r="115">
      <x:c r="A115" t="n">
        <x:v>11.3</x:v>
      </x:c>
      <x:c r="B115" t="n">
        <x:f>IF(B$1="","",IFERROR(INDEX('包络曲线数据'!$B$2:$U$742,ROW()-1,MATCH(B$1,'包络曲线数据'!$B$1:$U$1,0)),""))</x:f>
        <x:v>62.62430151239472</x:v>
      </x:c>
      <x:c r="C115" t="n">
        <x:f>IF(C$1="","",IFERROR(INDEX('包络曲线数据'!$B$2:$U$742,ROW()-1,MATCH(C$1,'包络曲线数据'!$B$1:$U$1,0)),""))</x:f>
        <x:v>69.49955242553337</x:v>
      </x:c>
      <x:c r="D115" t="str">
        <x:f>IF(D$1="","",IFERROR(INDEX('包络曲线数据'!$B$2:$U$742,ROW()-1,MATCH(D$1,'包络曲线数据'!$B$1:$U$1,0)),""))</x:f>
      </x:c>
      <x:c r="E115" t="str">
        <x:f>IF(E$1="","",IFERROR(INDEX('包络曲线数据'!$B$2:$U$742,ROW()-1,MATCH(E$1,'包络曲线数据'!$B$1:$U$1,0)),""))</x:f>
      </x:c>
      <x:c r="F115" t="str">
        <x:f>IF(F$1="","",IFERROR(INDEX('包络曲线数据'!$B$2:$U$742,ROW()-1,MATCH(F$1,'包络曲线数据'!$B$1:$U$1,0)),""))</x:f>
      </x:c>
      <x:c r="G115" t="str">
        <x:f>IF(G$1="","",IFERROR(INDEX('包络曲线数据'!$B$2:$U$742,ROW()-1,MATCH(G$1,'包络曲线数据'!$B$1:$U$1,0)),""))</x:f>
      </x:c>
    </x:row>
    <x:row r="116">
      <x:c r="A116" t="n">
        <x:v>11.4</x:v>
      </x:c>
      <x:c r="B116" t="n">
        <x:f>IF(B$1="","",IFERROR(INDEX('包络曲线数据'!$B$2:$U$742,ROW()-1,MATCH(B$1,'包络曲线数据'!$B$1:$U$1,0)),""))</x:f>
        <x:v>50</x:v>
      </x:c>
      <x:c r="C116" t="n">
        <x:f>IF(C$1="","",IFERROR(INDEX('包络曲线数据'!$B$2:$U$742,ROW()-1,MATCH(C$1,'包络曲线数据'!$B$1:$U$1,0)),""))</x:f>
        <x:v>74.01078251566724</x:v>
      </x:c>
      <x:c r="D116" t="str">
        <x:f>IF(D$1="","",IFERROR(INDEX('包络曲线数据'!$B$2:$U$742,ROW()-1,MATCH(D$1,'包络曲线数据'!$B$1:$U$1,0)),""))</x:f>
      </x:c>
      <x:c r="E116" t="str">
        <x:f>IF(E$1="","",IFERROR(INDEX('包络曲线数据'!$B$2:$U$742,ROW()-1,MATCH(E$1,'包络曲线数据'!$B$1:$U$1,0)),""))</x:f>
      </x:c>
      <x:c r="F116" t="str">
        <x:f>IF(F$1="","",IFERROR(INDEX('包络曲线数据'!$B$2:$U$742,ROW()-1,MATCH(F$1,'包络曲线数据'!$B$1:$U$1,0)),""))</x:f>
      </x:c>
      <x:c r="G116" t="str">
        <x:f>IF(G$1="","",IFERROR(INDEX('包络曲线数据'!$B$2:$U$742,ROW()-1,MATCH(G$1,'包络曲线数据'!$B$1:$U$1,0)),""))</x:f>
      </x:c>
    </x:row>
    <x:row r="117">
      <x:c r="A117" t="n">
        <x:v>11.5</x:v>
      </x:c>
      <x:c r="B117" t="n">
        <x:f>IF(B$1="","",IFERROR(INDEX('包络曲线数据'!$B$2:$U$742,ROW()-1,MATCH(B$1,'包络曲线数据'!$B$1:$U$1,0)),""))</x:f>
        <x:v>50</x:v>
      </x:c>
      <x:c r="C117" t="n">
        <x:f>IF(C$1="","",IFERROR(INDEX('包络曲线数据'!$B$2:$U$742,ROW()-1,MATCH(C$1,'包络曲线数据'!$B$1:$U$1,0)),""))</x:f>
        <x:v>74.01078251566724</x:v>
      </x:c>
      <x:c r="D117" t="str">
        <x:f>IF(D$1="","",IFERROR(INDEX('包络曲线数据'!$B$2:$U$742,ROW()-1,MATCH(D$1,'包络曲线数据'!$B$1:$U$1,0)),""))</x:f>
      </x:c>
      <x:c r="E117" t="str">
        <x:f>IF(E$1="","",IFERROR(INDEX('包络曲线数据'!$B$2:$U$742,ROW()-1,MATCH(E$1,'包络曲线数据'!$B$1:$U$1,0)),""))</x:f>
      </x:c>
      <x:c r="F117" t="str">
        <x:f>IF(F$1="","",IFERROR(INDEX('包络曲线数据'!$B$2:$U$742,ROW()-1,MATCH(F$1,'包络曲线数据'!$B$1:$U$1,0)),""))</x:f>
      </x:c>
      <x:c r="G117" t="str">
        <x:f>IF(G$1="","",IFERROR(INDEX('包络曲线数据'!$B$2:$U$742,ROW()-1,MATCH(G$1,'包络曲线数据'!$B$1:$U$1,0)),""))</x:f>
      </x:c>
    </x:row>
    <x:row r="118">
      <x:c r="A118" t="n">
        <x:v>11.600000000000001</x:v>
      </x:c>
      <x:c r="B118" t="n">
        <x:f>IF(B$1="","",IFERROR(INDEX('包络曲线数据'!$B$2:$U$742,ROW()-1,MATCH(B$1,'包络曲线数据'!$B$1:$U$1,0)),""))</x:f>
        <x:v>50.00000000000024</x:v>
      </x:c>
      <x:c r="C118" t="n">
        <x:f>IF(C$1="","",IFERROR(INDEX('包络曲线数据'!$B$2:$U$742,ROW()-1,MATCH(C$1,'包络曲线数据'!$B$1:$U$1,0)),""))</x:f>
        <x:v>76.05962092770292</x:v>
      </x:c>
      <x:c r="D118" t="str">
        <x:f>IF(D$1="","",IFERROR(INDEX('包络曲线数据'!$B$2:$U$742,ROW()-1,MATCH(D$1,'包络曲线数据'!$B$1:$U$1,0)),""))</x:f>
      </x:c>
      <x:c r="E118" t="str">
        <x:f>IF(E$1="","",IFERROR(INDEX('包络曲线数据'!$B$2:$U$742,ROW()-1,MATCH(E$1,'包络曲线数据'!$B$1:$U$1,0)),""))</x:f>
      </x:c>
      <x:c r="F118" t="str">
        <x:f>IF(F$1="","",IFERROR(INDEX('包络曲线数据'!$B$2:$U$742,ROW()-1,MATCH(F$1,'包络曲线数据'!$B$1:$U$1,0)),""))</x:f>
      </x:c>
      <x:c r="G118" t="str">
        <x:f>IF(G$1="","",IFERROR(INDEX('包络曲线数据'!$B$2:$U$742,ROW()-1,MATCH(G$1,'包络曲线数据'!$B$1:$U$1,0)),""))</x:f>
      </x:c>
    </x:row>
    <x:row r="119">
      <x:c r="A119" t="n">
        <x:v>11.700000000000001</x:v>
      </x:c>
      <x:c r="B119" t="n">
        <x:f>IF(B$1="","",IFERROR(INDEX('包络曲线数据'!$B$2:$U$742,ROW()-1,MATCH(B$1,'包络曲线数据'!$B$1:$U$1,0)),""))</x:f>
        <x:v>63.76316787008623</x:v>
      </x:c>
      <x:c r="C119" t="n">
        <x:f>IF(C$1="","",IFERROR(INDEX('包络曲线数据'!$B$2:$U$742,ROW()-1,MATCH(C$1,'包络曲线数据'!$B$1:$U$1,0)),""))</x:f>
        <x:v>76.05962092770292</x:v>
      </x:c>
      <x:c r="D119" t="str">
        <x:f>IF(D$1="","",IFERROR(INDEX('包络曲线数据'!$B$2:$U$742,ROW()-1,MATCH(D$1,'包络曲线数据'!$B$1:$U$1,0)),""))</x:f>
      </x:c>
      <x:c r="E119" t="str">
        <x:f>IF(E$1="","",IFERROR(INDEX('包络曲线数据'!$B$2:$U$742,ROW()-1,MATCH(E$1,'包络曲线数据'!$B$1:$U$1,0)),""))</x:f>
      </x:c>
      <x:c r="F119" t="str">
        <x:f>IF(F$1="","",IFERROR(INDEX('包络曲线数据'!$B$2:$U$742,ROW()-1,MATCH(F$1,'包络曲线数据'!$B$1:$U$1,0)),""))</x:f>
      </x:c>
      <x:c r="G119" t="str">
        <x:f>IF(G$1="","",IFERROR(INDEX('包络曲线数据'!$B$2:$U$742,ROW()-1,MATCH(G$1,'包络曲线数据'!$B$1:$U$1,0)),""))</x:f>
      </x:c>
    </x:row>
    <x:row r="120">
      <x:c r="A120" t="n">
        <x:v>11.8</x:v>
      </x:c>
      <x:c r="B120" t="n">
        <x:f>IF(B$1="","",IFERROR(INDEX('包络曲线数据'!$B$2:$U$742,ROW()-1,MATCH(B$1,'包络曲线数据'!$B$1:$U$1,0)),""))</x:f>
        <x:v>63.76316787008623</x:v>
      </x:c>
      <x:c r="C120" t="n">
        <x:f>IF(C$1="","",IFERROR(INDEX('包络曲线数据'!$B$2:$U$742,ROW()-1,MATCH(C$1,'包络曲线数据'!$B$1:$U$1,0)),""))</x:f>
        <x:v>73.52970877648085</x:v>
      </x:c>
      <x:c r="D120" t="str">
        <x:f>IF(D$1="","",IFERROR(INDEX('包络曲线数据'!$B$2:$U$742,ROW()-1,MATCH(D$1,'包络曲线数据'!$B$1:$U$1,0)),""))</x:f>
      </x:c>
      <x:c r="E120" t="str">
        <x:f>IF(E$1="","",IFERROR(INDEX('包络曲线数据'!$B$2:$U$742,ROW()-1,MATCH(E$1,'包络曲线数据'!$B$1:$U$1,0)),""))</x:f>
      </x:c>
      <x:c r="F120" t="str">
        <x:f>IF(F$1="","",IFERROR(INDEX('包络曲线数据'!$B$2:$U$742,ROW()-1,MATCH(F$1,'包络曲线数据'!$B$1:$U$1,0)),""))</x:f>
      </x:c>
      <x:c r="G120" t="str">
        <x:f>IF(G$1="","",IFERROR(INDEX('包络曲线数据'!$B$2:$U$742,ROW()-1,MATCH(G$1,'包络曲线数据'!$B$1:$U$1,0)),""))</x:f>
      </x:c>
    </x:row>
    <x:row r="121">
      <x:c r="A121" t="n">
        <x:v>11.9</x:v>
      </x:c>
      <x:c r="B121" t="n">
        <x:f>IF(B$1="","",IFERROR(INDEX('包络曲线数据'!$B$2:$U$742,ROW()-1,MATCH(B$1,'包络曲线数据'!$B$1:$U$1,0)),""))</x:f>
        <x:v>69.99505887249487</x:v>
      </x:c>
      <x:c r="C121" t="n">
        <x:f>IF(C$1="","",IFERROR(INDEX('包络曲线数据'!$B$2:$U$742,ROW()-1,MATCH(C$1,'包络曲线数据'!$B$1:$U$1,0)),""))</x:f>
        <x:v>74.46698732061174</x:v>
      </x:c>
      <x:c r="D121" t="str">
        <x:f>IF(D$1="","",IFERROR(INDEX('包络曲线数据'!$B$2:$U$742,ROW()-1,MATCH(D$1,'包络曲线数据'!$B$1:$U$1,0)),""))</x:f>
      </x:c>
      <x:c r="E121" t="str">
        <x:f>IF(E$1="","",IFERROR(INDEX('包络曲线数据'!$B$2:$U$742,ROW()-1,MATCH(E$1,'包络曲线数据'!$B$1:$U$1,0)),""))</x:f>
      </x:c>
      <x:c r="F121" t="str">
        <x:f>IF(F$1="","",IFERROR(INDEX('包络曲线数据'!$B$2:$U$742,ROW()-1,MATCH(F$1,'包络曲线数据'!$B$1:$U$1,0)),""))</x:f>
      </x:c>
      <x:c r="G121" t="str">
        <x:f>IF(G$1="","",IFERROR(INDEX('包络曲线数据'!$B$2:$U$742,ROW()-1,MATCH(G$1,'包络曲线数据'!$B$1:$U$1,0)),""))</x:f>
      </x:c>
    </x:row>
    <x:row r="122">
      <x:c r="A122" t="n">
        <x:v>12</x:v>
      </x:c>
      <x:c r="B122" t="n">
        <x:f>IF(B$1="","",IFERROR(INDEX('包络曲线数据'!$B$2:$U$742,ROW()-1,MATCH(B$1,'包络曲线数据'!$B$1:$U$1,0)),""))</x:f>
        <x:v>69.99505887249487</x:v>
      </x:c>
      <x:c r="C122" t="n">
        <x:f>IF(C$1="","",IFERROR(INDEX('包络曲线数据'!$B$2:$U$742,ROW()-1,MATCH(C$1,'包络曲线数据'!$B$1:$U$1,0)),""))</x:f>
        <x:v>75.43202073400377</x:v>
      </x:c>
      <x:c r="D122" t="str">
        <x:f>IF(D$1="","",IFERROR(INDEX('包络曲线数据'!$B$2:$U$742,ROW()-1,MATCH(D$1,'包络曲线数据'!$B$1:$U$1,0)),""))</x:f>
      </x:c>
      <x:c r="E122" t="str">
        <x:f>IF(E$1="","",IFERROR(INDEX('包络曲线数据'!$B$2:$U$742,ROW()-1,MATCH(E$1,'包络曲线数据'!$B$1:$U$1,0)),""))</x:f>
      </x:c>
      <x:c r="F122" t="str">
        <x:f>IF(F$1="","",IFERROR(INDEX('包络曲线数据'!$B$2:$U$742,ROW()-1,MATCH(F$1,'包络曲线数据'!$B$1:$U$1,0)),""))</x:f>
      </x:c>
      <x:c r="G122" t="str">
        <x:f>IF(G$1="","",IFERROR(INDEX('包络曲线数据'!$B$2:$U$742,ROW()-1,MATCH(G$1,'包络曲线数据'!$B$1:$U$1,0)),""))</x:f>
      </x:c>
    </x:row>
    <x:row r="123">
      <x:c r="A123" t="n">
        <x:v>12.100000000000001</x:v>
      </x:c>
      <x:c r="B123" t="n">
        <x:f>IF(B$1="","",IFERROR(INDEX('包络曲线数据'!$B$2:$U$742,ROW()-1,MATCH(B$1,'包络曲线数据'!$B$1:$U$1,0)),""))</x:f>
        <x:v>68.37802118040807</x:v>
      </x:c>
      <x:c r="C123" t="n">
        <x:f>IF(C$1="","",IFERROR(INDEX('包络曲线数据'!$B$2:$U$742,ROW()-1,MATCH(C$1,'包络曲线数据'!$B$1:$U$1,0)),""))</x:f>
        <x:v>75.32649409891337</x:v>
      </x:c>
      <x:c r="D123" t="str">
        <x:f>IF(D$1="","",IFERROR(INDEX('包络曲线数据'!$B$2:$U$742,ROW()-1,MATCH(D$1,'包络曲线数据'!$B$1:$U$1,0)),""))</x:f>
      </x:c>
      <x:c r="E123" t="str">
        <x:f>IF(E$1="","",IFERROR(INDEX('包络曲线数据'!$B$2:$U$742,ROW()-1,MATCH(E$1,'包络曲线数据'!$B$1:$U$1,0)),""))</x:f>
      </x:c>
      <x:c r="F123" t="str">
        <x:f>IF(F$1="","",IFERROR(INDEX('包络曲线数据'!$B$2:$U$742,ROW()-1,MATCH(F$1,'包络曲线数据'!$B$1:$U$1,0)),""))</x:f>
      </x:c>
      <x:c r="G123" t="str">
        <x:f>IF(G$1="","",IFERROR(INDEX('包络曲线数据'!$B$2:$U$742,ROW()-1,MATCH(G$1,'包络曲线数据'!$B$1:$U$1,0)),""))</x:f>
      </x:c>
    </x:row>
    <x:row r="124">
      <x:c r="A124" t="n">
        <x:v>12.200000000000001</x:v>
      </x:c>
      <x:c r="B124" t="n">
        <x:f>IF(B$1="","",IFERROR(INDEX('包络曲线数据'!$B$2:$U$742,ROW()-1,MATCH(B$1,'包络曲线数据'!$B$1:$U$1,0)),""))</x:f>
        <x:v>56.90165819219424</x:v>
      </x:c>
      <x:c r="C124" t="n">
        <x:f>IF(C$1="","",IFERROR(INDEX('包络曲线数据'!$B$2:$U$742,ROW()-1,MATCH(C$1,'包络曲线数据'!$B$1:$U$1,0)),""))</x:f>
        <x:v>75.1363241701546</x:v>
      </x:c>
      <x:c r="D124" t="str">
        <x:f>IF(D$1="","",IFERROR(INDEX('包络曲线数据'!$B$2:$U$742,ROW()-1,MATCH(D$1,'包络曲线数据'!$B$1:$U$1,0)),""))</x:f>
      </x:c>
      <x:c r="E124" t="str">
        <x:f>IF(E$1="","",IFERROR(INDEX('包络曲线数据'!$B$2:$U$742,ROW()-1,MATCH(E$1,'包络曲线数据'!$B$1:$U$1,0)),""))</x:f>
      </x:c>
      <x:c r="F124" t="str">
        <x:f>IF(F$1="","",IFERROR(INDEX('包络曲线数据'!$B$2:$U$742,ROW()-1,MATCH(F$1,'包络曲线数据'!$B$1:$U$1,0)),""))</x:f>
      </x:c>
      <x:c r="G124" t="str">
        <x:f>IF(G$1="","",IFERROR(INDEX('包络曲线数据'!$B$2:$U$742,ROW()-1,MATCH(G$1,'包络曲线数据'!$B$1:$U$1,0)),""))</x:f>
      </x:c>
    </x:row>
    <x:row r="125">
      <x:c r="A125" t="n">
        <x:v>12.3</x:v>
      </x:c>
      <x:c r="B125" t="n">
        <x:f>IF(B$1="","",IFERROR(INDEX('包络曲线数据'!$B$2:$U$742,ROW()-1,MATCH(B$1,'包络曲线数据'!$B$1:$U$1,0)),""))</x:f>
        <x:v>59.58275296368359</x:v>
      </x:c>
      <x:c r="C125" t="n">
        <x:f>IF(C$1="","",IFERROR(INDEX('包络曲线数据'!$B$2:$U$742,ROW()-1,MATCH(C$1,'包络曲线数据'!$B$1:$U$1,0)),""))</x:f>
        <x:v>73.95355460839188</x:v>
      </x:c>
      <x:c r="D125" t="str">
        <x:f>IF(D$1="","",IFERROR(INDEX('包络曲线数据'!$B$2:$U$742,ROW()-1,MATCH(D$1,'包络曲线数据'!$B$1:$U$1,0)),""))</x:f>
      </x:c>
      <x:c r="E125" t="str">
        <x:f>IF(E$1="","",IFERROR(INDEX('包络曲线数据'!$B$2:$U$742,ROW()-1,MATCH(E$1,'包络曲线数据'!$B$1:$U$1,0)),""))</x:f>
      </x:c>
      <x:c r="F125" t="str">
        <x:f>IF(F$1="","",IFERROR(INDEX('包络曲线数据'!$B$2:$U$742,ROW()-1,MATCH(F$1,'包络曲线数据'!$B$1:$U$1,0)),""))</x:f>
      </x:c>
      <x:c r="G125" t="str">
        <x:f>IF(G$1="","",IFERROR(INDEX('包络曲线数据'!$B$2:$U$742,ROW()-1,MATCH(G$1,'包络曲线数据'!$B$1:$U$1,0)),""))</x:f>
      </x:c>
    </x:row>
    <x:row r="126">
      <x:c r="A126" t="n">
        <x:v>12.4</x:v>
      </x:c>
      <x:c r="B126" t="n">
        <x:f>IF(B$1="","",IFERROR(INDEX('包络曲线数据'!$B$2:$U$742,ROW()-1,MATCH(B$1,'包络曲线数据'!$B$1:$U$1,0)),""))</x:f>
        <x:v>62.81765354478631</x:v>
      </x:c>
      <x:c r="C126" t="n">
        <x:f>IF(C$1="","",IFERROR(INDEX('包络曲线数据'!$B$2:$U$742,ROW()-1,MATCH(C$1,'包络曲线数据'!$B$1:$U$1,0)),""))</x:f>
        <x:v>84.55558781082743</x:v>
      </x:c>
      <x:c r="D126" t="str">
        <x:f>IF(D$1="","",IFERROR(INDEX('包络曲线数据'!$B$2:$U$742,ROW()-1,MATCH(D$1,'包络曲线数据'!$B$1:$U$1,0)),""))</x:f>
      </x:c>
      <x:c r="E126" t="str">
        <x:f>IF(E$1="","",IFERROR(INDEX('包络曲线数据'!$B$2:$U$742,ROW()-1,MATCH(E$1,'包络曲线数据'!$B$1:$U$1,0)),""))</x:f>
      </x:c>
      <x:c r="F126" t="str">
        <x:f>IF(F$1="","",IFERROR(INDEX('包络曲线数据'!$B$2:$U$742,ROW()-1,MATCH(F$1,'包络曲线数据'!$B$1:$U$1,0)),""))</x:f>
      </x:c>
      <x:c r="G126" t="str">
        <x:f>IF(G$1="","",IFERROR(INDEX('包络曲线数据'!$B$2:$U$742,ROW()-1,MATCH(G$1,'包络曲线数据'!$B$1:$U$1,0)),""))</x:f>
      </x:c>
    </x:row>
    <x:row r="127">
      <x:c r="A127" t="n">
        <x:v>12.5</x:v>
      </x:c>
      <x:c r="B127" t="n">
        <x:f>IF(B$1="","",IFERROR(INDEX('包络曲线数据'!$B$2:$U$742,ROW()-1,MATCH(B$1,'包络曲线数据'!$B$1:$U$1,0)),""))</x:f>
        <x:v>62.99501618220373</x:v>
      </x:c>
      <x:c r="C127" t="n">
        <x:f>IF(C$1="","",IFERROR(INDEX('包络曲线数据'!$B$2:$U$742,ROW()-1,MATCH(C$1,'包络曲线数据'!$B$1:$U$1,0)),""))</x:f>
        <x:v>86.05603872578219</x:v>
      </x:c>
      <x:c r="D127" t="str">
        <x:f>IF(D$1="","",IFERROR(INDEX('包络曲线数据'!$B$2:$U$742,ROW()-1,MATCH(D$1,'包络曲线数据'!$B$1:$U$1,0)),""))</x:f>
      </x:c>
      <x:c r="E127" t="str">
        <x:f>IF(E$1="","",IFERROR(INDEX('包络曲线数据'!$B$2:$U$742,ROW()-1,MATCH(E$1,'包络曲线数据'!$B$1:$U$1,0)),""))</x:f>
      </x:c>
      <x:c r="F127" t="str">
        <x:f>IF(F$1="","",IFERROR(INDEX('包络曲线数据'!$B$2:$U$742,ROW()-1,MATCH(F$1,'包络曲线数据'!$B$1:$U$1,0)),""))</x:f>
      </x:c>
      <x:c r="G127" t="str">
        <x:f>IF(G$1="","",IFERROR(INDEX('包络曲线数据'!$B$2:$U$742,ROW()-1,MATCH(G$1,'包络曲线数据'!$B$1:$U$1,0)),""))</x:f>
      </x:c>
    </x:row>
    <x:row r="128">
      <x:c r="A128" t="n">
        <x:v>12.600000000000001</x:v>
      </x:c>
      <x:c r="B128" t="n">
        <x:f>IF(B$1="","",IFERROR(INDEX('包络曲线数据'!$B$2:$U$742,ROW()-1,MATCH(B$1,'包络曲线数据'!$B$1:$U$1,0)),""))</x:f>
        <x:v>62.98348000818636</x:v>
      </x:c>
      <x:c r="C128" t="n">
        <x:f>IF(C$1="","",IFERROR(INDEX('包络曲线数据'!$B$2:$U$742,ROW()-1,MATCH(C$1,'包络曲线数据'!$B$1:$U$1,0)),""))</x:f>
        <x:v>86.05603872578205</x:v>
      </x:c>
      <x:c r="D128" t="str">
        <x:f>IF(D$1="","",IFERROR(INDEX('包络曲线数据'!$B$2:$U$742,ROW()-1,MATCH(D$1,'包络曲线数据'!$B$1:$U$1,0)),""))</x:f>
      </x:c>
      <x:c r="E128" t="str">
        <x:f>IF(E$1="","",IFERROR(INDEX('包络曲线数据'!$B$2:$U$742,ROW()-1,MATCH(E$1,'包络曲线数据'!$B$1:$U$1,0)),""))</x:f>
      </x:c>
      <x:c r="F128" t="str">
        <x:f>IF(F$1="","",IFERROR(INDEX('包络曲线数据'!$B$2:$U$742,ROW()-1,MATCH(F$1,'包络曲线数据'!$B$1:$U$1,0)),""))</x:f>
      </x:c>
      <x:c r="G128" t="str">
        <x:f>IF(G$1="","",IFERROR(INDEX('包络曲线数据'!$B$2:$U$742,ROW()-1,MATCH(G$1,'包络曲线数据'!$B$1:$U$1,0)),""))</x:f>
      </x:c>
    </x:row>
    <x:row r="129">
      <x:c r="A129" t="n">
        <x:v>12.700000000000001</x:v>
      </x:c>
      <x:c r="B129" t="n">
        <x:f>IF(B$1="","",IFERROR(INDEX('包络曲线数据'!$B$2:$U$742,ROW()-1,MATCH(B$1,'包络曲线数据'!$B$1:$U$1,0)),""))</x:f>
        <x:v>62.852568845458464</x:v>
      </x:c>
      <x:c r="C129" t="n">
        <x:f>IF(C$1="","",IFERROR(INDEX('包络曲线数据'!$B$2:$U$742,ROW()-1,MATCH(C$1,'包络曲线数据'!$B$1:$U$1,0)),""))</x:f>
        <x:v>75.03749480112226</x:v>
      </x:c>
      <x:c r="D129" t="str">
        <x:f>IF(D$1="","",IFERROR(INDEX('包络曲线数据'!$B$2:$U$742,ROW()-1,MATCH(D$1,'包络曲线数据'!$B$1:$U$1,0)),""))</x:f>
      </x:c>
      <x:c r="E129" t="str">
        <x:f>IF(E$1="","",IFERROR(INDEX('包络曲线数据'!$B$2:$U$742,ROW()-1,MATCH(E$1,'包络曲线数据'!$B$1:$U$1,0)),""))</x:f>
      </x:c>
      <x:c r="F129" t="str">
        <x:f>IF(F$1="","",IFERROR(INDEX('包络曲线数据'!$B$2:$U$742,ROW()-1,MATCH(F$1,'包络曲线数据'!$B$1:$U$1,0)),""))</x:f>
      </x:c>
      <x:c r="G129" t="str">
        <x:f>IF(G$1="","",IFERROR(INDEX('包络曲线数据'!$B$2:$U$742,ROW()-1,MATCH(G$1,'包络曲线数据'!$B$1:$U$1,0)),""))</x:f>
      </x:c>
    </x:row>
    <x:row r="130">
      <x:c r="A130" t="n">
        <x:v>12.8</x:v>
      </x:c>
      <x:c r="B130" t="n">
        <x:f>IF(B$1="","",IFERROR(INDEX('包络曲线数据'!$B$2:$U$742,ROW()-1,MATCH(B$1,'包络曲线数据'!$B$1:$U$1,0)),""))</x:f>
        <x:v>64.59805244208377</x:v>
      </x:c>
      <x:c r="C130" t="n">
        <x:f>IF(C$1="","",IFERROR(INDEX('包络曲线数据'!$B$2:$U$742,ROW()-1,MATCH(C$1,'包络曲线数据'!$B$1:$U$1,0)),""))</x:f>
        <x:v>66.84451900624867</x:v>
      </x:c>
      <x:c r="D130" t="str">
        <x:f>IF(D$1="","",IFERROR(INDEX('包络曲线数据'!$B$2:$U$742,ROW()-1,MATCH(D$1,'包络曲线数据'!$B$1:$U$1,0)),""))</x:f>
      </x:c>
      <x:c r="E130" t="str">
        <x:f>IF(E$1="","",IFERROR(INDEX('包络曲线数据'!$B$2:$U$742,ROW()-1,MATCH(E$1,'包络曲线数据'!$B$1:$U$1,0)),""))</x:f>
      </x:c>
      <x:c r="F130" t="str">
        <x:f>IF(F$1="","",IFERROR(INDEX('包络曲线数据'!$B$2:$U$742,ROW()-1,MATCH(F$1,'包络曲线数据'!$B$1:$U$1,0)),""))</x:f>
      </x:c>
      <x:c r="G130" t="str">
        <x:f>IF(G$1="","",IFERROR(INDEX('包络曲线数据'!$B$2:$U$742,ROW()-1,MATCH(G$1,'包络曲线数据'!$B$1:$U$1,0)),""))</x:f>
      </x:c>
    </x:row>
    <x:row r="131">
      <x:c r="A131" t="n">
        <x:v>12.9</x:v>
      </x:c>
      <x:c r="B131" t="n">
        <x:f>IF(B$1="","",IFERROR(INDEX('包络曲线数据'!$B$2:$U$742,ROW()-1,MATCH(B$1,'包络曲线数据'!$B$1:$U$1,0)),""))</x:f>
        <x:v>64.59805244208377</x:v>
      </x:c>
      <x:c r="C131" t="n">
        <x:f>IF(C$1="","",IFERROR(INDEX('包络曲线数据'!$B$2:$U$742,ROW()-1,MATCH(C$1,'包络曲线数据'!$B$1:$U$1,0)),""))</x:f>
        <x:v>50</x:v>
      </x:c>
      <x:c r="D131" t="str">
        <x:f>IF(D$1="","",IFERROR(INDEX('包络曲线数据'!$B$2:$U$742,ROW()-1,MATCH(D$1,'包络曲线数据'!$B$1:$U$1,0)),""))</x:f>
      </x:c>
      <x:c r="E131" t="str">
        <x:f>IF(E$1="","",IFERROR(INDEX('包络曲线数据'!$B$2:$U$742,ROW()-1,MATCH(E$1,'包络曲线数据'!$B$1:$U$1,0)),""))</x:f>
      </x:c>
      <x:c r="F131" t="str">
        <x:f>IF(F$1="","",IFERROR(INDEX('包络曲线数据'!$B$2:$U$742,ROW()-1,MATCH(F$1,'包络曲线数据'!$B$1:$U$1,0)),""))</x:f>
      </x:c>
      <x:c r="G131" t="str">
        <x:f>IF(G$1="","",IFERROR(INDEX('包络曲线数据'!$B$2:$U$742,ROW()-1,MATCH(G$1,'包络曲线数据'!$B$1:$U$1,0)),""))</x:f>
      </x:c>
    </x:row>
    <x:row r="132">
      <x:c r="A132" t="n">
        <x:v>13</x:v>
      </x:c>
      <x:c r="B132" t="n">
        <x:f>IF(B$1="","",IFERROR(INDEX('包络曲线数据'!$B$2:$U$742,ROW()-1,MATCH(B$1,'包络曲线数据'!$B$1:$U$1,0)),""))</x:f>
        <x:v>66.28954692730889</x:v>
      </x:c>
      <x:c r="C132" t="n">
        <x:f>IF(C$1="","",IFERROR(INDEX('包络曲线数据'!$B$2:$U$742,ROW()-1,MATCH(C$1,'包络曲线数据'!$B$1:$U$1,0)),""))</x:f>
        <x:v>56.45197154018707</x:v>
      </x:c>
      <x:c r="D132" t="str">
        <x:f>IF(D$1="","",IFERROR(INDEX('包络曲线数据'!$B$2:$U$742,ROW()-1,MATCH(D$1,'包络曲线数据'!$B$1:$U$1,0)),""))</x:f>
      </x:c>
      <x:c r="E132" t="str">
        <x:f>IF(E$1="","",IFERROR(INDEX('包络曲线数据'!$B$2:$U$742,ROW()-1,MATCH(E$1,'包络曲线数据'!$B$1:$U$1,0)),""))</x:f>
      </x:c>
      <x:c r="F132" t="str">
        <x:f>IF(F$1="","",IFERROR(INDEX('包络曲线数据'!$B$2:$U$742,ROW()-1,MATCH(F$1,'包络曲线数据'!$B$1:$U$1,0)),""))</x:f>
      </x:c>
      <x:c r="G132" t="str">
        <x:f>IF(G$1="","",IFERROR(INDEX('包络曲线数据'!$B$2:$U$742,ROW()-1,MATCH(G$1,'包络曲线数据'!$B$1:$U$1,0)),""))</x:f>
      </x:c>
    </x:row>
    <x:row r="133">
      <x:c r="A133" t="n">
        <x:v>13.100000000000001</x:v>
      </x:c>
      <x:c r="B133" t="n">
        <x:f>IF(B$1="","",IFERROR(INDEX('包络曲线数据'!$B$2:$U$742,ROW()-1,MATCH(B$1,'包络曲线数据'!$B$1:$U$1,0)),""))</x:f>
        <x:v>78.72099300760196</x:v>
      </x:c>
      <x:c r="C133" t="n">
        <x:f>IF(C$1="","",IFERROR(INDEX('包络曲线数据'!$B$2:$U$742,ROW()-1,MATCH(C$1,'包络曲线数据'!$B$1:$U$1,0)),""))</x:f>
        <x:v>67.20525744049871</x:v>
      </x:c>
      <x:c r="D133" t="str">
        <x:f>IF(D$1="","",IFERROR(INDEX('包络曲线数据'!$B$2:$U$742,ROW()-1,MATCH(D$1,'包络曲线数据'!$B$1:$U$1,0)),""))</x:f>
      </x:c>
      <x:c r="E133" t="str">
        <x:f>IF(E$1="","",IFERROR(INDEX('包络曲线数据'!$B$2:$U$742,ROW()-1,MATCH(E$1,'包络曲线数据'!$B$1:$U$1,0)),""))</x:f>
      </x:c>
      <x:c r="F133" t="str">
        <x:f>IF(F$1="","",IFERROR(INDEX('包络曲线数据'!$B$2:$U$742,ROW()-1,MATCH(F$1,'包络曲线数据'!$B$1:$U$1,0)),""))</x:f>
      </x:c>
      <x:c r="G133" t="str">
        <x:f>IF(G$1="","",IFERROR(INDEX('包络曲线数据'!$B$2:$U$742,ROW()-1,MATCH(G$1,'包络曲线数据'!$B$1:$U$1,0)),""))</x:f>
      </x:c>
    </x:row>
    <x:row r="134">
      <x:c r="A134" t="n">
        <x:v>13.200000000000001</x:v>
      </x:c>
      <x:c r="B134" t="n">
        <x:f>IF(B$1="","",IFERROR(INDEX('包络曲线数据'!$B$2:$U$742,ROW()-1,MATCH(B$1,'包络曲线数据'!$B$1:$U$1,0)),""))</x:f>
        <x:v>80.7248375519932</x:v>
      </x:c>
      <x:c r="C134" t="n">
        <x:f>IF(C$1="","",IFERROR(INDEX('包络曲线数据'!$B$2:$U$742,ROW()-1,MATCH(C$1,'包络曲线数据'!$B$1:$U$1,0)),""))</x:f>
        <x:v>67.20525744049871</x:v>
      </x:c>
      <x:c r="D134" t="str">
        <x:f>IF(D$1="","",IFERROR(INDEX('包络曲线数据'!$B$2:$U$742,ROW()-1,MATCH(D$1,'包络曲线数据'!$B$1:$U$1,0)),""))</x:f>
      </x:c>
      <x:c r="E134" t="str">
        <x:f>IF(E$1="","",IFERROR(INDEX('包络曲线数据'!$B$2:$U$742,ROW()-1,MATCH(E$1,'包络曲线数据'!$B$1:$U$1,0)),""))</x:f>
      </x:c>
      <x:c r="F134" t="str">
        <x:f>IF(F$1="","",IFERROR(INDEX('包络曲线数据'!$B$2:$U$742,ROW()-1,MATCH(F$1,'包络曲线数据'!$B$1:$U$1,0)),""))</x:f>
      </x:c>
      <x:c r="G134" t="str">
        <x:f>IF(G$1="","",IFERROR(INDEX('包络曲线数据'!$B$2:$U$742,ROW()-1,MATCH(G$1,'包络曲线数据'!$B$1:$U$1,0)),""))</x:f>
      </x:c>
    </x:row>
    <x:row r="135">
      <x:c r="A135" t="n">
        <x:v>13.3</x:v>
      </x:c>
      <x:c r="B135" t="n">
        <x:f>IF(B$1="","",IFERROR(INDEX('包络曲线数据'!$B$2:$U$742,ROW()-1,MATCH(B$1,'包络曲线数据'!$B$1:$U$1,0)),""))</x:f>
        <x:v>80.7248375519932</x:v>
      </x:c>
      <x:c r="C135" t="n">
        <x:f>IF(C$1="","",IFERROR(INDEX('包络曲线数据'!$B$2:$U$742,ROW()-1,MATCH(C$1,'包络曲线数据'!$B$1:$U$1,0)),""))</x:f>
        <x:v>77.17254592084613</x:v>
      </x:c>
      <x:c r="D135" t="str">
        <x:f>IF(D$1="","",IFERROR(INDEX('包络曲线数据'!$B$2:$U$742,ROW()-1,MATCH(D$1,'包络曲线数据'!$B$1:$U$1,0)),""))</x:f>
      </x:c>
      <x:c r="E135" t="str">
        <x:f>IF(E$1="","",IFERROR(INDEX('包络曲线数据'!$B$2:$U$742,ROW()-1,MATCH(E$1,'包络曲线数据'!$B$1:$U$1,0)),""))</x:f>
      </x:c>
      <x:c r="F135" t="str">
        <x:f>IF(F$1="","",IFERROR(INDEX('包络曲线数据'!$B$2:$U$742,ROW()-1,MATCH(F$1,'包络曲线数据'!$B$1:$U$1,0)),""))</x:f>
      </x:c>
      <x:c r="G135" t="str">
        <x:f>IF(G$1="","",IFERROR(INDEX('包络曲线数据'!$B$2:$U$742,ROW()-1,MATCH(G$1,'包络曲线数据'!$B$1:$U$1,0)),""))</x:f>
      </x:c>
    </x:row>
    <x:row r="136">
      <x:c r="A136" t="n">
        <x:v>13.4</x:v>
      </x:c>
      <x:c r="B136" t="n">
        <x:f>IF(B$1="","",IFERROR(INDEX('包络曲线数据'!$B$2:$U$742,ROW()-1,MATCH(B$1,'包络曲线数据'!$B$1:$U$1,0)),""))</x:f>
        <x:v>72.80772174813474</x:v>
      </x:c>
      <x:c r="C136" t="n">
        <x:f>IF(C$1="","",IFERROR(INDEX('包络曲线数据'!$B$2:$U$742,ROW()-1,MATCH(C$1,'包络曲线数据'!$B$1:$U$1,0)),""))</x:f>
        <x:v>77.17254592084613</x:v>
      </x:c>
      <x:c r="D136" t="str">
        <x:f>IF(D$1="","",IFERROR(INDEX('包络曲线数据'!$B$2:$U$742,ROW()-1,MATCH(D$1,'包络曲线数据'!$B$1:$U$1,0)),""))</x:f>
      </x:c>
      <x:c r="E136" t="str">
        <x:f>IF(E$1="","",IFERROR(INDEX('包络曲线数据'!$B$2:$U$742,ROW()-1,MATCH(E$1,'包络曲线数据'!$B$1:$U$1,0)),""))</x:f>
      </x:c>
      <x:c r="F136" t="str">
        <x:f>IF(F$1="","",IFERROR(INDEX('包络曲线数据'!$B$2:$U$742,ROW()-1,MATCH(F$1,'包络曲线数据'!$B$1:$U$1,0)),""))</x:f>
      </x:c>
      <x:c r="G136" t="str">
        <x:f>IF(G$1="","",IFERROR(INDEX('包络曲线数据'!$B$2:$U$742,ROW()-1,MATCH(G$1,'包络曲线数据'!$B$1:$U$1,0)),""))</x:f>
      </x:c>
    </x:row>
    <x:row r="137">
      <x:c r="A137" t="n">
        <x:v>13.5</x:v>
      </x:c>
      <x:c r="B137" t="n">
        <x:f>IF(B$1="","",IFERROR(INDEX('包络曲线数据'!$B$2:$U$742,ROW()-1,MATCH(B$1,'包络曲线数据'!$B$1:$U$1,0)),""))</x:f>
        <x:v>50.334775408729726</x:v>
      </x:c>
      <x:c r="C137" t="n">
        <x:f>IF(C$1="","",IFERROR(INDEX('包络曲线数据'!$B$2:$U$742,ROW()-1,MATCH(C$1,'包络曲线数据'!$B$1:$U$1,0)),""))</x:f>
        <x:v>72.78772951210979</x:v>
      </x:c>
      <x:c r="D137" t="str">
        <x:f>IF(D$1="","",IFERROR(INDEX('包络曲线数据'!$B$2:$U$742,ROW()-1,MATCH(D$1,'包络曲线数据'!$B$1:$U$1,0)),""))</x:f>
      </x:c>
      <x:c r="E137" t="str">
        <x:f>IF(E$1="","",IFERROR(INDEX('包络曲线数据'!$B$2:$U$742,ROW()-1,MATCH(E$1,'包络曲线数据'!$B$1:$U$1,0)),""))</x:f>
      </x:c>
      <x:c r="F137" t="str">
        <x:f>IF(F$1="","",IFERROR(INDEX('包络曲线数据'!$B$2:$U$742,ROW()-1,MATCH(F$1,'包络曲线数据'!$B$1:$U$1,0)),""))</x:f>
      </x:c>
      <x:c r="G137" t="str">
        <x:f>IF(G$1="","",IFERROR(INDEX('包络曲线数据'!$B$2:$U$742,ROW()-1,MATCH(G$1,'包络曲线数据'!$B$1:$U$1,0)),""))</x:f>
      </x:c>
    </x:row>
    <x:row r="138">
      <x:c r="A138" t="n">
        <x:v>13.600000000000001</x:v>
      </x:c>
      <x:c r="B138" t="n">
        <x:f>IF(B$1="","",IFERROR(INDEX('包络曲线数据'!$B$2:$U$742,ROW()-1,MATCH(B$1,'包络曲线数据'!$B$1:$U$1,0)),""))</x:f>
        <x:v>50</x:v>
      </x:c>
      <x:c r="C138" t="n">
        <x:f>IF(C$1="","",IFERROR(INDEX('包络曲线数据'!$B$2:$U$742,ROW()-1,MATCH(C$1,'包络曲线数据'!$B$1:$U$1,0)),""))</x:f>
        <x:v>65.88850107137138</x:v>
      </x:c>
      <x:c r="D138" t="str">
        <x:f>IF(D$1="","",IFERROR(INDEX('包络曲线数据'!$B$2:$U$742,ROW()-1,MATCH(D$1,'包络曲线数据'!$B$1:$U$1,0)),""))</x:f>
      </x:c>
      <x:c r="E138" t="str">
        <x:f>IF(E$1="","",IFERROR(INDEX('包络曲线数据'!$B$2:$U$742,ROW()-1,MATCH(E$1,'包络曲线数据'!$B$1:$U$1,0)),""))</x:f>
      </x:c>
      <x:c r="F138" t="str">
        <x:f>IF(F$1="","",IFERROR(INDEX('包络曲线数据'!$B$2:$U$742,ROW()-1,MATCH(F$1,'包络曲线数据'!$B$1:$U$1,0)),""))</x:f>
      </x:c>
      <x:c r="G138" t="str">
        <x:f>IF(G$1="","",IFERROR(INDEX('包络曲线数据'!$B$2:$U$742,ROW()-1,MATCH(G$1,'包络曲线数据'!$B$1:$U$1,0)),""))</x:f>
      </x:c>
    </x:row>
    <x:row r="139">
      <x:c r="A139" t="n">
        <x:v>13.700000000000001</x:v>
      </x:c>
      <x:c r="B139" t="n">
        <x:f>IF(B$1="","",IFERROR(INDEX('包络曲线数据'!$B$2:$U$742,ROW()-1,MATCH(B$1,'包络曲线数据'!$B$1:$U$1,0)),""))</x:f>
        <x:v>59.39076691707393</x:v>
      </x:c>
      <x:c r="C139" t="n">
        <x:f>IF(C$1="","",IFERROR(INDEX('包络曲线数据'!$B$2:$U$742,ROW()-1,MATCH(C$1,'包络曲线数据'!$B$1:$U$1,0)),""))</x:f>
        <x:v>71.54890641680821</x:v>
      </x:c>
      <x:c r="D139" t="str">
        <x:f>IF(D$1="","",IFERROR(INDEX('包络曲线数据'!$B$2:$U$742,ROW()-1,MATCH(D$1,'包络曲线数据'!$B$1:$U$1,0)),""))</x:f>
      </x:c>
      <x:c r="E139" t="str">
        <x:f>IF(E$1="","",IFERROR(INDEX('包络曲线数据'!$B$2:$U$742,ROW()-1,MATCH(E$1,'包络曲线数据'!$B$1:$U$1,0)),""))</x:f>
      </x:c>
      <x:c r="F139" t="str">
        <x:f>IF(F$1="","",IFERROR(INDEX('包络曲线数据'!$B$2:$U$742,ROW()-1,MATCH(F$1,'包络曲线数据'!$B$1:$U$1,0)),""))</x:f>
      </x:c>
      <x:c r="G139" t="str">
        <x:f>IF(G$1="","",IFERROR(INDEX('包络曲线数据'!$B$2:$U$742,ROW()-1,MATCH(G$1,'包络曲线数据'!$B$1:$U$1,0)),""))</x:f>
      </x:c>
    </x:row>
    <x:row r="140">
      <x:c r="A140" t="n">
        <x:v>13.8</x:v>
      </x:c>
      <x:c r="B140" t="n">
        <x:f>IF(B$1="","",IFERROR(INDEX('包络曲线数据'!$B$2:$U$742,ROW()-1,MATCH(B$1,'包络曲线数据'!$B$1:$U$1,0)),""))</x:f>
        <x:v>65.10672146971162</x:v>
      </x:c>
      <x:c r="C140" t="n">
        <x:f>IF(C$1="","",IFERROR(INDEX('包络曲线数据'!$B$2:$U$742,ROW()-1,MATCH(C$1,'包络曲线数据'!$B$1:$U$1,0)),""))</x:f>
        <x:v>72.86756322652242</x:v>
      </x:c>
      <x:c r="D140" t="str">
        <x:f>IF(D$1="","",IFERROR(INDEX('包络曲线数据'!$B$2:$U$742,ROW()-1,MATCH(D$1,'包络曲线数据'!$B$1:$U$1,0)),""))</x:f>
      </x:c>
      <x:c r="E140" t="str">
        <x:f>IF(E$1="","",IFERROR(INDEX('包络曲线数据'!$B$2:$U$742,ROW()-1,MATCH(E$1,'包络曲线数据'!$B$1:$U$1,0)),""))</x:f>
      </x:c>
      <x:c r="F140" t="str">
        <x:f>IF(F$1="","",IFERROR(INDEX('包络曲线数据'!$B$2:$U$742,ROW()-1,MATCH(F$1,'包络曲线数据'!$B$1:$U$1,0)),""))</x:f>
      </x:c>
      <x:c r="G140" t="str">
        <x:f>IF(G$1="","",IFERROR(INDEX('包络曲线数据'!$B$2:$U$742,ROW()-1,MATCH(G$1,'包络曲线数据'!$B$1:$U$1,0)),""))</x:f>
      </x:c>
    </x:row>
    <x:row r="141">
      <x:c r="A141" t="n">
        <x:v>13.9</x:v>
      </x:c>
      <x:c r="B141" t="n">
        <x:f>IF(B$1="","",IFERROR(INDEX('包络曲线数据'!$B$2:$U$742,ROW()-1,MATCH(B$1,'包络曲线数据'!$B$1:$U$1,0)),""))</x:f>
        <x:v>65.10672146971162</x:v>
      </x:c>
      <x:c r="C141" t="n">
        <x:f>IF(C$1="","",IFERROR(INDEX('包络曲线数据'!$B$2:$U$742,ROW()-1,MATCH(C$1,'包络曲线数据'!$B$1:$U$1,0)),""))</x:f>
        <x:v>73.19668752286223</x:v>
      </x:c>
      <x:c r="D141" t="str">
        <x:f>IF(D$1="","",IFERROR(INDEX('包络曲线数据'!$B$2:$U$742,ROW()-1,MATCH(D$1,'包络曲线数据'!$B$1:$U$1,0)),""))</x:f>
      </x:c>
      <x:c r="E141" t="str">
        <x:f>IF(E$1="","",IFERROR(INDEX('包络曲线数据'!$B$2:$U$742,ROW()-1,MATCH(E$1,'包络曲线数据'!$B$1:$U$1,0)),""))</x:f>
      </x:c>
      <x:c r="F141" t="str">
        <x:f>IF(F$1="","",IFERROR(INDEX('包络曲线数据'!$B$2:$U$742,ROW()-1,MATCH(F$1,'包络曲线数据'!$B$1:$U$1,0)),""))</x:f>
      </x:c>
      <x:c r="G141" t="str">
        <x:f>IF(G$1="","",IFERROR(INDEX('包络曲线数据'!$B$2:$U$742,ROW()-1,MATCH(G$1,'包络曲线数据'!$B$1:$U$1,0)),""))</x:f>
      </x:c>
    </x:row>
    <x:row r="142">
      <x:c r="A142" t="n">
        <x:v>14</x:v>
      </x:c>
      <x:c r="B142" t="n">
        <x:f>IF(B$1="","",IFERROR(INDEX('包络曲线数据'!$B$2:$U$742,ROW()-1,MATCH(B$1,'包络曲线数据'!$B$1:$U$1,0)),""))</x:f>
        <x:v>68.94591287143434</x:v>
      </x:c>
      <x:c r="C142" t="n">
        <x:f>IF(C$1="","",IFERROR(INDEX('包络曲线数据'!$B$2:$U$742,ROW()-1,MATCH(C$1,'包络曲线数据'!$B$1:$U$1,0)),""))</x:f>
        <x:v>74.00692784174164</x:v>
      </x:c>
      <x:c r="D142" t="str">
        <x:f>IF(D$1="","",IFERROR(INDEX('包络曲线数据'!$B$2:$U$742,ROW()-1,MATCH(D$1,'包络曲线数据'!$B$1:$U$1,0)),""))</x:f>
      </x:c>
      <x:c r="E142" t="str">
        <x:f>IF(E$1="","",IFERROR(INDEX('包络曲线数据'!$B$2:$U$742,ROW()-1,MATCH(E$1,'包络曲线数据'!$B$1:$U$1,0)),""))</x:f>
      </x:c>
      <x:c r="F142" t="str">
        <x:f>IF(F$1="","",IFERROR(INDEX('包络曲线数据'!$B$2:$U$742,ROW()-1,MATCH(F$1,'包络曲线数据'!$B$1:$U$1,0)),""))</x:f>
      </x:c>
      <x:c r="G142" t="str">
        <x:f>IF(G$1="","",IFERROR(INDEX('包络曲线数据'!$B$2:$U$742,ROW()-1,MATCH(G$1,'包络曲线数据'!$B$1:$U$1,0)),""))</x:f>
      </x:c>
    </x:row>
    <x:row r="143">
      <x:c r="A143" t="n">
        <x:v>14.100000000000001</x:v>
      </x:c>
      <x:c r="B143" t="n">
        <x:f>IF(B$1="","",IFERROR(INDEX('包络曲线数据'!$B$2:$U$742,ROW()-1,MATCH(B$1,'包络曲线数据'!$B$1:$U$1,0)),""))</x:f>
        <x:v>69.09208689713921</x:v>
      </x:c>
      <x:c r="C143" t="n">
        <x:f>IF(C$1="","",IFERROR(INDEX('包络曲线数据'!$B$2:$U$742,ROW()-1,MATCH(C$1,'包络曲线数据'!$B$1:$U$1,0)),""))</x:f>
        <x:v>74.00692784174164</x:v>
      </x:c>
      <x:c r="D143" t="str">
        <x:f>IF(D$1="","",IFERROR(INDEX('包络曲线数据'!$B$2:$U$742,ROW()-1,MATCH(D$1,'包络曲线数据'!$B$1:$U$1,0)),""))</x:f>
      </x:c>
      <x:c r="E143" t="str">
        <x:f>IF(E$1="","",IFERROR(INDEX('包络曲线数据'!$B$2:$U$742,ROW()-1,MATCH(E$1,'包络曲线数据'!$B$1:$U$1,0)),""))</x:f>
      </x:c>
      <x:c r="F143" t="str">
        <x:f>IF(F$1="","",IFERROR(INDEX('包络曲线数据'!$B$2:$U$742,ROW()-1,MATCH(F$1,'包络曲线数据'!$B$1:$U$1,0)),""))</x:f>
      </x:c>
      <x:c r="G143" t="str">
        <x:f>IF(G$1="","",IFERROR(INDEX('包络曲线数据'!$B$2:$U$742,ROW()-1,MATCH(G$1,'包络曲线数据'!$B$1:$U$1,0)),""))</x:f>
      </x:c>
    </x:row>
    <x:row r="144">
      <x:c r="A144" t="n">
        <x:v>14.200000000000001</x:v>
      </x:c>
      <x:c r="B144" t="n">
        <x:f>IF(B$1="","",IFERROR(INDEX('包络曲线数据'!$B$2:$U$742,ROW()-1,MATCH(B$1,'包络曲线数据'!$B$1:$U$1,0)),""))</x:f>
        <x:v>68.83729566789685</x:v>
      </x:c>
      <x:c r="C144" t="n">
        <x:f>IF(C$1="","",IFERROR(INDEX('包络曲线数据'!$B$2:$U$742,ROW()-1,MATCH(C$1,'包络曲线数据'!$B$1:$U$1,0)),""))</x:f>
        <x:v>75.16763774748405</x:v>
      </x:c>
      <x:c r="D144" t="str">
        <x:f>IF(D$1="","",IFERROR(INDEX('包络曲线数据'!$B$2:$U$742,ROW()-1,MATCH(D$1,'包络曲线数据'!$B$1:$U$1,0)),""))</x:f>
      </x:c>
      <x:c r="E144" t="str">
        <x:f>IF(E$1="","",IFERROR(INDEX('包络曲线数据'!$B$2:$U$742,ROW()-1,MATCH(E$1,'包络曲线数据'!$B$1:$U$1,0)),""))</x:f>
      </x:c>
      <x:c r="F144" t="str">
        <x:f>IF(F$1="","",IFERROR(INDEX('包络曲线数据'!$B$2:$U$742,ROW()-1,MATCH(F$1,'包络曲线数据'!$B$1:$U$1,0)),""))</x:f>
      </x:c>
      <x:c r="G144" t="str">
        <x:f>IF(G$1="","",IFERROR(INDEX('包络曲线数据'!$B$2:$U$742,ROW()-1,MATCH(G$1,'包络曲线数据'!$B$1:$U$1,0)),""))</x:f>
      </x:c>
    </x:row>
    <x:row r="145">
      <x:c r="A145" t="n">
        <x:v>14.3</x:v>
      </x:c>
      <x:c r="B145" t="n">
        <x:f>IF(B$1="","",IFERROR(INDEX('包络曲线数据'!$B$2:$U$742,ROW()-1,MATCH(B$1,'包络曲线数据'!$B$1:$U$1,0)),""))</x:f>
        <x:v>57.7202657239051</x:v>
      </x:c>
      <x:c r="C145" t="n">
        <x:f>IF(C$1="","",IFERROR(INDEX('包络曲线数据'!$B$2:$U$742,ROW()-1,MATCH(C$1,'包络曲线数据'!$B$1:$U$1,0)),""))</x:f>
        <x:v>76.02656883335771</x:v>
      </x:c>
      <x:c r="D145" t="str">
        <x:f>IF(D$1="","",IFERROR(INDEX('包络曲线数据'!$B$2:$U$742,ROW()-1,MATCH(D$1,'包络曲线数据'!$B$1:$U$1,0)),""))</x:f>
      </x:c>
      <x:c r="E145" t="str">
        <x:f>IF(E$1="","",IFERROR(INDEX('包络曲线数据'!$B$2:$U$742,ROW()-1,MATCH(E$1,'包络曲线数据'!$B$1:$U$1,0)),""))</x:f>
      </x:c>
      <x:c r="F145" t="str">
        <x:f>IF(F$1="","",IFERROR(INDEX('包络曲线数据'!$B$2:$U$742,ROW()-1,MATCH(F$1,'包络曲线数据'!$B$1:$U$1,0)),""))</x:f>
      </x:c>
      <x:c r="G145" t="str">
        <x:f>IF(G$1="","",IFERROR(INDEX('包络曲线数据'!$B$2:$U$742,ROW()-1,MATCH(G$1,'包络曲线数据'!$B$1:$U$1,0)),""))</x:f>
      </x:c>
    </x:row>
    <x:row r="146">
      <x:c r="A146" t="n">
        <x:v>14.4</x:v>
      </x:c>
      <x:c r="B146" t="n">
        <x:f>IF(B$1="","",IFERROR(INDEX('包络曲线数据'!$B$2:$U$742,ROW()-1,MATCH(B$1,'包络曲线数据'!$B$1:$U$1,0)),""))</x:f>
        <x:v>60.71381919278505</x:v>
      </x:c>
      <x:c r="C146" t="n">
        <x:f>IF(C$1="","",IFERROR(INDEX('包络曲线数据'!$B$2:$U$742,ROW()-1,MATCH(C$1,'包络曲线数据'!$B$1:$U$1,0)),""))</x:f>
        <x:v>76.02656883335771</x:v>
      </x:c>
      <x:c r="D146" t="str">
        <x:f>IF(D$1="","",IFERROR(INDEX('包络曲线数据'!$B$2:$U$742,ROW()-1,MATCH(D$1,'包络曲线数据'!$B$1:$U$1,0)),""))</x:f>
      </x:c>
      <x:c r="E146" t="str">
        <x:f>IF(E$1="","",IFERROR(INDEX('包络曲线数据'!$B$2:$U$742,ROW()-1,MATCH(E$1,'包络曲线数据'!$B$1:$U$1,0)),""))</x:f>
      </x:c>
      <x:c r="F146" t="str">
        <x:f>IF(F$1="","",IFERROR(INDEX('包络曲线数据'!$B$2:$U$742,ROW()-1,MATCH(F$1,'包络曲线数据'!$B$1:$U$1,0)),""))</x:f>
      </x:c>
      <x:c r="G146" t="str">
        <x:f>IF(G$1="","",IFERROR(INDEX('包络曲线数据'!$B$2:$U$742,ROW()-1,MATCH(G$1,'包络曲线数据'!$B$1:$U$1,0)),""))</x:f>
      </x:c>
    </x:row>
    <x:row r="147">
      <x:c r="A147" t="n">
        <x:v>14.5</x:v>
      </x:c>
      <x:c r="B147" t="n">
        <x:f>IF(B$1="","",IFERROR(INDEX('包络曲线数据'!$B$2:$U$742,ROW()-1,MATCH(B$1,'包络曲线数据'!$B$1:$U$1,0)),""))</x:f>
        <x:v>61.66966367116182</x:v>
      </x:c>
      <x:c r="C147" t="n">
        <x:f>IF(C$1="","",IFERROR(INDEX('包络曲线数据'!$B$2:$U$742,ROW()-1,MATCH(C$1,'包络曲线数据'!$B$1:$U$1,0)),""))</x:f>
        <x:v>76.4091564952557</x:v>
      </x:c>
      <x:c r="D147" t="str">
        <x:f>IF(D$1="","",IFERROR(INDEX('包络曲线数据'!$B$2:$U$742,ROW()-1,MATCH(D$1,'包络曲线数据'!$B$1:$U$1,0)),""))</x:f>
      </x:c>
      <x:c r="E147" t="str">
        <x:f>IF(E$1="","",IFERROR(INDEX('包络曲线数据'!$B$2:$U$742,ROW()-1,MATCH(E$1,'包络曲线数据'!$B$1:$U$1,0)),""))</x:f>
      </x:c>
      <x:c r="F147" t="str">
        <x:f>IF(F$1="","",IFERROR(INDEX('包络曲线数据'!$B$2:$U$742,ROW()-1,MATCH(F$1,'包络曲线数据'!$B$1:$U$1,0)),""))</x:f>
      </x:c>
      <x:c r="G147" t="str">
        <x:f>IF(G$1="","",IFERROR(INDEX('包络曲线数据'!$B$2:$U$742,ROW()-1,MATCH(G$1,'包络曲线数据'!$B$1:$U$1,0)),""))</x:f>
      </x:c>
    </x:row>
    <x:row r="148">
      <x:c r="A148" t="n">
        <x:v>14.600000000000001</x:v>
      </x:c>
      <x:c r="B148" t="n">
        <x:f>IF(B$1="","",IFERROR(INDEX('包络曲线数据'!$B$2:$U$742,ROW()-1,MATCH(B$1,'包络曲线数据'!$B$1:$U$1,0)),""))</x:f>
        <x:v>61.925947824250045</x:v>
      </x:c>
      <x:c r="C148" t="n">
        <x:f>IF(C$1="","",IFERROR(INDEX('包络曲线数据'!$B$2:$U$742,ROW()-1,MATCH(C$1,'包络曲线数据'!$B$1:$U$1,0)),""))</x:f>
        <x:v>76.00312289997171</x:v>
      </x:c>
      <x:c r="D148" t="str">
        <x:f>IF(D$1="","",IFERROR(INDEX('包络曲线数据'!$B$2:$U$742,ROW()-1,MATCH(D$1,'包络曲线数据'!$B$1:$U$1,0)),""))</x:f>
      </x:c>
      <x:c r="E148" t="str">
        <x:f>IF(E$1="","",IFERROR(INDEX('包络曲线数据'!$B$2:$U$742,ROW()-1,MATCH(E$1,'包络曲线数据'!$B$1:$U$1,0)),""))</x:f>
      </x:c>
      <x:c r="F148" t="str">
        <x:f>IF(F$1="","",IFERROR(INDEX('包络曲线数据'!$B$2:$U$742,ROW()-1,MATCH(F$1,'包络曲线数据'!$B$1:$U$1,0)),""))</x:f>
      </x:c>
      <x:c r="G148" t="str">
        <x:f>IF(G$1="","",IFERROR(INDEX('包络曲线数据'!$B$2:$U$742,ROW()-1,MATCH(G$1,'包络曲线数据'!$B$1:$U$1,0)),""))</x:f>
      </x:c>
    </x:row>
    <x:row r="149">
      <x:c r="A149" t="n">
        <x:v>14.700000000000001</x:v>
      </x:c>
      <x:c r="B149" t="n">
        <x:f>IF(B$1="","",IFERROR(INDEX('包络曲线数据'!$B$2:$U$742,ROW()-1,MATCH(B$1,'包络曲线数据'!$B$1:$U$1,0)),""))</x:f>
        <x:v>61.92594782425002</x:v>
      </x:c>
      <x:c r="C149" t="n">
        <x:f>IF(C$1="","",IFERROR(INDEX('包络曲线数据'!$B$2:$U$742,ROW()-1,MATCH(C$1,'包络曲线数据'!$B$1:$U$1,0)),""))</x:f>
        <x:v>72.67186765963434</x:v>
      </x:c>
      <x:c r="D149" t="str">
        <x:f>IF(D$1="","",IFERROR(INDEX('包络曲线数据'!$B$2:$U$742,ROW()-1,MATCH(D$1,'包络曲线数据'!$B$1:$U$1,0)),""))</x:f>
      </x:c>
      <x:c r="E149" t="str">
        <x:f>IF(E$1="","",IFERROR(INDEX('包络曲线数据'!$B$2:$U$742,ROW()-1,MATCH(E$1,'包络曲线数据'!$B$1:$U$1,0)),""))</x:f>
      </x:c>
      <x:c r="F149" t="str">
        <x:f>IF(F$1="","",IFERROR(INDEX('包络曲线数据'!$B$2:$U$742,ROW()-1,MATCH(F$1,'包络曲线数据'!$B$1:$U$1,0)),""))</x:f>
      </x:c>
      <x:c r="G149" t="str">
        <x:f>IF(G$1="","",IFERROR(INDEX('包络曲线数据'!$B$2:$U$742,ROW()-1,MATCH(G$1,'包络曲线数据'!$B$1:$U$1,0)),""))</x:f>
      </x:c>
    </x:row>
    <x:row r="150">
      <x:c r="A150" t="n">
        <x:v>14.8</x:v>
      </x:c>
      <x:c r="B150" t="n">
        <x:f>IF(B$1="","",IFERROR(INDEX('包络曲线数据'!$B$2:$U$742,ROW()-1,MATCH(B$1,'包络曲线数据'!$B$1:$U$1,0)),""))</x:f>
        <x:v>62.57539160210221</x:v>
      </x:c>
      <x:c r="C150" t="n">
        <x:f>IF(C$1="","",IFERROR(INDEX('包络曲线数据'!$B$2:$U$742,ROW()-1,MATCH(C$1,'包络曲线数据'!$B$1:$U$1,0)),""))</x:f>
        <x:v>76.24153907676535</x:v>
      </x:c>
      <x:c r="D150" t="str">
        <x:f>IF(D$1="","",IFERROR(INDEX('包络曲线数据'!$B$2:$U$742,ROW()-1,MATCH(D$1,'包络曲线数据'!$B$1:$U$1,0)),""))</x:f>
      </x:c>
      <x:c r="E150" t="str">
        <x:f>IF(E$1="","",IFERROR(INDEX('包络曲线数据'!$B$2:$U$742,ROW()-1,MATCH(E$1,'包络曲线数据'!$B$1:$U$1,0)),""))</x:f>
      </x:c>
      <x:c r="F150" t="str">
        <x:f>IF(F$1="","",IFERROR(INDEX('包络曲线数据'!$B$2:$U$742,ROW()-1,MATCH(F$1,'包络曲线数据'!$B$1:$U$1,0)),""))</x:f>
      </x:c>
      <x:c r="G150" t="str">
        <x:f>IF(G$1="","",IFERROR(INDEX('包络曲线数据'!$B$2:$U$742,ROW()-1,MATCH(G$1,'包络曲线数据'!$B$1:$U$1,0)),""))</x:f>
      </x:c>
    </x:row>
    <x:row r="151">
      <x:c r="A151" t="n">
        <x:v>14.9</x:v>
      </x:c>
      <x:c r="B151" t="n">
        <x:f>IF(B$1="","",IFERROR(INDEX('包络曲线数据'!$B$2:$U$742,ROW()-1,MATCH(B$1,'包络曲线数据'!$B$1:$U$1,0)),""))</x:f>
        <x:v>63.16358918082014</x:v>
      </x:c>
      <x:c r="C151" t="n">
        <x:f>IF(C$1="","",IFERROR(INDEX('包络曲线数据'!$B$2:$U$742,ROW()-1,MATCH(C$1,'包络曲线数据'!$B$1:$U$1,0)),""))</x:f>
        <x:v>83.17365884808845</x:v>
      </x:c>
      <x:c r="D151" t="str">
        <x:f>IF(D$1="","",IFERROR(INDEX('包络曲线数据'!$B$2:$U$742,ROW()-1,MATCH(D$1,'包络曲线数据'!$B$1:$U$1,0)),""))</x:f>
      </x:c>
      <x:c r="E151" t="str">
        <x:f>IF(E$1="","",IFERROR(INDEX('包络曲线数据'!$B$2:$U$742,ROW()-1,MATCH(E$1,'包络曲线数据'!$B$1:$U$1,0)),""))</x:f>
      </x:c>
      <x:c r="F151" t="str">
        <x:f>IF(F$1="","",IFERROR(INDEX('包络曲线数据'!$B$2:$U$742,ROW()-1,MATCH(F$1,'包络曲线数据'!$B$1:$U$1,0)),""))</x:f>
      </x:c>
      <x:c r="G151" t="str">
        <x:f>IF(G$1="","",IFERROR(INDEX('包络曲线数据'!$B$2:$U$742,ROW()-1,MATCH(G$1,'包络曲线数据'!$B$1:$U$1,0)),""))</x:f>
      </x:c>
    </x:row>
    <x:row r="152">
      <x:c r="A152" t="n">
        <x:v>15</x:v>
      </x:c>
      <x:c r="B152" t="n">
        <x:f>IF(B$1="","",IFERROR(INDEX('包络曲线数据'!$B$2:$U$742,ROW()-1,MATCH(B$1,'包络曲线数据'!$B$1:$U$1,0)),""))</x:f>
        <x:v>63.011053921622704</x:v>
      </x:c>
      <x:c r="C152" t="n">
        <x:f>IF(C$1="","",IFERROR(INDEX('包络曲线数据'!$B$2:$U$742,ROW()-1,MATCH(C$1,'包络曲线数据'!$B$1:$U$1,0)),""))</x:f>
        <x:v>83.17365884808845</x:v>
      </x:c>
      <x:c r="D152" t="str">
        <x:f>IF(D$1="","",IFERROR(INDEX('包络曲线数据'!$B$2:$U$742,ROW()-1,MATCH(D$1,'包络曲线数据'!$B$1:$U$1,0)),""))</x:f>
      </x:c>
      <x:c r="E152" t="str">
        <x:f>IF(E$1="","",IFERROR(INDEX('包络曲线数据'!$B$2:$U$742,ROW()-1,MATCH(E$1,'包络曲线数据'!$B$1:$U$1,0)),""))</x:f>
      </x:c>
      <x:c r="F152" t="str">
        <x:f>IF(F$1="","",IFERROR(INDEX('包络曲线数据'!$B$2:$U$742,ROW()-1,MATCH(F$1,'包络曲线数据'!$B$1:$U$1,0)),""))</x:f>
      </x:c>
      <x:c r="G152" t="str">
        <x:f>IF(G$1="","",IFERROR(INDEX('包络曲线数据'!$B$2:$U$742,ROW()-1,MATCH(G$1,'包络曲线数据'!$B$1:$U$1,0)),""))</x:f>
      </x:c>
    </x:row>
    <x:row r="153">
      <x:c r="A153" t="n">
        <x:v>15.100000000000001</x:v>
      </x:c>
      <x:c r="B153" t="n">
        <x:f>IF(B$1="","",IFERROR(INDEX('包络曲线数据'!$B$2:$U$742,ROW()-1,MATCH(B$1,'包络曲线数据'!$B$1:$U$1,0)),""))</x:f>
        <x:v>63.011053921622796</x:v>
      </x:c>
      <x:c r="C153" t="n">
        <x:f>IF(C$1="","",IFERROR(INDEX('包络曲线数据'!$B$2:$U$742,ROW()-1,MATCH(C$1,'包络曲线数据'!$B$1:$U$1,0)),""))</x:f>
        <x:v>76.37129311703792</x:v>
      </x:c>
      <x:c r="D153" t="str">
        <x:f>IF(D$1="","",IFERROR(INDEX('包络曲线数据'!$B$2:$U$742,ROW()-1,MATCH(D$1,'包络曲线数据'!$B$1:$U$1,0)),""))</x:f>
      </x:c>
      <x:c r="E153" t="str">
        <x:f>IF(E$1="","",IFERROR(INDEX('包络曲线数据'!$B$2:$U$742,ROW()-1,MATCH(E$1,'包络曲线数据'!$B$1:$U$1,0)),""))</x:f>
      </x:c>
      <x:c r="F153" t="str">
        <x:f>IF(F$1="","",IFERROR(INDEX('包络曲线数据'!$B$2:$U$742,ROW()-1,MATCH(F$1,'包络曲线数据'!$B$1:$U$1,0)),""))</x:f>
      </x:c>
      <x:c r="G153" t="str">
        <x:f>IF(G$1="","",IFERROR(INDEX('包络曲线数据'!$B$2:$U$742,ROW()-1,MATCH(G$1,'包络曲线数据'!$B$1:$U$1,0)),""))</x:f>
      </x:c>
    </x:row>
    <x:row r="154">
      <x:c r="A154" t="n">
        <x:v>15.200000000000001</x:v>
      </x:c>
      <x:c r="B154" t="n">
        <x:f>IF(B$1="","",IFERROR(INDEX('包络曲线数据'!$B$2:$U$742,ROW()-1,MATCH(B$1,'包络曲线数据'!$B$1:$U$1,0)),""))</x:f>
        <x:v>68.18664625109423</x:v>
      </x:c>
      <x:c r="C154" t="n">
        <x:f>IF(C$1="","",IFERROR(INDEX('包络曲线数据'!$B$2:$U$742,ROW()-1,MATCH(C$1,'包络曲线数据'!$B$1:$U$1,0)),""))</x:f>
        <x:v>68.4112500663392</x:v>
      </x:c>
      <x:c r="D154" t="str">
        <x:f>IF(D$1="","",IFERROR(INDEX('包络曲线数据'!$B$2:$U$742,ROW()-1,MATCH(D$1,'包络曲线数据'!$B$1:$U$1,0)),""))</x:f>
      </x:c>
      <x:c r="E154" t="str">
        <x:f>IF(E$1="","",IFERROR(INDEX('包络曲线数据'!$B$2:$U$742,ROW()-1,MATCH(E$1,'包络曲线数据'!$B$1:$U$1,0)),""))</x:f>
      </x:c>
      <x:c r="F154" t="str">
        <x:f>IF(F$1="","",IFERROR(INDEX('包络曲线数据'!$B$2:$U$742,ROW()-1,MATCH(F$1,'包络曲线数据'!$B$1:$U$1,0)),""))</x:f>
      </x:c>
      <x:c r="G154" t="str">
        <x:f>IF(G$1="","",IFERROR(INDEX('包络曲线数据'!$B$2:$U$742,ROW()-1,MATCH(G$1,'包络曲线数据'!$B$1:$U$1,0)),""))</x:f>
      </x:c>
    </x:row>
    <x:row r="155">
      <x:c r="A155" t="n">
        <x:v>15.3</x:v>
      </x:c>
      <x:c r="B155" t="n">
        <x:f>IF(B$1="","",IFERROR(INDEX('包络曲线数据'!$B$2:$U$742,ROW()-1,MATCH(B$1,'包络曲线数据'!$B$1:$U$1,0)),""))</x:f>
        <x:v>79.21069407093786</x:v>
      </x:c>
      <x:c r="C155" t="n">
        <x:f>IF(C$1="","",IFERROR(INDEX('包络曲线数据'!$B$2:$U$742,ROW()-1,MATCH(C$1,'包络曲线数据'!$B$1:$U$1,0)),""))</x:f>
        <x:v>62.96740700436141</x:v>
      </x:c>
      <x:c r="D155" t="str">
        <x:f>IF(D$1="","",IFERROR(INDEX('包络曲线数据'!$B$2:$U$742,ROW()-1,MATCH(D$1,'包络曲线数据'!$B$1:$U$1,0)),""))</x:f>
      </x:c>
      <x:c r="E155" t="str">
        <x:f>IF(E$1="","",IFERROR(INDEX('包络曲线数据'!$B$2:$U$742,ROW()-1,MATCH(E$1,'包络曲线数据'!$B$1:$U$1,0)),""))</x:f>
      </x:c>
      <x:c r="F155" t="str">
        <x:f>IF(F$1="","",IFERROR(INDEX('包络曲线数据'!$B$2:$U$742,ROW()-1,MATCH(F$1,'包络曲线数据'!$B$1:$U$1,0)),""))</x:f>
      </x:c>
      <x:c r="G155" t="str">
        <x:f>IF(G$1="","",IFERROR(INDEX('包络曲线数据'!$B$2:$U$742,ROW()-1,MATCH(G$1,'包络曲线数据'!$B$1:$U$1,0)),""))</x:f>
      </x:c>
    </x:row>
    <x:row r="156">
      <x:c r="A156" t="n">
        <x:v>15.4</x:v>
      </x:c>
      <x:c r="B156" t="n">
        <x:f>IF(B$1="","",IFERROR(INDEX('包络曲线数据'!$B$2:$U$742,ROW()-1,MATCH(B$1,'包络曲线数据'!$B$1:$U$1,0)),""))</x:f>
        <x:v>79.21069407093786</x:v>
      </x:c>
      <x:c r="C156" t="n">
        <x:f>IF(C$1="","",IFERROR(INDEX('包络曲线数据'!$B$2:$U$742,ROW()-1,MATCH(C$1,'包络曲线数据'!$B$1:$U$1,0)),""))</x:f>
        <x:v>65.00707081130808</x:v>
      </x:c>
      <x:c r="D156" t="str">
        <x:f>IF(D$1="","",IFERROR(INDEX('包络曲线数据'!$B$2:$U$742,ROW()-1,MATCH(D$1,'包络曲线数据'!$B$1:$U$1,0)),""))</x:f>
      </x:c>
      <x:c r="E156" t="str">
        <x:f>IF(E$1="","",IFERROR(INDEX('包络曲线数据'!$B$2:$U$742,ROW()-1,MATCH(E$1,'包络曲线数据'!$B$1:$U$1,0)),""))</x:f>
      </x:c>
      <x:c r="F156" t="str">
        <x:f>IF(F$1="","",IFERROR(INDEX('包络曲线数据'!$B$2:$U$742,ROW()-1,MATCH(F$1,'包络曲线数据'!$B$1:$U$1,0)),""))</x:f>
      </x:c>
      <x:c r="G156" t="str">
        <x:f>IF(G$1="","",IFERROR(INDEX('包络曲线数据'!$B$2:$U$742,ROW()-1,MATCH(G$1,'包络曲线数据'!$B$1:$U$1,0)),""))</x:f>
      </x:c>
    </x:row>
    <x:row r="157">
      <x:c r="A157" t="n">
        <x:v>15.5</x:v>
      </x:c>
      <x:c r="B157" t="n">
        <x:f>IF(B$1="","",IFERROR(INDEX('包络曲线数据'!$B$2:$U$742,ROW()-1,MATCH(B$1,'包络曲线数据'!$B$1:$U$1,0)),""))</x:f>
        <x:v>73.2169463407883</x:v>
      </x:c>
      <x:c r="C157" t="n">
        <x:f>IF(C$1="","",IFERROR(INDEX('包络曲线数据'!$B$2:$U$742,ROW()-1,MATCH(C$1,'包络曲线数据'!$B$1:$U$1,0)),""))</x:f>
        <x:v>67.04673461825476</x:v>
      </x:c>
      <x:c r="D157" t="str">
        <x:f>IF(D$1="","",IFERROR(INDEX('包络曲线数据'!$B$2:$U$742,ROW()-1,MATCH(D$1,'包络曲线数据'!$B$1:$U$1,0)),""))</x:f>
      </x:c>
      <x:c r="E157" t="str">
        <x:f>IF(E$1="","",IFERROR(INDEX('包络曲线数据'!$B$2:$U$742,ROW()-1,MATCH(E$1,'包络曲线数据'!$B$1:$U$1,0)),""))</x:f>
      </x:c>
      <x:c r="F157" t="str">
        <x:f>IF(F$1="","",IFERROR(INDEX('包络曲线数据'!$B$2:$U$742,ROW()-1,MATCH(F$1,'包络曲线数据'!$B$1:$U$1,0)),""))</x:f>
      </x:c>
      <x:c r="G157" t="str">
        <x:f>IF(G$1="","",IFERROR(INDEX('包络曲线数据'!$B$2:$U$742,ROW()-1,MATCH(G$1,'包络曲线数据'!$B$1:$U$1,0)),""))</x:f>
      </x:c>
    </x:row>
    <x:row r="158">
      <x:c r="A158" t="n">
        <x:v>15.600000000000001</x:v>
      </x:c>
      <x:c r="B158" t="n">
        <x:f>IF(B$1="","",IFERROR(INDEX('包络曲线数据'!$B$2:$U$742,ROW()-1,MATCH(B$1,'包络曲线数据'!$B$1:$U$1,0)),""))</x:f>
        <x:v>60.71820558775992</x:v>
      </x:c>
      <x:c r="C158" t="n">
        <x:f>IF(C$1="","",IFERROR(INDEX('包络曲线数据'!$B$2:$U$742,ROW()-1,MATCH(C$1,'包络曲线数据'!$B$1:$U$1,0)),""))</x:f>
        <x:v>68.27053290242277</x:v>
      </x:c>
      <x:c r="D158" t="str">
        <x:f>IF(D$1="","",IFERROR(INDEX('包络曲线数据'!$B$2:$U$742,ROW()-1,MATCH(D$1,'包络曲线数据'!$B$1:$U$1,0)),""))</x:f>
      </x:c>
      <x:c r="E158" t="str">
        <x:f>IF(E$1="","",IFERROR(INDEX('包络曲线数据'!$B$2:$U$742,ROW()-1,MATCH(E$1,'包络曲线数据'!$B$1:$U$1,0)),""))</x:f>
      </x:c>
      <x:c r="F158" t="str">
        <x:f>IF(F$1="","",IFERROR(INDEX('包络曲线数据'!$B$2:$U$742,ROW()-1,MATCH(F$1,'包络曲线数据'!$B$1:$U$1,0)),""))</x:f>
      </x:c>
      <x:c r="G158" t="str">
        <x:f>IF(G$1="","",IFERROR(INDEX('包络曲线数据'!$B$2:$U$742,ROW()-1,MATCH(G$1,'包络曲线数据'!$B$1:$U$1,0)),""))</x:f>
      </x:c>
    </x:row>
    <x:row r="159">
      <x:c r="A159" t="n">
        <x:v>15.700000000000001</x:v>
      </x:c>
      <x:c r="B159" t="n">
        <x:f>IF(B$1="","",IFERROR(INDEX('包络曲线数据'!$B$2:$U$742,ROW()-1,MATCH(B$1,'包络曲线数据'!$B$1:$U$1,0)),""))</x:f>
        <x:v>50</x:v>
      </x:c>
      <x:c r="C159" t="n">
        <x:f>IF(C$1="","",IFERROR(INDEX('包络曲线数据'!$B$2:$U$742,ROW()-1,MATCH(C$1,'包络曲线数据'!$B$1:$U$1,0)),""))</x:f>
        <x:v>74.2822898849034</x:v>
      </x:c>
      <x:c r="D159" t="str">
        <x:f>IF(D$1="","",IFERROR(INDEX('包络曲线数据'!$B$2:$U$742,ROW()-1,MATCH(D$1,'包络曲线数据'!$B$1:$U$1,0)),""))</x:f>
      </x:c>
      <x:c r="E159" t="str">
        <x:f>IF(E$1="","",IFERROR(INDEX('包络曲线数据'!$B$2:$U$742,ROW()-1,MATCH(E$1,'包络曲线数据'!$B$1:$U$1,0)),""))</x:f>
      </x:c>
      <x:c r="F159" t="str">
        <x:f>IF(F$1="","",IFERROR(INDEX('包络曲线数据'!$B$2:$U$742,ROW()-1,MATCH(F$1,'包络曲线数据'!$B$1:$U$1,0)),""))</x:f>
      </x:c>
      <x:c r="G159" t="str">
        <x:f>IF(G$1="","",IFERROR(INDEX('包络曲线数据'!$B$2:$U$742,ROW()-1,MATCH(G$1,'包络曲线数据'!$B$1:$U$1,0)),""))</x:f>
      </x:c>
    </x:row>
    <x:row r="160">
      <x:c r="A160" t="n">
        <x:v>15.8</x:v>
      </x:c>
      <x:c r="B160" t="n">
        <x:f>IF(B$1="","",IFERROR(INDEX('包络曲线数据'!$B$2:$U$742,ROW()-1,MATCH(B$1,'包络曲线数据'!$B$1:$U$1,0)),""))</x:f>
        <x:v>56.26741855285611</x:v>
      </x:c>
      <x:c r="C160" t="n">
        <x:f>IF(C$1="","",IFERROR(INDEX('包络曲线数据'!$B$2:$U$742,ROW()-1,MATCH(C$1,'包络曲线数据'!$B$1:$U$1,0)),""))</x:f>
        <x:v>75.07246745284525</x:v>
      </x:c>
      <x:c r="D160" t="str">
        <x:f>IF(D$1="","",IFERROR(INDEX('包络曲线数据'!$B$2:$U$742,ROW()-1,MATCH(D$1,'包络曲线数据'!$B$1:$U$1,0)),""))</x:f>
      </x:c>
      <x:c r="E160" t="str">
        <x:f>IF(E$1="","",IFERROR(INDEX('包络曲线数据'!$B$2:$U$742,ROW()-1,MATCH(E$1,'包络曲线数据'!$B$1:$U$1,0)),""))</x:f>
      </x:c>
      <x:c r="F160" t="str">
        <x:f>IF(F$1="","",IFERROR(INDEX('包络曲线数据'!$B$2:$U$742,ROW()-1,MATCH(F$1,'包络曲线数据'!$B$1:$U$1,0)),""))</x:f>
      </x:c>
      <x:c r="G160" t="str">
        <x:f>IF(G$1="","",IFERROR(INDEX('包络曲线数据'!$B$2:$U$742,ROW()-1,MATCH(G$1,'包络曲线数据'!$B$1:$U$1,0)),""))</x:f>
      </x:c>
    </x:row>
    <x:row r="161">
      <x:c r="A161" t="n">
        <x:v>15.9</x:v>
      </x:c>
      <x:c r="B161" t="n">
        <x:f>IF(B$1="","",IFERROR(INDEX('包络曲线数据'!$B$2:$U$742,ROW()-1,MATCH(B$1,'包络曲线数据'!$B$1:$U$1,0)),""))</x:f>
        <x:v>64.10169174392621</x:v>
      </x:c>
      <x:c r="C161" t="n">
        <x:f>IF(C$1="","",IFERROR(INDEX('包络曲线数据'!$B$2:$U$742,ROW()-1,MATCH(C$1,'包络曲线数据'!$B$1:$U$1,0)),""))</x:f>
        <x:v>72.62494773334322</x:v>
      </x:c>
      <x:c r="D161" t="str">
        <x:f>IF(D$1="","",IFERROR(INDEX('包络曲线数据'!$B$2:$U$742,ROW()-1,MATCH(D$1,'包络曲线数据'!$B$1:$U$1,0)),""))</x:f>
      </x:c>
      <x:c r="E161" t="str">
        <x:f>IF(E$1="","",IFERROR(INDEX('包络曲线数据'!$B$2:$U$742,ROW()-1,MATCH(E$1,'包络曲线数据'!$B$1:$U$1,0)),""))</x:f>
      </x:c>
      <x:c r="F161" t="str">
        <x:f>IF(F$1="","",IFERROR(INDEX('包络曲线数据'!$B$2:$U$742,ROW()-1,MATCH(F$1,'包络曲线数据'!$B$1:$U$1,0)),""))</x:f>
      </x:c>
      <x:c r="G161" t="str">
        <x:f>IF(G$1="","",IFERROR(INDEX('包络曲线数据'!$B$2:$U$742,ROW()-1,MATCH(G$1,'包络曲线数据'!$B$1:$U$1,0)),""))</x:f>
      </x:c>
    </x:row>
    <x:row r="162">
      <x:c r="A162" t="n">
        <x:v>16</x:v>
      </x:c>
      <x:c r="B162" t="n">
        <x:f>IF(B$1="","",IFERROR(INDEX('包络曲线数据'!$B$2:$U$742,ROW()-1,MATCH(B$1,'包络曲线数据'!$B$1:$U$1,0)),""))</x:f>
        <x:v>64.10169174392621</x:v>
      </x:c>
      <x:c r="C162" t="n">
        <x:f>IF(C$1="","",IFERROR(INDEX('包络曲线数据'!$B$2:$U$742,ROW()-1,MATCH(C$1,'包络曲线数据'!$B$1:$U$1,0)),""))</x:f>
        <x:v>65.40597373883544</x:v>
      </x:c>
      <x:c r="D162" t="str">
        <x:f>IF(D$1="","",IFERROR(INDEX('包络曲线数据'!$B$2:$U$742,ROW()-1,MATCH(D$1,'包络曲线数据'!$B$1:$U$1,0)),""))</x:f>
      </x:c>
      <x:c r="E162" t="str">
        <x:f>IF(E$1="","",IFERROR(INDEX('包络曲线数据'!$B$2:$U$742,ROW()-1,MATCH(E$1,'包络曲线数据'!$B$1:$U$1,0)),""))</x:f>
      </x:c>
      <x:c r="F162" t="str">
        <x:f>IF(F$1="","",IFERROR(INDEX('包络曲线数据'!$B$2:$U$742,ROW()-1,MATCH(F$1,'包络曲线数据'!$B$1:$U$1,0)),""))</x:f>
      </x:c>
      <x:c r="G162" t="str">
        <x:f>IF(G$1="","",IFERROR(INDEX('包络曲线数据'!$B$2:$U$742,ROW()-1,MATCH(G$1,'包络曲线数据'!$B$1:$U$1,0)),""))</x:f>
      </x:c>
    </x:row>
    <x:row r="163">
      <x:c r="A163" t="n">
        <x:v>16.1</x:v>
      </x:c>
      <x:c r="B163" t="n">
        <x:f>IF(B$1="","",IFERROR(INDEX('包络曲线数据'!$B$2:$U$742,ROW()-1,MATCH(B$1,'包络曲线数据'!$B$1:$U$1,0)),""))</x:f>
        <x:v>68.09524963240801</x:v>
      </x:c>
      <x:c r="C163" t="n">
        <x:f>IF(C$1="","",IFERROR(INDEX('包络曲线数据'!$B$2:$U$742,ROW()-1,MATCH(C$1,'包络曲线数据'!$B$1:$U$1,0)),""))</x:f>
        <x:v>74.06230690281893</x:v>
      </x:c>
      <x:c r="D163" t="str">
        <x:f>IF(D$1="","",IFERROR(INDEX('包络曲线数据'!$B$2:$U$742,ROW()-1,MATCH(D$1,'包络曲线数据'!$B$1:$U$1,0)),""))</x:f>
      </x:c>
      <x:c r="E163" t="str">
        <x:f>IF(E$1="","",IFERROR(INDEX('包络曲线数据'!$B$2:$U$742,ROW()-1,MATCH(E$1,'包络曲线数据'!$B$1:$U$1,0)),""))</x:f>
      </x:c>
      <x:c r="F163" t="str">
        <x:f>IF(F$1="","",IFERROR(INDEX('包络曲线数据'!$B$2:$U$742,ROW()-1,MATCH(F$1,'包络曲线数据'!$B$1:$U$1,0)),""))</x:f>
      </x:c>
      <x:c r="G163" t="str">
        <x:f>IF(G$1="","",IFERROR(INDEX('包络曲线数据'!$B$2:$U$742,ROW()-1,MATCH(G$1,'包络曲线数据'!$B$1:$U$1,0)),""))</x:f>
      </x:c>
    </x:row>
    <x:row r="164">
      <x:c r="A164" t="n">
        <x:v>16.2</x:v>
      </x:c>
      <x:c r="B164" t="n">
        <x:f>IF(B$1="","",IFERROR(INDEX('包络曲线数据'!$B$2:$U$742,ROW()-1,MATCH(B$1,'包络曲线数据'!$B$1:$U$1,0)),""))</x:f>
        <x:v>70.20122081118257</x:v>
      </x:c>
      <x:c r="C164" t="n">
        <x:f>IF(C$1="","",IFERROR(INDEX('包络曲线数据'!$B$2:$U$742,ROW()-1,MATCH(C$1,'包络曲线数据'!$B$1:$U$1,0)),""))</x:f>
        <x:v>74.30275066070995</x:v>
      </x:c>
      <x:c r="D164" t="str">
        <x:f>IF(D$1="","",IFERROR(INDEX('包络曲线数据'!$B$2:$U$742,ROW()-1,MATCH(D$1,'包络曲线数据'!$B$1:$U$1,0)),""))</x:f>
      </x:c>
      <x:c r="E164" t="str">
        <x:f>IF(E$1="","",IFERROR(INDEX('包络曲线数据'!$B$2:$U$742,ROW()-1,MATCH(E$1,'包络曲线数据'!$B$1:$U$1,0)),""))</x:f>
      </x:c>
      <x:c r="F164" t="str">
        <x:f>IF(F$1="","",IFERROR(INDEX('包络曲线数据'!$B$2:$U$742,ROW()-1,MATCH(F$1,'包络曲线数据'!$B$1:$U$1,0)),""))</x:f>
      </x:c>
      <x:c r="G164" t="str">
        <x:f>IF(G$1="","",IFERROR(INDEX('包络曲线数据'!$B$2:$U$742,ROW()-1,MATCH(G$1,'包络曲线数据'!$B$1:$U$1,0)),""))</x:f>
      </x:c>
    </x:row>
    <x:row r="165">
      <x:c r="A165" t="n">
        <x:v>16.3</x:v>
      </x:c>
      <x:c r="B165" t="n">
        <x:f>IF(B$1="","",IFERROR(INDEX('包络曲线数据'!$B$2:$U$742,ROW()-1,MATCH(B$1,'包络曲线数据'!$B$1:$U$1,0)),""))</x:f>
        <x:v>70.19012361041473</x:v>
      </x:c>
      <x:c r="C165" t="n">
        <x:f>IF(C$1="","",IFERROR(INDEX('包络曲线数据'!$B$2:$U$742,ROW()-1,MATCH(C$1,'包络曲线数据'!$B$1:$U$1,0)),""))</x:f>
        <x:v>74.32611171228946</x:v>
      </x:c>
      <x:c r="D165" t="str">
        <x:f>IF(D$1="","",IFERROR(INDEX('包络曲线数据'!$B$2:$U$742,ROW()-1,MATCH(D$1,'包络曲线数据'!$B$1:$U$1,0)),""))</x:f>
      </x:c>
      <x:c r="E165" t="str">
        <x:f>IF(E$1="","",IFERROR(INDEX('包络曲线数据'!$B$2:$U$742,ROW()-1,MATCH(E$1,'包络曲线数据'!$B$1:$U$1,0)),""))</x:f>
      </x:c>
      <x:c r="F165" t="str">
        <x:f>IF(F$1="","",IFERROR(INDEX('包络曲线数据'!$B$2:$U$742,ROW()-1,MATCH(F$1,'包络曲线数据'!$B$1:$U$1,0)),""))</x:f>
      </x:c>
      <x:c r="G165" t="str">
        <x:f>IF(G$1="","",IFERROR(INDEX('包络曲线数据'!$B$2:$U$742,ROW()-1,MATCH(G$1,'包络曲线数据'!$B$1:$U$1,0)),""))</x:f>
      </x:c>
    </x:row>
    <x:row r="166">
      <x:c r="A166" t="n">
        <x:v>16.400000000000002</x:v>
      </x:c>
      <x:c r="B166" t="n">
        <x:f>IF(B$1="","",IFERROR(INDEX('包络曲线数据'!$B$2:$U$742,ROW()-1,MATCH(B$1,'包络曲线数据'!$B$1:$U$1,0)),""))</x:f>
        <x:v>62.45340073902029</x:v>
      </x:c>
      <x:c r="C166" t="n">
        <x:f>IF(C$1="","",IFERROR(INDEX('包络曲线数据'!$B$2:$U$742,ROW()-1,MATCH(C$1,'包络曲线数据'!$B$1:$U$1,0)),""))</x:f>
        <x:v>75.56150525679921</x:v>
      </x:c>
      <x:c r="D166" t="str">
        <x:f>IF(D$1="","",IFERROR(INDEX('包络曲线数据'!$B$2:$U$742,ROW()-1,MATCH(D$1,'包络曲线数据'!$B$1:$U$1,0)),""))</x:f>
      </x:c>
      <x:c r="E166" t="str">
        <x:f>IF(E$1="","",IFERROR(INDEX('包络曲线数据'!$B$2:$U$742,ROW()-1,MATCH(E$1,'包络曲线数据'!$B$1:$U$1,0)),""))</x:f>
      </x:c>
      <x:c r="F166" t="str">
        <x:f>IF(F$1="","",IFERROR(INDEX('包络曲线数据'!$B$2:$U$742,ROW()-1,MATCH(F$1,'包络曲线数据'!$B$1:$U$1,0)),""))</x:f>
      </x:c>
      <x:c r="G166" t="str">
        <x:f>IF(G$1="","",IFERROR(INDEX('包络曲线数据'!$B$2:$U$742,ROW()-1,MATCH(G$1,'包络曲线数据'!$B$1:$U$1,0)),""))</x:f>
      </x:c>
    </x:row>
    <x:row r="167">
      <x:c r="A167" t="n">
        <x:v>16.5</x:v>
      </x:c>
      <x:c r="B167" t="n">
        <x:f>IF(B$1="","",IFERROR(INDEX('包络曲线数据'!$B$2:$U$742,ROW()-1,MATCH(B$1,'包络曲线数据'!$B$1:$U$1,0)),""))</x:f>
        <x:v>61.51134732592067</x:v>
      </x:c>
      <x:c r="C167" t="n">
        <x:f>IF(C$1="","",IFERROR(INDEX('包络曲线数据'!$B$2:$U$742,ROW()-1,MATCH(C$1,'包络曲线数据'!$B$1:$U$1,0)),""))</x:f>
        <x:v>75.66374945744006</x:v>
      </x:c>
      <x:c r="D167" t="str">
        <x:f>IF(D$1="","",IFERROR(INDEX('包络曲线数据'!$B$2:$U$742,ROW()-1,MATCH(D$1,'包络曲线数据'!$B$1:$U$1,0)),""))</x:f>
      </x:c>
      <x:c r="E167" t="str">
        <x:f>IF(E$1="","",IFERROR(INDEX('包络曲线数据'!$B$2:$U$742,ROW()-1,MATCH(E$1,'包络曲线数据'!$B$1:$U$1,0)),""))</x:f>
      </x:c>
      <x:c r="F167" t="str">
        <x:f>IF(F$1="","",IFERROR(INDEX('包络曲线数据'!$B$2:$U$742,ROW()-1,MATCH(F$1,'包络曲线数据'!$B$1:$U$1,0)),""))</x:f>
      </x:c>
      <x:c r="G167" t="str">
        <x:f>IF(G$1="","",IFERROR(INDEX('包络曲线数据'!$B$2:$U$742,ROW()-1,MATCH(G$1,'包络曲线数据'!$B$1:$U$1,0)),""))</x:f>
      </x:c>
    </x:row>
    <x:row r="168">
      <x:c r="A168" t="n">
        <x:v>16.6</x:v>
      </x:c>
      <x:c r="B168" t="n">
        <x:f>IF(B$1="","",IFERROR(INDEX('包络曲线数据'!$B$2:$U$742,ROW()-1,MATCH(B$1,'包络曲线数据'!$B$1:$U$1,0)),""))</x:f>
        <x:v>61.902793100014</x:v>
      </x:c>
      <x:c r="C168" t="n">
        <x:f>IF(C$1="","",IFERROR(INDEX('包络曲线数据'!$B$2:$U$742,ROW()-1,MATCH(C$1,'包络曲线数据'!$B$1:$U$1,0)),""))</x:f>
        <x:v>75.64444398441675</x:v>
      </x:c>
      <x:c r="D168" t="str">
        <x:f>IF(D$1="","",IFERROR(INDEX('包络曲线数据'!$B$2:$U$742,ROW()-1,MATCH(D$1,'包络曲线数据'!$B$1:$U$1,0)),""))</x:f>
      </x:c>
      <x:c r="E168" t="str">
        <x:f>IF(E$1="","",IFERROR(INDEX('包络曲线数据'!$B$2:$U$742,ROW()-1,MATCH(E$1,'包络曲线数据'!$B$1:$U$1,0)),""))</x:f>
      </x:c>
      <x:c r="F168" t="str">
        <x:f>IF(F$1="","",IFERROR(INDEX('包络曲线数据'!$B$2:$U$742,ROW()-1,MATCH(F$1,'包络曲线数据'!$B$1:$U$1,0)),""))</x:f>
      </x:c>
      <x:c r="G168" t="str">
        <x:f>IF(G$1="","",IFERROR(INDEX('包络曲线数据'!$B$2:$U$742,ROW()-1,MATCH(G$1,'包络曲线数据'!$B$1:$U$1,0)),""))</x:f>
      </x:c>
    </x:row>
    <x:row r="169">
      <x:c r="A169" t="n">
        <x:v>16.7</x:v>
      </x:c>
      <x:c r="B169" t="n">
        <x:f>IF(B$1="","",IFERROR(INDEX('包络曲线数据'!$B$2:$U$742,ROW()-1,MATCH(B$1,'包络曲线数据'!$B$1:$U$1,0)),""))</x:f>
        <x:v>63.58759434569432</x:v>
      </x:c>
      <x:c r="C169" t="n">
        <x:f>IF(C$1="","",IFERROR(INDEX('包络曲线数据'!$B$2:$U$742,ROW()-1,MATCH(C$1,'包络曲线数据'!$B$1:$U$1,0)),""))</x:f>
        <x:v>75.98973381748428</x:v>
      </x:c>
      <x:c r="D169" t="str">
        <x:f>IF(D$1="","",IFERROR(INDEX('包络曲线数据'!$B$2:$U$742,ROW()-1,MATCH(D$1,'包络曲线数据'!$B$1:$U$1,0)),""))</x:f>
      </x:c>
      <x:c r="E169" t="str">
        <x:f>IF(E$1="","",IFERROR(INDEX('包络曲线数据'!$B$2:$U$742,ROW()-1,MATCH(E$1,'包络曲线数据'!$B$1:$U$1,0)),""))</x:f>
      </x:c>
      <x:c r="F169" t="str">
        <x:f>IF(F$1="","",IFERROR(INDEX('包络曲线数据'!$B$2:$U$742,ROW()-1,MATCH(F$1,'包络曲线数据'!$B$1:$U$1,0)),""))</x:f>
      </x:c>
      <x:c r="G169" t="str">
        <x:f>IF(G$1="","",IFERROR(INDEX('包络曲线数据'!$B$2:$U$742,ROW()-1,MATCH(G$1,'包络曲线数据'!$B$1:$U$1,0)),""))</x:f>
      </x:c>
    </x:row>
    <x:row r="170">
      <x:c r="A170" t="n">
        <x:v>16.8</x:v>
      </x:c>
      <x:c r="B170" t="n">
        <x:f>IF(B$1="","",IFERROR(INDEX('包络曲线数据'!$B$2:$U$742,ROW()-1,MATCH(B$1,'包络曲线数据'!$B$1:$U$1,0)),""))</x:f>
        <x:v>63.58759434569432</x:v>
      </x:c>
      <x:c r="C170" t="n">
        <x:f>IF(C$1="","",IFERROR(INDEX('包络曲线数据'!$B$2:$U$742,ROW()-1,MATCH(C$1,'包络曲线数据'!$B$1:$U$1,0)),""))</x:f>
        <x:v>75.98973381748428</x:v>
      </x:c>
      <x:c r="D170" t="str">
        <x:f>IF(D$1="","",IFERROR(INDEX('包络曲线数据'!$B$2:$U$742,ROW()-1,MATCH(D$1,'包络曲线数据'!$B$1:$U$1,0)),""))</x:f>
      </x:c>
      <x:c r="E170" t="str">
        <x:f>IF(E$1="","",IFERROR(INDEX('包络曲线数据'!$B$2:$U$742,ROW()-1,MATCH(E$1,'包络曲线数据'!$B$1:$U$1,0)),""))</x:f>
      </x:c>
      <x:c r="F170" t="str">
        <x:f>IF(F$1="","",IFERROR(INDEX('包络曲线数据'!$B$2:$U$742,ROW()-1,MATCH(F$1,'包络曲线数据'!$B$1:$U$1,0)),""))</x:f>
      </x:c>
      <x:c r="G170" t="str">
        <x:f>IF(G$1="","",IFERROR(INDEX('包络曲线数据'!$B$2:$U$742,ROW()-1,MATCH(G$1,'包络曲线数据'!$B$1:$U$1,0)),""))</x:f>
      </x:c>
    </x:row>
    <x:row r="171">
      <x:c r="A171" t="n">
        <x:v>16.900000000000002</x:v>
      </x:c>
      <x:c r="B171" t="n">
        <x:f>IF(B$1="","",IFERROR(INDEX('包络曲线数据'!$B$2:$U$742,ROW()-1,MATCH(B$1,'包络曲线数据'!$B$1:$U$1,0)),""))</x:f>
        <x:v>62.55109168018957</x:v>
      </x:c>
      <x:c r="C171" t="n">
        <x:f>IF(C$1="","",IFERROR(INDEX('包络曲线数据'!$B$2:$U$742,ROW()-1,MATCH(C$1,'包络曲线数据'!$B$1:$U$1,0)),""))</x:f>
        <x:v>76.23923196929474</x:v>
      </x:c>
      <x:c r="D171" t="str">
        <x:f>IF(D$1="","",IFERROR(INDEX('包络曲线数据'!$B$2:$U$742,ROW()-1,MATCH(D$1,'包络曲线数据'!$B$1:$U$1,0)),""))</x:f>
      </x:c>
      <x:c r="E171" t="str">
        <x:f>IF(E$1="","",IFERROR(INDEX('包络曲线数据'!$B$2:$U$742,ROW()-1,MATCH(E$1,'包络曲线数据'!$B$1:$U$1,0)),""))</x:f>
      </x:c>
      <x:c r="F171" t="str">
        <x:f>IF(F$1="","",IFERROR(INDEX('包络曲线数据'!$B$2:$U$742,ROW()-1,MATCH(F$1,'包络曲线数据'!$B$1:$U$1,0)),""))</x:f>
      </x:c>
      <x:c r="G171" t="str">
        <x:f>IF(G$1="","",IFERROR(INDEX('包络曲线数据'!$B$2:$U$742,ROW()-1,MATCH(G$1,'包络曲线数据'!$B$1:$U$1,0)),""))</x:f>
      </x:c>
    </x:row>
    <x:row r="172">
      <x:c r="A172" t="n">
        <x:v>17</x:v>
      </x:c>
      <x:c r="B172" t="n">
        <x:f>IF(B$1="","",IFERROR(INDEX('包络曲线数据'!$B$2:$U$742,ROW()-1,MATCH(B$1,'包络曲线数据'!$B$1:$U$1,0)),""))</x:f>
        <x:v>65.6663798525212</x:v>
      </x:c>
      <x:c r="C172" t="n">
        <x:f>IF(C$1="","",IFERROR(INDEX('包络曲线数据'!$B$2:$U$742,ROW()-1,MATCH(C$1,'包络曲线数据'!$B$1:$U$1,0)),""))</x:f>
        <x:v>76.23923196929474</x:v>
      </x:c>
      <x:c r="D172" t="str">
        <x:f>IF(D$1="","",IFERROR(INDEX('包络曲线数据'!$B$2:$U$742,ROW()-1,MATCH(D$1,'包络曲线数据'!$B$1:$U$1,0)),""))</x:f>
      </x:c>
      <x:c r="E172" t="str">
        <x:f>IF(E$1="","",IFERROR(INDEX('包络曲线数据'!$B$2:$U$742,ROW()-1,MATCH(E$1,'包络曲线数据'!$B$1:$U$1,0)),""))</x:f>
      </x:c>
      <x:c r="F172" t="str">
        <x:f>IF(F$1="","",IFERROR(INDEX('包络曲线数据'!$B$2:$U$742,ROW()-1,MATCH(F$1,'包络曲线数据'!$B$1:$U$1,0)),""))</x:f>
      </x:c>
      <x:c r="G172" t="str">
        <x:f>IF(G$1="","",IFERROR(INDEX('包络曲线数据'!$B$2:$U$742,ROW()-1,MATCH(G$1,'包络曲线数据'!$B$1:$U$1,0)),""))</x:f>
      </x:c>
    </x:row>
    <x:row r="173">
      <x:c r="A173" t="n">
        <x:v>17.1</x:v>
      </x:c>
      <x:c r="B173" t="n">
        <x:f>IF(B$1="","",IFERROR(INDEX('包络曲线数据'!$B$2:$U$742,ROW()-1,MATCH(B$1,'包络曲线数据'!$B$1:$U$1,0)),""))</x:f>
        <x:v>65.6663798525212</x:v>
      </x:c>
      <x:c r="C173" t="n">
        <x:f>IF(C$1="","",IFERROR(INDEX('包络曲线数据'!$B$2:$U$742,ROW()-1,MATCH(C$1,'包络曲线数据'!$B$1:$U$1,0)),""))</x:f>
        <x:v>75.26025562590608</x:v>
      </x:c>
      <x:c r="D173" t="str">
        <x:f>IF(D$1="","",IFERROR(INDEX('包络曲线数据'!$B$2:$U$742,ROW()-1,MATCH(D$1,'包络曲线数据'!$B$1:$U$1,0)),""))</x:f>
      </x:c>
      <x:c r="E173" t="str">
        <x:f>IF(E$1="","",IFERROR(INDEX('包络曲线数据'!$B$2:$U$742,ROW()-1,MATCH(E$1,'包络曲线数据'!$B$1:$U$1,0)),""))</x:f>
      </x:c>
      <x:c r="F173" t="str">
        <x:f>IF(F$1="","",IFERROR(INDEX('包络曲线数据'!$B$2:$U$742,ROW()-1,MATCH(F$1,'包络曲线数据'!$B$1:$U$1,0)),""))</x:f>
      </x:c>
      <x:c r="G173" t="str">
        <x:f>IF(G$1="","",IFERROR(INDEX('包络曲线数据'!$B$2:$U$742,ROW()-1,MATCH(G$1,'包络曲线数据'!$B$1:$U$1,0)),""))</x:f>
      </x:c>
    </x:row>
    <x:row r="174">
      <x:c r="A174" t="n">
        <x:v>17.2</x:v>
      </x:c>
      <x:c r="B174" t="n">
        <x:f>IF(B$1="","",IFERROR(INDEX('包络曲线数据'!$B$2:$U$742,ROW()-1,MATCH(B$1,'包络曲线数据'!$B$1:$U$1,0)),""))</x:f>
        <x:v>64.94035299067009</x:v>
      </x:c>
      <x:c r="C174" t="n">
        <x:f>IF(C$1="","",IFERROR(INDEX('包络曲线数据'!$B$2:$U$742,ROW()-1,MATCH(C$1,'包络曲线数据'!$B$1:$U$1,0)),""))</x:f>
        <x:v>73.32330132208492</x:v>
      </x:c>
      <x:c r="D174" t="str">
        <x:f>IF(D$1="","",IFERROR(INDEX('包络曲线数据'!$B$2:$U$742,ROW()-1,MATCH(D$1,'包络曲线数据'!$B$1:$U$1,0)),""))</x:f>
      </x:c>
      <x:c r="E174" t="str">
        <x:f>IF(E$1="","",IFERROR(INDEX('包络曲线数据'!$B$2:$U$742,ROW()-1,MATCH(E$1,'包络曲线数据'!$B$1:$U$1,0)),""))</x:f>
      </x:c>
      <x:c r="F174" t="str">
        <x:f>IF(F$1="","",IFERROR(INDEX('包络曲线数据'!$B$2:$U$742,ROW()-1,MATCH(F$1,'包络曲线数据'!$B$1:$U$1,0)),""))</x:f>
      </x:c>
      <x:c r="G174" t="str">
        <x:f>IF(G$1="","",IFERROR(INDEX('包络曲线数据'!$B$2:$U$742,ROW()-1,MATCH(G$1,'包络曲线数据'!$B$1:$U$1,0)),""))</x:f>
      </x:c>
    </x:row>
    <x:row r="175">
      <x:c r="A175" t="n">
        <x:v>17.3</x:v>
      </x:c>
      <x:c r="B175" t="n">
        <x:f>IF(B$1="","",IFERROR(INDEX('包络曲线数据'!$B$2:$U$742,ROW()-1,MATCH(B$1,'包络曲线数据'!$B$1:$U$1,0)),""))</x:f>
        <x:v>64.19680004530656</x:v>
      </x:c>
      <x:c r="C175" t="n">
        <x:f>IF(C$1="","",IFERROR(INDEX('包络曲线数据'!$B$2:$U$742,ROW()-1,MATCH(C$1,'包络曲线数据'!$B$1:$U$1,0)),""))</x:f>
        <x:v>83.55418460091752</x:v>
      </x:c>
      <x:c r="D175" t="str">
        <x:f>IF(D$1="","",IFERROR(INDEX('包络曲线数据'!$B$2:$U$742,ROW()-1,MATCH(D$1,'包络曲线数据'!$B$1:$U$1,0)),""))</x:f>
      </x:c>
      <x:c r="E175" t="str">
        <x:f>IF(E$1="","",IFERROR(INDEX('包络曲线数据'!$B$2:$U$742,ROW()-1,MATCH(E$1,'包络曲线数据'!$B$1:$U$1,0)),""))</x:f>
      </x:c>
      <x:c r="F175" t="str">
        <x:f>IF(F$1="","",IFERROR(INDEX('包络曲线数据'!$B$2:$U$742,ROW()-1,MATCH(F$1,'包络曲线数据'!$B$1:$U$1,0)),""))</x:f>
      </x:c>
      <x:c r="G175" t="str">
        <x:f>IF(G$1="","",IFERROR(INDEX('包络曲线数据'!$B$2:$U$742,ROW()-1,MATCH(G$1,'包络曲线数据'!$B$1:$U$1,0)),""))</x:f>
      </x:c>
    </x:row>
    <x:row r="176">
      <x:c r="A176" t="n">
        <x:v>17.400000000000002</x:v>
      </x:c>
      <x:c r="B176" t="n">
        <x:f>IF(B$1="","",IFERROR(INDEX('包络曲线数据'!$B$2:$U$742,ROW()-1,MATCH(B$1,'包络曲线数据'!$B$1:$U$1,0)),""))</x:f>
        <x:v>63.518465235693455</x:v>
      </x:c>
      <x:c r="C176" t="n">
        <x:f>IF(C$1="","",IFERROR(INDEX('包络曲线数据'!$B$2:$U$742,ROW()-1,MATCH(C$1,'包络曲线数据'!$B$1:$U$1,0)),""))</x:f>
        <x:v>83.55418460091752</x:v>
      </x:c>
      <x:c r="D176" t="str">
        <x:f>IF(D$1="","",IFERROR(INDEX('包络曲线数据'!$B$2:$U$742,ROW()-1,MATCH(D$1,'包络曲线数据'!$B$1:$U$1,0)),""))</x:f>
      </x:c>
      <x:c r="E176" t="str">
        <x:f>IF(E$1="","",IFERROR(INDEX('包络曲线数据'!$B$2:$U$742,ROW()-1,MATCH(E$1,'包络曲线数据'!$B$1:$U$1,0)),""))</x:f>
      </x:c>
      <x:c r="F176" t="str">
        <x:f>IF(F$1="","",IFERROR(INDEX('包络曲线数据'!$B$2:$U$742,ROW()-1,MATCH(F$1,'包络曲线数据'!$B$1:$U$1,0)),""))</x:f>
      </x:c>
      <x:c r="G176" t="str">
        <x:f>IF(G$1="","",IFERROR(INDEX('包络曲线数据'!$B$2:$U$742,ROW()-1,MATCH(G$1,'包络曲线数据'!$B$1:$U$1,0)),""))</x:f>
      </x:c>
    </x:row>
    <x:row r="177">
      <x:c r="A177" t="n">
        <x:v>17.5</x:v>
      </x:c>
      <x:c r="B177" t="n">
        <x:f>IF(B$1="","",IFERROR(INDEX('包络曲线数据'!$B$2:$U$742,ROW()-1,MATCH(B$1,'包络曲线数据'!$B$1:$U$1,0)),""))</x:f>
        <x:v>74.77136546619259</x:v>
      </x:c>
      <x:c r="C177" t="n">
        <x:f>IF(C$1="","",IFERROR(INDEX('包络曲线数据'!$B$2:$U$742,ROW()-1,MATCH(C$1,'包络曲线数据'!$B$1:$U$1,0)),""))</x:f>
        <x:v>80.2292708179973</x:v>
      </x:c>
      <x:c r="D177" t="str">
        <x:f>IF(D$1="","",IFERROR(INDEX('包络曲线数据'!$B$2:$U$742,ROW()-1,MATCH(D$1,'包络曲线数据'!$B$1:$U$1,0)),""))</x:f>
      </x:c>
      <x:c r="E177" t="str">
        <x:f>IF(E$1="","",IFERROR(INDEX('包络曲线数据'!$B$2:$U$742,ROW()-1,MATCH(E$1,'包络曲线数据'!$B$1:$U$1,0)),""))</x:f>
      </x:c>
      <x:c r="F177" t="str">
        <x:f>IF(F$1="","",IFERROR(INDEX('包络曲线数据'!$B$2:$U$742,ROW()-1,MATCH(F$1,'包络曲线数据'!$B$1:$U$1,0)),""))</x:f>
      </x:c>
      <x:c r="G177" t="str">
        <x:f>IF(G$1="","",IFERROR(INDEX('包络曲线数据'!$B$2:$U$742,ROW()-1,MATCH(G$1,'包络曲线数据'!$B$1:$U$1,0)),""))</x:f>
      </x:c>
    </x:row>
    <x:row r="178">
      <x:c r="A178" t="n">
        <x:v>17.6</x:v>
      </x:c>
      <x:c r="B178" t="n">
        <x:f>IF(B$1="","",IFERROR(INDEX('包络曲线数据'!$B$2:$U$742,ROW()-1,MATCH(B$1,'包络曲线数据'!$B$1:$U$1,0)),""))</x:f>
        <x:v>74.77136546619259</x:v>
      </x:c>
      <x:c r="C178" t="n">
        <x:f>IF(C$1="","",IFERROR(INDEX('包络曲线数据'!$B$2:$U$742,ROW()-1,MATCH(C$1,'包络曲线数据'!$B$1:$U$1,0)),""))</x:f>
        <x:v>70.49125553196136</x:v>
      </x:c>
      <x:c r="D178" t="str">
        <x:f>IF(D$1="","",IFERROR(INDEX('包络曲线数据'!$B$2:$U$742,ROW()-1,MATCH(D$1,'包络曲线数据'!$B$1:$U$1,0)),""))</x:f>
      </x:c>
      <x:c r="E178" t="str">
        <x:f>IF(E$1="","",IFERROR(INDEX('包络曲线数据'!$B$2:$U$742,ROW()-1,MATCH(E$1,'包络曲线数据'!$B$1:$U$1,0)),""))</x:f>
      </x:c>
      <x:c r="F178" t="str">
        <x:f>IF(F$1="","",IFERROR(INDEX('包络曲线数据'!$B$2:$U$742,ROW()-1,MATCH(F$1,'包络曲线数据'!$B$1:$U$1,0)),""))</x:f>
      </x:c>
      <x:c r="G178" t="str">
        <x:f>IF(G$1="","",IFERROR(INDEX('包络曲线数据'!$B$2:$U$742,ROW()-1,MATCH(G$1,'包络曲线数据'!$B$1:$U$1,0)),""))</x:f>
      </x:c>
    </x:row>
    <x:row r="179">
      <x:c r="A179" t="n">
        <x:v>17.7</x:v>
      </x:c>
      <x:c r="B179" t="n">
        <x:f>IF(B$1="","",IFERROR(INDEX('包络曲线数据'!$B$2:$U$742,ROW()-1,MATCH(B$1,'包络曲线数据'!$B$1:$U$1,0)),""))</x:f>
        <x:v>72.45022328350004</x:v>
      </x:c>
      <x:c r="C179" t="n">
        <x:f>IF(C$1="","",IFERROR(INDEX('包络曲线数据'!$B$2:$U$742,ROW()-1,MATCH(C$1,'包络曲线数据'!$B$1:$U$1,0)),""))</x:f>
        <x:v>53.94208390664677</x:v>
      </x:c>
      <x:c r="D179" t="str">
        <x:f>IF(D$1="","",IFERROR(INDEX('包络曲线数据'!$B$2:$U$742,ROW()-1,MATCH(D$1,'包络曲线数据'!$B$1:$U$1,0)),""))</x:f>
      </x:c>
      <x:c r="E179" t="str">
        <x:f>IF(E$1="","",IFERROR(INDEX('包络曲线数据'!$B$2:$U$742,ROW()-1,MATCH(E$1,'包络曲线数据'!$B$1:$U$1,0)),""))</x:f>
      </x:c>
      <x:c r="F179" t="str">
        <x:f>IF(F$1="","",IFERROR(INDEX('包络曲线数据'!$B$2:$U$742,ROW()-1,MATCH(F$1,'包络曲线数据'!$B$1:$U$1,0)),""))</x:f>
      </x:c>
      <x:c r="G179" t="str">
        <x:f>IF(G$1="","",IFERROR(INDEX('包络曲线数据'!$B$2:$U$742,ROW()-1,MATCH(G$1,'包络曲线数据'!$B$1:$U$1,0)),""))</x:f>
      </x:c>
    </x:row>
    <x:row r="180">
      <x:c r="A180" t="n">
        <x:v>17.8</x:v>
      </x:c>
      <x:c r="B180" t="n">
        <x:f>IF(B$1="","",IFERROR(INDEX('包络曲线数据'!$B$2:$U$742,ROW()-1,MATCH(B$1,'包络曲线数据'!$B$1:$U$1,0)),""))</x:f>
        <x:v>58.21067801830182</x:v>
      </x:c>
      <x:c r="C180" t="n">
        <x:f>IF(C$1="","",IFERROR(INDEX('包络曲线数据'!$B$2:$U$742,ROW()-1,MATCH(C$1,'包络曲线数据'!$B$1:$U$1,0)),""))</x:f>
        <x:v>50</x:v>
      </x:c>
      <x:c r="D180" t="str">
        <x:f>IF(D$1="","",IFERROR(INDEX('包络曲线数据'!$B$2:$U$742,ROW()-1,MATCH(D$1,'包络曲线数据'!$B$1:$U$1,0)),""))</x:f>
      </x:c>
      <x:c r="E180" t="str">
        <x:f>IF(E$1="","",IFERROR(INDEX('包络曲线数据'!$B$2:$U$742,ROW()-1,MATCH(E$1,'包络曲线数据'!$B$1:$U$1,0)),""))</x:f>
      </x:c>
      <x:c r="F180" t="str">
        <x:f>IF(F$1="","",IFERROR(INDEX('包络曲线数据'!$B$2:$U$742,ROW()-1,MATCH(F$1,'包络曲线数据'!$B$1:$U$1,0)),""))</x:f>
      </x:c>
      <x:c r="G180" t="str">
        <x:f>IF(G$1="","",IFERROR(INDEX('包络曲线数据'!$B$2:$U$742,ROW()-1,MATCH(G$1,'包络曲线数据'!$B$1:$U$1,0)),""))</x:f>
      </x:c>
    </x:row>
    <x:row r="181">
      <x:c r="A181" t="n">
        <x:v>17.900000000000002</x:v>
      </x:c>
      <x:c r="B181" t="n">
        <x:f>IF(B$1="","",IFERROR(INDEX('包络曲线数据'!$B$2:$U$742,ROW()-1,MATCH(B$1,'包络曲线数据'!$B$1:$U$1,0)),""))</x:f>
        <x:v>52.379378633099186</x:v>
      </x:c>
      <x:c r="C181" t="n">
        <x:f>IF(C$1="","",IFERROR(INDEX('包络曲线数据'!$B$2:$U$742,ROW()-1,MATCH(C$1,'包络曲线数据'!$B$1:$U$1,0)),""))</x:f>
        <x:v>59.34816520051684</x:v>
      </x:c>
      <x:c r="D181" t="str">
        <x:f>IF(D$1="","",IFERROR(INDEX('包络曲线数据'!$B$2:$U$742,ROW()-1,MATCH(D$1,'包络曲线数据'!$B$1:$U$1,0)),""))</x:f>
      </x:c>
      <x:c r="E181" t="str">
        <x:f>IF(E$1="","",IFERROR(INDEX('包络曲线数据'!$B$2:$U$742,ROW()-1,MATCH(E$1,'包络曲线数据'!$B$1:$U$1,0)),""))</x:f>
      </x:c>
      <x:c r="F181" t="str">
        <x:f>IF(F$1="","",IFERROR(INDEX('包络曲线数据'!$B$2:$U$742,ROW()-1,MATCH(F$1,'包络曲线数据'!$B$1:$U$1,0)),""))</x:f>
      </x:c>
      <x:c r="G181" t="str">
        <x:f>IF(G$1="","",IFERROR(INDEX('包络曲线数据'!$B$2:$U$742,ROW()-1,MATCH(G$1,'包络曲线数据'!$B$1:$U$1,0)),""))</x:f>
      </x:c>
    </x:row>
    <x:row r="182">
      <x:c r="A182" t="n">
        <x:v>18</x:v>
      </x:c>
      <x:c r="B182" t="n">
        <x:f>IF(B$1="","",IFERROR(INDEX('包络曲线数据'!$B$2:$U$742,ROW()-1,MATCH(B$1,'包络曲线数据'!$B$1:$U$1,0)),""))</x:f>
        <x:v>56.345009688264255</x:v>
      </x:c>
      <x:c r="C182" t="n">
        <x:f>IF(C$1="","",IFERROR(INDEX('包络曲线数据'!$B$2:$U$742,ROW()-1,MATCH(C$1,'包络曲线数据'!$B$1:$U$1,0)),""))</x:f>
        <x:v>66.82669736093004</x:v>
      </x:c>
      <x:c r="D182" t="str">
        <x:f>IF(D$1="","",IFERROR(INDEX('包络曲线数据'!$B$2:$U$742,ROW()-1,MATCH(D$1,'包络曲线数据'!$B$1:$U$1,0)),""))</x:f>
      </x:c>
      <x:c r="E182" t="str">
        <x:f>IF(E$1="","",IFERROR(INDEX('包络曲线数据'!$B$2:$U$742,ROW()-1,MATCH(E$1,'包络曲线数据'!$B$1:$U$1,0)),""))</x:f>
      </x:c>
      <x:c r="F182" t="str">
        <x:f>IF(F$1="","",IFERROR(INDEX('包络曲线数据'!$B$2:$U$742,ROW()-1,MATCH(F$1,'包络曲线数据'!$B$1:$U$1,0)),""))</x:f>
      </x:c>
      <x:c r="G182" t="str">
        <x:f>IF(G$1="","",IFERROR(INDEX('包络曲线数据'!$B$2:$U$742,ROW()-1,MATCH(G$1,'包络曲线数据'!$B$1:$U$1,0)),""))</x:f>
      </x:c>
    </x:row>
    <x:row r="183">
      <x:c r="A183" t="n">
        <x:v>18.1</x:v>
      </x:c>
      <x:c r="B183" t="n">
        <x:f>IF(B$1="","",IFERROR(INDEX('包络曲线数据'!$B$2:$U$742,ROW()-1,MATCH(B$1,'包络曲线数据'!$B$1:$U$1,0)),""))</x:f>
        <x:v>60.310640743429474</x:v>
      </x:c>
      <x:c r="C183" t="n">
        <x:f>IF(C$1="","",IFERROR(INDEX('包络曲线数据'!$B$2:$U$742,ROW()-1,MATCH(C$1,'包络曲线数据'!$B$1:$U$1,0)),""))</x:f>
        <x:v>73.06646848105106</x:v>
      </x:c>
      <x:c r="D183" t="str">
        <x:f>IF(D$1="","",IFERROR(INDEX('包络曲线数据'!$B$2:$U$742,ROW()-1,MATCH(D$1,'包络曲线数据'!$B$1:$U$1,0)),""))</x:f>
      </x:c>
      <x:c r="E183" t="str">
        <x:f>IF(E$1="","",IFERROR(INDEX('包络曲线数据'!$B$2:$U$742,ROW()-1,MATCH(E$1,'包络曲线数据'!$B$1:$U$1,0)),""))</x:f>
      </x:c>
      <x:c r="F183" t="str">
        <x:f>IF(F$1="","",IFERROR(INDEX('包络曲线数据'!$B$2:$U$742,ROW()-1,MATCH(F$1,'包络曲线数据'!$B$1:$U$1,0)),""))</x:f>
      </x:c>
      <x:c r="G183" t="str">
        <x:f>IF(G$1="","",IFERROR(INDEX('包络曲线数据'!$B$2:$U$742,ROW()-1,MATCH(G$1,'包络曲线数据'!$B$1:$U$1,0)),""))</x:f>
      </x:c>
    </x:row>
    <x:row r="184">
      <x:c r="A184" t="n">
        <x:v>18.2</x:v>
      </x:c>
      <x:c r="B184" t="n">
        <x:f>IF(B$1="","",IFERROR(INDEX('包络曲线数据'!$B$2:$U$742,ROW()-1,MATCH(B$1,'包络曲线数据'!$B$1:$U$1,0)),""))</x:f>
        <x:v>62.69001937652852</x:v>
      </x:c>
      <x:c r="C184" t="n">
        <x:f>IF(C$1="","",IFERROR(INDEX('包络曲线数据'!$B$2:$U$742,ROW()-1,MATCH(C$1,'包络曲线数据'!$B$1:$U$1,0)),""))</x:f>
        <x:v>76.23006970383243</x:v>
      </x:c>
      <x:c r="D184" t="str">
        <x:f>IF(D$1="","",IFERROR(INDEX('包络曲线数据'!$B$2:$U$742,ROW()-1,MATCH(D$1,'包络曲线数据'!$B$1:$U$1,0)),""))</x:f>
      </x:c>
      <x:c r="E184" t="str">
        <x:f>IF(E$1="","",IFERROR(INDEX('包络曲线数据'!$B$2:$U$742,ROW()-1,MATCH(E$1,'包络曲线数据'!$B$1:$U$1,0)),""))</x:f>
      </x:c>
      <x:c r="F184" t="str">
        <x:f>IF(F$1="","",IFERROR(INDEX('包络曲线数据'!$B$2:$U$742,ROW()-1,MATCH(F$1,'包络曲线数据'!$B$1:$U$1,0)),""))</x:f>
      </x:c>
      <x:c r="G184" t="str">
        <x:f>IF(G$1="","",IFERROR(INDEX('包络曲线数据'!$B$2:$U$742,ROW()-1,MATCH(G$1,'包络曲线数据'!$B$1:$U$1,0)),""))</x:f>
      </x:c>
    </x:row>
    <x:row r="185">
      <x:c r="A185" t="n">
        <x:v>18.3</x:v>
      </x:c>
      <x:c r="B185" t="n">
        <x:f>IF(B$1="","",IFERROR(INDEX('包络曲线数据'!$B$2:$U$742,ROW()-1,MATCH(B$1,'包络曲线数据'!$B$1:$U$1,0)),""))</x:f>
        <x:v>62.69001937652852</x:v>
      </x:c>
      <x:c r="C185" t="n">
        <x:f>IF(C$1="","",IFERROR(INDEX('包络曲线数据'!$B$2:$U$742,ROW()-1,MATCH(C$1,'包络曲线数据'!$B$1:$U$1,0)),""))</x:f>
        <x:v>76.23006970383243</x:v>
      </x:c>
      <x:c r="D185" t="str">
        <x:f>IF(D$1="","",IFERROR(INDEX('包络曲线数据'!$B$2:$U$742,ROW()-1,MATCH(D$1,'包络曲线数据'!$B$1:$U$1,0)),""))</x:f>
      </x:c>
      <x:c r="E185" t="str">
        <x:f>IF(E$1="","",IFERROR(INDEX('包络曲线数据'!$B$2:$U$742,ROW()-1,MATCH(E$1,'包络曲线数据'!$B$1:$U$1,0)),""))</x:f>
      </x:c>
      <x:c r="F185" t="str">
        <x:f>IF(F$1="","",IFERROR(INDEX('包络曲线数据'!$B$2:$U$742,ROW()-1,MATCH(F$1,'包络曲线数据'!$B$1:$U$1,0)),""))</x:f>
      </x:c>
      <x:c r="G185" t="str">
        <x:f>IF(G$1="","",IFERROR(INDEX('包络曲线数据'!$B$2:$U$742,ROW()-1,MATCH(G$1,'包络曲线数据'!$B$1:$U$1,0)),""))</x:f>
      </x:c>
    </x:row>
    <x:row r="186">
      <x:c r="A186" t="n">
        <x:v>18.400000000000002</x:v>
      </x:c>
      <x:c r="B186" t="n">
        <x:f>IF(B$1="","",IFERROR(INDEX('包络曲线数据'!$B$2:$U$742,ROW()-1,MATCH(B$1,'包络曲线数据'!$B$1:$U$1,0)),""))</x:f>
        <x:v>68.92259187439613</x:v>
      </x:c>
      <x:c r="C186" t="n">
        <x:f>IF(C$1="","",IFERROR(INDEX('包络曲线数据'!$B$2:$U$742,ROW()-1,MATCH(C$1,'包络曲线数据'!$B$1:$U$1,0)),""))</x:f>
        <x:v>70.59884496249488</x:v>
      </x:c>
      <x:c r="D186" t="str">
        <x:f>IF(D$1="","",IFERROR(INDEX('包络曲线数据'!$B$2:$U$742,ROW()-1,MATCH(D$1,'包络曲线数据'!$B$1:$U$1,0)),""))</x:f>
      </x:c>
      <x:c r="E186" t="str">
        <x:f>IF(E$1="","",IFERROR(INDEX('包络曲线数据'!$B$2:$U$742,ROW()-1,MATCH(E$1,'包络曲线数据'!$B$1:$U$1,0)),""))</x:f>
      </x:c>
      <x:c r="F186" t="str">
        <x:f>IF(F$1="","",IFERROR(INDEX('包络曲线数据'!$B$2:$U$742,ROW()-1,MATCH(F$1,'包络曲线数据'!$B$1:$U$1,0)),""))</x:f>
      </x:c>
      <x:c r="G186" t="str">
        <x:f>IF(G$1="","",IFERROR(INDEX('包络曲线数据'!$B$2:$U$742,ROW()-1,MATCH(G$1,'包络曲线数据'!$B$1:$U$1,0)),""))</x:f>
      </x:c>
    </x:row>
    <x:row r="187">
      <x:c r="A187" t="n">
        <x:v>18.5</x:v>
      </x:c>
      <x:c r="B187" t="n">
        <x:f>IF(B$1="","",IFERROR(INDEX('包络曲线数据'!$B$2:$U$742,ROW()-1,MATCH(B$1,'包络曲线数据'!$B$1:$U$1,0)),""))</x:f>
        <x:v>68.92259187439613</x:v>
      </x:c>
      <x:c r="C187" t="n">
        <x:f>IF(C$1="","",IFERROR(INDEX('包络曲线数据'!$B$2:$U$742,ROW()-1,MATCH(C$1,'包络曲线数据'!$B$1:$U$1,0)),""))</x:f>
        <x:v>70.79431527187863</x:v>
      </x:c>
      <x:c r="D187" t="str">
        <x:f>IF(D$1="","",IFERROR(INDEX('包络曲线数据'!$B$2:$U$742,ROW()-1,MATCH(D$1,'包络曲线数据'!$B$1:$U$1,0)),""))</x:f>
      </x:c>
      <x:c r="E187" t="str">
        <x:f>IF(E$1="","",IFERROR(INDEX('包络曲线数据'!$B$2:$U$742,ROW()-1,MATCH(E$1,'包络曲线数据'!$B$1:$U$1,0)),""))</x:f>
      </x:c>
      <x:c r="F187" t="str">
        <x:f>IF(F$1="","",IFERROR(INDEX('包络曲线数据'!$B$2:$U$742,ROW()-1,MATCH(F$1,'包络曲线数据'!$B$1:$U$1,0)),""))</x:f>
      </x:c>
      <x:c r="G187" t="str">
        <x:f>IF(G$1="","",IFERROR(INDEX('包络曲线数据'!$B$2:$U$742,ROW()-1,MATCH(G$1,'包络曲线数据'!$B$1:$U$1,0)),""))</x:f>
      </x:c>
    </x:row>
    <x:row r="188">
      <x:c r="A188" t="n">
        <x:v>18.6</x:v>
      </x:c>
      <x:c r="B188" t="n">
        <x:f>IF(B$1="","",IFERROR(INDEX('包络曲线数据'!$B$2:$U$742,ROW()-1,MATCH(B$1,'包络曲线数据'!$B$1:$U$1,0)),""))</x:f>
        <x:v>64.75341711694787</x:v>
      </x:c>
      <x:c r="C188" t="n">
        <x:f>IF(C$1="","",IFERROR(INDEX('包络曲线数据'!$B$2:$U$742,ROW()-1,MATCH(C$1,'包络曲线数据'!$B$1:$U$1,0)),""))</x:f>
        <x:v>76.67435347233123</x:v>
      </x:c>
      <x:c r="D188" t="str">
        <x:f>IF(D$1="","",IFERROR(INDEX('包络曲线数据'!$B$2:$U$742,ROW()-1,MATCH(D$1,'包络曲线数据'!$B$1:$U$1,0)),""))</x:f>
      </x:c>
      <x:c r="E188" t="str">
        <x:f>IF(E$1="","",IFERROR(INDEX('包络曲线数据'!$B$2:$U$742,ROW()-1,MATCH(E$1,'包络曲线数据'!$B$1:$U$1,0)),""))</x:f>
      </x:c>
      <x:c r="F188" t="str">
        <x:f>IF(F$1="","",IFERROR(INDEX('包络曲线数据'!$B$2:$U$742,ROW()-1,MATCH(F$1,'包络曲线数据'!$B$1:$U$1,0)),""))</x:f>
      </x:c>
      <x:c r="G188" t="str">
        <x:f>IF(G$1="","",IFERROR(INDEX('包络曲线数据'!$B$2:$U$742,ROW()-1,MATCH(G$1,'包络曲线数据'!$B$1:$U$1,0)),""))</x:f>
      </x:c>
    </x:row>
    <x:row r="189">
      <x:c r="A189" t="n">
        <x:v>18.7</x:v>
      </x:c>
      <x:c r="B189" t="n">
        <x:f>IF(B$1="","",IFERROR(INDEX('包络曲线数据'!$B$2:$U$742,ROW()-1,MATCH(B$1,'包络曲线数据'!$B$1:$U$1,0)),""))</x:f>
        <x:v>61.4857374229668</x:v>
      </x:c>
      <x:c r="C189" t="n">
        <x:f>IF(C$1="","",IFERROR(INDEX('包络曲线数据'!$B$2:$U$742,ROW()-1,MATCH(C$1,'包络曲线数据'!$B$1:$U$1,0)),""))</x:f>
        <x:v>76.67435347233123</x:v>
      </x:c>
      <x:c r="D189" t="str">
        <x:f>IF(D$1="","",IFERROR(INDEX('包络曲线数据'!$B$2:$U$742,ROW()-1,MATCH(D$1,'包络曲线数据'!$B$1:$U$1,0)),""))</x:f>
      </x:c>
      <x:c r="E189" t="str">
        <x:f>IF(E$1="","",IFERROR(INDEX('包络曲线数据'!$B$2:$U$742,ROW()-1,MATCH(E$1,'包络曲线数据'!$B$1:$U$1,0)),""))</x:f>
      </x:c>
      <x:c r="F189" t="str">
        <x:f>IF(F$1="","",IFERROR(INDEX('包络曲线数据'!$B$2:$U$742,ROW()-1,MATCH(F$1,'包络曲线数据'!$B$1:$U$1,0)),""))</x:f>
      </x:c>
      <x:c r="G189" t="str">
        <x:f>IF(G$1="","",IFERROR(INDEX('包络曲线数据'!$B$2:$U$742,ROW()-1,MATCH(G$1,'包络曲线数据'!$B$1:$U$1,0)),""))</x:f>
      </x:c>
    </x:row>
    <x:row r="190">
      <x:c r="A190" t="n">
        <x:v>18.8</x:v>
      </x:c>
      <x:c r="B190" t="n">
        <x:f>IF(B$1="","",IFERROR(INDEX('包络曲线数据'!$B$2:$U$742,ROW()-1,MATCH(B$1,'包络曲线数据'!$B$1:$U$1,0)),""))</x:f>
        <x:v>62.893768948073365</x:v>
      </x:c>
      <x:c r="C190" t="n">
        <x:f>IF(C$1="","",IFERROR(INDEX('包络曲线数据'!$B$2:$U$742,ROW()-1,MATCH(C$1,'包络曲线数据'!$B$1:$U$1,0)),""))</x:f>
        <x:v>75.98042605165337</x:v>
      </x:c>
      <x:c r="D190" t="str">
        <x:f>IF(D$1="","",IFERROR(INDEX('包络曲线数据'!$B$2:$U$742,ROW()-1,MATCH(D$1,'包络曲线数据'!$B$1:$U$1,0)),""))</x:f>
      </x:c>
      <x:c r="E190" t="str">
        <x:f>IF(E$1="","",IFERROR(INDEX('包络曲线数据'!$B$2:$U$742,ROW()-1,MATCH(E$1,'包络曲线数据'!$B$1:$U$1,0)),""))</x:f>
      </x:c>
      <x:c r="F190" t="str">
        <x:f>IF(F$1="","",IFERROR(INDEX('包络曲线数据'!$B$2:$U$742,ROW()-1,MATCH(F$1,'包络曲线数据'!$B$1:$U$1,0)),""))</x:f>
      </x:c>
      <x:c r="G190" t="str">
        <x:f>IF(G$1="","",IFERROR(INDEX('包络曲线数据'!$B$2:$U$742,ROW()-1,MATCH(G$1,'包络曲线数据'!$B$1:$U$1,0)),""))</x:f>
      </x:c>
    </x:row>
    <x:row r="191">
      <x:c r="A191" t="n">
        <x:v>18.900000000000002</x:v>
      </x:c>
      <x:c r="B191" t="n">
        <x:f>IF(B$1="","",IFERROR(INDEX('包络曲线数据'!$B$2:$U$742,ROW()-1,MATCH(B$1,'包络曲线数据'!$B$1:$U$1,0)),""))</x:f>
        <x:v>62.893768948073365</x:v>
      </x:c>
      <x:c r="C191" t="n">
        <x:f>IF(C$1="","",IFERROR(INDEX('包络曲线数据'!$B$2:$U$742,ROW()-1,MATCH(C$1,'包络曲线数据'!$B$1:$U$1,0)),""))</x:f>
        <x:v>76.50395361503028</x:v>
      </x:c>
      <x:c r="D191" t="str">
        <x:f>IF(D$1="","",IFERROR(INDEX('包络曲线数据'!$B$2:$U$742,ROW()-1,MATCH(D$1,'包络曲线数据'!$B$1:$U$1,0)),""))</x:f>
      </x:c>
      <x:c r="E191" t="str">
        <x:f>IF(E$1="","",IFERROR(INDEX('包络曲线数据'!$B$2:$U$742,ROW()-1,MATCH(E$1,'包络曲线数据'!$B$1:$U$1,0)),""))</x:f>
      </x:c>
      <x:c r="F191" t="str">
        <x:f>IF(F$1="","",IFERROR(INDEX('包络曲线数据'!$B$2:$U$742,ROW()-1,MATCH(F$1,'包络曲线数据'!$B$1:$U$1,0)),""))</x:f>
      </x:c>
      <x:c r="G191" t="str">
        <x:f>IF(G$1="","",IFERROR(INDEX('包络曲线数据'!$B$2:$U$742,ROW()-1,MATCH(G$1,'包络曲线数据'!$B$1:$U$1,0)),""))</x:f>
      </x:c>
    </x:row>
    <x:row r="192">
      <x:c r="A192" t="n">
        <x:v>19</x:v>
      </x:c>
      <x:c r="B192" t="n">
        <x:f>IF(B$1="","",IFERROR(INDEX('包络曲线数据'!$B$2:$U$742,ROW()-1,MATCH(B$1,'包络曲线数据'!$B$1:$U$1,0)),""))</x:f>
        <x:v>64.48959318803418</x:v>
      </x:c>
      <x:c r="C192" t="n">
        <x:f>IF(C$1="","",IFERROR(INDEX('包络曲线数据'!$B$2:$U$742,ROW()-1,MATCH(C$1,'包络曲线数据'!$B$1:$U$1,0)),""))</x:f>
        <x:v>77.34716449718408</x:v>
      </x:c>
      <x:c r="D192" t="str">
        <x:f>IF(D$1="","",IFERROR(INDEX('包络曲线数据'!$B$2:$U$742,ROW()-1,MATCH(D$1,'包络曲线数据'!$B$1:$U$1,0)),""))</x:f>
      </x:c>
      <x:c r="E192" t="str">
        <x:f>IF(E$1="","",IFERROR(INDEX('包络曲线数据'!$B$2:$U$742,ROW()-1,MATCH(E$1,'包络曲线数据'!$B$1:$U$1,0)),""))</x:f>
      </x:c>
      <x:c r="F192" t="str">
        <x:f>IF(F$1="","",IFERROR(INDEX('包络曲线数据'!$B$2:$U$742,ROW()-1,MATCH(F$1,'包络曲线数据'!$B$1:$U$1,0)),""))</x:f>
      </x:c>
      <x:c r="G192" t="str">
        <x:f>IF(G$1="","",IFERROR(INDEX('包络曲线数据'!$B$2:$U$742,ROW()-1,MATCH(G$1,'包络曲线数据'!$B$1:$U$1,0)),""))</x:f>
      </x:c>
    </x:row>
    <x:row r="193">
      <x:c r="A193" t="n">
        <x:v>19.1</x:v>
      </x:c>
      <x:c r="B193" t="n">
        <x:f>IF(B$1="","",IFERROR(INDEX('包络曲线数据'!$B$2:$U$742,ROW()-1,MATCH(B$1,'包络曲线数据'!$B$1:$U$1,0)),""))</x:f>
        <x:v>64.65603297246649</x:v>
      </x:c>
      <x:c r="C193" t="n">
        <x:f>IF(C$1="","",IFERROR(INDEX('包络曲线数据'!$B$2:$U$742,ROW()-1,MATCH(C$1,'包络曲线数据'!$B$1:$U$1,0)),""))</x:f>
        <x:v>77.34716449718408</x:v>
      </x:c>
      <x:c r="D193" t="str">
        <x:f>IF(D$1="","",IFERROR(INDEX('包络曲线数据'!$B$2:$U$742,ROW()-1,MATCH(D$1,'包络曲线数据'!$B$1:$U$1,0)),""))</x:f>
      </x:c>
      <x:c r="E193" t="str">
        <x:f>IF(E$1="","",IFERROR(INDEX('包络曲线数据'!$B$2:$U$742,ROW()-1,MATCH(E$1,'包络曲线数据'!$B$1:$U$1,0)),""))</x:f>
      </x:c>
      <x:c r="F193" t="str">
        <x:f>IF(F$1="","",IFERROR(INDEX('包络曲线数据'!$B$2:$U$742,ROW()-1,MATCH(F$1,'包络曲线数据'!$B$1:$U$1,0)),""))</x:f>
      </x:c>
      <x:c r="G193" t="str">
        <x:f>IF(G$1="","",IFERROR(INDEX('包络曲线数据'!$B$2:$U$742,ROW()-1,MATCH(G$1,'包络曲线数据'!$B$1:$U$1,0)),""))</x:f>
      </x:c>
    </x:row>
    <x:row r="194">
      <x:c r="A194" t="n">
        <x:v>19.200000000000003</x:v>
      </x:c>
      <x:c r="B194" t="n">
        <x:f>IF(B$1="","",IFERROR(INDEX('包络曲线数据'!$B$2:$U$742,ROW()-1,MATCH(B$1,'包络曲线数据'!$B$1:$U$1,0)),""))</x:f>
        <x:v>64.65603297246649</x:v>
      </x:c>
      <x:c r="C194" t="n">
        <x:f>IF(C$1="","",IFERROR(INDEX('包络曲线数据'!$B$2:$U$742,ROW()-1,MATCH(C$1,'包络曲线数据'!$B$1:$U$1,0)),""))</x:f>
        <x:v>76.57680847365752</x:v>
      </x:c>
      <x:c r="D194" t="str">
        <x:f>IF(D$1="","",IFERROR(INDEX('包络曲线数据'!$B$2:$U$742,ROW()-1,MATCH(D$1,'包络曲线数据'!$B$1:$U$1,0)),""))</x:f>
      </x:c>
      <x:c r="E194" t="str">
        <x:f>IF(E$1="","",IFERROR(INDEX('包络曲线数据'!$B$2:$U$742,ROW()-1,MATCH(E$1,'包络曲线数据'!$B$1:$U$1,0)),""))</x:f>
      </x:c>
      <x:c r="F194" t="str">
        <x:f>IF(F$1="","",IFERROR(INDEX('包络曲线数据'!$B$2:$U$742,ROW()-1,MATCH(F$1,'包络曲线数据'!$B$1:$U$1,0)),""))</x:f>
      </x:c>
      <x:c r="G194" t="str">
        <x:f>IF(G$1="","",IFERROR(INDEX('包络曲线数据'!$B$2:$U$742,ROW()-1,MATCH(G$1,'包络曲线数据'!$B$1:$U$1,0)),""))</x:f>
      </x:c>
    </x:row>
    <x:row r="195">
      <x:c r="A195" t="n">
        <x:v>19.3</x:v>
      </x:c>
      <x:c r="B195" t="n">
        <x:f>IF(B$1="","",IFERROR(INDEX('包络曲线数据'!$B$2:$U$742,ROW()-1,MATCH(B$1,'包络曲线数据'!$B$1:$U$1,0)),""))</x:f>
        <x:v>63.97319924678517</x:v>
      </x:c>
      <x:c r="C195" t="n">
        <x:f>IF(C$1="","",IFERROR(INDEX('包络曲线数据'!$B$2:$U$742,ROW()-1,MATCH(C$1,'包络曲线数据'!$B$1:$U$1,0)),""))</x:f>
        <x:v>78.26506398902198</x:v>
      </x:c>
      <x:c r="D195" t="str">
        <x:f>IF(D$1="","",IFERROR(INDEX('包络曲线数据'!$B$2:$U$742,ROW()-1,MATCH(D$1,'包络曲线数据'!$B$1:$U$1,0)),""))</x:f>
      </x:c>
      <x:c r="E195" t="str">
        <x:f>IF(E$1="","",IFERROR(INDEX('包络曲线数据'!$B$2:$U$742,ROW()-1,MATCH(E$1,'包络曲线数据'!$B$1:$U$1,0)),""))</x:f>
      </x:c>
      <x:c r="F195" t="str">
        <x:f>IF(F$1="","",IFERROR(INDEX('包络曲线数据'!$B$2:$U$742,ROW()-1,MATCH(F$1,'包络曲线数据'!$B$1:$U$1,0)),""))</x:f>
      </x:c>
      <x:c r="G195" t="str">
        <x:f>IF(G$1="","",IFERROR(INDEX('包络曲线数据'!$B$2:$U$742,ROW()-1,MATCH(G$1,'包络曲线数据'!$B$1:$U$1,0)),""))</x:f>
      </x:c>
    </x:row>
    <x:row r="196">
      <x:c r="A196" t="n">
        <x:v>19.400000000000002</x:v>
      </x:c>
      <x:c r="B196" t="n">
        <x:f>IF(B$1="","",IFERROR(INDEX('包络曲线数据'!$B$2:$U$742,ROW()-1,MATCH(B$1,'包络曲线数据'!$B$1:$U$1,0)),""))</x:f>
        <x:v>64.28761083906097</x:v>
      </x:c>
      <x:c r="C196" t="n">
        <x:f>IF(C$1="","",IFERROR(INDEX('包络曲线数据'!$B$2:$U$742,ROW()-1,MATCH(C$1,'包络曲线数据'!$B$1:$U$1,0)),""))</x:f>
        <x:v>78.26506398902198</x:v>
      </x:c>
      <x:c r="D196" t="str">
        <x:f>IF(D$1="","",IFERROR(INDEX('包络曲线数据'!$B$2:$U$742,ROW()-1,MATCH(D$1,'包络曲线数据'!$B$1:$U$1,0)),""))</x:f>
      </x:c>
      <x:c r="E196" t="str">
        <x:f>IF(E$1="","",IFERROR(INDEX('包络曲线数据'!$B$2:$U$742,ROW()-1,MATCH(E$1,'包络曲线数据'!$B$1:$U$1,0)),""))</x:f>
      </x:c>
      <x:c r="F196" t="str">
        <x:f>IF(F$1="","",IFERROR(INDEX('包络曲线数据'!$B$2:$U$742,ROW()-1,MATCH(F$1,'包络曲线数据'!$B$1:$U$1,0)),""))</x:f>
      </x:c>
      <x:c r="G196" t="str">
        <x:f>IF(G$1="","",IFERROR(INDEX('包络曲线数据'!$B$2:$U$742,ROW()-1,MATCH(G$1,'包络曲线数据'!$B$1:$U$1,0)),""))</x:f>
      </x:c>
    </x:row>
    <x:row r="197">
      <x:c r="A197" t="n">
        <x:v>19.5</x:v>
      </x:c>
      <x:c r="B197" t="n">
        <x:f>IF(B$1="","",IFERROR(INDEX('包络曲线数据'!$B$2:$U$742,ROW()-1,MATCH(B$1,'包络曲线数据'!$B$1:$U$1,0)),""))</x:f>
        <x:v>65.72262316321343</x:v>
      </x:c>
      <x:c r="C197" t="n">
        <x:f>IF(C$1="","",IFERROR(INDEX('包络曲线数据'!$B$2:$U$742,ROW()-1,MATCH(C$1,'包络曲线数据'!$B$1:$U$1,0)),""))</x:f>
        <x:v>74.7768554910286</x:v>
      </x:c>
      <x:c r="D197" t="str">
        <x:f>IF(D$1="","",IFERROR(INDEX('包络曲线数据'!$B$2:$U$742,ROW()-1,MATCH(D$1,'包络曲线数据'!$B$1:$U$1,0)),""))</x:f>
      </x:c>
      <x:c r="E197" t="str">
        <x:f>IF(E$1="","",IFERROR(INDEX('包络曲线数据'!$B$2:$U$742,ROW()-1,MATCH(E$1,'包络曲线数据'!$B$1:$U$1,0)),""))</x:f>
      </x:c>
      <x:c r="F197" t="str">
        <x:f>IF(F$1="","",IFERROR(INDEX('包络曲线数据'!$B$2:$U$742,ROW()-1,MATCH(F$1,'包络曲线数据'!$B$1:$U$1,0)),""))</x:f>
      </x:c>
      <x:c r="G197" t="str">
        <x:f>IF(G$1="","",IFERROR(INDEX('包络曲线数据'!$B$2:$U$742,ROW()-1,MATCH(G$1,'包络曲线数据'!$B$1:$U$1,0)),""))</x:f>
      </x:c>
    </x:row>
    <x:row r="198">
      <x:c r="A198" t="n">
        <x:v>19.6</x:v>
      </x:c>
      <x:c r="B198" t="n">
        <x:f>IF(B$1="","",IFERROR(INDEX('包络曲线数据'!$B$2:$U$742,ROW()-1,MATCH(B$1,'包络曲线数据'!$B$1:$U$1,0)),""))</x:f>
        <x:v>65.72262316321343</x:v>
      </x:c>
      <x:c r="C198" t="n">
        <x:f>IF(C$1="","",IFERROR(INDEX('包络曲线数据'!$B$2:$U$742,ROW()-1,MATCH(C$1,'包络曲线数据'!$B$1:$U$1,0)),""))</x:f>
        <x:v>74.30003342880457</x:v>
      </x:c>
      <x:c r="D198" t="str">
        <x:f>IF(D$1="","",IFERROR(INDEX('包络曲线数据'!$B$2:$U$742,ROW()-1,MATCH(D$1,'包络曲线数据'!$B$1:$U$1,0)),""))</x:f>
      </x:c>
      <x:c r="E198" t="str">
        <x:f>IF(E$1="","",IFERROR(INDEX('包络曲线数据'!$B$2:$U$742,ROW()-1,MATCH(E$1,'包络曲线数据'!$B$1:$U$1,0)),""))</x:f>
      </x:c>
      <x:c r="F198" t="str">
        <x:f>IF(F$1="","",IFERROR(INDEX('包络曲线数据'!$B$2:$U$742,ROW()-1,MATCH(F$1,'包络曲线数据'!$B$1:$U$1,0)),""))</x:f>
      </x:c>
      <x:c r="G198" t="str">
        <x:f>IF(G$1="","",IFERROR(INDEX('包络曲线数据'!$B$2:$U$742,ROW()-1,MATCH(G$1,'包络曲线数据'!$B$1:$U$1,0)),""))</x:f>
      </x:c>
    </x:row>
    <x:row r="199">
      <x:c r="A199" t="n">
        <x:v>19.700000000000003</x:v>
      </x:c>
      <x:c r="B199" t="n">
        <x:f>IF(B$1="","",IFERROR(INDEX('包络曲线数据'!$B$2:$U$742,ROW()-1,MATCH(B$1,'包络曲线数据'!$B$1:$U$1,0)),""))</x:f>
        <x:v>70.49069220242416</x:v>
      </x:c>
      <x:c r="C199" t="n">
        <x:f>IF(C$1="","",IFERROR(INDEX('包络曲线数据'!$B$2:$U$742,ROW()-1,MATCH(C$1,'包络曲线数据'!$B$1:$U$1,0)),""))</x:f>
        <x:v>70.76040424668292</x:v>
      </x:c>
      <x:c r="D199" t="str">
        <x:f>IF(D$1="","",IFERROR(INDEX('包络曲线数据'!$B$2:$U$742,ROW()-1,MATCH(D$1,'包络曲线数据'!$B$1:$U$1,0)),""))</x:f>
      </x:c>
      <x:c r="E199" t="str">
        <x:f>IF(E$1="","",IFERROR(INDEX('包络曲线数据'!$B$2:$U$742,ROW()-1,MATCH(E$1,'包络曲线数据'!$B$1:$U$1,0)),""))</x:f>
      </x:c>
      <x:c r="F199" t="str">
        <x:f>IF(F$1="","",IFERROR(INDEX('包络曲线数据'!$B$2:$U$742,ROW()-1,MATCH(F$1,'包络曲线数据'!$B$1:$U$1,0)),""))</x:f>
      </x:c>
      <x:c r="G199" t="str">
        <x:f>IF(G$1="","",IFERROR(INDEX('包络曲线数据'!$B$2:$U$742,ROW()-1,MATCH(G$1,'包络曲线数据'!$B$1:$U$1,0)),""))</x:f>
      </x:c>
    </x:row>
    <x:row r="200">
      <x:c r="A200" t="n">
        <x:v>19.8</x:v>
      </x:c>
      <x:c r="B200" t="n">
        <x:f>IF(B$1="","",IFERROR(INDEX('包络曲线数据'!$B$2:$U$742,ROW()-1,MATCH(B$1,'包络曲线数据'!$B$1:$U$1,0)),""))</x:f>
        <x:v>73.5141788035654</x:v>
      </x:c>
      <x:c r="C200" t="n">
        <x:f>IF(C$1="","",IFERROR(INDEX('包络曲线数据'!$B$2:$U$742,ROW()-1,MATCH(C$1,'包络曲线数据'!$B$1:$U$1,0)),""))</x:f>
        <x:v>75.56671137591027</x:v>
      </x:c>
      <x:c r="D200" t="str">
        <x:f>IF(D$1="","",IFERROR(INDEX('包络曲线数据'!$B$2:$U$742,ROW()-1,MATCH(D$1,'包络曲线数据'!$B$1:$U$1,0)),""))</x:f>
      </x:c>
      <x:c r="E200" t="str">
        <x:f>IF(E$1="","",IFERROR(INDEX('包络曲线数据'!$B$2:$U$742,ROW()-1,MATCH(E$1,'包络曲线数据'!$B$1:$U$1,0)),""))</x:f>
      </x:c>
      <x:c r="F200" t="str">
        <x:f>IF(F$1="","",IFERROR(INDEX('包络曲线数据'!$B$2:$U$742,ROW()-1,MATCH(F$1,'包络曲线数据'!$B$1:$U$1,0)),""))</x:f>
      </x:c>
      <x:c r="G200" t="str">
        <x:f>IF(G$1="","",IFERROR(INDEX('包络曲线数据'!$B$2:$U$742,ROW()-1,MATCH(G$1,'包络曲线数据'!$B$1:$U$1,0)),""))</x:f>
      </x:c>
    </x:row>
    <x:row r="201">
      <x:c r="A201" t="n">
        <x:v>19.900000000000002</x:v>
      </x:c>
      <x:c r="B201" t="n">
        <x:f>IF(B$1="","",IFERROR(INDEX('包络曲线数据'!$B$2:$U$742,ROW()-1,MATCH(B$1,'包络曲线数据'!$B$1:$U$1,0)),""))</x:f>
        <x:v>73.51417880356522</x:v>
      </x:c>
      <x:c r="C201" t="n">
        <x:f>IF(C$1="","",IFERROR(INDEX('包络曲线数据'!$B$2:$U$742,ROW()-1,MATCH(C$1,'包络曲线数据'!$B$1:$U$1,0)),""))</x:f>
        <x:v>82.18927948380654</x:v>
      </x:c>
      <x:c r="D201" t="str">
        <x:f>IF(D$1="","",IFERROR(INDEX('包络曲线数据'!$B$2:$U$742,ROW()-1,MATCH(D$1,'包络曲线数据'!$B$1:$U$1,0)),""))</x:f>
      </x:c>
      <x:c r="E201" t="str">
        <x:f>IF(E$1="","",IFERROR(INDEX('包络曲线数据'!$B$2:$U$742,ROW()-1,MATCH(E$1,'包络曲线数据'!$B$1:$U$1,0)),""))</x:f>
      </x:c>
      <x:c r="F201" t="str">
        <x:f>IF(F$1="","",IFERROR(INDEX('包络曲线数据'!$B$2:$U$742,ROW()-1,MATCH(F$1,'包络曲线数据'!$B$1:$U$1,0)),""))</x:f>
      </x:c>
      <x:c r="G201" t="str">
        <x:f>IF(G$1="","",IFERROR(INDEX('包络曲线数据'!$B$2:$U$742,ROW()-1,MATCH(G$1,'包络曲线数据'!$B$1:$U$1,0)),""))</x:f>
      </x:c>
    </x:row>
    <x:row r="202">
      <x:c r="A202" t="n">
        <x:v>20</x:v>
      </x:c>
      <x:c r="B202" t="n">
        <x:f>IF(B$1="","",IFERROR(INDEX('包络曲线数据'!$B$2:$U$742,ROW()-1,MATCH(B$1,'包络曲线数据'!$B$1:$U$1,0)),""))</x:f>
        <x:v>60.68600408358394</x:v>
      </x:c>
      <x:c r="C202" t="n">
        <x:f>IF(C$1="","",IFERROR(INDEX('包络曲线数据'!$B$2:$U$742,ROW()-1,MATCH(C$1,'包络曲线数据'!$B$1:$U$1,0)),""))</x:f>
        <x:v>81.78155405080187</x:v>
      </x:c>
      <x:c r="D202" t="str">
        <x:f>IF(D$1="","",IFERROR(INDEX('包络曲线数据'!$B$2:$U$742,ROW()-1,MATCH(D$1,'包络曲线数据'!$B$1:$U$1,0)),""))</x:f>
      </x:c>
      <x:c r="E202" t="str">
        <x:f>IF(E$1="","",IFERROR(INDEX('包络曲线数据'!$B$2:$U$742,ROW()-1,MATCH(E$1,'包络曲线数据'!$B$1:$U$1,0)),""))</x:f>
      </x:c>
      <x:c r="F202" t="str">
        <x:f>IF(F$1="","",IFERROR(INDEX('包络曲线数据'!$B$2:$U$742,ROW()-1,MATCH(F$1,'包络曲线数据'!$B$1:$U$1,0)),""))</x:f>
      </x:c>
      <x:c r="G202" t="str">
        <x:f>IF(G$1="","",IFERROR(INDEX('包络曲线数据'!$B$2:$U$742,ROW()-1,MATCH(G$1,'包络曲线数据'!$B$1:$U$1,0)),""))</x:f>
      </x:c>
    </x:row>
    <x:row r="203">
      <x:c r="A203" t="n">
        <x:v>20.1</x:v>
      </x:c>
      <x:c r="B203" t="n">
        <x:f>IF(B$1="","",IFERROR(INDEX('包络曲线数据'!$B$2:$U$742,ROW()-1,MATCH(B$1,'包络曲线数据'!$B$1:$U$1,0)),""))</x:f>
        <x:v>51.87389228453825</x:v>
      </x:c>
      <x:c r="C203" t="n">
        <x:f>IF(C$1="","",IFERROR(INDEX('包络曲线数据'!$B$2:$U$742,ROW()-1,MATCH(C$1,'包络曲线数据'!$B$1:$U$1,0)),""))</x:f>
        <x:v>71.87917757217555</x:v>
      </x:c>
      <x:c r="D203" t="str">
        <x:f>IF(D$1="","",IFERROR(INDEX('包络曲线数据'!$B$2:$U$742,ROW()-1,MATCH(D$1,'包络曲线数据'!$B$1:$U$1,0)),""))</x:f>
      </x:c>
      <x:c r="E203" t="str">
        <x:f>IF(E$1="","",IFERROR(INDEX('包络曲线数据'!$B$2:$U$742,ROW()-1,MATCH(E$1,'包络曲线数据'!$B$1:$U$1,0)),""))</x:f>
      </x:c>
      <x:c r="F203" t="str">
        <x:f>IF(F$1="","",IFERROR(INDEX('包络曲线数据'!$B$2:$U$742,ROW()-1,MATCH(F$1,'包络曲线数据'!$B$1:$U$1,0)),""))</x:f>
      </x:c>
      <x:c r="G203" t="str">
        <x:f>IF(G$1="","",IFERROR(INDEX('包络曲线数据'!$B$2:$U$742,ROW()-1,MATCH(G$1,'包络曲线数据'!$B$1:$U$1,0)),""))</x:f>
      </x:c>
    </x:row>
    <x:row r="204">
      <x:c r="A204" t="n">
        <x:v>20.200000000000003</x:v>
      </x:c>
      <x:c r="B204" t="n">
        <x:f>IF(B$1="","",IFERROR(INDEX('包络曲线数据'!$B$2:$U$742,ROW()-1,MATCH(B$1,'包络曲线数据'!$B$1:$U$1,0)),""))</x:f>
        <x:v>56.55862299588364</x:v>
      </x:c>
      <x:c r="C204" t="n">
        <x:f>IF(C$1="","",IFERROR(INDEX('包络曲线数据'!$B$2:$U$742,ROW()-1,MATCH(C$1,'包络曲线数据'!$B$1:$U$1,0)),""))</x:f>
        <x:v>63.42501217886608</x:v>
      </x:c>
      <x:c r="D204" t="str">
        <x:f>IF(D$1="","",IFERROR(INDEX('包络曲线数据'!$B$2:$U$742,ROW()-1,MATCH(D$1,'包络曲线数据'!$B$1:$U$1,0)),""))</x:f>
      </x:c>
      <x:c r="E204" t="str">
        <x:f>IF(E$1="","",IFERROR(INDEX('包络曲线数据'!$B$2:$U$742,ROW()-1,MATCH(E$1,'包络曲线数据'!$B$1:$U$1,0)),""))</x:f>
      </x:c>
      <x:c r="F204" t="str">
        <x:f>IF(F$1="","",IFERROR(INDEX('包络曲线数据'!$B$2:$U$742,ROW()-1,MATCH(F$1,'包络曲线数据'!$B$1:$U$1,0)),""))</x:f>
      </x:c>
      <x:c r="G204" t="str">
        <x:f>IF(G$1="","",IFERROR(INDEX('包络曲线数据'!$B$2:$U$742,ROW()-1,MATCH(G$1,'包络曲线数据'!$B$1:$U$1,0)),""))</x:f>
      </x:c>
    </x:row>
    <x:row r="205">
      <x:c r="A205" t="n">
        <x:v>20.3</x:v>
      </x:c>
      <x:c r="B205" t="n">
        <x:f>IF(B$1="","",IFERROR(INDEX('包络曲线数据'!$B$2:$U$742,ROW()-1,MATCH(B$1,'包络曲线数据'!$B$1:$U$1,0)),""))</x:f>
        <x:v>61.243353707228856</x:v>
      </x:c>
      <x:c r="C205" t="n">
        <x:f>IF(C$1="","",IFERROR(INDEX('包络曲线数据'!$B$2:$U$742,ROW()-1,MATCH(C$1,'包络曲线数据'!$B$1:$U$1,0)),""))</x:f>
        <x:v>65.3735893206669</x:v>
      </x:c>
      <x:c r="D205" t="str">
        <x:f>IF(D$1="","",IFERROR(INDEX('包络曲线数据'!$B$2:$U$742,ROW()-1,MATCH(D$1,'包络曲线数据'!$B$1:$U$1,0)),""))</x:f>
      </x:c>
      <x:c r="E205" t="str">
        <x:f>IF(E$1="","",IFERROR(INDEX('包络曲线数据'!$B$2:$U$742,ROW()-1,MATCH(E$1,'包络曲线数据'!$B$1:$U$1,0)),""))</x:f>
      </x:c>
      <x:c r="F205" t="str">
        <x:f>IF(F$1="","",IFERROR(INDEX('包络曲线数据'!$B$2:$U$742,ROW()-1,MATCH(F$1,'包络曲线数据'!$B$1:$U$1,0)),""))</x:f>
      </x:c>
      <x:c r="G205" t="str">
        <x:f>IF(G$1="","",IFERROR(INDEX('包络曲线数据'!$B$2:$U$742,ROW()-1,MATCH(G$1,'包络曲线数据'!$B$1:$U$1,0)),""))</x:f>
      </x:c>
    </x:row>
    <x:row r="206">
      <x:c r="A206" t="n">
        <x:v>20.400000000000002</x:v>
      </x:c>
      <x:c r="B206" t="n">
        <x:f>IF(B$1="","",IFERROR(INDEX('包络曲线数据'!$B$2:$U$742,ROW()-1,MATCH(B$1,'包络曲线数据'!$B$1:$U$1,0)),""))</x:f>
        <x:v>65.92808441857407</x:v>
      </x:c>
      <x:c r="C206" t="n">
        <x:f>IF(C$1="","",IFERROR(INDEX('包络曲线数据'!$B$2:$U$742,ROW()-1,MATCH(C$1,'包络曲线数据'!$B$1:$U$1,0)),""))</x:f>
        <x:v>67.32216646246778</x:v>
      </x:c>
      <x:c r="D206" t="str">
        <x:f>IF(D$1="","",IFERROR(INDEX('包络曲线数据'!$B$2:$U$742,ROW()-1,MATCH(D$1,'包络曲线数据'!$B$1:$U$1,0)),""))</x:f>
      </x:c>
      <x:c r="E206" t="str">
        <x:f>IF(E$1="","",IFERROR(INDEX('包络曲线数据'!$B$2:$U$742,ROW()-1,MATCH(E$1,'包络曲线数据'!$B$1:$U$1,0)),""))</x:f>
      </x:c>
      <x:c r="F206" t="str">
        <x:f>IF(F$1="","",IFERROR(INDEX('包络曲线数据'!$B$2:$U$742,ROW()-1,MATCH(F$1,'包络曲线数据'!$B$1:$U$1,0)),""))</x:f>
      </x:c>
      <x:c r="G206" t="str">
        <x:f>IF(G$1="","",IFERROR(INDEX('包络曲线数据'!$B$2:$U$742,ROW()-1,MATCH(G$1,'包络曲线数据'!$B$1:$U$1,0)),""))</x:f>
      </x:c>
    </x:row>
    <x:row r="207">
      <x:c r="A207" t="n">
        <x:v>20.5</x:v>
      </x:c>
      <x:c r="B207" t="n">
        <x:f>IF(B$1="","",IFERROR(INDEX('包络曲线数据'!$B$2:$U$742,ROW()-1,MATCH(B$1,'包络曲线数据'!$B$1:$U$1,0)),""))</x:f>
        <x:v>65.92808441857407</x:v>
      </x:c>
      <x:c r="C207" t="n">
        <x:f>IF(C$1="","",IFERROR(INDEX('包络曲线数据'!$B$2:$U$742,ROW()-1,MATCH(C$1,'包络曲线数据'!$B$1:$U$1,0)),""))</x:f>
        <x:v>69.27074360426859</x:v>
      </x:c>
      <x:c r="D207" t="str">
        <x:f>IF(D$1="","",IFERROR(INDEX('包络曲线数据'!$B$2:$U$742,ROW()-1,MATCH(D$1,'包络曲线数据'!$B$1:$U$1,0)),""))</x:f>
      </x:c>
      <x:c r="E207" t="str">
        <x:f>IF(E$1="","",IFERROR(INDEX('包络曲线数据'!$B$2:$U$742,ROW()-1,MATCH(E$1,'包络曲线数据'!$B$1:$U$1,0)),""))</x:f>
      </x:c>
      <x:c r="F207" t="str">
        <x:f>IF(F$1="","",IFERROR(INDEX('包络曲线数据'!$B$2:$U$742,ROW()-1,MATCH(F$1,'包络曲线数据'!$B$1:$U$1,0)),""))</x:f>
      </x:c>
      <x:c r="G207" t="str">
        <x:f>IF(G$1="","",IFERROR(INDEX('包络曲线数据'!$B$2:$U$742,ROW()-1,MATCH(G$1,'包络曲线数据'!$B$1:$U$1,0)),""))</x:f>
      </x:c>
    </x:row>
    <x:row r="208">
      <x:c r="A208" t="n">
        <x:v>20.6</x:v>
      </x:c>
      <x:c r="B208" t="n">
        <x:f>IF(B$1="","",IFERROR(INDEX('包络曲线数据'!$B$2:$U$742,ROW()-1,MATCH(B$1,'包络曲线数据'!$B$1:$U$1,0)),""))</x:f>
        <x:v>69.88671715147049</x:v>
      </x:c>
      <x:c r="C208" t="n">
        <x:f>IF(C$1="","",IFERROR(INDEX('包络曲线数据'!$B$2:$U$742,ROW()-1,MATCH(C$1,'包络曲线数据'!$B$1:$U$1,0)),""))</x:f>
        <x:v>70.05017446098891</x:v>
      </x:c>
      <x:c r="D208" t="str">
        <x:f>IF(D$1="","",IFERROR(INDEX('包络曲线数据'!$B$2:$U$742,ROW()-1,MATCH(D$1,'包络曲线数据'!$B$1:$U$1,0)),""))</x:f>
      </x:c>
      <x:c r="E208" t="str">
        <x:f>IF(E$1="","",IFERROR(INDEX('包络曲线数据'!$B$2:$U$742,ROW()-1,MATCH(E$1,'包络曲线数据'!$B$1:$U$1,0)),""))</x:f>
      </x:c>
      <x:c r="F208" t="str">
        <x:f>IF(F$1="","",IFERROR(INDEX('包络曲线数据'!$B$2:$U$742,ROW()-1,MATCH(F$1,'包络曲线数据'!$B$1:$U$1,0)),""))</x:f>
      </x:c>
      <x:c r="G208" t="str">
        <x:f>IF(G$1="","",IFERROR(INDEX('包络曲线数据'!$B$2:$U$742,ROW()-1,MATCH(G$1,'包络曲线数据'!$B$1:$U$1,0)),""))</x:f>
      </x:c>
    </x:row>
    <x:row r="209">
      <x:c r="A209" t="n">
        <x:v>20.700000000000003</x:v>
      </x:c>
      <x:c r="B209" t="n">
        <x:f>IF(B$1="","",IFERROR(INDEX('包络曲线数据'!$B$2:$U$742,ROW()-1,MATCH(B$1,'包络曲线数据'!$B$1:$U$1,0)),""))</x:f>
        <x:v>70.4238225563828</x:v>
      </x:c>
      <x:c r="C209" t="n">
        <x:f>IF(C$1="","",IFERROR(INDEX('包络曲线数据'!$B$2:$U$742,ROW()-1,MATCH(C$1,'包络曲线数据'!$B$1:$U$1,0)),""))</x:f>
        <x:v>75.24380732902716</x:v>
      </x:c>
      <x:c r="D209" t="str">
        <x:f>IF(D$1="","",IFERROR(INDEX('包络曲线数据'!$B$2:$U$742,ROW()-1,MATCH(D$1,'包络曲线数据'!$B$1:$U$1,0)),""))</x:f>
      </x:c>
      <x:c r="E209" t="str">
        <x:f>IF(E$1="","",IFERROR(INDEX('包络曲线数据'!$B$2:$U$742,ROW()-1,MATCH(E$1,'包络曲线数据'!$B$1:$U$1,0)),""))</x:f>
      </x:c>
      <x:c r="F209" t="str">
        <x:f>IF(F$1="","",IFERROR(INDEX('包络曲线数据'!$B$2:$U$742,ROW()-1,MATCH(F$1,'包络曲线数据'!$B$1:$U$1,0)),""))</x:f>
      </x:c>
      <x:c r="G209" t="str">
        <x:f>IF(G$1="","",IFERROR(INDEX('包络曲线数据'!$B$2:$U$742,ROW()-1,MATCH(G$1,'包络曲线数据'!$B$1:$U$1,0)),""))</x:f>
      </x:c>
    </x:row>
    <x:row r="210">
      <x:c r="A210" t="n">
        <x:v>20.8</x:v>
      </x:c>
      <x:c r="B210" t="n">
        <x:f>IF(B$1="","",IFERROR(INDEX('包络曲线数据'!$B$2:$U$742,ROW()-1,MATCH(B$1,'包络曲线数据'!$B$1:$U$1,0)),""))</x:f>
        <x:v>69.76280255192795</x:v>
      </x:c>
      <x:c r="C210" t="n">
        <x:f>IF(C$1="","",IFERROR(INDEX('包络曲线数据'!$B$2:$U$742,ROW()-1,MATCH(C$1,'包络曲线数据'!$B$1:$U$1,0)),""))</x:f>
        <x:v>75.24380732902716</x:v>
      </x:c>
      <x:c r="D210" t="str">
        <x:f>IF(D$1="","",IFERROR(INDEX('包络曲线数据'!$B$2:$U$742,ROW()-1,MATCH(D$1,'包络曲线数据'!$B$1:$U$1,0)),""))</x:f>
      </x:c>
      <x:c r="E210" t="str">
        <x:f>IF(E$1="","",IFERROR(INDEX('包络曲线数据'!$B$2:$U$742,ROW()-1,MATCH(E$1,'包络曲线数据'!$B$1:$U$1,0)),""))</x:f>
      </x:c>
      <x:c r="F210" t="str">
        <x:f>IF(F$1="","",IFERROR(INDEX('包络曲线数据'!$B$2:$U$742,ROW()-1,MATCH(F$1,'包络曲线数据'!$B$1:$U$1,0)),""))</x:f>
      </x:c>
      <x:c r="G210" t="str">
        <x:f>IF(G$1="","",IFERROR(INDEX('包络曲线数据'!$B$2:$U$742,ROW()-1,MATCH(G$1,'包络曲线数据'!$B$1:$U$1,0)),""))</x:f>
      </x:c>
    </x:row>
    <x:row r="211">
      <x:c r="A211" t="n">
        <x:v>20.900000000000002</x:v>
      </x:c>
      <x:c r="B211" t="n">
        <x:f>IF(B$1="","",IFERROR(INDEX('包络曲线数据'!$B$2:$U$742,ROW()-1,MATCH(B$1,'包络曲线数据'!$B$1:$U$1,0)),""))</x:f>
        <x:v>57.825094261393</x:v>
      </x:c>
      <x:c r="C211" t="n">
        <x:f>IF(C$1="","",IFERROR(INDEX('包络曲线数据'!$B$2:$U$742,ROW()-1,MATCH(C$1,'包络曲线数据'!$B$1:$U$1,0)),""))</x:f>
        <x:v>73.12259402668117</x:v>
      </x:c>
      <x:c r="D211" t="str">
        <x:f>IF(D$1="","",IFERROR(INDEX('包络曲线数据'!$B$2:$U$742,ROW()-1,MATCH(D$1,'包络曲线数据'!$B$1:$U$1,0)),""))</x:f>
      </x:c>
      <x:c r="E211" t="str">
        <x:f>IF(E$1="","",IFERROR(INDEX('包络曲线数据'!$B$2:$U$742,ROW()-1,MATCH(E$1,'包络曲线数据'!$B$1:$U$1,0)),""))</x:f>
      </x:c>
      <x:c r="F211" t="str">
        <x:f>IF(F$1="","",IFERROR(INDEX('包络曲线数据'!$B$2:$U$742,ROW()-1,MATCH(F$1,'包络曲线数据'!$B$1:$U$1,0)),""))</x:f>
      </x:c>
      <x:c r="G211" t="str">
        <x:f>IF(G$1="","",IFERROR(INDEX('包络曲线数据'!$B$2:$U$742,ROW()-1,MATCH(G$1,'包络曲线数据'!$B$1:$U$1,0)),""))</x:f>
      </x:c>
    </x:row>
    <x:row r="212">
      <x:c r="A212" t="n">
        <x:v>21</x:v>
      </x:c>
      <x:c r="B212" t="n">
        <x:f>IF(B$1="","",IFERROR(INDEX('包络曲线数据'!$B$2:$U$742,ROW()-1,MATCH(B$1,'包络曲线数据'!$B$1:$U$1,0)),""))</x:f>
        <x:v>62.91873587164153</x:v>
      </x:c>
      <x:c r="C212" t="n">
        <x:f>IF(C$1="","",IFERROR(INDEX('包络曲线数据'!$B$2:$U$742,ROW()-1,MATCH(C$1,'包络曲线数据'!$B$1:$U$1,0)),""))</x:f>
        <x:v>65.93666429940231</x:v>
      </x:c>
      <x:c r="D212" t="str">
        <x:f>IF(D$1="","",IFERROR(INDEX('包络曲线数据'!$B$2:$U$742,ROW()-1,MATCH(D$1,'包络曲线数据'!$B$1:$U$1,0)),""))</x:f>
      </x:c>
      <x:c r="E212" t="str">
        <x:f>IF(E$1="","",IFERROR(INDEX('包络曲线数据'!$B$2:$U$742,ROW()-1,MATCH(E$1,'包络曲线数据'!$B$1:$U$1,0)),""))</x:f>
      </x:c>
      <x:c r="F212" t="str">
        <x:f>IF(F$1="","",IFERROR(INDEX('包络曲线数据'!$B$2:$U$742,ROW()-1,MATCH(F$1,'包络曲线数据'!$B$1:$U$1,0)),""))</x:f>
      </x:c>
      <x:c r="G212" t="str">
        <x:f>IF(G$1="","",IFERROR(INDEX('包络曲线数据'!$B$2:$U$742,ROW()-1,MATCH(G$1,'包络曲线数据'!$B$1:$U$1,0)),""))</x:f>
      </x:c>
    </x:row>
    <x:row r="213">
      <x:c r="A213" t="n">
        <x:v>21.1</x:v>
      </x:c>
      <x:c r="B213" t="n">
        <x:f>IF(B$1="","",IFERROR(INDEX('包络曲线数据'!$B$2:$U$742,ROW()-1,MATCH(B$1,'包络曲线数据'!$B$1:$U$1,0)),""))</x:f>
        <x:v>63.107585152779905</x:v>
      </x:c>
      <x:c r="C213" t="n">
        <x:f>IF(C$1="","",IFERROR(INDEX('包络曲线数据'!$B$2:$U$742,ROW()-1,MATCH(C$1,'包络曲线数据'!$B$1:$U$1,0)),""))</x:f>
        <x:v>73.35773693890198</x:v>
      </x:c>
      <x:c r="D213" t="str">
        <x:f>IF(D$1="","",IFERROR(INDEX('包络曲线数据'!$B$2:$U$742,ROW()-1,MATCH(D$1,'包络曲线数据'!$B$1:$U$1,0)),""))</x:f>
      </x:c>
      <x:c r="E213" t="str">
        <x:f>IF(E$1="","",IFERROR(INDEX('包络曲线数据'!$B$2:$U$742,ROW()-1,MATCH(E$1,'包络曲线数据'!$B$1:$U$1,0)),""))</x:f>
      </x:c>
      <x:c r="F213" t="str">
        <x:f>IF(F$1="","",IFERROR(INDEX('包络曲线数据'!$B$2:$U$742,ROW()-1,MATCH(F$1,'包络曲线数据'!$B$1:$U$1,0)),""))</x:f>
      </x:c>
      <x:c r="G213" t="str">
        <x:f>IF(G$1="","",IFERROR(INDEX('包络曲线数据'!$B$2:$U$742,ROW()-1,MATCH(G$1,'包络曲线数据'!$B$1:$U$1,0)),""))</x:f>
      </x:c>
    </x:row>
    <x:row r="214">
      <x:c r="A214" t="n">
        <x:v>21.200000000000003</x:v>
      </x:c>
      <x:c r="B214" t="n">
        <x:f>IF(B$1="","",IFERROR(INDEX('包络曲线数据'!$B$2:$U$742,ROW()-1,MATCH(B$1,'包络曲线数据'!$B$1:$U$1,0)),""))</x:f>
        <x:v>63.107585152779926</x:v>
      </x:c>
      <x:c r="C214" t="n">
        <x:f>IF(C$1="","",IFERROR(INDEX('包络曲线数据'!$B$2:$U$742,ROW()-1,MATCH(C$1,'包络曲线数据'!$B$1:$U$1,0)),""))</x:f>
        <x:v>75.45092401990203</x:v>
      </x:c>
      <x:c r="D214" t="str">
        <x:f>IF(D$1="","",IFERROR(INDEX('包络曲线数据'!$B$2:$U$742,ROW()-1,MATCH(D$1,'包络曲线数据'!$B$1:$U$1,0)),""))</x:f>
      </x:c>
      <x:c r="E214" t="str">
        <x:f>IF(E$1="","",IFERROR(INDEX('包络曲线数据'!$B$2:$U$742,ROW()-1,MATCH(E$1,'包络曲线数据'!$B$1:$U$1,0)),""))</x:f>
      </x:c>
      <x:c r="F214" t="str">
        <x:f>IF(F$1="","",IFERROR(INDEX('包络曲线数据'!$B$2:$U$742,ROW()-1,MATCH(F$1,'包络曲线数据'!$B$1:$U$1,0)),""))</x:f>
      </x:c>
      <x:c r="G214" t="str">
        <x:f>IF(G$1="","",IFERROR(INDEX('包络曲线数据'!$B$2:$U$742,ROW()-1,MATCH(G$1,'包络曲线数据'!$B$1:$U$1,0)),""))</x:f>
      </x:c>
    </x:row>
    <x:row r="215">
      <x:c r="A215" t="n">
        <x:v>21.3</x:v>
      </x:c>
      <x:c r="B215" t="n">
        <x:f>IF(B$1="","",IFERROR(INDEX('包络曲线数据'!$B$2:$U$742,ROW()-1,MATCH(B$1,'包络曲线数据'!$B$1:$U$1,0)),""))</x:f>
        <x:v>63.818295650155584</x:v>
      </x:c>
      <x:c r="C215" t="n">
        <x:f>IF(C$1="","",IFERROR(INDEX('包络曲线数据'!$B$2:$U$742,ROW()-1,MATCH(C$1,'包络曲线数据'!$B$1:$U$1,0)),""))</x:f>
        <x:v>75.45092401990203</x:v>
      </x:c>
      <x:c r="D215" t="str">
        <x:f>IF(D$1="","",IFERROR(INDEX('包络曲线数据'!$B$2:$U$742,ROW()-1,MATCH(D$1,'包络曲线数据'!$B$1:$U$1,0)),""))</x:f>
      </x:c>
      <x:c r="E215" t="str">
        <x:f>IF(E$1="","",IFERROR(INDEX('包络曲线数据'!$B$2:$U$742,ROW()-1,MATCH(E$1,'包络曲线数据'!$B$1:$U$1,0)),""))</x:f>
      </x:c>
      <x:c r="F215" t="str">
        <x:f>IF(F$1="","",IFERROR(INDEX('包络曲线数据'!$B$2:$U$742,ROW()-1,MATCH(F$1,'包络曲线数据'!$B$1:$U$1,0)),""))</x:f>
      </x:c>
      <x:c r="G215" t="str">
        <x:f>IF(G$1="","",IFERROR(INDEX('包络曲线数据'!$B$2:$U$742,ROW()-1,MATCH(G$1,'包络曲线数据'!$B$1:$U$1,0)),""))</x:f>
      </x:c>
    </x:row>
    <x:row r="216">
      <x:c r="A216" t="n">
        <x:v>21.400000000000002</x:v>
      </x:c>
      <x:c r="B216" t="n">
        <x:f>IF(B$1="","",IFERROR(INDEX('包络曲线数据'!$B$2:$U$742,ROW()-1,MATCH(B$1,'包络曲线数据'!$B$1:$U$1,0)),""))</x:f>
        <x:v>63.81829565015561</x:v>
      </x:c>
      <x:c r="C216" t="n">
        <x:f>IF(C$1="","",IFERROR(INDEX('包络曲线数据'!$B$2:$U$742,ROW()-1,MATCH(C$1,'包络曲线数据'!$B$1:$U$1,0)),""))</x:f>
        <x:v>75.87502103496794</x:v>
      </x:c>
      <x:c r="D216" t="str">
        <x:f>IF(D$1="","",IFERROR(INDEX('包络曲线数据'!$B$2:$U$742,ROW()-1,MATCH(D$1,'包络曲线数据'!$B$1:$U$1,0)),""))</x:f>
      </x:c>
      <x:c r="E216" t="str">
        <x:f>IF(E$1="","",IFERROR(INDEX('包络曲线数据'!$B$2:$U$742,ROW()-1,MATCH(E$1,'包络曲线数据'!$B$1:$U$1,0)),""))</x:f>
      </x:c>
      <x:c r="F216" t="str">
        <x:f>IF(F$1="","",IFERROR(INDEX('包络曲线数据'!$B$2:$U$742,ROW()-1,MATCH(F$1,'包络曲线数据'!$B$1:$U$1,0)),""))</x:f>
      </x:c>
      <x:c r="G216" t="str">
        <x:f>IF(G$1="","",IFERROR(INDEX('包络曲线数据'!$B$2:$U$742,ROW()-1,MATCH(G$1,'包络曲线数据'!$B$1:$U$1,0)),""))</x:f>
      </x:c>
    </x:row>
    <x:row r="217">
      <x:c r="A217" t="n">
        <x:v>21.5</x:v>
      </x:c>
      <x:c r="B217" t="n">
        <x:f>IF(B$1="","",IFERROR(INDEX('包络曲线数据'!$B$2:$U$742,ROW()-1,MATCH(B$1,'包络曲线数据'!$B$1:$U$1,0)),""))</x:f>
        <x:v>63.98025607125732</x:v>
      </x:c>
      <x:c r="C217" t="n">
        <x:f>IF(C$1="","",IFERROR(INDEX('包络曲线数据'!$B$2:$U$742,ROW()-1,MATCH(C$1,'包络曲线数据'!$B$1:$U$1,0)),""))</x:f>
        <x:v>77.27469675879794</x:v>
      </x:c>
      <x:c r="D217" t="str">
        <x:f>IF(D$1="","",IFERROR(INDEX('包络曲线数据'!$B$2:$U$742,ROW()-1,MATCH(D$1,'包络曲线数据'!$B$1:$U$1,0)),""))</x:f>
      </x:c>
      <x:c r="E217" t="str">
        <x:f>IF(E$1="","",IFERROR(INDEX('包络曲线数据'!$B$2:$U$742,ROW()-1,MATCH(E$1,'包络曲线数据'!$B$1:$U$1,0)),""))</x:f>
      </x:c>
      <x:c r="F217" t="str">
        <x:f>IF(F$1="","",IFERROR(INDEX('包络曲线数据'!$B$2:$U$742,ROW()-1,MATCH(F$1,'包络曲线数据'!$B$1:$U$1,0)),""))</x:f>
      </x:c>
      <x:c r="G217" t="str">
        <x:f>IF(G$1="","",IFERROR(INDEX('包络曲线数据'!$B$2:$U$742,ROW()-1,MATCH(G$1,'包络曲线数据'!$B$1:$U$1,0)),""))</x:f>
      </x:c>
    </x:row>
    <x:row r="218">
      <x:c r="A218" t="n">
        <x:v>21.6</x:v>
      </x:c>
      <x:c r="B218" t="n">
        <x:f>IF(B$1="","",IFERROR(INDEX('包络曲线数据'!$B$2:$U$742,ROW()-1,MATCH(B$1,'包络曲线数据'!$B$1:$U$1,0)),""))</x:f>
        <x:v>63.3981327419232</x:v>
      </x:c>
      <x:c r="C218" t="n">
        <x:f>IF(C$1="","",IFERROR(INDEX('包络曲线数据'!$B$2:$U$742,ROW()-1,MATCH(C$1,'包络曲线数据'!$B$1:$U$1,0)),""))</x:f>
        <x:v>77.27469675879794</x:v>
      </x:c>
      <x:c r="D218" t="str">
        <x:f>IF(D$1="","",IFERROR(INDEX('包络曲线数据'!$B$2:$U$742,ROW()-1,MATCH(D$1,'包络曲线数据'!$B$1:$U$1,0)),""))</x:f>
      </x:c>
      <x:c r="E218" t="str">
        <x:f>IF(E$1="","",IFERROR(INDEX('包络曲线数据'!$B$2:$U$742,ROW()-1,MATCH(E$1,'包络曲线数据'!$B$1:$U$1,0)),""))</x:f>
      </x:c>
      <x:c r="F218" t="str">
        <x:f>IF(F$1="","",IFERROR(INDEX('包络曲线数据'!$B$2:$U$742,ROW()-1,MATCH(F$1,'包络曲线数据'!$B$1:$U$1,0)),""))</x:f>
      </x:c>
      <x:c r="G218" t="str">
        <x:f>IF(G$1="","",IFERROR(INDEX('包络曲线数据'!$B$2:$U$742,ROW()-1,MATCH(G$1,'包络曲线数据'!$B$1:$U$1,0)),""))</x:f>
      </x:c>
    </x:row>
    <x:row r="219">
      <x:c r="A219" t="n">
        <x:v>21.700000000000003</x:v>
      </x:c>
      <x:c r="B219" t="n">
        <x:f>IF(B$1="","",IFERROR(INDEX('包络曲线数据'!$B$2:$U$742,ROW()-1,MATCH(B$1,'包络曲线数据'!$B$1:$U$1,0)),""))</x:f>
        <x:v>65.0129977341507</x:v>
      </x:c>
      <x:c r="C219" t="n">
        <x:f>IF(C$1="","",IFERROR(INDEX('包络曲线数据'!$B$2:$U$742,ROW()-1,MATCH(C$1,'包络曲线数据'!$B$1:$U$1,0)),""))</x:f>
        <x:v>75.34876992812343</x:v>
      </x:c>
      <x:c r="D219" t="str">
        <x:f>IF(D$1="","",IFERROR(INDEX('包络曲线数据'!$B$2:$U$742,ROW()-1,MATCH(D$1,'包络曲线数据'!$B$1:$U$1,0)),""))</x:f>
      </x:c>
      <x:c r="E219" t="str">
        <x:f>IF(E$1="","",IFERROR(INDEX('包络曲线数据'!$B$2:$U$742,ROW()-1,MATCH(E$1,'包络曲线数据'!$B$1:$U$1,0)),""))</x:f>
      </x:c>
      <x:c r="F219" t="str">
        <x:f>IF(F$1="","",IFERROR(INDEX('包络曲线数据'!$B$2:$U$742,ROW()-1,MATCH(F$1,'包络曲线数据'!$B$1:$U$1,0)),""))</x:f>
      </x:c>
      <x:c r="G219" t="str">
        <x:f>IF(G$1="","",IFERROR(INDEX('包络曲线数据'!$B$2:$U$742,ROW()-1,MATCH(G$1,'包络曲线数据'!$B$1:$U$1,0)),""))</x:f>
      </x:c>
    </x:row>
    <x:row r="220">
      <x:c r="A220" t="n">
        <x:v>21.8</x:v>
      </x:c>
      <x:c r="B220" t="n">
        <x:f>IF(B$1="","",IFERROR(INDEX('包络曲线数据'!$B$2:$U$742,ROW()-1,MATCH(B$1,'包络曲线数据'!$B$1:$U$1,0)),""))</x:f>
        <x:v>65.0129977341507</x:v>
      </x:c>
      <x:c r="C220" t="n">
        <x:f>IF(C$1="","",IFERROR(INDEX('包络曲线数据'!$B$2:$U$742,ROW()-1,MATCH(C$1,'包络曲线数据'!$B$1:$U$1,0)),""))</x:f>
        <x:v>75.34876992812343</x:v>
      </x:c>
      <x:c r="D220" t="str">
        <x:f>IF(D$1="","",IFERROR(INDEX('包络曲线数据'!$B$2:$U$742,ROW()-1,MATCH(D$1,'包络曲线数据'!$B$1:$U$1,0)),""))</x:f>
      </x:c>
      <x:c r="E220" t="str">
        <x:f>IF(E$1="","",IFERROR(INDEX('包络曲线数据'!$B$2:$U$742,ROW()-1,MATCH(E$1,'包络曲线数据'!$B$1:$U$1,0)),""))</x:f>
      </x:c>
      <x:c r="F220" t="str">
        <x:f>IF(F$1="","",IFERROR(INDEX('包络曲线数据'!$B$2:$U$742,ROW()-1,MATCH(F$1,'包络曲线数据'!$B$1:$U$1,0)),""))</x:f>
      </x:c>
      <x:c r="G220" t="str">
        <x:f>IF(G$1="","",IFERROR(INDEX('包络曲线数据'!$B$2:$U$742,ROW()-1,MATCH(G$1,'包络曲线数据'!$B$1:$U$1,0)),""))</x:f>
      </x:c>
    </x:row>
    <x:row r="221">
      <x:c r="A221" t="n">
        <x:v>21.900000000000002</x:v>
      </x:c>
      <x:c r="B221" t="n">
        <x:f>IF(B$1="","",IFERROR(INDEX('包络曲线数据'!$B$2:$U$742,ROW()-1,MATCH(B$1,'包络曲线数据'!$B$1:$U$1,0)),""))</x:f>
        <x:v>66.49582174431858</x:v>
      </x:c>
      <x:c r="C221" t="n">
        <x:f>IF(C$1="","",IFERROR(INDEX('包络曲线数据'!$B$2:$U$742,ROW()-1,MATCH(C$1,'包络曲线数据'!$B$1:$U$1,0)),""))</x:f>
        <x:v>75.51643357307523</x:v>
      </x:c>
      <x:c r="D221" t="str">
        <x:f>IF(D$1="","",IFERROR(INDEX('包络曲线数据'!$B$2:$U$742,ROW()-1,MATCH(D$1,'包络曲线数据'!$B$1:$U$1,0)),""))</x:f>
      </x:c>
      <x:c r="E221" t="str">
        <x:f>IF(E$1="","",IFERROR(INDEX('包络曲线数据'!$B$2:$U$742,ROW()-1,MATCH(E$1,'包络曲线数据'!$B$1:$U$1,0)),""))</x:f>
      </x:c>
      <x:c r="F221" t="str">
        <x:f>IF(F$1="","",IFERROR(INDEX('包络曲线数据'!$B$2:$U$742,ROW()-1,MATCH(F$1,'包络曲线数据'!$B$1:$U$1,0)),""))</x:f>
      </x:c>
      <x:c r="G221" t="str">
        <x:f>IF(G$1="","",IFERROR(INDEX('包络曲线数据'!$B$2:$U$742,ROW()-1,MATCH(G$1,'包络曲线数据'!$B$1:$U$1,0)),""))</x:f>
      </x:c>
    </x:row>
    <x:row r="222">
      <x:c r="A222" t="n">
        <x:v>22</x:v>
      </x:c>
      <x:c r="B222" t="n">
        <x:f>IF(B$1="","",IFERROR(INDEX('包络曲线数据'!$B$2:$U$742,ROW()-1,MATCH(B$1,'包络曲线数据'!$B$1:$U$1,0)),""))</x:f>
        <x:v>73.63493799223038</x:v>
      </x:c>
      <x:c r="C222" t="n">
        <x:f>IF(C$1="","",IFERROR(INDEX('包络曲线数据'!$B$2:$U$742,ROW()-1,MATCH(C$1,'包络曲线数据'!$B$1:$U$1,0)),""))</x:f>
        <x:v>74.67655398232168</x:v>
      </x:c>
      <x:c r="D222" t="str">
        <x:f>IF(D$1="","",IFERROR(INDEX('包络曲线数据'!$B$2:$U$742,ROW()-1,MATCH(D$1,'包络曲线数据'!$B$1:$U$1,0)),""))</x:f>
      </x:c>
      <x:c r="E222" t="str">
        <x:f>IF(E$1="","",IFERROR(INDEX('包络曲线数据'!$B$2:$U$742,ROW()-1,MATCH(E$1,'包络曲线数据'!$B$1:$U$1,0)),""))</x:f>
      </x:c>
      <x:c r="F222" t="str">
        <x:f>IF(F$1="","",IFERROR(INDEX('包络曲线数据'!$B$2:$U$742,ROW()-1,MATCH(F$1,'包络曲线数据'!$B$1:$U$1,0)),""))</x:f>
      </x:c>
      <x:c r="G222" t="str">
        <x:f>IF(G$1="","",IFERROR(INDEX('包络曲线数据'!$B$2:$U$742,ROW()-1,MATCH(G$1,'包络曲线数据'!$B$1:$U$1,0)),""))</x:f>
      </x:c>
    </x:row>
    <x:row r="223">
      <x:c r="A223" t="n">
        <x:v>22.1</x:v>
      </x:c>
      <x:c r="B223" t="n">
        <x:f>IF(B$1="","",IFERROR(INDEX('包络曲线数据'!$B$2:$U$742,ROW()-1,MATCH(B$1,'包络曲线数据'!$B$1:$U$1,0)),""))</x:f>
        <x:v>73.63493799223038</x:v>
      </x:c>
      <x:c r="C223" t="n">
        <x:f>IF(C$1="","",IFERROR(INDEX('包络曲线数据'!$B$2:$U$742,ROW()-1,MATCH(C$1,'包络曲线数据'!$B$1:$U$1,0)),""))</x:f>
        <x:v>78.89564871591068</x:v>
      </x:c>
      <x:c r="D223" t="str">
        <x:f>IF(D$1="","",IFERROR(INDEX('包络曲线数据'!$B$2:$U$742,ROW()-1,MATCH(D$1,'包络曲线数据'!$B$1:$U$1,0)),""))</x:f>
      </x:c>
      <x:c r="E223" t="str">
        <x:f>IF(E$1="","",IFERROR(INDEX('包络曲线数据'!$B$2:$U$742,ROW()-1,MATCH(E$1,'包络曲线数据'!$B$1:$U$1,0)),""))</x:f>
      </x:c>
      <x:c r="F223" t="str">
        <x:f>IF(F$1="","",IFERROR(INDEX('包络曲线数据'!$B$2:$U$742,ROW()-1,MATCH(F$1,'包络曲线数据'!$B$1:$U$1,0)),""))</x:f>
      </x:c>
      <x:c r="G223" t="str">
        <x:f>IF(G$1="","",IFERROR(INDEX('包络曲线数据'!$B$2:$U$742,ROW()-1,MATCH(G$1,'包络曲线数据'!$B$1:$U$1,0)),""))</x:f>
      </x:c>
    </x:row>
    <x:row r="224">
      <x:c r="A224" t="n">
        <x:v>22.200000000000003</x:v>
      </x:c>
      <x:c r="B224" t="n">
        <x:f>IF(B$1="","",IFERROR(INDEX('包络曲线数据'!$B$2:$U$742,ROW()-1,MATCH(B$1,'包络曲线数据'!$B$1:$U$1,0)),""))</x:f>
        <x:v>64.38927033050426</x:v>
      </x:c>
      <x:c r="C224" t="n">
        <x:f>IF(C$1="","",IFERROR(INDEX('包络曲线数据'!$B$2:$U$742,ROW()-1,MATCH(C$1,'包络曲线数据'!$B$1:$U$1,0)),""))</x:f>
        <x:v>85.25354145715954</x:v>
      </x:c>
      <x:c r="D224" t="str">
        <x:f>IF(D$1="","",IFERROR(INDEX('包络曲线数据'!$B$2:$U$742,ROW()-1,MATCH(D$1,'包络曲线数据'!$B$1:$U$1,0)),""))</x:f>
      </x:c>
      <x:c r="E224" t="str">
        <x:f>IF(E$1="","",IFERROR(INDEX('包络曲线数据'!$B$2:$U$742,ROW()-1,MATCH(E$1,'包络曲线数据'!$B$1:$U$1,0)),""))</x:f>
      </x:c>
      <x:c r="F224" t="str">
        <x:f>IF(F$1="","",IFERROR(INDEX('包络曲线数据'!$B$2:$U$742,ROW()-1,MATCH(F$1,'包络曲线数据'!$B$1:$U$1,0)),""))</x:f>
      </x:c>
      <x:c r="G224" t="str">
        <x:f>IF(G$1="","",IFERROR(INDEX('包络曲线数据'!$B$2:$U$742,ROW()-1,MATCH(G$1,'包络曲线数据'!$B$1:$U$1,0)),""))</x:f>
      </x:c>
    </x:row>
    <x:row r="225">
      <x:c r="A225" t="n">
        <x:v>22.3</x:v>
      </x:c>
      <x:c r="B225" t="n">
        <x:f>IF(B$1="","",IFERROR(INDEX('包络曲线数据'!$B$2:$U$742,ROW()-1,MATCH(B$1,'包络曲线数据'!$B$1:$U$1,0)),""))</x:f>
        <x:v>50</x:v>
      </x:c>
      <x:c r="C225" t="n">
        <x:f>IF(C$1="","",IFERROR(INDEX('包络曲线数据'!$B$2:$U$742,ROW()-1,MATCH(C$1,'包络曲线数据'!$B$1:$U$1,0)),""))</x:f>
        <x:v>85.25354145715954</x:v>
      </x:c>
      <x:c r="D225" t="str">
        <x:f>IF(D$1="","",IFERROR(INDEX('包络曲线数据'!$B$2:$U$742,ROW()-1,MATCH(D$1,'包络曲线数据'!$B$1:$U$1,0)),""))</x:f>
      </x:c>
      <x:c r="E225" t="str">
        <x:f>IF(E$1="","",IFERROR(INDEX('包络曲线数据'!$B$2:$U$742,ROW()-1,MATCH(E$1,'包络曲线数据'!$B$1:$U$1,0)),""))</x:f>
      </x:c>
      <x:c r="F225" t="str">
        <x:f>IF(F$1="","",IFERROR(INDEX('包络曲线数据'!$B$2:$U$742,ROW()-1,MATCH(F$1,'包络曲线数据'!$B$1:$U$1,0)),""))</x:f>
      </x:c>
      <x:c r="G225" t="str">
        <x:f>IF(G$1="","",IFERROR(INDEX('包络曲线数据'!$B$2:$U$742,ROW()-1,MATCH(G$1,'包络曲线数据'!$B$1:$U$1,0)),""))</x:f>
      </x:c>
    </x:row>
    <x:row r="226">
      <x:c r="A226" t="n">
        <x:v>22.400000000000002</x:v>
      </x:c>
      <x:c r="B226" t="n">
        <x:f>IF(B$1="","",IFERROR(INDEX('包络曲线数据'!$B$2:$U$742,ROW()-1,MATCH(B$1,'包络曲线数据'!$B$1:$U$1,0)),""))</x:f>
        <x:v>50</x:v>
      </x:c>
      <x:c r="C226" t="n">
        <x:f>IF(C$1="","",IFERROR(INDEX('包络曲线数据'!$B$2:$U$742,ROW()-1,MATCH(C$1,'包络曲线数据'!$B$1:$U$1,0)),""))</x:f>
        <x:v>76.25026192404464</x:v>
      </x:c>
      <x:c r="D226" t="str">
        <x:f>IF(D$1="","",IFERROR(INDEX('包络曲线数据'!$B$2:$U$742,ROW()-1,MATCH(D$1,'包络曲线数据'!$B$1:$U$1,0)),""))</x:f>
      </x:c>
      <x:c r="E226" t="str">
        <x:f>IF(E$1="","",IFERROR(INDEX('包络曲线数据'!$B$2:$U$742,ROW()-1,MATCH(E$1,'包络曲线数据'!$B$1:$U$1,0)),""))</x:f>
      </x:c>
      <x:c r="F226" t="str">
        <x:f>IF(F$1="","",IFERROR(INDEX('包络曲线数据'!$B$2:$U$742,ROW()-1,MATCH(F$1,'包络曲线数据'!$B$1:$U$1,0)),""))</x:f>
      </x:c>
      <x:c r="G226" t="str">
        <x:f>IF(G$1="","",IFERROR(INDEX('包络曲线数据'!$B$2:$U$742,ROW()-1,MATCH(G$1,'包络曲线数据'!$B$1:$U$1,0)),""))</x:f>
      </x:c>
    </x:row>
    <x:row r="227">
      <x:c r="A227" t="n">
        <x:v>22.5</x:v>
      </x:c>
      <x:c r="B227" t="n">
        <x:f>IF(B$1="","",IFERROR(INDEX('包络曲线数据'!$B$2:$U$742,ROW()-1,MATCH(B$1,'包络曲线数据'!$B$1:$U$1,0)),""))</x:f>
        <x:v>50</x:v>
      </x:c>
      <x:c r="C227" t="n">
        <x:f>IF(C$1="","",IFERROR(INDEX('包络曲线数据'!$B$2:$U$742,ROW()-1,MATCH(C$1,'包络曲线数据'!$B$1:$U$1,0)),""))</x:f>
        <x:v>67.72502961449996</x:v>
      </x:c>
      <x:c r="D227" t="str">
        <x:f>IF(D$1="","",IFERROR(INDEX('包络曲线数据'!$B$2:$U$742,ROW()-1,MATCH(D$1,'包络曲线数据'!$B$1:$U$1,0)),""))</x:f>
      </x:c>
      <x:c r="E227" t="str">
        <x:f>IF(E$1="","",IFERROR(INDEX('包络曲线数据'!$B$2:$U$742,ROW()-1,MATCH(E$1,'包络曲线数据'!$B$1:$U$1,0)),""))</x:f>
      </x:c>
      <x:c r="F227" t="str">
        <x:f>IF(F$1="","",IFERROR(INDEX('包络曲线数据'!$B$2:$U$742,ROW()-1,MATCH(F$1,'包络曲线数据'!$B$1:$U$1,0)),""))</x:f>
      </x:c>
      <x:c r="G227" t="str">
        <x:f>IF(G$1="","",IFERROR(INDEX('包络曲线数据'!$B$2:$U$742,ROW()-1,MATCH(G$1,'包络曲线数据'!$B$1:$U$1,0)),""))</x:f>
      </x:c>
    </x:row>
    <x:row r="228">
      <x:c r="A228" t="n">
        <x:v>22.6</x:v>
      </x:c>
      <x:c r="B228" t="n">
        <x:f>IF(B$1="","",IFERROR(INDEX('包络曲线数据'!$B$2:$U$742,ROW()-1,MATCH(B$1,'包络曲线数据'!$B$1:$U$1,0)),""))</x:f>
        <x:v>58.8820941219373</x:v>
      </x:c>
      <x:c r="C228" t="n">
        <x:f>IF(C$1="","",IFERROR(INDEX('包络曲线数据'!$B$2:$U$742,ROW()-1,MATCH(C$1,'包络曲线数据'!$B$1:$U$1,0)),""))</x:f>
        <x:v>50</x:v>
      </x:c>
      <x:c r="D228" t="str">
        <x:f>IF(D$1="","",IFERROR(INDEX('包络曲线数据'!$B$2:$U$742,ROW()-1,MATCH(D$1,'包络曲线数据'!$B$1:$U$1,0)),""))</x:f>
      </x:c>
      <x:c r="E228" t="str">
        <x:f>IF(E$1="","",IFERROR(INDEX('包络曲线数据'!$B$2:$U$742,ROW()-1,MATCH(E$1,'包络曲线数据'!$B$1:$U$1,0)),""))</x:f>
      </x:c>
      <x:c r="F228" t="str">
        <x:f>IF(F$1="","",IFERROR(INDEX('包络曲线数据'!$B$2:$U$742,ROW()-1,MATCH(F$1,'包络曲线数据'!$B$1:$U$1,0)),""))</x:f>
      </x:c>
      <x:c r="G228" t="str">
        <x:f>IF(G$1="","",IFERROR(INDEX('包络曲线数据'!$B$2:$U$742,ROW()-1,MATCH(G$1,'包络曲线数据'!$B$1:$U$1,0)),""))</x:f>
      </x:c>
    </x:row>
    <x:row r="229">
      <x:c r="A229" t="n">
        <x:v>22.700000000000003</x:v>
      </x:c>
      <x:c r="B229" t="n">
        <x:f>IF(B$1="","",IFERROR(INDEX('包络曲线数据'!$B$2:$U$742,ROW()-1,MATCH(B$1,'包络曲线数据'!$B$1:$U$1,0)),""))</x:f>
        <x:v>62.43493177071209</x:v>
      </x:c>
      <x:c r="C229" t="n">
        <x:f>IF(C$1="","",IFERROR(INDEX('包络曲线数据'!$B$2:$U$742,ROW()-1,MATCH(C$1,'包络曲线数据'!$B$1:$U$1,0)),""))</x:f>
        <x:v>57.5106969892237</x:v>
      </x:c>
      <x:c r="D229" t="str">
        <x:f>IF(D$1="","",IFERROR(INDEX('包络曲线数据'!$B$2:$U$742,ROW()-1,MATCH(D$1,'包络曲线数据'!$B$1:$U$1,0)),""))</x:f>
      </x:c>
      <x:c r="E229" t="str">
        <x:f>IF(E$1="","",IFERROR(INDEX('包络曲线数据'!$B$2:$U$742,ROW()-1,MATCH(E$1,'包络曲线数据'!$B$1:$U$1,0)),""))</x:f>
      </x:c>
      <x:c r="F229" t="str">
        <x:f>IF(F$1="","",IFERROR(INDEX('包络曲线数据'!$B$2:$U$742,ROW()-1,MATCH(F$1,'包络曲线数据'!$B$1:$U$1,0)),""))</x:f>
      </x:c>
      <x:c r="G229" t="str">
        <x:f>IF(G$1="","",IFERROR(INDEX('包络曲线数据'!$B$2:$U$742,ROW()-1,MATCH(G$1,'包络曲线数据'!$B$1:$U$1,0)),""))</x:f>
      </x:c>
    </x:row>
    <x:row r="230">
      <x:c r="A230" t="n">
        <x:v>22.8</x:v>
      </x:c>
      <x:c r="B230" t="n">
        <x:f>IF(B$1="","",IFERROR(INDEX('包络曲线数据'!$B$2:$U$742,ROW()-1,MATCH(B$1,'包络曲线数据'!$B$1:$U$1,0)),""))</x:f>
        <x:v>67.19056714284184</x:v>
      </x:c>
      <x:c r="C230" t="n">
        <x:f>IF(C$1="","",IFERROR(INDEX('包络曲线数据'!$B$2:$U$742,ROW()-1,MATCH(C$1,'包络曲线数据'!$B$1:$U$1,0)),""))</x:f>
        <x:v>65.02139397844714</x:v>
      </x:c>
      <x:c r="D230" t="str">
        <x:f>IF(D$1="","",IFERROR(INDEX('包络曲线数据'!$B$2:$U$742,ROW()-1,MATCH(D$1,'包络曲线数据'!$B$1:$U$1,0)),""))</x:f>
      </x:c>
      <x:c r="E230" t="str">
        <x:f>IF(E$1="","",IFERROR(INDEX('包络曲线数据'!$B$2:$U$742,ROW()-1,MATCH(E$1,'包络曲线数据'!$B$1:$U$1,0)),""))</x:f>
      </x:c>
      <x:c r="F230" t="str">
        <x:f>IF(F$1="","",IFERROR(INDEX('包络曲线数据'!$B$2:$U$742,ROW()-1,MATCH(F$1,'包络曲线数据'!$B$1:$U$1,0)),""))</x:f>
      </x:c>
      <x:c r="G230" t="str">
        <x:f>IF(G$1="","",IFERROR(INDEX('包络曲线数据'!$B$2:$U$742,ROW()-1,MATCH(G$1,'包络曲线数据'!$B$1:$U$1,0)),""))</x:f>
      </x:c>
    </x:row>
    <x:row r="231">
      <x:c r="A231" t="n">
        <x:v>22.900000000000002</x:v>
      </x:c>
      <x:c r="B231" t="n">
        <x:f>IF(B$1="","",IFERROR(INDEX('包络曲线数据'!$B$2:$U$742,ROW()-1,MATCH(B$1,'包络曲线数据'!$B$1:$U$1,0)),""))</x:f>
        <x:v>69.5269834975916</x:v>
      </x:c>
      <x:c r="C231" t="n">
        <x:f>IF(C$1="","",IFERROR(INDEX('包络曲线数据'!$B$2:$U$742,ROW()-1,MATCH(C$1,'包络曲线数据'!$B$1:$U$1,0)),""))</x:f>
        <x:v>68.02567277413651</x:v>
      </x:c>
      <x:c r="D231" t="str">
        <x:f>IF(D$1="","",IFERROR(INDEX('包络曲线数据'!$B$2:$U$742,ROW()-1,MATCH(D$1,'包络曲线数据'!$B$1:$U$1,0)),""))</x:f>
      </x:c>
      <x:c r="E231" t="str">
        <x:f>IF(E$1="","",IFERROR(INDEX('包络曲线数据'!$B$2:$U$742,ROW()-1,MATCH(E$1,'包络曲线数据'!$B$1:$U$1,0)),""))</x:f>
      </x:c>
      <x:c r="F231" t="str">
        <x:f>IF(F$1="","",IFERROR(INDEX('包络曲线数据'!$B$2:$U$742,ROW()-1,MATCH(F$1,'包络曲线数据'!$B$1:$U$1,0)),""))</x:f>
      </x:c>
      <x:c r="G231" t="str">
        <x:f>IF(G$1="","",IFERROR(INDEX('包络曲线数据'!$B$2:$U$742,ROW()-1,MATCH(G$1,'包络曲线数据'!$B$1:$U$1,0)),""))</x:f>
      </x:c>
    </x:row>
    <x:row r="232">
      <x:c r="A232" t="n">
        <x:v>23</x:v>
      </x:c>
      <x:c r="B232" t="n">
        <x:f>IF(B$1="","",IFERROR(INDEX('包络曲线数据'!$B$2:$U$742,ROW()-1,MATCH(B$1,'包络曲线数据'!$B$1:$U$1,0)),""))</x:f>
        <x:v>69.5269834975916</x:v>
      </x:c>
      <x:c r="C232" t="n">
        <x:f>IF(C$1="","",IFERROR(INDEX('包络曲线数据'!$B$2:$U$742,ROW()-1,MATCH(C$1,'包络曲线数据'!$B$1:$U$1,0)),""))</x:f>
        <x:v>75.67397737577863</x:v>
      </x:c>
      <x:c r="D232" t="str">
        <x:f>IF(D$1="","",IFERROR(INDEX('包络曲线数据'!$B$2:$U$742,ROW()-1,MATCH(D$1,'包络曲线数据'!$B$1:$U$1,0)),""))</x:f>
      </x:c>
      <x:c r="E232" t="str">
        <x:f>IF(E$1="","",IFERROR(INDEX('包络曲线数据'!$B$2:$U$742,ROW()-1,MATCH(E$1,'包络曲线数据'!$B$1:$U$1,0)),""))</x:f>
      </x:c>
      <x:c r="F232" t="str">
        <x:f>IF(F$1="","",IFERROR(INDEX('包络曲线数据'!$B$2:$U$742,ROW()-1,MATCH(F$1,'包络曲线数据'!$B$1:$U$1,0)),""))</x:f>
      </x:c>
      <x:c r="G232" t="str">
        <x:f>IF(G$1="","",IFERROR(INDEX('包络曲线数据'!$B$2:$U$742,ROW()-1,MATCH(G$1,'包络曲线数据'!$B$1:$U$1,0)),""))</x:f>
      </x:c>
    </x:row>
    <x:row r="233">
      <x:c r="A233" t="n">
        <x:v>23.1</x:v>
      </x:c>
      <x:c r="B233" t="n">
        <x:f>IF(B$1="","",IFERROR(INDEX('包络曲线数据'!$B$2:$U$742,ROW()-1,MATCH(B$1,'包络曲线数据'!$B$1:$U$1,0)),""))</x:f>
        <x:v>60.63409703962841</x:v>
      </x:c>
      <x:c r="C233" t="n">
        <x:f>IF(C$1="","",IFERROR(INDEX('包络曲线数据'!$B$2:$U$742,ROW()-1,MATCH(C$1,'包络曲线数据'!$B$1:$U$1,0)),""))</x:f>
        <x:v>76.94467407804619</x:v>
      </x:c>
      <x:c r="D233" t="str">
        <x:f>IF(D$1="","",IFERROR(INDEX('包络曲线数据'!$B$2:$U$742,ROW()-1,MATCH(D$1,'包络曲线数据'!$B$1:$U$1,0)),""))</x:f>
      </x:c>
      <x:c r="E233" t="str">
        <x:f>IF(E$1="","",IFERROR(INDEX('包络曲线数据'!$B$2:$U$742,ROW()-1,MATCH(E$1,'包络曲线数据'!$B$1:$U$1,0)),""))</x:f>
      </x:c>
      <x:c r="F233" t="str">
        <x:f>IF(F$1="","",IFERROR(INDEX('包络曲线数据'!$B$2:$U$742,ROW()-1,MATCH(F$1,'包络曲线数据'!$B$1:$U$1,0)),""))</x:f>
      </x:c>
      <x:c r="G233" t="str">
        <x:f>IF(G$1="","",IFERROR(INDEX('包络曲线数据'!$B$2:$U$742,ROW()-1,MATCH(G$1,'包络曲线数据'!$B$1:$U$1,0)),""))</x:f>
      </x:c>
    </x:row>
    <x:row r="234">
      <x:c r="A234" t="n">
        <x:v>23.200000000000003</x:v>
      </x:c>
      <x:c r="B234" t="n">
        <x:f>IF(B$1="","",IFERROR(INDEX('包络曲线数据'!$B$2:$U$742,ROW()-1,MATCH(B$1,'包络曲线数据'!$B$1:$U$1,0)),""))</x:f>
        <x:v>63.241254653221326</x:v>
      </x:c>
      <x:c r="C234" t="n">
        <x:f>IF(C$1="","",IFERROR(INDEX('包络曲线数据'!$B$2:$U$742,ROW()-1,MATCH(C$1,'包络曲线数据'!$B$1:$U$1,0)),""))</x:f>
        <x:v>75.35174219288794</x:v>
      </x:c>
      <x:c r="D234" t="str">
        <x:f>IF(D$1="","",IFERROR(INDEX('包络曲线数据'!$B$2:$U$742,ROW()-1,MATCH(D$1,'包络曲线数据'!$B$1:$U$1,0)),""))</x:f>
      </x:c>
      <x:c r="E234" t="str">
        <x:f>IF(E$1="","",IFERROR(INDEX('包络曲线数据'!$B$2:$U$742,ROW()-1,MATCH(E$1,'包络曲线数据'!$B$1:$U$1,0)),""))</x:f>
      </x:c>
      <x:c r="F234" t="str">
        <x:f>IF(F$1="","",IFERROR(INDEX('包络曲线数据'!$B$2:$U$742,ROW()-1,MATCH(F$1,'包络曲线数据'!$B$1:$U$1,0)),""))</x:f>
      </x:c>
      <x:c r="G234" t="str">
        <x:f>IF(G$1="","",IFERROR(INDEX('包络曲线数据'!$B$2:$U$742,ROW()-1,MATCH(G$1,'包络曲线数据'!$B$1:$U$1,0)),""))</x:f>
      </x:c>
    </x:row>
    <x:row r="235">
      <x:c r="A235" t="n">
        <x:v>23.3</x:v>
      </x:c>
      <x:c r="B235" t="n">
        <x:f>IF(B$1="","",IFERROR(INDEX('包络曲线数据'!$B$2:$U$742,ROW()-1,MATCH(B$1,'包络曲线数据'!$B$1:$U$1,0)),""))</x:f>
        <x:v>64.22930173669626</x:v>
      </x:c>
      <x:c r="C235" t="n">
        <x:f>IF(C$1="","",IFERROR(INDEX('包络曲线数据'!$B$2:$U$742,ROW()-1,MATCH(C$1,'包络曲线数据'!$B$1:$U$1,0)),""))</x:f>
        <x:v>67.81194765157717</x:v>
      </x:c>
      <x:c r="D235" t="str">
        <x:f>IF(D$1="","",IFERROR(INDEX('包络曲线数据'!$B$2:$U$742,ROW()-1,MATCH(D$1,'包络曲线数据'!$B$1:$U$1,0)),""))</x:f>
      </x:c>
      <x:c r="E235" t="str">
        <x:f>IF(E$1="","",IFERROR(INDEX('包络曲线数据'!$B$2:$U$742,ROW()-1,MATCH(E$1,'包络曲线数据'!$B$1:$U$1,0)),""))</x:f>
      </x:c>
      <x:c r="F235" t="str">
        <x:f>IF(F$1="","",IFERROR(INDEX('包络曲线数据'!$B$2:$U$742,ROW()-1,MATCH(F$1,'包络曲线数据'!$B$1:$U$1,0)),""))</x:f>
      </x:c>
      <x:c r="G235" t="str">
        <x:f>IF(G$1="","",IFERROR(INDEX('包络曲线数据'!$B$2:$U$742,ROW()-1,MATCH(G$1,'包络曲线数据'!$B$1:$U$1,0)),""))</x:f>
      </x:c>
    </x:row>
    <x:row r="236">
      <x:c r="A236" t="n">
        <x:v>23.400000000000002</x:v>
      </x:c>
      <x:c r="B236" t="n">
        <x:f>IF(B$1="","",IFERROR(INDEX('包络曲线数据'!$B$2:$U$742,ROW()-1,MATCH(B$1,'包络曲线数据'!$B$1:$U$1,0)),""))</x:f>
        <x:v>64.22930173669626</x:v>
      </x:c>
      <x:c r="C236" t="n">
        <x:f>IF(C$1="","",IFERROR(INDEX('包络曲线数据'!$B$2:$U$742,ROW()-1,MATCH(C$1,'包络曲线数据'!$B$1:$U$1,0)),""))</x:f>
        <x:v>72.93418134229373</x:v>
      </x:c>
      <x:c r="D236" t="str">
        <x:f>IF(D$1="","",IFERROR(INDEX('包络曲线数据'!$B$2:$U$742,ROW()-1,MATCH(D$1,'包络曲线数据'!$B$1:$U$1,0)),""))</x:f>
      </x:c>
      <x:c r="E236" t="str">
        <x:f>IF(E$1="","",IFERROR(INDEX('包络曲线数据'!$B$2:$U$742,ROW()-1,MATCH(E$1,'包络曲线数据'!$B$1:$U$1,0)),""))</x:f>
      </x:c>
      <x:c r="F236" t="str">
        <x:f>IF(F$1="","",IFERROR(INDEX('包络曲线数据'!$B$2:$U$742,ROW()-1,MATCH(F$1,'包络曲线数据'!$B$1:$U$1,0)),""))</x:f>
      </x:c>
      <x:c r="G236" t="str">
        <x:f>IF(G$1="","",IFERROR(INDEX('包络曲线数据'!$B$2:$U$742,ROW()-1,MATCH(G$1,'包络曲线数据'!$B$1:$U$1,0)),""))</x:f>
      </x:c>
    </x:row>
    <x:row r="237">
      <x:c r="A237" t="n">
        <x:v>23.5</x:v>
      </x:c>
      <x:c r="B237" t="n">
        <x:f>IF(B$1="","",IFERROR(INDEX('包络曲线数据'!$B$2:$U$742,ROW()-1,MATCH(B$1,'包络曲线数据'!$B$1:$U$1,0)),""))</x:f>
        <x:v>63.70056323959953</x:v>
      </x:c>
      <x:c r="C237" t="n">
        <x:f>IF(C$1="","",IFERROR(INDEX('包络曲线数据'!$B$2:$U$742,ROW()-1,MATCH(C$1,'包络曲线数据'!$B$1:$U$1,0)),""))</x:f>
        <x:v>73.74576418199075</x:v>
      </x:c>
      <x:c r="D237" t="str">
        <x:f>IF(D$1="","",IFERROR(INDEX('包络曲线数据'!$B$2:$U$742,ROW()-1,MATCH(D$1,'包络曲线数据'!$B$1:$U$1,0)),""))</x:f>
      </x:c>
      <x:c r="E237" t="str">
        <x:f>IF(E$1="","",IFERROR(INDEX('包络曲线数据'!$B$2:$U$742,ROW()-1,MATCH(E$1,'包络曲线数据'!$B$1:$U$1,0)),""))</x:f>
      </x:c>
      <x:c r="F237" t="str">
        <x:f>IF(F$1="","",IFERROR(INDEX('包络曲线数据'!$B$2:$U$742,ROW()-1,MATCH(F$1,'包络曲线数据'!$B$1:$U$1,0)),""))</x:f>
      </x:c>
      <x:c r="G237" t="str">
        <x:f>IF(G$1="","",IFERROR(INDEX('包络曲线数据'!$B$2:$U$742,ROW()-1,MATCH(G$1,'包络曲线数据'!$B$1:$U$1,0)),""))</x:f>
      </x:c>
    </x:row>
    <x:row r="238">
      <x:c r="A238" t="n">
        <x:v>23.6</x:v>
      </x:c>
      <x:c r="B238" t="n">
        <x:f>IF(B$1="","",IFERROR(INDEX('包络曲线数据'!$B$2:$U$742,ROW()-1,MATCH(B$1,'包络曲线数据'!$B$1:$U$1,0)),""))</x:f>
        <x:v>63.70056323959953</x:v>
      </x:c>
      <x:c r="C238" t="n">
        <x:f>IF(C$1="","",IFERROR(INDEX('包络曲线数据'!$B$2:$U$742,ROW()-1,MATCH(C$1,'包络曲线数据'!$B$1:$U$1,0)),""))</x:f>
        <x:v>75.48428374607555</x:v>
      </x:c>
      <x:c r="D238" t="str">
        <x:f>IF(D$1="","",IFERROR(INDEX('包络曲线数据'!$B$2:$U$742,ROW()-1,MATCH(D$1,'包络曲线数据'!$B$1:$U$1,0)),""))</x:f>
      </x:c>
      <x:c r="E238" t="str">
        <x:f>IF(E$1="","",IFERROR(INDEX('包络曲线数据'!$B$2:$U$742,ROW()-1,MATCH(E$1,'包络曲线数据'!$B$1:$U$1,0)),""))</x:f>
      </x:c>
      <x:c r="F238" t="str">
        <x:f>IF(F$1="","",IFERROR(INDEX('包络曲线数据'!$B$2:$U$742,ROW()-1,MATCH(F$1,'包络曲线数据'!$B$1:$U$1,0)),""))</x:f>
      </x:c>
      <x:c r="G238" t="str">
        <x:f>IF(G$1="","",IFERROR(INDEX('包络曲线数据'!$B$2:$U$742,ROW()-1,MATCH(G$1,'包络曲线数据'!$B$1:$U$1,0)),""))</x:f>
      </x:c>
    </x:row>
    <x:row r="239">
      <x:c r="A239" t="n">
        <x:v>23.700000000000003</x:v>
      </x:c>
      <x:c r="B239" t="n">
        <x:f>IF(B$1="","",IFERROR(INDEX('包络曲线数据'!$B$2:$U$742,ROW()-1,MATCH(B$1,'包络曲线数据'!$B$1:$U$1,0)),""))</x:f>
        <x:v>65.46715922045789</x:v>
      </x:c>
      <x:c r="C239" t="n">
        <x:f>IF(C$1="","",IFERROR(INDEX('包络曲线数据'!$B$2:$U$742,ROW()-1,MATCH(C$1,'包络曲线数据'!$B$1:$U$1,0)),""))</x:f>
        <x:v>76.10034840376989</x:v>
      </x:c>
      <x:c r="D239" t="str">
        <x:f>IF(D$1="","",IFERROR(INDEX('包络曲线数据'!$B$2:$U$742,ROW()-1,MATCH(D$1,'包络曲线数据'!$B$1:$U$1,0)),""))</x:f>
      </x:c>
      <x:c r="E239" t="str">
        <x:f>IF(E$1="","",IFERROR(INDEX('包络曲线数据'!$B$2:$U$742,ROW()-1,MATCH(E$1,'包络曲线数据'!$B$1:$U$1,0)),""))</x:f>
      </x:c>
      <x:c r="F239" t="str">
        <x:f>IF(F$1="","",IFERROR(INDEX('包络曲线数据'!$B$2:$U$742,ROW()-1,MATCH(F$1,'包络曲线数据'!$B$1:$U$1,0)),""))</x:f>
      </x:c>
      <x:c r="G239" t="str">
        <x:f>IF(G$1="","",IFERROR(INDEX('包络曲线数据'!$B$2:$U$742,ROW()-1,MATCH(G$1,'包络曲线数据'!$B$1:$U$1,0)),""))</x:f>
      </x:c>
    </x:row>
    <x:row r="240">
      <x:c r="A240" t="n">
        <x:v>23.8</x:v>
      </x:c>
      <x:c r="B240" t="n">
        <x:f>IF(B$1="","",IFERROR(INDEX('包络曲线数据'!$B$2:$U$742,ROW()-1,MATCH(B$1,'包络曲线数据'!$B$1:$U$1,0)),""))</x:f>
        <x:v>65.502743047632</x:v>
      </x:c>
      <x:c r="C240" t="n">
        <x:f>IF(C$1="","",IFERROR(INDEX('包络曲线数据'!$B$2:$U$742,ROW()-1,MATCH(C$1,'包络曲线数据'!$B$1:$U$1,0)),""))</x:f>
        <x:v>76.40012288858927</x:v>
      </x:c>
      <x:c r="D240" t="str">
        <x:f>IF(D$1="","",IFERROR(INDEX('包络曲线数据'!$B$2:$U$742,ROW()-1,MATCH(D$1,'包络曲线数据'!$B$1:$U$1,0)),""))</x:f>
      </x:c>
      <x:c r="E240" t="str">
        <x:f>IF(E$1="","",IFERROR(INDEX('包络曲线数据'!$B$2:$U$742,ROW()-1,MATCH(E$1,'包络曲线数据'!$B$1:$U$1,0)),""))</x:f>
      </x:c>
      <x:c r="F240" t="str">
        <x:f>IF(F$1="","",IFERROR(INDEX('包络曲线数据'!$B$2:$U$742,ROW()-1,MATCH(F$1,'包络曲线数据'!$B$1:$U$1,0)),""))</x:f>
      </x:c>
      <x:c r="G240" t="str">
        <x:f>IF(G$1="","",IFERROR(INDEX('包络曲线数据'!$B$2:$U$742,ROW()-1,MATCH(G$1,'包络曲线数据'!$B$1:$U$1,0)),""))</x:f>
      </x:c>
    </x:row>
    <x:row r="241">
      <x:c r="A241" t="n">
        <x:v>23.900000000000002</x:v>
      </x:c>
      <x:c r="B241" t="n">
        <x:f>IF(B$1="","",IFERROR(INDEX('包络曲线数据'!$B$2:$U$742,ROW()-1,MATCH(B$1,'包络曲线数据'!$B$1:$U$1,0)),""))</x:f>
        <x:v>66.16313184502599</x:v>
      </x:c>
      <x:c r="C241" t="n">
        <x:f>IF(C$1="","",IFERROR(INDEX('包络曲线数据'!$B$2:$U$742,ROW()-1,MATCH(C$1,'包络曲线数据'!$B$1:$U$1,0)),""))</x:f>
        <x:v>76.68176006032178</x:v>
      </x:c>
      <x:c r="D241" t="str">
        <x:f>IF(D$1="","",IFERROR(INDEX('包络曲线数据'!$B$2:$U$742,ROW()-1,MATCH(D$1,'包络曲线数据'!$B$1:$U$1,0)),""))</x:f>
      </x:c>
      <x:c r="E241" t="str">
        <x:f>IF(E$1="","",IFERROR(INDEX('包络曲线数据'!$B$2:$U$742,ROW()-1,MATCH(E$1,'包络曲线数据'!$B$1:$U$1,0)),""))</x:f>
      </x:c>
      <x:c r="F241" t="str">
        <x:f>IF(F$1="","",IFERROR(INDEX('包络曲线数据'!$B$2:$U$742,ROW()-1,MATCH(F$1,'包络曲线数据'!$B$1:$U$1,0)),""))</x:f>
      </x:c>
      <x:c r="G241" t="str">
        <x:f>IF(G$1="","",IFERROR(INDEX('包络曲线数据'!$B$2:$U$742,ROW()-1,MATCH(G$1,'包络曲线数据'!$B$1:$U$1,0)),""))</x:f>
      </x:c>
    </x:row>
    <x:row r="242">
      <x:c r="A242" t="n">
        <x:v>24</x:v>
      </x:c>
      <x:c r="B242" t="n">
        <x:f>IF(B$1="","",IFERROR(INDEX('包络曲线数据'!$B$2:$U$742,ROW()-1,MATCH(B$1,'包络曲线数据'!$B$1:$U$1,0)),""))</x:f>
        <x:v>66.66840017537666</x:v>
      </x:c>
      <x:c r="C242" t="n">
        <x:f>IF(C$1="","",IFERROR(INDEX('包络曲线数据'!$B$2:$U$742,ROW()-1,MATCH(C$1,'包络曲线数据'!$B$1:$U$1,0)),""))</x:f>
        <x:v>77.77419198633487</x:v>
      </x:c>
      <x:c r="D242" t="str">
        <x:f>IF(D$1="","",IFERROR(INDEX('包络曲线数据'!$B$2:$U$742,ROW()-1,MATCH(D$1,'包络曲线数据'!$B$1:$U$1,0)),""))</x:f>
      </x:c>
      <x:c r="E242" t="str">
        <x:f>IF(E$1="","",IFERROR(INDEX('包络曲线数据'!$B$2:$U$742,ROW()-1,MATCH(E$1,'包络曲线数据'!$B$1:$U$1,0)),""))</x:f>
      </x:c>
      <x:c r="F242" t="str">
        <x:f>IF(F$1="","",IFERROR(INDEX('包络曲线数据'!$B$2:$U$742,ROW()-1,MATCH(F$1,'包络曲线数据'!$B$1:$U$1,0)),""))</x:f>
      </x:c>
      <x:c r="G242" t="str">
        <x:f>IF(G$1="","",IFERROR(INDEX('包络曲线数据'!$B$2:$U$742,ROW()-1,MATCH(G$1,'包络曲线数据'!$B$1:$U$1,0)),""))</x:f>
      </x:c>
    </x:row>
    <x:row r="243">
      <x:c r="A243" t="n">
        <x:v>24.1</x:v>
      </x:c>
      <x:c r="B243" t="n">
        <x:f>IF(B$1="","",IFERROR(INDEX('包络曲线数据'!$B$2:$U$742,ROW()-1,MATCH(B$1,'包络曲线数据'!$B$1:$U$1,0)),""))</x:f>
        <x:v>80.904080950841</x:v>
      </x:c>
      <x:c r="C243" t="n">
        <x:f>IF(C$1="","",IFERROR(INDEX('包络曲线数据'!$B$2:$U$742,ROW()-1,MATCH(C$1,'包络曲线数据'!$B$1:$U$1,0)),""))</x:f>
        <x:v>77.77419198633487</x:v>
      </x:c>
      <x:c r="D243" t="str">
        <x:f>IF(D$1="","",IFERROR(INDEX('包络曲线数据'!$B$2:$U$742,ROW()-1,MATCH(D$1,'包络曲线数据'!$B$1:$U$1,0)),""))</x:f>
      </x:c>
      <x:c r="E243" t="str">
        <x:f>IF(E$1="","",IFERROR(INDEX('包络曲线数据'!$B$2:$U$742,ROW()-1,MATCH(E$1,'包络曲线数据'!$B$1:$U$1,0)),""))</x:f>
      </x:c>
      <x:c r="F243" t="str">
        <x:f>IF(F$1="","",IFERROR(INDEX('包络曲线数据'!$B$2:$U$742,ROW()-1,MATCH(F$1,'包络曲线数据'!$B$1:$U$1,0)),""))</x:f>
      </x:c>
      <x:c r="G243" t="str">
        <x:f>IF(G$1="","",IFERROR(INDEX('包络曲线数据'!$B$2:$U$742,ROW()-1,MATCH(G$1,'包络曲线数据'!$B$1:$U$1,0)),""))</x:f>
      </x:c>
    </x:row>
    <x:row r="244">
      <x:c r="A244" t="n">
        <x:v>24.200000000000003</x:v>
      </x:c>
      <x:c r="B244" t="n">
        <x:f>IF(B$1="","",IFERROR(INDEX('包络曲线数据'!$B$2:$U$742,ROW()-1,MATCH(B$1,'包络曲线数据'!$B$1:$U$1,0)),""))</x:f>
        <x:v>80.904080950841</x:v>
      </x:c>
      <x:c r="C244" t="n">
        <x:f>IF(C$1="","",IFERROR(INDEX('包络曲线数据'!$B$2:$U$742,ROW()-1,MATCH(C$1,'包络曲线数据'!$B$1:$U$1,0)),""))</x:f>
        <x:v>76.56794298671582</x:v>
      </x:c>
      <x:c r="D244" t="str">
        <x:f>IF(D$1="","",IFERROR(INDEX('包络曲线数据'!$B$2:$U$742,ROW()-1,MATCH(D$1,'包络曲线数据'!$B$1:$U$1,0)),""))</x:f>
      </x:c>
      <x:c r="E244" t="str">
        <x:f>IF(E$1="","",IFERROR(INDEX('包络曲线数据'!$B$2:$U$742,ROW()-1,MATCH(E$1,'包络曲线数据'!$B$1:$U$1,0)),""))</x:f>
      </x:c>
      <x:c r="F244" t="str">
        <x:f>IF(F$1="","",IFERROR(INDEX('包络曲线数据'!$B$2:$U$742,ROW()-1,MATCH(F$1,'包络曲线数据'!$B$1:$U$1,0)),""))</x:f>
      </x:c>
      <x:c r="G244" t="str">
        <x:f>IF(G$1="","",IFERROR(INDEX('包络曲线数据'!$B$2:$U$742,ROW()-1,MATCH(G$1,'包络曲线数据'!$B$1:$U$1,0)),""))</x:f>
      </x:c>
    </x:row>
    <x:row r="245">
      <x:c r="A245" t="n">
        <x:v>24.3</x:v>
      </x:c>
      <x:c r="B245" t="n">
        <x:f>IF(B$1="","",IFERROR(INDEX('包络曲线数据'!$B$2:$U$742,ROW()-1,MATCH(B$1,'包络曲线数据'!$B$1:$U$1,0)),""))</x:f>
        <x:v>75.77613967600583</x:v>
      </x:c>
      <x:c r="C245" t="n">
        <x:f>IF(C$1="","",IFERROR(INDEX('包络曲线数据'!$B$2:$U$742,ROW()-1,MATCH(C$1,'包络曲线数据'!$B$1:$U$1,0)),""))</x:f>
        <x:v>76.12980614862936</x:v>
      </x:c>
      <x:c r="D245" t="str">
        <x:f>IF(D$1="","",IFERROR(INDEX('包络曲线数据'!$B$2:$U$742,ROW()-1,MATCH(D$1,'包络曲线数据'!$B$1:$U$1,0)),""))</x:f>
      </x:c>
      <x:c r="E245" t="str">
        <x:f>IF(E$1="","",IFERROR(INDEX('包络曲线数据'!$B$2:$U$742,ROW()-1,MATCH(E$1,'包络曲线数据'!$B$1:$U$1,0)),""))</x:f>
      </x:c>
      <x:c r="F245" t="str">
        <x:f>IF(F$1="","",IFERROR(INDEX('包络曲线数据'!$B$2:$U$742,ROW()-1,MATCH(F$1,'包络曲线数据'!$B$1:$U$1,0)),""))</x:f>
      </x:c>
      <x:c r="G245" t="str">
        <x:f>IF(G$1="","",IFERROR(INDEX('包络曲线数据'!$B$2:$U$742,ROW()-1,MATCH(G$1,'包络曲线数据'!$B$1:$U$1,0)),""))</x:f>
      </x:c>
    </x:row>
    <x:row r="246">
      <x:c r="A246" t="n">
        <x:v>24.400000000000002</x:v>
      </x:c>
      <x:c r="B246" t="n">
        <x:f>IF(B$1="","",IFERROR(INDEX('包络曲线数据'!$B$2:$U$742,ROW()-1,MATCH(B$1,'包络曲线数据'!$B$1:$U$1,0)),""))</x:f>
        <x:v>67.1609454951853</x:v>
      </x:c>
      <x:c r="C246" t="n">
        <x:f>IF(C$1="","",IFERROR(INDEX('包络曲线数据'!$B$2:$U$742,ROW()-1,MATCH(C$1,'包络曲线数据'!$B$1:$U$1,0)),""))</x:f>
        <x:v>74.7501835499863</x:v>
      </x:c>
      <x:c r="D246" t="str">
        <x:f>IF(D$1="","",IFERROR(INDEX('包络曲线数据'!$B$2:$U$742,ROW()-1,MATCH(D$1,'包络曲线数据'!$B$1:$U$1,0)),""))</x:f>
      </x:c>
      <x:c r="E246" t="str">
        <x:f>IF(E$1="","",IFERROR(INDEX('包络曲线数据'!$B$2:$U$742,ROW()-1,MATCH(E$1,'包络曲线数据'!$B$1:$U$1,0)),""))</x:f>
      </x:c>
      <x:c r="F246" t="str">
        <x:f>IF(F$1="","",IFERROR(INDEX('包络曲线数据'!$B$2:$U$742,ROW()-1,MATCH(F$1,'包络曲线数据'!$B$1:$U$1,0)),""))</x:f>
      </x:c>
      <x:c r="G246" t="str">
        <x:f>IF(G$1="","",IFERROR(INDEX('包络曲线数据'!$B$2:$U$742,ROW()-1,MATCH(G$1,'包络曲线数据'!$B$1:$U$1,0)),""))</x:f>
      </x:c>
    </x:row>
    <x:row r="247">
      <x:c r="A247" t="n">
        <x:v>24.5</x:v>
      </x:c>
      <x:c r="B247" t="n">
        <x:f>IF(B$1="","",IFERROR(INDEX('包络曲线数据'!$B$2:$U$742,ROW()-1,MATCH(B$1,'包络曲线数据'!$B$1:$U$1,0)),""))</x:f>
        <x:v>61.89622396000695</x:v>
      </x:c>
      <x:c r="C247" t="n">
        <x:f>IF(C$1="","",IFERROR(INDEX('包络曲线数据'!$B$2:$U$742,ROW()-1,MATCH(C$1,'包络曲线数据'!$B$1:$U$1,0)),""))</x:f>
        <x:v>73.21127764081658</x:v>
      </x:c>
      <x:c r="D247" t="str">
        <x:f>IF(D$1="","",IFERROR(INDEX('包络曲线数据'!$B$2:$U$742,ROW()-1,MATCH(D$1,'包络曲线数据'!$B$1:$U$1,0)),""))</x:f>
      </x:c>
      <x:c r="E247" t="str">
        <x:f>IF(E$1="","",IFERROR(INDEX('包络曲线数据'!$B$2:$U$742,ROW()-1,MATCH(E$1,'包络曲线数据'!$B$1:$U$1,0)),""))</x:f>
      </x:c>
      <x:c r="F247" t="str">
        <x:f>IF(F$1="","",IFERROR(INDEX('包络曲线数据'!$B$2:$U$742,ROW()-1,MATCH(F$1,'包络曲线数据'!$B$1:$U$1,0)),""))</x:f>
      </x:c>
      <x:c r="G247" t="str">
        <x:f>IF(G$1="","",IFERROR(INDEX('包络曲线数据'!$B$2:$U$742,ROW()-1,MATCH(G$1,'包络曲线数据'!$B$1:$U$1,0)),""))</x:f>
      </x:c>
    </x:row>
    <x:row r="248">
      <x:c r="A248" t="n">
        <x:v>24.6</x:v>
      </x:c>
      <x:c r="B248" t="str">
        <x:f>IF(B$1="","",IFERROR(INDEX('包络曲线数据'!$B$2:$U$742,ROW()-1,MATCH(B$1,'包络曲线数据'!$B$1:$U$1,0)),""))</x:f>
      </x:c>
      <x:c r="C248" t="n">
        <x:f>IF(C$1="","",IFERROR(INDEX('包络曲线数据'!$B$2:$U$742,ROW()-1,MATCH(C$1,'包络曲线数据'!$B$1:$U$1,0)),""))</x:f>
        <x:v>82.60889567825502</x:v>
      </x:c>
      <x:c r="D248" t="str">
        <x:f>IF(D$1="","",IFERROR(INDEX('包络曲线数据'!$B$2:$U$742,ROW()-1,MATCH(D$1,'包络曲线数据'!$B$1:$U$1,0)),""))</x:f>
      </x:c>
      <x:c r="E248" t="str">
        <x:f>IF(E$1="","",IFERROR(INDEX('包络曲线数据'!$B$2:$U$742,ROW()-1,MATCH(E$1,'包络曲线数据'!$B$1:$U$1,0)),""))</x:f>
      </x:c>
      <x:c r="F248" t="str">
        <x:f>IF(F$1="","",IFERROR(INDEX('包络曲线数据'!$B$2:$U$742,ROW()-1,MATCH(F$1,'包络曲线数据'!$B$1:$U$1,0)),""))</x:f>
      </x:c>
      <x:c r="G248" t="str">
        <x:f>IF(G$1="","",IFERROR(INDEX('包络曲线数据'!$B$2:$U$742,ROW()-1,MATCH(G$1,'包络曲线数据'!$B$1:$U$1,0)),""))</x:f>
      </x:c>
    </x:row>
    <x:row r="249">
      <x:c r="A249" t="n">
        <x:v>24.700000000000003</x:v>
      </x:c>
      <x:c r="B249" t="str">
        <x:f>IF(B$1="","",IFERROR(INDEX('包络曲线数据'!$B$2:$U$742,ROW()-1,MATCH(B$1,'包络曲线数据'!$B$1:$U$1,0)),""))</x:f>
      </x:c>
      <x:c r="C249" t="n">
        <x:f>IF(C$1="","",IFERROR(INDEX('包络曲线数据'!$B$2:$U$742,ROW()-1,MATCH(C$1,'包络曲线数据'!$B$1:$U$1,0)),""))</x:f>
        <x:v>82.60889567825502</x:v>
      </x:c>
      <x:c r="D249" t="str">
        <x:f>IF(D$1="","",IFERROR(INDEX('包络曲线数据'!$B$2:$U$742,ROW()-1,MATCH(D$1,'包络曲线数据'!$B$1:$U$1,0)),""))</x:f>
      </x:c>
      <x:c r="E249" t="str">
        <x:f>IF(E$1="","",IFERROR(INDEX('包络曲线数据'!$B$2:$U$742,ROW()-1,MATCH(E$1,'包络曲线数据'!$B$1:$U$1,0)),""))</x:f>
      </x:c>
      <x:c r="F249" t="str">
        <x:f>IF(F$1="","",IFERROR(INDEX('包络曲线数据'!$B$2:$U$742,ROW()-1,MATCH(F$1,'包络曲线数据'!$B$1:$U$1,0)),""))</x:f>
      </x:c>
      <x:c r="G249" t="str">
        <x:f>IF(G$1="","",IFERROR(INDEX('包络曲线数据'!$B$2:$U$742,ROW()-1,MATCH(G$1,'包络曲线数据'!$B$1:$U$1,0)),""))</x:f>
      </x:c>
    </x:row>
    <x:row r="250">
      <x:c r="A250" t="n">
        <x:v>24.8</x:v>
      </x:c>
      <x:c r="B250" t="str">
        <x:f>IF(B$1="","",IFERROR(INDEX('包络曲线数据'!$B$2:$U$742,ROW()-1,MATCH(B$1,'包络曲线数据'!$B$1:$U$1,0)),""))</x:f>
      </x:c>
      <x:c r="C250" t="n">
        <x:f>IF(C$1="","",IFERROR(INDEX('包络曲线数据'!$B$2:$U$742,ROW()-1,MATCH(C$1,'包络曲线数据'!$B$1:$U$1,0)),""))</x:f>
        <x:v>78.79558760668445</x:v>
      </x:c>
      <x:c r="D250" t="str">
        <x:f>IF(D$1="","",IFERROR(INDEX('包络曲线数据'!$B$2:$U$742,ROW()-1,MATCH(D$1,'包络曲线数据'!$B$1:$U$1,0)),""))</x:f>
      </x:c>
      <x:c r="E250" t="str">
        <x:f>IF(E$1="","",IFERROR(INDEX('包络曲线数据'!$B$2:$U$742,ROW()-1,MATCH(E$1,'包络曲线数据'!$B$1:$U$1,0)),""))</x:f>
      </x:c>
      <x:c r="F250" t="str">
        <x:f>IF(F$1="","",IFERROR(INDEX('包络曲线数据'!$B$2:$U$742,ROW()-1,MATCH(F$1,'包络曲线数据'!$B$1:$U$1,0)),""))</x:f>
      </x:c>
      <x:c r="G250" t="str">
        <x:f>IF(G$1="","",IFERROR(INDEX('包络曲线数据'!$B$2:$U$742,ROW()-1,MATCH(G$1,'包络曲线数据'!$B$1:$U$1,0)),""))</x:f>
      </x:c>
    </x:row>
    <x:row r="251">
      <x:c r="A251" t="n">
        <x:v>24.900000000000002</x:v>
      </x:c>
      <x:c r="B251" t="str">
        <x:f>IF(B$1="","",IFERROR(INDEX('包络曲线数据'!$B$2:$U$742,ROW()-1,MATCH(B$1,'包络曲线数据'!$B$1:$U$1,0)),""))</x:f>
      </x:c>
      <x:c r="C251" t="n">
        <x:f>IF(C$1="","",IFERROR(INDEX('包络曲线数据'!$B$2:$U$742,ROW()-1,MATCH(C$1,'包络曲线数据'!$B$1:$U$1,0)),""))</x:f>
        <x:v>70.83790635093517</x:v>
      </x:c>
      <x:c r="D251" t="str">
        <x:f>IF(D$1="","",IFERROR(INDEX('包络曲线数据'!$B$2:$U$742,ROW()-1,MATCH(D$1,'包络曲线数据'!$B$1:$U$1,0)),""))</x:f>
      </x:c>
      <x:c r="E251" t="str">
        <x:f>IF(E$1="","",IFERROR(INDEX('包络曲线数据'!$B$2:$U$742,ROW()-1,MATCH(E$1,'包络曲线数据'!$B$1:$U$1,0)),""))</x:f>
      </x:c>
      <x:c r="F251" t="str">
        <x:f>IF(F$1="","",IFERROR(INDEX('包络曲线数据'!$B$2:$U$742,ROW()-1,MATCH(F$1,'包络曲线数据'!$B$1:$U$1,0)),""))</x:f>
      </x:c>
      <x:c r="G251" t="str">
        <x:f>IF(G$1="","",IFERROR(INDEX('包络曲线数据'!$B$2:$U$742,ROW()-1,MATCH(G$1,'包络曲线数据'!$B$1:$U$1,0)),""))</x:f>
      </x:c>
    </x:row>
    <x:row r="252">
      <x:c r="A252" t="n">
        <x:v>25</x:v>
      </x:c>
      <x:c r="B252" t="str">
        <x:f>IF(B$1="","",IFERROR(INDEX('包络曲线数据'!$B$2:$U$742,ROW()-1,MATCH(B$1,'包络曲线数据'!$B$1:$U$1,0)),""))</x:f>
      </x:c>
      <x:c r="C252" t="n">
        <x:f>IF(C$1="","",IFERROR(INDEX('包络曲线数据'!$B$2:$U$742,ROW()-1,MATCH(C$1,'包络曲线数据'!$B$1:$U$1,0)),""))</x:f>
        <x:v>70.14044690783636</x:v>
      </x:c>
      <x:c r="D252" t="str">
        <x:f>IF(D$1="","",IFERROR(INDEX('包络曲线数据'!$B$2:$U$742,ROW()-1,MATCH(D$1,'包络曲线数据'!$B$1:$U$1,0)),""))</x:f>
      </x:c>
      <x:c r="E252" t="str">
        <x:f>IF(E$1="","",IFERROR(INDEX('包络曲线数据'!$B$2:$U$742,ROW()-1,MATCH(E$1,'包络曲线数据'!$B$1:$U$1,0)),""))</x:f>
      </x:c>
      <x:c r="F252" t="str">
        <x:f>IF(F$1="","",IFERROR(INDEX('包络曲线数据'!$B$2:$U$742,ROW()-1,MATCH(F$1,'包络曲线数据'!$B$1:$U$1,0)),""))</x:f>
      </x:c>
      <x:c r="G252" t="str">
        <x:f>IF(G$1="","",IFERROR(INDEX('包络曲线数据'!$B$2:$U$742,ROW()-1,MATCH(G$1,'包络曲线数据'!$B$1:$U$1,0)),""))</x:f>
      </x:c>
    </x:row>
    <x:row r="253">
      <x:c r="A253" t="n">
        <x:v>25.1</x:v>
      </x:c>
      <x:c r="B253" t="str">
        <x:f>IF(B$1="","",IFERROR(INDEX('包络曲线数据'!$B$2:$U$742,ROW()-1,MATCH(B$1,'包络曲线数据'!$B$1:$U$1,0)),""))</x:f>
      </x:c>
      <x:c r="C253" t="n">
        <x:f>IF(C$1="","",IFERROR(INDEX('包络曲线数据'!$B$2:$U$742,ROW()-1,MATCH(C$1,'包络曲线数据'!$B$1:$U$1,0)),""))</x:f>
        <x:v>69.44298746473753</x:v>
      </x:c>
      <x:c r="D253" t="str">
        <x:f>IF(D$1="","",IFERROR(INDEX('包络曲线数据'!$B$2:$U$742,ROW()-1,MATCH(D$1,'包络曲线数据'!$B$1:$U$1,0)),""))</x:f>
      </x:c>
      <x:c r="E253" t="str">
        <x:f>IF(E$1="","",IFERROR(INDEX('包络曲线数据'!$B$2:$U$742,ROW()-1,MATCH(E$1,'包络曲线数据'!$B$1:$U$1,0)),""))</x:f>
      </x:c>
      <x:c r="F253" t="str">
        <x:f>IF(F$1="","",IFERROR(INDEX('包络曲线数据'!$B$2:$U$742,ROW()-1,MATCH(F$1,'包络曲线数据'!$B$1:$U$1,0)),""))</x:f>
      </x:c>
      <x:c r="G253" t="str">
        <x:f>IF(G$1="","",IFERROR(INDEX('包络曲线数据'!$B$2:$U$742,ROW()-1,MATCH(G$1,'包络曲线数据'!$B$1:$U$1,0)),""))</x:f>
      </x:c>
    </x:row>
    <x:row r="254">
      <x:c r="A254" t="n">
        <x:v>25.200000000000003</x:v>
      </x:c>
      <x:c r="B254" t="str">
        <x:f>IF(B$1="","",IFERROR(INDEX('包络曲线数据'!$B$2:$U$742,ROW()-1,MATCH(B$1,'包络曲线数据'!$B$1:$U$1,0)),""))</x:f>
      </x:c>
      <x:c r="C254" t="n">
        <x:f>IF(C$1="","",IFERROR(INDEX('包络曲线数据'!$B$2:$U$742,ROW()-1,MATCH(C$1,'包络曲线数据'!$B$1:$U$1,0)),""))</x:f>
        <x:v>68.74552802163869</x:v>
      </x:c>
      <x:c r="D254" t="str">
        <x:f>IF(D$1="","",IFERROR(INDEX('包络曲线数据'!$B$2:$U$742,ROW()-1,MATCH(D$1,'包络曲线数据'!$B$1:$U$1,0)),""))</x:f>
      </x:c>
      <x:c r="E254" t="str">
        <x:f>IF(E$1="","",IFERROR(INDEX('包络曲线数据'!$B$2:$U$742,ROW()-1,MATCH(E$1,'包络曲线数据'!$B$1:$U$1,0)),""))</x:f>
      </x:c>
      <x:c r="F254" t="str">
        <x:f>IF(F$1="","",IFERROR(INDEX('包络曲线数据'!$B$2:$U$742,ROW()-1,MATCH(F$1,'包络曲线数据'!$B$1:$U$1,0)),""))</x:f>
      </x:c>
      <x:c r="G254" t="str">
        <x:f>IF(G$1="","",IFERROR(INDEX('包络曲线数据'!$B$2:$U$742,ROW()-1,MATCH(G$1,'包络曲线数据'!$B$1:$U$1,0)),""))</x:f>
      </x:c>
    </x:row>
    <x:row r="255">
      <x:c r="A255" t="n">
        <x:v>25.3</x:v>
      </x:c>
      <x:c r="B255" t="str">
        <x:f>IF(B$1="","",IFERROR(INDEX('包络曲线数据'!$B$2:$U$742,ROW()-1,MATCH(B$1,'包络曲线数据'!$B$1:$U$1,0)),""))</x:f>
      </x:c>
      <x:c r="C255" t="n">
        <x:f>IF(C$1="","",IFERROR(INDEX('包络曲线数据'!$B$2:$U$742,ROW()-1,MATCH(C$1,'包络曲线数据'!$B$1:$U$1,0)),""))</x:f>
        <x:v>68.18756046715964</x:v>
      </x:c>
      <x:c r="D255" t="str">
        <x:f>IF(D$1="","",IFERROR(INDEX('包络曲线数据'!$B$2:$U$742,ROW()-1,MATCH(D$1,'包络曲线数据'!$B$1:$U$1,0)),""))</x:f>
      </x:c>
      <x:c r="E255" t="str">
        <x:f>IF(E$1="","",IFERROR(INDEX('包络曲线数据'!$B$2:$U$742,ROW()-1,MATCH(E$1,'包络曲线数据'!$B$1:$U$1,0)),""))</x:f>
      </x:c>
      <x:c r="F255" t="str">
        <x:f>IF(F$1="","",IFERROR(INDEX('包络曲线数据'!$B$2:$U$742,ROW()-1,MATCH(F$1,'包络曲线数据'!$B$1:$U$1,0)),""))</x:f>
      </x:c>
      <x:c r="G255" t="str">
        <x:f>IF(G$1="","",IFERROR(INDEX('包络曲线数据'!$B$2:$U$742,ROW()-1,MATCH(G$1,'包络曲线数据'!$B$1:$U$1,0)),""))</x:f>
      </x:c>
    </x:row>
    <x:row r="256">
      <x:c r="A256" t="n">
        <x:v>25.400000000000002</x:v>
      </x:c>
      <x:c r="B256" t="str">
        <x:f>IF(B$1="","",IFERROR(INDEX('包络曲线数据'!$B$2:$U$742,ROW()-1,MATCH(B$1,'包络曲线数据'!$B$1:$U$1,0)),""))</x:f>
      </x:c>
      <x:c r="C256" t="n">
        <x:f>IF(C$1="","",IFERROR(INDEX('包络曲线数据'!$B$2:$U$742,ROW()-1,MATCH(C$1,'包络曲线数据'!$B$1:$U$1,0)),""))</x:f>
        <x:v>73.02017052471763</x:v>
      </x:c>
      <x:c r="D256" t="str">
        <x:f>IF(D$1="","",IFERROR(INDEX('包络曲线数据'!$B$2:$U$742,ROW()-1,MATCH(D$1,'包络曲线数据'!$B$1:$U$1,0)),""))</x:f>
      </x:c>
      <x:c r="E256" t="str">
        <x:f>IF(E$1="","",IFERROR(INDEX('包络曲线数据'!$B$2:$U$742,ROW()-1,MATCH(E$1,'包络曲线数据'!$B$1:$U$1,0)),""))</x:f>
      </x:c>
      <x:c r="F256" t="str">
        <x:f>IF(F$1="","",IFERROR(INDEX('包络曲线数据'!$B$2:$U$742,ROW()-1,MATCH(F$1,'包络曲线数据'!$B$1:$U$1,0)),""))</x:f>
      </x:c>
      <x:c r="G256" t="str">
        <x:f>IF(G$1="","",IFERROR(INDEX('包络曲线数据'!$B$2:$U$742,ROW()-1,MATCH(G$1,'包络曲线数据'!$B$1:$U$1,0)),""))</x:f>
      </x:c>
    </x:row>
    <x:row r="257">
      <x:c r="A257" t="n">
        <x:v>25.5</x:v>
      </x:c>
      <x:c r="B257" t="str">
        <x:f>IF(B$1="","",IFERROR(INDEX('包络曲线数据'!$B$2:$U$742,ROW()-1,MATCH(B$1,'包络曲线数据'!$B$1:$U$1,0)),""))</x:f>
      </x:c>
      <x:c r="C257" t="n">
        <x:f>IF(C$1="","",IFERROR(INDEX('包络曲线数据'!$B$2:$U$742,ROW()-1,MATCH(C$1,'包络曲线数据'!$B$1:$U$1,0)),""))</x:f>
        <x:v>75.50117285581968</x:v>
      </x:c>
      <x:c r="D257" t="str">
        <x:f>IF(D$1="","",IFERROR(INDEX('包络曲线数据'!$B$2:$U$742,ROW()-1,MATCH(D$1,'包络曲线数据'!$B$1:$U$1,0)),""))</x:f>
      </x:c>
      <x:c r="E257" t="str">
        <x:f>IF(E$1="","",IFERROR(INDEX('包络曲线数据'!$B$2:$U$742,ROW()-1,MATCH(E$1,'包络曲线数据'!$B$1:$U$1,0)),""))</x:f>
      </x:c>
      <x:c r="F257" t="str">
        <x:f>IF(F$1="","",IFERROR(INDEX('包络曲线数据'!$B$2:$U$742,ROW()-1,MATCH(F$1,'包络曲线数据'!$B$1:$U$1,0)),""))</x:f>
      </x:c>
      <x:c r="G257" t="str">
        <x:f>IF(G$1="","",IFERROR(INDEX('包络曲线数据'!$B$2:$U$742,ROW()-1,MATCH(G$1,'包络曲线数据'!$B$1:$U$1,0)),""))</x:f>
      </x:c>
    </x:row>
    <x:row r="258">
      <x:c r="A258" t="n">
        <x:v>25.6</x:v>
      </x:c>
      <x:c r="B258" t="str">
        <x:f>IF(B$1="","",IFERROR(INDEX('包络曲线数据'!$B$2:$U$742,ROW()-1,MATCH(B$1,'包络曲线数据'!$B$1:$U$1,0)),""))</x:f>
      </x:c>
      <x:c r="C258" t="n">
        <x:f>IF(C$1="","",IFERROR(INDEX('包络曲线数据'!$B$2:$U$742,ROW()-1,MATCH(C$1,'包络曲线数据'!$B$1:$U$1,0)),""))</x:f>
        <x:v>75.50117285581968</x:v>
      </x:c>
      <x:c r="D258" t="str">
        <x:f>IF(D$1="","",IFERROR(INDEX('包络曲线数据'!$B$2:$U$742,ROW()-1,MATCH(D$1,'包络曲线数据'!$B$1:$U$1,0)),""))</x:f>
      </x:c>
      <x:c r="E258" t="str">
        <x:f>IF(E$1="","",IFERROR(INDEX('包络曲线数据'!$B$2:$U$742,ROW()-1,MATCH(E$1,'包络曲线数据'!$B$1:$U$1,0)),""))</x:f>
      </x:c>
      <x:c r="F258" t="str">
        <x:f>IF(F$1="","",IFERROR(INDEX('包络曲线数据'!$B$2:$U$742,ROW()-1,MATCH(F$1,'包络曲线数据'!$B$1:$U$1,0)),""))</x:f>
      </x:c>
      <x:c r="G258" t="str">
        <x:f>IF(G$1="","",IFERROR(INDEX('包络曲线数据'!$B$2:$U$742,ROW()-1,MATCH(G$1,'包络曲线数据'!$B$1:$U$1,0)),""))</x:f>
      </x:c>
    </x:row>
    <x:row r="259">
      <x:c r="A259" t="n">
        <x:v>25.700000000000003</x:v>
      </x:c>
      <x:c r="B259" t="str">
        <x:f>IF(B$1="","",IFERROR(INDEX('包络曲线数据'!$B$2:$U$742,ROW()-1,MATCH(B$1,'包络曲线数据'!$B$1:$U$1,0)),""))</x:f>
      </x:c>
      <x:c r="C259" t="n">
        <x:f>IF(C$1="","",IFERROR(INDEX('包络曲线数据'!$B$2:$U$742,ROW()-1,MATCH(C$1,'包络曲线数据'!$B$1:$U$1,0)),""))</x:f>
        <x:v>67.39663679888525</x:v>
      </x:c>
      <x:c r="D259" t="str">
        <x:f>IF(D$1="","",IFERROR(INDEX('包络曲线数据'!$B$2:$U$742,ROW()-1,MATCH(D$1,'包络曲线数据'!$B$1:$U$1,0)),""))</x:f>
      </x:c>
      <x:c r="E259" t="str">
        <x:f>IF(E$1="","",IFERROR(INDEX('包络曲线数据'!$B$2:$U$742,ROW()-1,MATCH(E$1,'包络曲线数据'!$B$1:$U$1,0)),""))</x:f>
      </x:c>
      <x:c r="F259" t="str">
        <x:f>IF(F$1="","",IFERROR(INDEX('包络曲线数据'!$B$2:$U$742,ROW()-1,MATCH(F$1,'包络曲线数据'!$B$1:$U$1,0)),""))</x:f>
      </x:c>
      <x:c r="G259" t="str">
        <x:f>IF(G$1="","",IFERROR(INDEX('包络曲线数据'!$B$2:$U$742,ROW()-1,MATCH(G$1,'包络曲线数据'!$B$1:$U$1,0)),""))</x:f>
      </x:c>
    </x:row>
    <x:row r="260">
      <x:c r="A260" t="n">
        <x:v>25.8</x:v>
      </x:c>
      <x:c r="B260" t="str">
        <x:f>IF(B$1="","",IFERROR(INDEX('包络曲线数据'!$B$2:$U$742,ROW()-1,MATCH(B$1,'包络曲线数据'!$B$1:$U$1,0)),""))</x:f>
      </x:c>
      <x:c r="C260" t="n">
        <x:f>IF(C$1="","",IFERROR(INDEX('包络曲线数据'!$B$2:$U$742,ROW()-1,MATCH(C$1,'包络曲线数据'!$B$1:$U$1,0)),""))</x:f>
        <x:v>70.07406283704228</x:v>
      </x:c>
      <x:c r="D260" t="str">
        <x:f>IF(D$1="","",IFERROR(INDEX('包络曲线数据'!$B$2:$U$742,ROW()-1,MATCH(D$1,'包络曲线数据'!$B$1:$U$1,0)),""))</x:f>
      </x:c>
      <x:c r="E260" t="str">
        <x:f>IF(E$1="","",IFERROR(INDEX('包络曲线数据'!$B$2:$U$742,ROW()-1,MATCH(E$1,'包络曲线数据'!$B$1:$U$1,0)),""))</x:f>
      </x:c>
      <x:c r="F260" t="str">
        <x:f>IF(F$1="","",IFERROR(INDEX('包络曲线数据'!$B$2:$U$742,ROW()-1,MATCH(F$1,'包络曲线数据'!$B$1:$U$1,0)),""))</x:f>
      </x:c>
      <x:c r="G260" t="str">
        <x:f>IF(G$1="","",IFERROR(INDEX('包络曲线数据'!$B$2:$U$742,ROW()-1,MATCH(G$1,'包络曲线数据'!$B$1:$U$1,0)),""))</x:f>
      </x:c>
    </x:row>
    <x:row r="261">
      <x:c r="A261" t="n">
        <x:v>25.900000000000002</x:v>
      </x:c>
      <x:c r="B261" t="str">
        <x:f>IF(B$1="","",IFERROR(INDEX('包络曲线数据'!$B$2:$U$742,ROW()-1,MATCH(B$1,'包络曲线数据'!$B$1:$U$1,0)),""))</x:f>
      </x:c>
      <x:c r="C261" t="n">
        <x:f>IF(C$1="","",IFERROR(INDEX('包络曲线数据'!$B$2:$U$742,ROW()-1,MATCH(C$1,'包络曲线数据'!$B$1:$U$1,0)),""))</x:f>
        <x:v>73.95413740533678</x:v>
      </x:c>
      <x:c r="D261" t="str">
        <x:f>IF(D$1="","",IFERROR(INDEX('包络曲线数据'!$B$2:$U$742,ROW()-1,MATCH(D$1,'包络曲线数据'!$B$1:$U$1,0)),""))</x:f>
      </x:c>
      <x:c r="E261" t="str">
        <x:f>IF(E$1="","",IFERROR(INDEX('包络曲线数据'!$B$2:$U$742,ROW()-1,MATCH(E$1,'包络曲线数据'!$B$1:$U$1,0)),""))</x:f>
      </x:c>
      <x:c r="F261" t="str">
        <x:f>IF(F$1="","",IFERROR(INDEX('包络曲线数据'!$B$2:$U$742,ROW()-1,MATCH(F$1,'包络曲线数据'!$B$1:$U$1,0)),""))</x:f>
      </x:c>
      <x:c r="G261" t="str">
        <x:f>IF(G$1="","",IFERROR(INDEX('包络曲线数据'!$B$2:$U$742,ROW()-1,MATCH(G$1,'包络曲线数据'!$B$1:$U$1,0)),""))</x:f>
      </x:c>
    </x:row>
    <x:row r="262">
      <x:c r="A262" t="n">
        <x:v>26</x:v>
      </x:c>
      <x:c r="B262" t="str">
        <x:f>IF(B$1="","",IFERROR(INDEX('包络曲线数据'!$B$2:$U$742,ROW()-1,MATCH(B$1,'包络曲线数据'!$B$1:$U$1,0)),""))</x:f>
      </x:c>
      <x:c r="C262" t="n">
        <x:f>IF(C$1="","",IFERROR(INDEX('包络曲线数据'!$B$2:$U$742,ROW()-1,MATCH(C$1,'包络曲线数据'!$B$1:$U$1,0)),""))</x:f>
        <x:v>75.27895992162335</x:v>
      </x:c>
      <x:c r="D262" t="str">
        <x:f>IF(D$1="","",IFERROR(INDEX('包络曲线数据'!$B$2:$U$742,ROW()-1,MATCH(D$1,'包络曲线数据'!$B$1:$U$1,0)),""))</x:f>
      </x:c>
      <x:c r="E262" t="str">
        <x:f>IF(E$1="","",IFERROR(INDEX('包络曲线数据'!$B$2:$U$742,ROW()-1,MATCH(E$1,'包络曲线数据'!$B$1:$U$1,0)),""))</x:f>
      </x:c>
      <x:c r="F262" t="str">
        <x:f>IF(F$1="","",IFERROR(INDEX('包络曲线数据'!$B$2:$U$742,ROW()-1,MATCH(F$1,'包络曲线数据'!$B$1:$U$1,0)),""))</x:f>
      </x:c>
      <x:c r="G262" t="str">
        <x:f>IF(G$1="","",IFERROR(INDEX('包络曲线数据'!$B$2:$U$742,ROW()-1,MATCH(G$1,'包络曲线数据'!$B$1:$U$1,0)),""))</x:f>
      </x:c>
    </x:row>
    <x:row r="263">
      <x:c r="A263" t="n">
        <x:v>26.1</x:v>
      </x:c>
      <x:c r="B263" t="str">
        <x:f>IF(B$1="","",IFERROR(INDEX('包络曲线数据'!$B$2:$U$742,ROW()-1,MATCH(B$1,'包络曲线数据'!$B$1:$U$1,0)),""))</x:f>
      </x:c>
      <x:c r="C263" t="n">
        <x:f>IF(C$1="","",IFERROR(INDEX('包络曲线数据'!$B$2:$U$742,ROW()-1,MATCH(C$1,'包络曲线数据'!$B$1:$U$1,0)),""))</x:f>
        <x:v>75.9053764910807</x:v>
      </x:c>
      <x:c r="D263" t="str">
        <x:f>IF(D$1="","",IFERROR(INDEX('包络曲线数据'!$B$2:$U$742,ROW()-1,MATCH(D$1,'包络曲线数据'!$B$1:$U$1,0)),""))</x:f>
      </x:c>
      <x:c r="E263" t="str">
        <x:f>IF(E$1="","",IFERROR(INDEX('包络曲线数据'!$B$2:$U$742,ROW()-1,MATCH(E$1,'包络曲线数据'!$B$1:$U$1,0)),""))</x:f>
      </x:c>
      <x:c r="F263" t="str">
        <x:f>IF(F$1="","",IFERROR(INDEX('包络曲线数据'!$B$2:$U$742,ROW()-1,MATCH(F$1,'包络曲线数据'!$B$1:$U$1,0)),""))</x:f>
      </x:c>
      <x:c r="G263" t="str">
        <x:f>IF(G$1="","",IFERROR(INDEX('包络曲线数据'!$B$2:$U$742,ROW()-1,MATCH(G$1,'包络曲线数据'!$B$1:$U$1,0)),""))</x:f>
      </x:c>
    </x:row>
    <x:row r="264">
      <x:c r="A264" t="n">
        <x:v>26.200000000000003</x:v>
      </x:c>
      <x:c r="B264" t="str">
        <x:f>IF(B$1="","",IFERROR(INDEX('包络曲线数据'!$B$2:$U$742,ROW()-1,MATCH(B$1,'包络曲线数据'!$B$1:$U$1,0)),""))</x:f>
      </x:c>
      <x:c r="C264" t="n">
        <x:f>IF(C$1="","",IFERROR(INDEX('包络曲线数据'!$B$2:$U$742,ROW()-1,MATCH(C$1,'包络曲线数据'!$B$1:$U$1,0)),""))</x:f>
        <x:v>77.03355841523452</x:v>
      </x:c>
      <x:c r="D264" t="str">
        <x:f>IF(D$1="","",IFERROR(INDEX('包络曲线数据'!$B$2:$U$742,ROW()-1,MATCH(D$1,'包络曲线数据'!$B$1:$U$1,0)),""))</x:f>
      </x:c>
      <x:c r="E264" t="str">
        <x:f>IF(E$1="","",IFERROR(INDEX('包络曲线数据'!$B$2:$U$742,ROW()-1,MATCH(E$1,'包络曲线数据'!$B$1:$U$1,0)),""))</x:f>
      </x:c>
      <x:c r="F264" t="str">
        <x:f>IF(F$1="","",IFERROR(INDEX('包络曲线数据'!$B$2:$U$742,ROW()-1,MATCH(F$1,'包络曲线数据'!$B$1:$U$1,0)),""))</x:f>
      </x:c>
      <x:c r="G264" t="str">
        <x:f>IF(G$1="","",IFERROR(INDEX('包络曲线数据'!$B$2:$U$742,ROW()-1,MATCH(G$1,'包络曲线数据'!$B$1:$U$1,0)),""))</x:f>
      </x:c>
    </x:row>
    <x:row r="265">
      <x:c r="A265" t="n">
        <x:v>26.3</x:v>
      </x:c>
      <x:c r="B265" t="str">
        <x:f>IF(B$1="","",IFERROR(INDEX('包络曲线数据'!$B$2:$U$742,ROW()-1,MATCH(B$1,'包络曲线数据'!$B$1:$U$1,0)),""))</x:f>
      </x:c>
      <x:c r="C265" t="n">
        <x:f>IF(C$1="","",IFERROR(INDEX('包络曲线数据'!$B$2:$U$742,ROW()-1,MATCH(C$1,'包络曲线数据'!$B$1:$U$1,0)),""))</x:f>
        <x:v>77.03355841523452</x:v>
      </x:c>
      <x:c r="D265" t="str">
        <x:f>IF(D$1="","",IFERROR(INDEX('包络曲线数据'!$B$2:$U$742,ROW()-1,MATCH(D$1,'包络曲线数据'!$B$1:$U$1,0)),""))</x:f>
      </x:c>
      <x:c r="E265" t="str">
        <x:f>IF(E$1="","",IFERROR(INDEX('包络曲线数据'!$B$2:$U$742,ROW()-1,MATCH(E$1,'包络曲线数据'!$B$1:$U$1,0)),""))</x:f>
      </x:c>
      <x:c r="F265" t="str">
        <x:f>IF(F$1="","",IFERROR(INDEX('包络曲线数据'!$B$2:$U$742,ROW()-1,MATCH(F$1,'包络曲线数据'!$B$1:$U$1,0)),""))</x:f>
      </x:c>
      <x:c r="G265" t="str">
        <x:f>IF(G$1="","",IFERROR(INDEX('包络曲线数据'!$B$2:$U$742,ROW()-1,MATCH(G$1,'包络曲线数据'!$B$1:$U$1,0)),""))</x:f>
      </x:c>
    </x:row>
    <x:row r="266">
      <x:c r="A266" t="n">
        <x:v>26.400000000000002</x:v>
      </x:c>
      <x:c r="B266" t="str">
        <x:f>IF(B$1="","",IFERROR(INDEX('包络曲线数据'!$B$2:$U$742,ROW()-1,MATCH(B$1,'包络曲线数据'!$B$1:$U$1,0)),""))</x:f>
      </x:c>
      <x:c r="C266" t="n">
        <x:f>IF(C$1="","",IFERROR(INDEX('包络曲线数据'!$B$2:$U$742,ROW()-1,MATCH(C$1,'包络曲线数据'!$B$1:$U$1,0)),""))</x:f>
        <x:v>76.74792608567871</x:v>
      </x:c>
      <x:c r="D266" t="str">
        <x:f>IF(D$1="","",IFERROR(INDEX('包络曲线数据'!$B$2:$U$742,ROW()-1,MATCH(D$1,'包络曲线数据'!$B$1:$U$1,0)),""))</x:f>
      </x:c>
      <x:c r="E266" t="str">
        <x:f>IF(E$1="","",IFERROR(INDEX('包络曲线数据'!$B$2:$U$742,ROW()-1,MATCH(E$1,'包络曲线数据'!$B$1:$U$1,0)),""))</x:f>
      </x:c>
      <x:c r="F266" t="str">
        <x:f>IF(F$1="","",IFERROR(INDEX('包络曲线数据'!$B$2:$U$742,ROW()-1,MATCH(F$1,'包络曲线数据'!$B$1:$U$1,0)),""))</x:f>
      </x:c>
      <x:c r="G266" t="str">
        <x:f>IF(G$1="","",IFERROR(INDEX('包络曲线数据'!$B$2:$U$742,ROW()-1,MATCH(G$1,'包络曲线数据'!$B$1:$U$1,0)),""))</x:f>
      </x:c>
    </x:row>
    <x:row r="267">
      <x:c r="A267" t="n">
        <x:v>26.5</x:v>
      </x:c>
      <x:c r="B267" t="str">
        <x:f>IF(B$1="","",IFERROR(INDEX('包络曲线数据'!$B$2:$U$742,ROW()-1,MATCH(B$1,'包络曲线数据'!$B$1:$U$1,0)),""))</x:f>
      </x:c>
      <x:c r="C267" t="n">
        <x:f>IF(C$1="","",IFERROR(INDEX('包络曲线数据'!$B$2:$U$742,ROW()-1,MATCH(C$1,'包络曲线数据'!$B$1:$U$1,0)),""))</x:f>
        <x:v>77.43540938284889</x:v>
      </x:c>
      <x:c r="D267" t="str">
        <x:f>IF(D$1="","",IFERROR(INDEX('包络曲线数据'!$B$2:$U$742,ROW()-1,MATCH(D$1,'包络曲线数据'!$B$1:$U$1,0)),""))</x:f>
      </x:c>
      <x:c r="E267" t="str">
        <x:f>IF(E$1="","",IFERROR(INDEX('包络曲线数据'!$B$2:$U$742,ROW()-1,MATCH(E$1,'包络曲线数据'!$B$1:$U$1,0)),""))</x:f>
      </x:c>
      <x:c r="F267" t="str">
        <x:f>IF(F$1="","",IFERROR(INDEX('包络曲线数据'!$B$2:$U$742,ROW()-1,MATCH(F$1,'包络曲线数据'!$B$1:$U$1,0)),""))</x:f>
      </x:c>
      <x:c r="G267" t="str">
        <x:f>IF(G$1="","",IFERROR(INDEX('包络曲线数据'!$B$2:$U$742,ROW()-1,MATCH(G$1,'包络曲线数据'!$B$1:$U$1,0)),""))</x:f>
      </x:c>
    </x:row>
    <x:row r="268">
      <x:c r="A268" t="n">
        <x:v>26.6</x:v>
      </x:c>
      <x:c r="B268" t="str">
        <x:f>IF(B$1="","",IFERROR(INDEX('包络曲线数据'!$B$2:$U$742,ROW()-1,MATCH(B$1,'包络曲线数据'!$B$1:$U$1,0)),""))</x:f>
      </x:c>
      <x:c r="C268" t="n">
        <x:f>IF(C$1="","",IFERROR(INDEX('包络曲线数据'!$B$2:$U$742,ROW()-1,MATCH(C$1,'包络曲线数据'!$B$1:$U$1,0)),""))</x:f>
        <x:v>77.43540938284889</x:v>
      </x:c>
      <x:c r="D268" t="str">
        <x:f>IF(D$1="","",IFERROR(INDEX('包络曲线数据'!$B$2:$U$742,ROW()-1,MATCH(D$1,'包络曲线数据'!$B$1:$U$1,0)),""))</x:f>
      </x:c>
      <x:c r="E268" t="str">
        <x:f>IF(E$1="","",IFERROR(INDEX('包络曲线数据'!$B$2:$U$742,ROW()-1,MATCH(E$1,'包络曲线数据'!$B$1:$U$1,0)),""))</x:f>
      </x:c>
      <x:c r="F268" t="str">
        <x:f>IF(F$1="","",IFERROR(INDEX('包络曲线数据'!$B$2:$U$742,ROW()-1,MATCH(F$1,'包络曲线数据'!$B$1:$U$1,0)),""))</x:f>
      </x:c>
      <x:c r="G268" t="str">
        <x:f>IF(G$1="","",IFERROR(INDEX('包络曲线数据'!$B$2:$U$742,ROW()-1,MATCH(G$1,'包络曲线数据'!$B$1:$U$1,0)),""))</x:f>
      </x:c>
    </x:row>
    <x:row r="269">
      <x:c r="A269" t="n">
        <x:v>26.700000000000003</x:v>
      </x:c>
      <x:c r="B269" t="str">
        <x:f>IF(B$1="","",IFERROR(INDEX('包络曲线数据'!$B$2:$U$742,ROW()-1,MATCH(B$1,'包络曲线数据'!$B$1:$U$1,0)),""))</x:f>
      </x:c>
      <x:c r="C269" t="n">
        <x:f>IF(C$1="","",IFERROR(INDEX('包络曲线数据'!$B$2:$U$742,ROW()-1,MATCH(C$1,'包络曲线数据'!$B$1:$U$1,0)),""))</x:f>
        <x:v>76.46543213640383</x:v>
      </x:c>
      <x:c r="D269" t="str">
        <x:f>IF(D$1="","",IFERROR(INDEX('包络曲线数据'!$B$2:$U$742,ROW()-1,MATCH(D$1,'包络曲线数据'!$B$1:$U$1,0)),""))</x:f>
      </x:c>
      <x:c r="E269" t="str">
        <x:f>IF(E$1="","",IFERROR(INDEX('包络曲线数据'!$B$2:$U$742,ROW()-1,MATCH(E$1,'包络曲线数据'!$B$1:$U$1,0)),""))</x:f>
      </x:c>
      <x:c r="F269" t="str">
        <x:f>IF(F$1="","",IFERROR(INDEX('包络曲线数据'!$B$2:$U$742,ROW()-1,MATCH(F$1,'包络曲线数据'!$B$1:$U$1,0)),""))</x:f>
      </x:c>
      <x:c r="G269" t="str">
        <x:f>IF(G$1="","",IFERROR(INDEX('包络曲线数据'!$B$2:$U$742,ROW()-1,MATCH(G$1,'包络曲线数据'!$B$1:$U$1,0)),""))</x:f>
      </x:c>
    </x:row>
    <x:row r="270">
      <x:c r="A270" t="n">
        <x:v>26.8</x:v>
      </x:c>
      <x:c r="B270" t="str">
        <x:f>IF(B$1="","",IFERROR(INDEX('包络曲线数据'!$B$2:$U$742,ROW()-1,MATCH(B$1,'包络曲线数据'!$B$1:$U$1,0)),""))</x:f>
      </x:c>
      <x:c r="C270" t="n">
        <x:f>IF(C$1="","",IFERROR(INDEX('包络曲线数据'!$B$2:$U$742,ROW()-1,MATCH(C$1,'包络曲线数据'!$B$1:$U$1,0)),""))</x:f>
        <x:v>74.63797752890862</x:v>
      </x:c>
      <x:c r="D270" t="str">
        <x:f>IF(D$1="","",IFERROR(INDEX('包络曲线数据'!$B$2:$U$742,ROW()-1,MATCH(D$1,'包络曲线数据'!$B$1:$U$1,0)),""))</x:f>
      </x:c>
      <x:c r="E270" t="str">
        <x:f>IF(E$1="","",IFERROR(INDEX('包络曲线数据'!$B$2:$U$742,ROW()-1,MATCH(E$1,'包络曲线数据'!$B$1:$U$1,0)),""))</x:f>
      </x:c>
      <x:c r="F270" t="str">
        <x:f>IF(F$1="","",IFERROR(INDEX('包络曲线数据'!$B$2:$U$742,ROW()-1,MATCH(F$1,'包络曲线数据'!$B$1:$U$1,0)),""))</x:f>
      </x:c>
      <x:c r="G270" t="str">
        <x:f>IF(G$1="","",IFERROR(INDEX('包络曲线数据'!$B$2:$U$742,ROW()-1,MATCH(G$1,'包络曲线数据'!$B$1:$U$1,0)),""))</x:f>
      </x:c>
    </x:row>
    <x:row r="271">
      <x:c r="A271" t="n">
        <x:v>26.900000000000002</x:v>
      </x:c>
      <x:c r="B271" t="str">
        <x:f>IF(B$1="","",IFERROR(INDEX('包络曲线数据'!$B$2:$U$742,ROW()-1,MATCH(B$1,'包络曲线数据'!$B$1:$U$1,0)),""))</x:f>
      </x:c>
      <x:c r="C271" t="n">
        <x:f>IF(C$1="","",IFERROR(INDEX('包络曲线数据'!$B$2:$U$742,ROW()-1,MATCH(C$1,'包络曲线数据'!$B$1:$U$1,0)),""))</x:f>
        <x:v>73.27170865777057</x:v>
      </x:c>
      <x:c r="D271" t="str">
        <x:f>IF(D$1="","",IFERROR(INDEX('包络曲线数据'!$B$2:$U$742,ROW()-1,MATCH(D$1,'包络曲线数据'!$B$1:$U$1,0)),""))</x:f>
      </x:c>
      <x:c r="E271" t="str">
        <x:f>IF(E$1="","",IFERROR(INDEX('包络曲线数据'!$B$2:$U$742,ROW()-1,MATCH(E$1,'包络曲线数据'!$B$1:$U$1,0)),""))</x:f>
      </x:c>
      <x:c r="F271" t="str">
        <x:f>IF(F$1="","",IFERROR(INDEX('包络曲线数据'!$B$2:$U$742,ROW()-1,MATCH(F$1,'包络曲线数据'!$B$1:$U$1,0)),""))</x:f>
      </x:c>
      <x:c r="G271" t="str">
        <x:f>IF(G$1="","",IFERROR(INDEX('包络曲线数据'!$B$2:$U$742,ROW()-1,MATCH(G$1,'包络曲线数据'!$B$1:$U$1,0)),""))</x:f>
      </x:c>
    </x:row>
    <x:row r="272">
      <x:c r="A272" t="n">
        <x:v>27</x:v>
      </x:c>
      <x:c r="B272" t="str">
        <x:f>IF(B$1="","",IFERROR(INDEX('包络曲线数据'!$B$2:$U$742,ROW()-1,MATCH(B$1,'包络曲线数据'!$B$1:$U$1,0)),""))</x:f>
      </x:c>
      <x:c r="C272" t="n">
        <x:f>IF(C$1="","",IFERROR(INDEX('包络曲线数据'!$B$2:$U$742,ROW()-1,MATCH(C$1,'包络曲线数据'!$B$1:$U$1,0)),""))</x:f>
        <x:v>81.62259646199794</x:v>
      </x:c>
      <x:c r="D272" t="str">
        <x:f>IF(D$1="","",IFERROR(INDEX('包络曲线数据'!$B$2:$U$742,ROW()-1,MATCH(D$1,'包络曲线数据'!$B$1:$U$1,0)),""))</x:f>
      </x:c>
      <x:c r="E272" t="str">
        <x:f>IF(E$1="","",IFERROR(INDEX('包络曲线数据'!$B$2:$U$742,ROW()-1,MATCH(E$1,'包络曲线数据'!$B$1:$U$1,0)),""))</x:f>
      </x:c>
      <x:c r="F272" t="str">
        <x:f>IF(F$1="","",IFERROR(INDEX('包络曲线数据'!$B$2:$U$742,ROW()-1,MATCH(F$1,'包络曲线数据'!$B$1:$U$1,0)),""))</x:f>
      </x:c>
      <x:c r="G272" t="str">
        <x:f>IF(G$1="","",IFERROR(INDEX('包络曲线数据'!$B$2:$U$742,ROW()-1,MATCH(G$1,'包络曲线数据'!$B$1:$U$1,0)),""))</x:f>
      </x:c>
    </x:row>
    <x:row r="273">
      <x:c r="A273" t="n">
        <x:v>27.1</x:v>
      </x:c>
      <x:c r="B273" t="str">
        <x:f>IF(B$1="","",IFERROR(INDEX('包络曲线数据'!$B$2:$U$742,ROW()-1,MATCH(B$1,'包络曲线数据'!$B$1:$U$1,0)),""))</x:f>
      </x:c>
      <x:c r="C273" t="n">
        <x:f>IF(C$1="","",IFERROR(INDEX('包络曲线数据'!$B$2:$U$742,ROW()-1,MATCH(C$1,'包络曲线数据'!$B$1:$U$1,0)),""))</x:f>
        <x:v>82.51168101207952</x:v>
      </x:c>
      <x:c r="D273" t="str">
        <x:f>IF(D$1="","",IFERROR(INDEX('包络曲线数据'!$B$2:$U$742,ROW()-1,MATCH(D$1,'包络曲线数据'!$B$1:$U$1,0)),""))</x:f>
      </x:c>
      <x:c r="E273" t="str">
        <x:f>IF(E$1="","",IFERROR(INDEX('包络曲线数据'!$B$2:$U$742,ROW()-1,MATCH(E$1,'包络曲线数据'!$B$1:$U$1,0)),""))</x:f>
      </x:c>
      <x:c r="F273" t="str">
        <x:f>IF(F$1="","",IFERROR(INDEX('包络曲线数据'!$B$2:$U$742,ROW()-1,MATCH(F$1,'包络曲线数据'!$B$1:$U$1,0)),""))</x:f>
      </x:c>
      <x:c r="G273" t="str">
        <x:f>IF(G$1="","",IFERROR(INDEX('包络曲线数据'!$B$2:$U$742,ROW()-1,MATCH(G$1,'包络曲线数据'!$B$1:$U$1,0)),""))</x:f>
      </x:c>
    </x:row>
    <x:row r="274">
      <x:c r="A274" t="n">
        <x:v>27.200000000000003</x:v>
      </x:c>
      <x:c r="B274" t="str">
        <x:f>IF(B$1="","",IFERROR(INDEX('包络曲线数据'!$B$2:$U$742,ROW()-1,MATCH(B$1,'包络曲线数据'!$B$1:$U$1,0)),""))</x:f>
      </x:c>
      <x:c r="C274" t="n">
        <x:f>IF(C$1="","",IFERROR(INDEX('包络曲线数据'!$B$2:$U$742,ROW()-1,MATCH(C$1,'包络曲线数据'!$B$1:$U$1,0)),""))</x:f>
        <x:v>81.76093903000005</x:v>
      </x:c>
      <x:c r="D274" t="str">
        <x:f>IF(D$1="","",IFERROR(INDEX('包络曲线数据'!$B$2:$U$742,ROW()-1,MATCH(D$1,'包络曲线数据'!$B$1:$U$1,0)),""))</x:f>
      </x:c>
      <x:c r="E274" t="str">
        <x:f>IF(E$1="","",IFERROR(INDEX('包络曲线数据'!$B$2:$U$742,ROW()-1,MATCH(E$1,'包络曲线数据'!$B$1:$U$1,0)),""))</x:f>
      </x:c>
      <x:c r="F274" t="str">
        <x:f>IF(F$1="","",IFERROR(INDEX('包络曲线数据'!$B$2:$U$742,ROW()-1,MATCH(F$1,'包络曲线数据'!$B$1:$U$1,0)),""))</x:f>
      </x:c>
      <x:c r="G274" t="str">
        <x:f>IF(G$1="","",IFERROR(INDEX('包络曲线数据'!$B$2:$U$742,ROW()-1,MATCH(G$1,'包络曲线数据'!$B$1:$U$1,0)),""))</x:f>
      </x:c>
    </x:row>
    <x:row r="275">
      <x:c r="A275" t="n">
        <x:v>27.3</x:v>
      </x:c>
      <x:c r="B275" t="str">
        <x:f>IF(B$1="","",IFERROR(INDEX('包络曲线数据'!$B$2:$U$742,ROW()-1,MATCH(B$1,'包络曲线数据'!$B$1:$U$1,0)),""))</x:f>
      </x:c>
      <x:c r="C275" t="n">
        <x:f>IF(C$1="","",IFERROR(INDEX('包络曲线数据'!$B$2:$U$742,ROW()-1,MATCH(C$1,'包络曲线数据'!$B$1:$U$1,0)),""))</x:f>
        <x:v>71.0953438282966</x:v>
      </x:c>
      <x:c r="D275" t="str">
        <x:f>IF(D$1="","",IFERROR(INDEX('包络曲线数据'!$B$2:$U$742,ROW()-1,MATCH(D$1,'包络曲线数据'!$B$1:$U$1,0)),""))</x:f>
      </x:c>
      <x:c r="E275" t="str">
        <x:f>IF(E$1="","",IFERROR(INDEX('包络曲线数据'!$B$2:$U$742,ROW()-1,MATCH(E$1,'包络曲线数据'!$B$1:$U$1,0)),""))</x:f>
      </x:c>
      <x:c r="F275" t="str">
        <x:f>IF(F$1="","",IFERROR(INDEX('包络曲线数据'!$B$2:$U$742,ROW()-1,MATCH(F$1,'包络曲线数据'!$B$1:$U$1,0)),""))</x:f>
      </x:c>
      <x:c r="G275" t="str">
        <x:f>IF(G$1="","",IFERROR(INDEX('包络曲线数据'!$B$2:$U$742,ROW()-1,MATCH(G$1,'包络曲线数据'!$B$1:$U$1,0)),""))</x:f>
      </x:c>
    </x:row>
    <x:row r="276">
      <x:c r="A276" t="n">
        <x:v>27.400000000000002</x:v>
      </x:c>
      <x:c r="B276" t="str">
        <x:f>IF(B$1="","",IFERROR(INDEX('包络曲线数据'!$B$2:$U$742,ROW()-1,MATCH(B$1,'包络曲线数据'!$B$1:$U$1,0)),""))</x:f>
      </x:c>
      <x:c r="C276" t="n">
        <x:f>IF(C$1="","",IFERROR(INDEX('包络曲线数据'!$B$2:$U$742,ROW()-1,MATCH(C$1,'包络曲线数据'!$B$1:$U$1,0)),""))</x:f>
        <x:v>57.98530639985519</x:v>
      </x:c>
      <x:c r="D276" t="str">
        <x:f>IF(D$1="","",IFERROR(INDEX('包络曲线数据'!$B$2:$U$742,ROW()-1,MATCH(D$1,'包络曲线数据'!$B$1:$U$1,0)),""))</x:f>
      </x:c>
      <x:c r="E276" t="str">
        <x:f>IF(E$1="","",IFERROR(INDEX('包络曲线数据'!$B$2:$U$742,ROW()-1,MATCH(E$1,'包络曲线数据'!$B$1:$U$1,0)),""))</x:f>
      </x:c>
      <x:c r="F276" t="str">
        <x:f>IF(F$1="","",IFERROR(INDEX('包络曲线数据'!$B$2:$U$742,ROW()-1,MATCH(F$1,'包络曲线数据'!$B$1:$U$1,0)),""))</x:f>
      </x:c>
      <x:c r="G276" t="str">
        <x:f>IF(G$1="","",IFERROR(INDEX('包络曲线数据'!$B$2:$U$742,ROW()-1,MATCH(G$1,'包络曲线数据'!$B$1:$U$1,0)),""))</x:f>
      </x:c>
    </x:row>
    <x:row r="277">
      <x:c r="A277" t="n">
        <x:v>27.5</x:v>
      </x:c>
      <x:c r="B277" t="str">
        <x:f>IF(B$1="","",IFERROR(INDEX('包络曲线数据'!$B$2:$U$742,ROW()-1,MATCH(B$1,'包络曲线数据'!$B$1:$U$1,0)),""))</x:f>
      </x:c>
      <x:c r="C277" t="n">
        <x:f>IF(C$1="","",IFERROR(INDEX('包络曲线数据'!$B$2:$U$742,ROW()-1,MATCH(C$1,'包络曲线数据'!$B$1:$U$1,0)),""))</x:f>
        <x:v>61.027260647605914</x:v>
      </x:c>
      <x:c r="D277" t="str">
        <x:f>IF(D$1="","",IFERROR(INDEX('包络曲线数据'!$B$2:$U$742,ROW()-1,MATCH(D$1,'包络曲线数据'!$B$1:$U$1,0)),""))</x:f>
      </x:c>
      <x:c r="E277" t="str">
        <x:f>IF(E$1="","",IFERROR(INDEX('包络曲线数据'!$B$2:$U$742,ROW()-1,MATCH(E$1,'包络曲线数据'!$B$1:$U$1,0)),""))</x:f>
      </x:c>
      <x:c r="F277" t="str">
        <x:f>IF(F$1="","",IFERROR(INDEX('包络曲线数据'!$B$2:$U$742,ROW()-1,MATCH(F$1,'包络曲线数据'!$B$1:$U$1,0)),""))</x:f>
      </x:c>
      <x:c r="G277" t="str">
        <x:f>IF(G$1="","",IFERROR(INDEX('包络曲线数据'!$B$2:$U$742,ROW()-1,MATCH(G$1,'包络曲线数据'!$B$1:$U$1,0)),""))</x:f>
      </x:c>
    </x:row>
    <x:row r="278">
      <x:c r="A278" t="n">
        <x:v>27.6</x:v>
      </x:c>
      <x:c r="B278" t="str">
        <x:f>IF(B$1="","",IFERROR(INDEX('包络曲线数据'!$B$2:$U$742,ROW()-1,MATCH(B$1,'包络曲线数据'!$B$1:$U$1,0)),""))</x:f>
      </x:c>
      <x:c r="C278" t="n">
        <x:f>IF(C$1="","",IFERROR(INDEX('包络曲线数据'!$B$2:$U$742,ROW()-1,MATCH(C$1,'包络曲线数据'!$B$1:$U$1,0)),""))</x:f>
        <x:v>64.06921489535674</x:v>
      </x:c>
      <x:c r="D278" t="str">
        <x:f>IF(D$1="","",IFERROR(INDEX('包络曲线数据'!$B$2:$U$742,ROW()-1,MATCH(D$1,'包络曲线数据'!$B$1:$U$1,0)),""))</x:f>
      </x:c>
      <x:c r="E278" t="str">
        <x:f>IF(E$1="","",IFERROR(INDEX('包络曲线数据'!$B$2:$U$742,ROW()-1,MATCH(E$1,'包络曲线数据'!$B$1:$U$1,0)),""))</x:f>
      </x:c>
      <x:c r="F278" t="str">
        <x:f>IF(F$1="","",IFERROR(INDEX('包络曲线数据'!$B$2:$U$742,ROW()-1,MATCH(F$1,'包络曲线数据'!$B$1:$U$1,0)),""))</x:f>
      </x:c>
      <x:c r="G278" t="str">
        <x:f>IF(G$1="","",IFERROR(INDEX('包络曲线数据'!$B$2:$U$742,ROW()-1,MATCH(G$1,'包络曲线数据'!$B$1:$U$1,0)),""))</x:f>
      </x:c>
    </x:row>
    <x:row r="279">
      <x:c r="A279" t="n">
        <x:v>27.700000000000003</x:v>
      </x:c>
      <x:c r="B279" t="str">
        <x:f>IF(B$1="","",IFERROR(INDEX('包络曲线数据'!$B$2:$U$742,ROW()-1,MATCH(B$1,'包络曲线数据'!$B$1:$U$1,0)),""))</x:f>
      </x:c>
      <x:c r="C279" t="n">
        <x:f>IF(C$1="","",IFERROR(INDEX('包络曲线数据'!$B$2:$U$742,ROW()-1,MATCH(C$1,'包络曲线数据'!$B$1:$U$1,0)),""))</x:f>
        <x:v>67.11116914310757</x:v>
      </x:c>
      <x:c r="D279" t="str">
        <x:f>IF(D$1="","",IFERROR(INDEX('包络曲线数据'!$B$2:$U$742,ROW()-1,MATCH(D$1,'包络曲线数据'!$B$1:$U$1,0)),""))</x:f>
      </x:c>
      <x:c r="E279" t="str">
        <x:f>IF(E$1="","",IFERROR(INDEX('包络曲线数据'!$B$2:$U$742,ROW()-1,MATCH(E$1,'包络曲线数据'!$B$1:$U$1,0)),""))</x:f>
      </x:c>
      <x:c r="F279" t="str">
        <x:f>IF(F$1="","",IFERROR(INDEX('包络曲线数据'!$B$2:$U$742,ROW()-1,MATCH(F$1,'包络曲线数据'!$B$1:$U$1,0)),""))</x:f>
      </x:c>
      <x:c r="G279" t="str">
        <x:f>IF(G$1="","",IFERROR(INDEX('包络曲线数据'!$B$2:$U$742,ROW()-1,MATCH(G$1,'包络曲线数据'!$B$1:$U$1,0)),""))</x:f>
      </x:c>
    </x:row>
    <x:row r="280">
      <x:c r="A280" t="n">
        <x:v>27.8</x:v>
      </x:c>
      <x:c r="B280" t="str">
        <x:f>IF(B$1="","",IFERROR(INDEX('包络曲线数据'!$B$2:$U$742,ROW()-1,MATCH(B$1,'包络曲线数据'!$B$1:$U$1,0)),""))</x:f>
      </x:c>
      <x:c r="C280" t="n">
        <x:f>IF(C$1="","",IFERROR(INDEX('包络曲线数据'!$B$2:$U$742,ROW()-1,MATCH(C$1,'包络曲线数据'!$B$1:$U$1,0)),""))</x:f>
        <x:v>67.71955999265761</x:v>
      </x:c>
      <x:c r="D280" t="str">
        <x:f>IF(D$1="","",IFERROR(INDEX('包络曲线数据'!$B$2:$U$742,ROW()-1,MATCH(D$1,'包络曲线数据'!$B$1:$U$1,0)),""))</x:f>
      </x:c>
      <x:c r="E280" t="str">
        <x:f>IF(E$1="","",IFERROR(INDEX('包络曲线数据'!$B$2:$U$742,ROW()-1,MATCH(E$1,'包络曲线数据'!$B$1:$U$1,0)),""))</x:f>
      </x:c>
      <x:c r="F280" t="str">
        <x:f>IF(F$1="","",IFERROR(INDEX('包络曲线数据'!$B$2:$U$742,ROW()-1,MATCH(F$1,'包络曲线数据'!$B$1:$U$1,0)),""))</x:f>
      </x:c>
      <x:c r="G280" t="str">
        <x:f>IF(G$1="","",IFERROR(INDEX('包络曲线数据'!$B$2:$U$742,ROW()-1,MATCH(G$1,'包络曲线数据'!$B$1:$U$1,0)),""))</x:f>
      </x:c>
    </x:row>
    <x:row r="281">
      <x:c r="A281" t="n">
        <x:v>27.900000000000002</x:v>
      </x:c>
      <x:c r="B281" t="str">
        <x:f>IF(B$1="","",IFERROR(INDEX('包络曲线数据'!$B$2:$U$742,ROW()-1,MATCH(B$1,'包络曲线数据'!$B$1:$U$1,0)),""))</x:f>
      </x:c>
      <x:c r="C281" t="n">
        <x:f>IF(C$1="","",IFERROR(INDEX('包络曲线数据'!$B$2:$U$742,ROW()-1,MATCH(C$1,'包络曲线数据'!$B$1:$U$1,0)),""))</x:f>
        <x:v>76.41724260173285</x:v>
      </x:c>
      <x:c r="D281" t="str">
        <x:f>IF(D$1="","",IFERROR(INDEX('包络曲线数据'!$B$2:$U$742,ROW()-1,MATCH(D$1,'包络曲线数据'!$B$1:$U$1,0)),""))</x:f>
      </x:c>
      <x:c r="E281" t="str">
        <x:f>IF(E$1="","",IFERROR(INDEX('包络曲线数据'!$B$2:$U$742,ROW()-1,MATCH(E$1,'包络曲线数据'!$B$1:$U$1,0)),""))</x:f>
      </x:c>
      <x:c r="F281" t="str">
        <x:f>IF(F$1="","",IFERROR(INDEX('包络曲线数据'!$B$2:$U$742,ROW()-1,MATCH(F$1,'包络曲线数据'!$B$1:$U$1,0)),""))</x:f>
      </x:c>
      <x:c r="G281" t="str">
        <x:f>IF(G$1="","",IFERROR(INDEX('包络曲线数据'!$B$2:$U$742,ROW()-1,MATCH(G$1,'包络曲线数据'!$B$1:$U$1,0)),""))</x:f>
      </x:c>
    </x:row>
    <x:row r="282">
      <x:c r="A282" t="n">
        <x:v>28</x:v>
      </x:c>
      <x:c r="B282" t="str">
        <x:f>IF(B$1="","",IFERROR(INDEX('包络曲线数据'!$B$2:$U$742,ROW()-1,MATCH(B$1,'包络曲线数据'!$B$1:$U$1,0)),""))</x:f>
      </x:c>
      <x:c r="C282" t="n">
        <x:f>IF(C$1="","",IFERROR(INDEX('包络曲线数据'!$B$2:$U$742,ROW()-1,MATCH(C$1,'包络曲线数据'!$B$1:$U$1,0)),""))</x:f>
        <x:v>76.41724260173285</x:v>
      </x:c>
      <x:c r="D282" t="str">
        <x:f>IF(D$1="","",IFERROR(INDEX('包络曲线数据'!$B$2:$U$742,ROW()-1,MATCH(D$1,'包络曲线数据'!$B$1:$U$1,0)),""))</x:f>
      </x:c>
      <x:c r="E282" t="str">
        <x:f>IF(E$1="","",IFERROR(INDEX('包络曲线数据'!$B$2:$U$742,ROW()-1,MATCH(E$1,'包络曲线数据'!$B$1:$U$1,0)),""))</x:f>
      </x:c>
      <x:c r="F282" t="str">
        <x:f>IF(F$1="","",IFERROR(INDEX('包络曲线数据'!$B$2:$U$742,ROW()-1,MATCH(F$1,'包络曲线数据'!$B$1:$U$1,0)),""))</x:f>
      </x:c>
      <x:c r="G282" t="str">
        <x:f>IF(G$1="","",IFERROR(INDEX('包络曲线数据'!$B$2:$U$742,ROW()-1,MATCH(G$1,'包络曲线数据'!$B$1:$U$1,0)),""))</x:f>
      </x:c>
    </x:row>
    <x:row r="283">
      <x:c r="A283" t="n">
        <x:v>28.1</x:v>
      </x:c>
      <x:c r="B283" t="str">
        <x:f>IF(B$1="","",IFERROR(INDEX('包络曲线数据'!$B$2:$U$742,ROW()-1,MATCH(B$1,'包络曲线数据'!$B$1:$U$1,0)),""))</x:f>
      </x:c>
      <x:c r="C283" t="n">
        <x:f>IF(C$1="","",IFERROR(INDEX('包络曲线数据'!$B$2:$U$742,ROW()-1,MATCH(C$1,'包络曲线数据'!$B$1:$U$1,0)),""))</x:f>
        <x:v>72.89028754836463</x:v>
      </x:c>
      <x:c r="D283" t="str">
        <x:f>IF(D$1="","",IFERROR(INDEX('包络曲线数据'!$B$2:$U$742,ROW()-1,MATCH(D$1,'包络曲线数据'!$B$1:$U$1,0)),""))</x:f>
      </x:c>
      <x:c r="E283" t="str">
        <x:f>IF(E$1="","",IFERROR(INDEX('包络曲线数据'!$B$2:$U$742,ROW()-1,MATCH(E$1,'包络曲线数据'!$B$1:$U$1,0)),""))</x:f>
      </x:c>
      <x:c r="F283" t="str">
        <x:f>IF(F$1="","",IFERROR(INDEX('包络曲线数据'!$B$2:$U$742,ROW()-1,MATCH(F$1,'包络曲线数据'!$B$1:$U$1,0)),""))</x:f>
      </x:c>
      <x:c r="G283" t="str">
        <x:f>IF(G$1="","",IFERROR(INDEX('包络曲线数据'!$B$2:$U$742,ROW()-1,MATCH(G$1,'包络曲线数据'!$B$1:$U$1,0)),""))</x:f>
      </x:c>
    </x:row>
    <x:row r="284">
      <x:c r="A284" t="n">
        <x:v>28.200000000000003</x:v>
      </x:c>
      <x:c r="B284" t="str">
        <x:f>IF(B$1="","",IFERROR(INDEX('包络曲线数据'!$B$2:$U$742,ROW()-1,MATCH(B$1,'包络曲线数据'!$B$1:$U$1,0)),""))</x:f>
      </x:c>
      <x:c r="C284" t="n">
        <x:f>IF(C$1="","",IFERROR(INDEX('包络曲线数据'!$B$2:$U$742,ROW()-1,MATCH(C$1,'包络曲线数据'!$B$1:$U$1,0)),""))</x:f>
        <x:v>67.52431956302985</x:v>
      </x:c>
      <x:c r="D284" t="str">
        <x:f>IF(D$1="","",IFERROR(INDEX('包络曲线数据'!$B$2:$U$742,ROW()-1,MATCH(D$1,'包络曲线数据'!$B$1:$U$1,0)),""))</x:f>
      </x:c>
      <x:c r="E284" t="str">
        <x:f>IF(E$1="","",IFERROR(INDEX('包络曲线数据'!$B$2:$U$742,ROW()-1,MATCH(E$1,'包络曲线数据'!$B$1:$U$1,0)),""))</x:f>
      </x:c>
      <x:c r="F284" t="str">
        <x:f>IF(F$1="","",IFERROR(INDEX('包络曲线数据'!$B$2:$U$742,ROW()-1,MATCH(F$1,'包络曲线数据'!$B$1:$U$1,0)),""))</x:f>
      </x:c>
      <x:c r="G284" t="str">
        <x:f>IF(G$1="","",IFERROR(INDEX('包络曲线数据'!$B$2:$U$742,ROW()-1,MATCH(G$1,'包络曲线数据'!$B$1:$U$1,0)),""))</x:f>
      </x:c>
    </x:row>
    <x:row r="285">
      <x:c r="A285" t="n">
        <x:v>28.3</x:v>
      </x:c>
      <x:c r="B285" t="str">
        <x:f>IF(B$1="","",IFERROR(INDEX('包络曲线数据'!$B$2:$U$742,ROW()-1,MATCH(B$1,'包络曲线数据'!$B$1:$U$1,0)),""))</x:f>
      </x:c>
      <x:c r="C285" t="n">
        <x:f>IF(C$1="","",IFERROR(INDEX('包络曲线数据'!$B$2:$U$742,ROW()-1,MATCH(C$1,'包络曲线数据'!$B$1:$U$1,0)),""))</x:f>
        <x:v>74.60148804959078</x:v>
      </x:c>
      <x:c r="D285" t="str">
        <x:f>IF(D$1="","",IFERROR(INDEX('包络曲线数据'!$B$2:$U$742,ROW()-1,MATCH(D$1,'包络曲线数据'!$B$1:$U$1,0)),""))</x:f>
      </x:c>
      <x:c r="E285" t="str">
        <x:f>IF(E$1="","",IFERROR(INDEX('包络曲线数据'!$B$2:$U$742,ROW()-1,MATCH(E$1,'包络曲线数据'!$B$1:$U$1,0)),""))</x:f>
      </x:c>
      <x:c r="F285" t="str">
        <x:f>IF(F$1="","",IFERROR(INDEX('包络曲线数据'!$B$2:$U$742,ROW()-1,MATCH(F$1,'包络曲线数据'!$B$1:$U$1,0)),""))</x:f>
      </x:c>
      <x:c r="G285" t="str">
        <x:f>IF(G$1="","",IFERROR(INDEX('包络曲线数据'!$B$2:$U$742,ROW()-1,MATCH(G$1,'包络曲线数据'!$B$1:$U$1,0)),""))</x:f>
      </x:c>
    </x:row>
    <x:row r="286">
      <x:c r="A286" t="n">
        <x:v>28.400000000000002</x:v>
      </x:c>
      <x:c r="B286" t="str">
        <x:f>IF(B$1="","",IFERROR(INDEX('包络曲线数据'!$B$2:$U$742,ROW()-1,MATCH(B$1,'包络曲线数据'!$B$1:$U$1,0)),""))</x:f>
      </x:c>
      <x:c r="C286" t="n">
        <x:f>IF(C$1="","",IFERROR(INDEX('包络曲线数据'!$B$2:$U$742,ROW()-1,MATCH(C$1,'包络曲线数据'!$B$1:$U$1,0)),""))</x:f>
        <x:v>76.31362817943742</x:v>
      </x:c>
      <x:c r="D286" t="str">
        <x:f>IF(D$1="","",IFERROR(INDEX('包络曲线数据'!$B$2:$U$742,ROW()-1,MATCH(D$1,'包络曲线数据'!$B$1:$U$1,0)),""))</x:f>
      </x:c>
      <x:c r="E286" t="str">
        <x:f>IF(E$1="","",IFERROR(INDEX('包络曲线数据'!$B$2:$U$742,ROW()-1,MATCH(E$1,'包络曲线数据'!$B$1:$U$1,0)),""))</x:f>
      </x:c>
      <x:c r="F286" t="str">
        <x:f>IF(F$1="","",IFERROR(INDEX('包络曲线数据'!$B$2:$U$742,ROW()-1,MATCH(F$1,'包络曲线数据'!$B$1:$U$1,0)),""))</x:f>
      </x:c>
      <x:c r="G286" t="str">
        <x:f>IF(G$1="","",IFERROR(INDEX('包络曲线数据'!$B$2:$U$742,ROW()-1,MATCH(G$1,'包络曲线数据'!$B$1:$U$1,0)),""))</x:f>
      </x:c>
    </x:row>
    <x:row r="287">
      <x:c r="A287" t="n">
        <x:v>28.5</x:v>
      </x:c>
      <x:c r="B287" t="str">
        <x:f>IF(B$1="","",IFERROR(INDEX('包络曲线数据'!$B$2:$U$742,ROW()-1,MATCH(B$1,'包络曲线数据'!$B$1:$U$1,0)),""))</x:f>
      </x:c>
      <x:c r="C287" t="n">
        <x:f>IF(C$1="","",IFERROR(INDEX('包络曲线数据'!$B$2:$U$742,ROW()-1,MATCH(C$1,'包络曲线数据'!$B$1:$U$1,0)),""))</x:f>
        <x:v>76.31362817943742</x:v>
      </x:c>
      <x:c r="D287" t="str">
        <x:f>IF(D$1="","",IFERROR(INDEX('包络曲线数据'!$B$2:$U$742,ROW()-1,MATCH(D$1,'包络曲线数据'!$B$1:$U$1,0)),""))</x:f>
      </x:c>
      <x:c r="E287" t="str">
        <x:f>IF(E$1="","",IFERROR(INDEX('包络曲线数据'!$B$2:$U$742,ROW()-1,MATCH(E$1,'包络曲线数据'!$B$1:$U$1,0)),""))</x:f>
      </x:c>
      <x:c r="F287" t="str">
        <x:f>IF(F$1="","",IFERROR(INDEX('包络曲线数据'!$B$2:$U$742,ROW()-1,MATCH(F$1,'包络曲线数据'!$B$1:$U$1,0)),""))</x:f>
      </x:c>
      <x:c r="G287" t="str">
        <x:f>IF(G$1="","",IFERROR(INDEX('包络曲线数据'!$B$2:$U$742,ROW()-1,MATCH(G$1,'包络曲线数据'!$B$1:$U$1,0)),""))</x:f>
      </x:c>
    </x:row>
    <x:row r="288">
      <x:c r="A288" t="n">
        <x:v>28.6</x:v>
      </x:c>
      <x:c r="B288" t="str">
        <x:f>IF(B$1="","",IFERROR(INDEX('包络曲线数据'!$B$2:$U$742,ROW()-1,MATCH(B$1,'包络曲线数据'!$B$1:$U$1,0)),""))</x:f>
      </x:c>
      <x:c r="C288" t="n">
        <x:f>IF(C$1="","",IFERROR(INDEX('包络曲线数据'!$B$2:$U$742,ROW()-1,MATCH(C$1,'包络曲线数据'!$B$1:$U$1,0)),""))</x:f>
        <x:v>75.2687788746702</x:v>
      </x:c>
      <x:c r="D288" t="str">
        <x:f>IF(D$1="","",IFERROR(INDEX('包络曲线数据'!$B$2:$U$742,ROW()-1,MATCH(D$1,'包络曲线数据'!$B$1:$U$1,0)),""))</x:f>
      </x:c>
      <x:c r="E288" t="str">
        <x:f>IF(E$1="","",IFERROR(INDEX('包络曲线数据'!$B$2:$U$742,ROW()-1,MATCH(E$1,'包络曲线数据'!$B$1:$U$1,0)),""))</x:f>
      </x:c>
      <x:c r="F288" t="str">
        <x:f>IF(F$1="","",IFERROR(INDEX('包络曲线数据'!$B$2:$U$742,ROW()-1,MATCH(F$1,'包络曲线数据'!$B$1:$U$1,0)),""))</x:f>
      </x:c>
      <x:c r="G288" t="str">
        <x:f>IF(G$1="","",IFERROR(INDEX('包络曲线数据'!$B$2:$U$742,ROW()-1,MATCH(G$1,'包络曲线数据'!$B$1:$U$1,0)),""))</x:f>
      </x:c>
    </x:row>
    <x:row r="289">
      <x:c r="A289" t="n">
        <x:v>28.700000000000003</x:v>
      </x:c>
      <x:c r="B289" t="str">
        <x:f>IF(B$1="","",IFERROR(INDEX('包络曲线数据'!$B$2:$U$742,ROW()-1,MATCH(B$1,'包络曲线数据'!$B$1:$U$1,0)),""))</x:f>
      </x:c>
      <x:c r="C289" t="n">
        <x:f>IF(C$1="","",IFERROR(INDEX('包络曲线数据'!$B$2:$U$742,ROW()-1,MATCH(C$1,'包络曲线数据'!$B$1:$U$1,0)),""))</x:f>
        <x:v>75.68402873936705</x:v>
      </x:c>
      <x:c r="D289" t="str">
        <x:f>IF(D$1="","",IFERROR(INDEX('包络曲线数据'!$B$2:$U$742,ROW()-1,MATCH(D$1,'包络曲线数据'!$B$1:$U$1,0)),""))</x:f>
      </x:c>
      <x:c r="E289" t="str">
        <x:f>IF(E$1="","",IFERROR(INDEX('包络曲线数据'!$B$2:$U$742,ROW()-1,MATCH(E$1,'包络曲线数据'!$B$1:$U$1,0)),""))</x:f>
      </x:c>
      <x:c r="F289" t="str">
        <x:f>IF(F$1="","",IFERROR(INDEX('包络曲线数据'!$B$2:$U$742,ROW()-1,MATCH(F$1,'包络曲线数据'!$B$1:$U$1,0)),""))</x:f>
      </x:c>
      <x:c r="G289" t="str">
        <x:f>IF(G$1="","",IFERROR(INDEX('包络曲线数据'!$B$2:$U$742,ROW()-1,MATCH(G$1,'包络曲线数据'!$B$1:$U$1,0)),""))</x:f>
      </x:c>
    </x:row>
    <x:row r="290">
      <x:c r="A290" t="n">
        <x:v>28.8</x:v>
      </x:c>
      <x:c r="B290" t="str">
        <x:f>IF(B$1="","",IFERROR(INDEX('包络曲线数据'!$B$2:$U$742,ROW()-1,MATCH(B$1,'包络曲线数据'!$B$1:$U$1,0)),""))</x:f>
      </x:c>
      <x:c r="C290" t="n">
        <x:f>IF(C$1="","",IFERROR(INDEX('包络曲线数据'!$B$2:$U$742,ROW()-1,MATCH(C$1,'包络曲线数据'!$B$1:$U$1,0)),""))</x:f>
        <x:v>75.68402873936705</x:v>
      </x:c>
      <x:c r="D290" t="str">
        <x:f>IF(D$1="","",IFERROR(INDEX('包络曲线数据'!$B$2:$U$742,ROW()-1,MATCH(D$1,'包络曲线数据'!$B$1:$U$1,0)),""))</x:f>
      </x:c>
      <x:c r="E290" t="str">
        <x:f>IF(E$1="","",IFERROR(INDEX('包络曲线数据'!$B$2:$U$742,ROW()-1,MATCH(E$1,'包络曲线数据'!$B$1:$U$1,0)),""))</x:f>
      </x:c>
      <x:c r="F290" t="str">
        <x:f>IF(F$1="","",IFERROR(INDEX('包络曲线数据'!$B$2:$U$742,ROW()-1,MATCH(F$1,'包络曲线数据'!$B$1:$U$1,0)),""))</x:f>
      </x:c>
      <x:c r="G290" t="str">
        <x:f>IF(G$1="","",IFERROR(INDEX('包络曲线数据'!$B$2:$U$742,ROW()-1,MATCH(G$1,'包络曲线数据'!$B$1:$U$1,0)),""))</x:f>
      </x:c>
    </x:row>
    <x:row r="291">
      <x:c r="A291" t="n">
        <x:v>28.900000000000002</x:v>
      </x:c>
      <x:c r="B291" t="str">
        <x:f>IF(B$1="","",IFERROR(INDEX('包络曲线数据'!$B$2:$U$742,ROW()-1,MATCH(B$1,'包络曲线数据'!$B$1:$U$1,0)),""))</x:f>
      </x:c>
      <x:c r="C291" t="n">
        <x:f>IF(C$1="","",IFERROR(INDEX('包络曲线数据'!$B$2:$U$742,ROW()-1,MATCH(C$1,'包络曲线数据'!$B$1:$U$1,0)),""))</x:f>
        <x:v>75.48397493368805</x:v>
      </x:c>
      <x:c r="D291" t="str">
        <x:f>IF(D$1="","",IFERROR(INDEX('包络曲线数据'!$B$2:$U$742,ROW()-1,MATCH(D$1,'包络曲线数据'!$B$1:$U$1,0)),""))</x:f>
      </x:c>
      <x:c r="E291" t="str">
        <x:f>IF(E$1="","",IFERROR(INDEX('包络曲线数据'!$B$2:$U$742,ROW()-1,MATCH(E$1,'包络曲线数据'!$B$1:$U$1,0)),""))</x:f>
      </x:c>
      <x:c r="F291" t="str">
        <x:f>IF(F$1="","",IFERROR(INDEX('包络曲线数据'!$B$2:$U$742,ROW()-1,MATCH(F$1,'包络曲线数据'!$B$1:$U$1,0)),""))</x:f>
      </x:c>
      <x:c r="G291" t="str">
        <x:f>IF(G$1="","",IFERROR(INDEX('包络曲线数据'!$B$2:$U$742,ROW()-1,MATCH(G$1,'包络曲线数据'!$B$1:$U$1,0)),""))</x:f>
      </x:c>
    </x:row>
    <x:row r="292">
      <x:c r="A292" t="n">
        <x:v>29</x:v>
      </x:c>
      <x:c r="B292" t="str">
        <x:f>IF(B$1="","",IFERROR(INDEX('包络曲线数据'!$B$2:$U$742,ROW()-1,MATCH(B$1,'包络曲线数据'!$B$1:$U$1,0)),""))</x:f>
      </x:c>
      <x:c r="C292" t="n">
        <x:f>IF(C$1="","",IFERROR(INDEX('包络曲线数据'!$B$2:$U$742,ROW()-1,MATCH(C$1,'包络曲线数据'!$B$1:$U$1,0)),""))</x:f>
        <x:v>77.4477044245589</x:v>
      </x:c>
      <x:c r="D292" t="str">
        <x:f>IF(D$1="","",IFERROR(INDEX('包络曲线数据'!$B$2:$U$742,ROW()-1,MATCH(D$1,'包络曲线数据'!$B$1:$U$1,0)),""))</x:f>
      </x:c>
      <x:c r="E292" t="str">
        <x:f>IF(E$1="","",IFERROR(INDEX('包络曲线数据'!$B$2:$U$742,ROW()-1,MATCH(E$1,'包络曲线数据'!$B$1:$U$1,0)),""))</x:f>
      </x:c>
      <x:c r="F292" t="str">
        <x:f>IF(F$1="","",IFERROR(INDEX('包络曲线数据'!$B$2:$U$742,ROW()-1,MATCH(F$1,'包络曲线数据'!$B$1:$U$1,0)),""))</x:f>
      </x:c>
      <x:c r="G292" t="str">
        <x:f>IF(G$1="","",IFERROR(INDEX('包络曲线数据'!$B$2:$U$742,ROW()-1,MATCH(G$1,'包络曲线数据'!$B$1:$U$1,0)),""))</x:f>
      </x:c>
    </x:row>
    <x:row r="293">
      <x:c r="A293" t="n">
        <x:v>29.1</x:v>
      </x:c>
      <x:c r="B293" t="str">
        <x:f>IF(B$1="","",IFERROR(INDEX('包络曲线数据'!$B$2:$U$742,ROW()-1,MATCH(B$1,'包络曲线数据'!$B$1:$U$1,0)),""))</x:f>
      </x:c>
      <x:c r="C293" t="n">
        <x:f>IF(C$1="","",IFERROR(INDEX('包络曲线数据'!$B$2:$U$742,ROW()-1,MATCH(C$1,'包络曲线数据'!$B$1:$U$1,0)),""))</x:f>
        <x:v>77.4477044245589</x:v>
      </x:c>
      <x:c r="D293" t="str">
        <x:f>IF(D$1="","",IFERROR(INDEX('包络曲线数据'!$B$2:$U$742,ROW()-1,MATCH(D$1,'包络曲线数据'!$B$1:$U$1,0)),""))</x:f>
      </x:c>
      <x:c r="E293" t="str">
        <x:f>IF(E$1="","",IFERROR(INDEX('包络曲线数据'!$B$2:$U$742,ROW()-1,MATCH(E$1,'包络曲线数据'!$B$1:$U$1,0)),""))</x:f>
      </x:c>
      <x:c r="F293" t="str">
        <x:f>IF(F$1="","",IFERROR(INDEX('包络曲线数据'!$B$2:$U$742,ROW()-1,MATCH(F$1,'包络曲线数据'!$B$1:$U$1,0)),""))</x:f>
      </x:c>
      <x:c r="G293" t="str">
        <x:f>IF(G$1="","",IFERROR(INDEX('包络曲线数据'!$B$2:$U$742,ROW()-1,MATCH(G$1,'包络曲线数据'!$B$1:$U$1,0)),""))</x:f>
      </x:c>
    </x:row>
    <x:row r="294">
      <x:c r="A294" t="n">
        <x:v>29.200000000000003</x:v>
      </x:c>
      <x:c r="B294" t="str">
        <x:f>IF(B$1="","",IFERROR(INDEX('包络曲线数据'!$B$2:$U$742,ROW()-1,MATCH(B$1,'包络曲线数据'!$B$1:$U$1,0)),""))</x:f>
      </x:c>
      <x:c r="C294" t="n">
        <x:f>IF(C$1="","",IFERROR(INDEX('包络曲线数据'!$B$2:$U$742,ROW()-1,MATCH(C$1,'包络曲线数据'!$B$1:$U$1,0)),""))</x:f>
        <x:v>76.25752202944761</x:v>
      </x:c>
      <x:c r="D294" t="str">
        <x:f>IF(D$1="","",IFERROR(INDEX('包络曲线数据'!$B$2:$U$742,ROW()-1,MATCH(D$1,'包络曲线数据'!$B$1:$U$1,0)),""))</x:f>
      </x:c>
      <x:c r="E294" t="str">
        <x:f>IF(E$1="","",IFERROR(INDEX('包络曲线数据'!$B$2:$U$742,ROW()-1,MATCH(E$1,'包络曲线数据'!$B$1:$U$1,0)),""))</x:f>
      </x:c>
      <x:c r="F294" t="str">
        <x:f>IF(F$1="","",IFERROR(INDEX('包络曲线数据'!$B$2:$U$742,ROW()-1,MATCH(F$1,'包络曲线数据'!$B$1:$U$1,0)),""))</x:f>
      </x:c>
      <x:c r="G294" t="str">
        <x:f>IF(G$1="","",IFERROR(INDEX('包络曲线数据'!$B$2:$U$742,ROW()-1,MATCH(G$1,'包络曲线数据'!$B$1:$U$1,0)),""))</x:f>
      </x:c>
    </x:row>
    <x:row r="295">
      <x:c r="A295" t="n">
        <x:v>29.3</x:v>
      </x:c>
      <x:c r="B295" t="str">
        <x:f>IF(B$1="","",IFERROR(INDEX('包络曲线数据'!$B$2:$U$742,ROW()-1,MATCH(B$1,'包络曲线数据'!$B$1:$U$1,0)),""))</x:f>
      </x:c>
      <x:c r="C295" t="n">
        <x:f>IF(C$1="","",IFERROR(INDEX('包络曲线数据'!$B$2:$U$742,ROW()-1,MATCH(C$1,'包络曲线数据'!$B$1:$U$1,0)),""))</x:f>
        <x:v>74.25150595213793</x:v>
      </x:c>
      <x:c r="D295" t="str">
        <x:f>IF(D$1="","",IFERROR(INDEX('包络曲线数据'!$B$2:$U$742,ROW()-1,MATCH(D$1,'包络曲线数据'!$B$1:$U$1,0)),""))</x:f>
      </x:c>
      <x:c r="E295" t="str">
        <x:f>IF(E$1="","",IFERROR(INDEX('包络曲线数据'!$B$2:$U$742,ROW()-1,MATCH(E$1,'包络曲线数据'!$B$1:$U$1,0)),""))</x:f>
      </x:c>
      <x:c r="F295" t="str">
        <x:f>IF(F$1="","",IFERROR(INDEX('包络曲线数据'!$B$2:$U$742,ROW()-1,MATCH(F$1,'包络曲线数据'!$B$1:$U$1,0)),""))</x:f>
      </x:c>
      <x:c r="G295" t="str">
        <x:f>IF(G$1="","",IFERROR(INDEX('包络曲线数据'!$B$2:$U$742,ROW()-1,MATCH(G$1,'包络曲线数据'!$B$1:$U$1,0)),""))</x:f>
      </x:c>
    </x:row>
    <x:row r="296">
      <x:c r="A296" t="n">
        <x:v>29.400000000000002</x:v>
      </x:c>
      <x:c r="B296" t="str">
        <x:f>IF(B$1="","",IFERROR(INDEX('包络曲线数据'!$B$2:$U$742,ROW()-1,MATCH(B$1,'包络曲线数据'!$B$1:$U$1,0)),""))</x:f>
      </x:c>
      <x:c r="C296" t="n">
        <x:f>IF(C$1="","",IFERROR(INDEX('包络曲线数据'!$B$2:$U$742,ROW()-1,MATCH(C$1,'包络曲线数据'!$B$1:$U$1,0)),""))</x:f>
        <x:v>70.16861614945952</x:v>
      </x:c>
      <x:c r="D296" t="str">
        <x:f>IF(D$1="","",IFERROR(INDEX('包络曲线数据'!$B$2:$U$742,ROW()-1,MATCH(D$1,'包络曲线数据'!$B$1:$U$1,0)),""))</x:f>
      </x:c>
      <x:c r="E296" t="str">
        <x:f>IF(E$1="","",IFERROR(INDEX('包络曲线数据'!$B$2:$U$742,ROW()-1,MATCH(E$1,'包络曲线数据'!$B$1:$U$1,0)),""))</x:f>
      </x:c>
      <x:c r="F296" t="str">
        <x:f>IF(F$1="","",IFERROR(INDEX('包络曲线数据'!$B$2:$U$742,ROW()-1,MATCH(F$1,'包络曲线数据'!$B$1:$U$1,0)),""))</x:f>
      </x:c>
      <x:c r="G296" t="str">
        <x:f>IF(G$1="","",IFERROR(INDEX('包络曲线数据'!$B$2:$U$742,ROW()-1,MATCH(G$1,'包络曲线数据'!$B$1:$U$1,0)),""))</x:f>
      </x:c>
    </x:row>
    <x:row r="297">
      <x:c r="A297" t="n">
        <x:v>29.5</x:v>
      </x:c>
      <x:c r="B297" t="str">
        <x:f>IF(B$1="","",IFERROR(INDEX('包络曲线数据'!$B$2:$U$742,ROW()-1,MATCH(B$1,'包络曲线数据'!$B$1:$U$1,0)),""))</x:f>
      </x:c>
      <x:c r="C297" t="n">
        <x:f>IF(C$1="","",IFERROR(INDEX('包络曲线数据'!$B$2:$U$742,ROW()-1,MATCH(C$1,'包络曲线数据'!$B$1:$U$1,0)),""))</x:f>
        <x:v>79.12226007580362</x:v>
      </x:c>
      <x:c r="D297" t="str">
        <x:f>IF(D$1="","",IFERROR(INDEX('包络曲线数据'!$B$2:$U$742,ROW()-1,MATCH(D$1,'包络曲线数据'!$B$1:$U$1,0)),""))</x:f>
      </x:c>
      <x:c r="E297" t="str">
        <x:f>IF(E$1="","",IFERROR(INDEX('包络曲线数据'!$B$2:$U$742,ROW()-1,MATCH(E$1,'包络曲线数据'!$B$1:$U$1,0)),""))</x:f>
      </x:c>
      <x:c r="F297" t="str">
        <x:f>IF(F$1="","",IFERROR(INDEX('包络曲线数据'!$B$2:$U$742,ROW()-1,MATCH(F$1,'包络曲线数据'!$B$1:$U$1,0)),""))</x:f>
      </x:c>
      <x:c r="G297" t="str">
        <x:f>IF(G$1="","",IFERROR(INDEX('包络曲线数据'!$B$2:$U$742,ROW()-1,MATCH(G$1,'包络曲线数据'!$B$1:$U$1,0)),""))</x:f>
      </x:c>
    </x:row>
    <x:row r="298">
      <x:c r="A298" t="n">
        <x:v>29.6</x:v>
      </x:c>
      <x:c r="B298" t="str">
        <x:f>IF(B$1="","",IFERROR(INDEX('包络曲线数据'!$B$2:$U$742,ROW()-1,MATCH(B$1,'包络曲线数据'!$B$1:$U$1,0)),""))</x:f>
      </x:c>
      <x:c r="C298" t="n">
        <x:f>IF(C$1="","",IFERROR(INDEX('包络曲线数据'!$B$2:$U$742,ROW()-1,MATCH(C$1,'包络曲线数据'!$B$1:$U$1,0)),""))</x:f>
        <x:v>83.03146531948191</x:v>
      </x:c>
      <x:c r="D298" t="str">
        <x:f>IF(D$1="","",IFERROR(INDEX('包络曲线数据'!$B$2:$U$742,ROW()-1,MATCH(D$1,'包络曲线数据'!$B$1:$U$1,0)),""))</x:f>
      </x:c>
      <x:c r="E298" t="str">
        <x:f>IF(E$1="","",IFERROR(INDEX('包络曲线数据'!$B$2:$U$742,ROW()-1,MATCH(E$1,'包络曲线数据'!$B$1:$U$1,0)),""))</x:f>
      </x:c>
      <x:c r="F298" t="str">
        <x:f>IF(F$1="","",IFERROR(INDEX('包络曲线数据'!$B$2:$U$742,ROW()-1,MATCH(F$1,'包络曲线数据'!$B$1:$U$1,0)),""))</x:f>
      </x:c>
      <x:c r="G298" t="str">
        <x:f>IF(G$1="","",IFERROR(INDEX('包络曲线数据'!$B$2:$U$742,ROW()-1,MATCH(G$1,'包络曲线数据'!$B$1:$U$1,0)),""))</x:f>
      </x:c>
    </x:row>
    <x:row r="299">
      <x:c r="A299" t="n">
        <x:v>29.700000000000003</x:v>
      </x:c>
      <x:c r="B299" t="str">
        <x:f>IF(B$1="","",IFERROR(INDEX('包络曲线数据'!$B$2:$U$742,ROW()-1,MATCH(B$1,'包络曲线数据'!$B$1:$U$1,0)),""))</x:f>
      </x:c>
      <x:c r="C299" t="n">
        <x:f>IF(C$1="","",IFERROR(INDEX('包络曲线数据'!$B$2:$U$742,ROW()-1,MATCH(C$1,'包络曲线数据'!$B$1:$U$1,0)),""))</x:f>
        <x:v>83.03146531948191</x:v>
      </x:c>
      <x:c r="D299" t="str">
        <x:f>IF(D$1="","",IFERROR(INDEX('包络曲线数据'!$B$2:$U$742,ROW()-1,MATCH(D$1,'包络曲线数据'!$B$1:$U$1,0)),""))</x:f>
      </x:c>
      <x:c r="E299" t="str">
        <x:f>IF(E$1="","",IFERROR(INDEX('包络曲线数据'!$B$2:$U$742,ROW()-1,MATCH(E$1,'包络曲线数据'!$B$1:$U$1,0)),""))</x:f>
      </x:c>
      <x:c r="F299" t="str">
        <x:f>IF(F$1="","",IFERROR(INDEX('包络曲线数据'!$B$2:$U$742,ROW()-1,MATCH(F$1,'包络曲线数据'!$B$1:$U$1,0)),""))</x:f>
      </x:c>
      <x:c r="G299" t="str">
        <x:f>IF(G$1="","",IFERROR(INDEX('包络曲线数据'!$B$2:$U$742,ROW()-1,MATCH(G$1,'包络曲线数据'!$B$1:$U$1,0)),""))</x:f>
      </x:c>
    </x:row>
    <x:row r="300">
      <x:c r="A300" t="n">
        <x:v>29.8</x:v>
      </x:c>
      <x:c r="B300" t="str">
        <x:f>IF(B$1="","",IFERROR(INDEX('包络曲线数据'!$B$2:$U$742,ROW()-1,MATCH(B$1,'包络曲线数据'!$B$1:$U$1,0)),""))</x:f>
      </x:c>
      <x:c r="C300" t="n">
        <x:f>IF(C$1="","",IFERROR(INDEX('包络曲线数据'!$B$2:$U$742,ROW()-1,MATCH(C$1,'包络曲线数据'!$B$1:$U$1,0)),""))</x:f>
        <x:v>73.15098217628602</x:v>
      </x:c>
      <x:c r="D300" t="str">
        <x:f>IF(D$1="","",IFERROR(INDEX('包络曲线数据'!$B$2:$U$742,ROW()-1,MATCH(D$1,'包络曲线数据'!$B$1:$U$1,0)),""))</x:f>
      </x:c>
      <x:c r="E300" t="str">
        <x:f>IF(E$1="","",IFERROR(INDEX('包络曲线数据'!$B$2:$U$742,ROW()-1,MATCH(E$1,'包络曲线数据'!$B$1:$U$1,0)),""))</x:f>
      </x:c>
      <x:c r="F300" t="str">
        <x:f>IF(F$1="","",IFERROR(INDEX('包络曲线数据'!$B$2:$U$742,ROW()-1,MATCH(F$1,'包络曲线数据'!$B$1:$U$1,0)),""))</x:f>
      </x:c>
      <x:c r="G300" t="str">
        <x:f>IF(G$1="","",IFERROR(INDEX('包络曲线数据'!$B$2:$U$742,ROW()-1,MATCH(G$1,'包络曲线数据'!$B$1:$U$1,0)),""))</x:f>
      </x:c>
    </x:row>
    <x:row r="301">
      <x:c r="A301" t="n">
        <x:v>29.900000000000002</x:v>
      </x:c>
      <x:c r="B301" t="str">
        <x:f>IF(B$1="","",IFERROR(INDEX('包络曲线数据'!$B$2:$U$742,ROW()-1,MATCH(B$1,'包络曲线数据'!$B$1:$U$1,0)),""))</x:f>
      </x:c>
      <x:c r="C301" t="n">
        <x:f>IF(C$1="","",IFERROR(INDEX('包络曲线数据'!$B$2:$U$742,ROW()-1,MATCH(C$1,'包络曲线数据'!$B$1:$U$1,0)),""))</x:f>
        <x:v>65.84362938655305</x:v>
      </x:c>
      <x:c r="D301" t="str">
        <x:f>IF(D$1="","",IFERROR(INDEX('包络曲线数据'!$B$2:$U$742,ROW()-1,MATCH(D$1,'包络曲线数据'!$B$1:$U$1,0)),""))</x:f>
      </x:c>
      <x:c r="E301" t="str">
        <x:f>IF(E$1="","",IFERROR(INDEX('包络曲线数据'!$B$2:$U$742,ROW()-1,MATCH(E$1,'包络曲线数据'!$B$1:$U$1,0)),""))</x:f>
      </x:c>
      <x:c r="F301" t="str">
        <x:f>IF(F$1="","",IFERROR(INDEX('包络曲线数据'!$B$2:$U$742,ROW()-1,MATCH(F$1,'包络曲线数据'!$B$1:$U$1,0)),""))</x:f>
      </x:c>
      <x:c r="G301" t="str">
        <x:f>IF(G$1="","",IFERROR(INDEX('包络曲线数据'!$B$2:$U$742,ROW()-1,MATCH(G$1,'包络曲线数据'!$B$1:$U$1,0)),""))</x:f>
      </x:c>
    </x:row>
    <x:row r="302">
      <x:c r="A302" t="n">
        <x:v>30</x:v>
      </x:c>
      <x:c r="B302" t="str">
        <x:f>IF(B$1="","",IFERROR(INDEX('包络曲线数据'!$B$2:$U$742,ROW()-1,MATCH(B$1,'包络曲线数据'!$B$1:$U$1,0)),""))</x:f>
      </x:c>
      <x:c r="C302" t="n">
        <x:f>IF(C$1="","",IFERROR(INDEX('包络曲线数据'!$B$2:$U$742,ROW()-1,MATCH(C$1,'包络曲线数据'!$B$1:$U$1,0)),""))</x:f>
        <x:v>66.50084563382386</x:v>
      </x:c>
      <x:c r="D302" t="str">
        <x:f>IF(D$1="","",IFERROR(INDEX('包络曲线数据'!$B$2:$U$742,ROW()-1,MATCH(D$1,'包络曲线数据'!$B$1:$U$1,0)),""))</x:f>
      </x:c>
      <x:c r="E302" t="str">
        <x:f>IF(E$1="","",IFERROR(INDEX('包络曲线数据'!$B$2:$U$742,ROW()-1,MATCH(E$1,'包络曲线数据'!$B$1:$U$1,0)),""))</x:f>
      </x:c>
      <x:c r="F302" t="str">
        <x:f>IF(F$1="","",IFERROR(INDEX('包络曲线数据'!$B$2:$U$742,ROW()-1,MATCH(F$1,'包络曲线数据'!$B$1:$U$1,0)),""))</x:f>
      </x:c>
      <x:c r="G302" t="str">
        <x:f>IF(G$1="","",IFERROR(INDEX('包络曲线数据'!$B$2:$U$742,ROW()-1,MATCH(G$1,'包络曲线数据'!$B$1:$U$1,0)),""))</x:f>
      </x:c>
    </x:row>
    <x:row r="303">
      <x:c r="A303" t="n">
        <x:v>30.1</x:v>
      </x:c>
      <x:c r="B303" t="str">
        <x:f>IF(B$1="","",IFERROR(INDEX('包络曲线数据'!$B$2:$U$742,ROW()-1,MATCH(B$1,'包络曲线数据'!$B$1:$U$1,0)),""))</x:f>
      </x:c>
      <x:c r="C303" t="n">
        <x:f>IF(C$1="","",IFERROR(INDEX('包络曲线数据'!$B$2:$U$742,ROW()-1,MATCH(C$1,'包络曲线数据'!$B$1:$U$1,0)),""))</x:f>
        <x:v>67.15806188109468</x:v>
      </x:c>
      <x:c r="D303" t="str">
        <x:f>IF(D$1="","",IFERROR(INDEX('包络曲线数据'!$B$2:$U$742,ROW()-1,MATCH(D$1,'包络曲线数据'!$B$1:$U$1,0)),""))</x:f>
      </x:c>
      <x:c r="E303" t="str">
        <x:f>IF(E$1="","",IFERROR(INDEX('包络曲线数据'!$B$2:$U$742,ROW()-1,MATCH(E$1,'包络曲线数据'!$B$1:$U$1,0)),""))</x:f>
      </x:c>
      <x:c r="F303" t="str">
        <x:f>IF(F$1="","",IFERROR(INDEX('包络曲线数据'!$B$2:$U$742,ROW()-1,MATCH(F$1,'包络曲线数据'!$B$1:$U$1,0)),""))</x:f>
      </x:c>
      <x:c r="G303" t="str">
        <x:f>IF(G$1="","",IFERROR(INDEX('包络曲线数据'!$B$2:$U$742,ROW()-1,MATCH(G$1,'包络曲线数据'!$B$1:$U$1,0)),""))</x:f>
      </x:c>
    </x:row>
    <x:row r="304">
      <x:c r="A304" t="n">
        <x:v>30.200000000000003</x:v>
      </x:c>
      <x:c r="B304" t="str">
        <x:f>IF(B$1="","",IFERROR(INDEX('包络曲线数据'!$B$2:$U$742,ROW()-1,MATCH(B$1,'包络曲线数据'!$B$1:$U$1,0)),""))</x:f>
      </x:c>
      <x:c r="C304" t="n">
        <x:f>IF(C$1="","",IFERROR(INDEX('包络曲线数据'!$B$2:$U$742,ROW()-1,MATCH(C$1,'包络曲线数据'!$B$1:$U$1,0)),""))</x:f>
        <x:v>67.81527812836552</x:v>
      </x:c>
      <x:c r="D304" t="str">
        <x:f>IF(D$1="","",IFERROR(INDEX('包络曲线数据'!$B$2:$U$742,ROW()-1,MATCH(D$1,'包络曲线数据'!$B$1:$U$1,0)),""))</x:f>
      </x:c>
      <x:c r="E304" t="str">
        <x:f>IF(E$1="","",IFERROR(INDEX('包络曲线数据'!$B$2:$U$742,ROW()-1,MATCH(E$1,'包络曲线数据'!$B$1:$U$1,0)),""))</x:f>
      </x:c>
      <x:c r="F304" t="str">
        <x:f>IF(F$1="","",IFERROR(INDEX('包络曲线数据'!$B$2:$U$742,ROW()-1,MATCH(F$1,'包络曲线数据'!$B$1:$U$1,0)),""))</x:f>
      </x:c>
      <x:c r="G304" t="str">
        <x:f>IF(G$1="","",IFERROR(INDEX('包络曲线数据'!$B$2:$U$742,ROW()-1,MATCH(G$1,'包络曲线数据'!$B$1:$U$1,0)),""))</x:f>
      </x:c>
    </x:row>
    <x:row r="305">
      <x:c r="A305" t="n">
        <x:v>30.3</x:v>
      </x:c>
      <x:c r="B305" t="str">
        <x:f>IF(B$1="","",IFERROR(INDEX('包络曲线数据'!$B$2:$U$742,ROW()-1,MATCH(B$1,'包络曲线数据'!$B$1:$U$1,0)),""))</x:f>
      </x:c>
      <x:c r="C305" t="n">
        <x:f>IF(C$1="","",IFERROR(INDEX('包络曲线数据'!$B$2:$U$742,ROW()-1,MATCH(C$1,'包络曲线数据'!$B$1:$U$1,0)),""))</x:f>
        <x:v>68.209607876728</x:v>
      </x:c>
      <x:c r="D305" t="str">
        <x:f>IF(D$1="","",IFERROR(INDEX('包络曲线数据'!$B$2:$U$742,ROW()-1,MATCH(D$1,'包络曲线数据'!$B$1:$U$1,0)),""))</x:f>
      </x:c>
      <x:c r="E305" t="str">
        <x:f>IF(E$1="","",IFERROR(INDEX('包络曲线数据'!$B$2:$U$742,ROW()-1,MATCH(E$1,'包络曲线数据'!$B$1:$U$1,0)),""))</x:f>
      </x:c>
      <x:c r="F305" t="str">
        <x:f>IF(F$1="","",IFERROR(INDEX('包络曲线数据'!$B$2:$U$742,ROW()-1,MATCH(F$1,'包络曲线数据'!$B$1:$U$1,0)),""))</x:f>
      </x:c>
      <x:c r="G305" t="str">
        <x:f>IF(G$1="","",IFERROR(INDEX('包络曲线数据'!$B$2:$U$742,ROW()-1,MATCH(G$1,'包络曲线数据'!$B$1:$U$1,0)),""))</x:f>
      </x:c>
    </x:row>
    <x:row r="306">
      <x:c r="A306" t="n">
        <x:v>30.400000000000002</x:v>
      </x:c>
      <x:c r="B306" t="str">
        <x:f>IF(B$1="","",IFERROR(INDEX('包络曲线数据'!$B$2:$U$742,ROW()-1,MATCH(B$1,'包络曲线数据'!$B$1:$U$1,0)),""))</x:f>
      </x:c>
      <x:c r="C306" t="n">
        <x:f>IF(C$1="","",IFERROR(INDEX('包络曲线数据'!$B$2:$U$742,ROW()-1,MATCH(C$1,'包络曲线数据'!$B$1:$U$1,0)),""))</x:f>
        <x:v>76.3080781433806</x:v>
      </x:c>
      <x:c r="D306" t="str">
        <x:f>IF(D$1="","",IFERROR(INDEX('包络曲线数据'!$B$2:$U$742,ROW()-1,MATCH(D$1,'包络曲线数据'!$B$1:$U$1,0)),""))</x:f>
      </x:c>
      <x:c r="E306" t="str">
        <x:f>IF(E$1="","",IFERROR(INDEX('包络曲线数据'!$B$2:$U$742,ROW()-1,MATCH(E$1,'包络曲线数据'!$B$1:$U$1,0)),""))</x:f>
      </x:c>
      <x:c r="F306" t="str">
        <x:f>IF(F$1="","",IFERROR(INDEX('包络曲线数据'!$B$2:$U$742,ROW()-1,MATCH(F$1,'包络曲线数据'!$B$1:$U$1,0)),""))</x:f>
      </x:c>
      <x:c r="G306" t="str">
        <x:f>IF(G$1="","",IFERROR(INDEX('包络曲线数据'!$B$2:$U$742,ROW()-1,MATCH(G$1,'包络曲线数据'!$B$1:$U$1,0)),""))</x:f>
      </x:c>
    </x:row>
    <x:row r="307">
      <x:c r="A307" t="n">
        <x:v>30.5</x:v>
      </x:c>
      <x:c r="B307" t="str">
        <x:f>IF(B$1="","",IFERROR(INDEX('包络曲线数据'!$B$2:$U$742,ROW()-1,MATCH(B$1,'包络曲线数据'!$B$1:$U$1,0)),""))</x:f>
      </x:c>
      <x:c r="C307" t="n">
        <x:f>IF(C$1="","",IFERROR(INDEX('包络曲线数据'!$B$2:$U$742,ROW()-1,MATCH(C$1,'包络曲线数据'!$B$1:$U$1,0)),""))</x:f>
        <x:v>76.64162039752486</x:v>
      </x:c>
      <x:c r="D307" t="str">
        <x:f>IF(D$1="","",IFERROR(INDEX('包络曲线数据'!$B$2:$U$742,ROW()-1,MATCH(D$1,'包络曲线数据'!$B$1:$U$1,0)),""))</x:f>
      </x:c>
      <x:c r="E307" t="str">
        <x:f>IF(E$1="","",IFERROR(INDEX('包络曲线数据'!$B$2:$U$742,ROW()-1,MATCH(E$1,'包络曲线数据'!$B$1:$U$1,0)),""))</x:f>
      </x:c>
      <x:c r="F307" t="str">
        <x:f>IF(F$1="","",IFERROR(INDEX('包络曲线数据'!$B$2:$U$742,ROW()-1,MATCH(F$1,'包络曲线数据'!$B$1:$U$1,0)),""))</x:f>
      </x:c>
      <x:c r="G307" t="str">
        <x:f>IF(G$1="","",IFERROR(INDEX('包络曲线数据'!$B$2:$U$742,ROW()-1,MATCH(G$1,'包络曲线数据'!$B$1:$U$1,0)),""))</x:f>
      </x:c>
    </x:row>
    <x:row r="308">
      <x:c r="A308" t="n">
        <x:v>30.6</x:v>
      </x:c>
      <x:c r="B308" t="str">
        <x:f>IF(B$1="","",IFERROR(INDEX('包络曲线数据'!$B$2:$U$742,ROW()-1,MATCH(B$1,'包络曲线数据'!$B$1:$U$1,0)),""))</x:f>
      </x:c>
      <x:c r="C308" t="n">
        <x:f>IF(C$1="","",IFERROR(INDEX('包络曲线数据'!$B$2:$U$742,ROW()-1,MATCH(C$1,'包络曲线数据'!$B$1:$U$1,0)),""))</x:f>
        <x:v>75.18825710966091</x:v>
      </x:c>
      <x:c r="D308" t="str">
        <x:f>IF(D$1="","",IFERROR(INDEX('包络曲线数据'!$B$2:$U$742,ROW()-1,MATCH(D$1,'包络曲线数据'!$B$1:$U$1,0)),""))</x:f>
      </x:c>
      <x:c r="E308" t="str">
        <x:f>IF(E$1="","",IFERROR(INDEX('包络曲线数据'!$B$2:$U$742,ROW()-1,MATCH(E$1,'包络曲线数据'!$B$1:$U$1,0)),""))</x:f>
      </x:c>
      <x:c r="F308" t="str">
        <x:f>IF(F$1="","",IFERROR(INDEX('包络曲线数据'!$B$2:$U$742,ROW()-1,MATCH(F$1,'包络曲线数据'!$B$1:$U$1,0)),""))</x:f>
      </x:c>
      <x:c r="G308" t="str">
        <x:f>IF(G$1="","",IFERROR(INDEX('包络曲线数据'!$B$2:$U$742,ROW()-1,MATCH(G$1,'包络曲线数据'!$B$1:$U$1,0)),""))</x:f>
      </x:c>
    </x:row>
    <x:row r="309">
      <x:c r="A309" t="n">
        <x:v>30.700000000000003</x:v>
      </x:c>
      <x:c r="B309" t="str">
        <x:f>IF(B$1="","",IFERROR(INDEX('包络曲线数据'!$B$2:$U$742,ROW()-1,MATCH(B$1,'包络曲线数据'!$B$1:$U$1,0)),""))</x:f>
      </x:c>
      <x:c r="C309" t="n">
        <x:f>IF(C$1="","",IFERROR(INDEX('包络曲线数据'!$B$2:$U$742,ROW()-1,MATCH(C$1,'包络曲线数据'!$B$1:$U$1,0)),""))</x:f>
        <x:v>63.326774786683984</x:v>
      </x:c>
      <x:c r="D309" t="str">
        <x:f>IF(D$1="","",IFERROR(INDEX('包络曲线数据'!$B$2:$U$742,ROW()-1,MATCH(D$1,'包络曲线数据'!$B$1:$U$1,0)),""))</x:f>
      </x:c>
      <x:c r="E309" t="str">
        <x:f>IF(E$1="","",IFERROR(INDEX('包络曲线数据'!$B$2:$U$742,ROW()-1,MATCH(E$1,'包络曲线数据'!$B$1:$U$1,0)),""))</x:f>
      </x:c>
      <x:c r="F309" t="str">
        <x:f>IF(F$1="","",IFERROR(INDEX('包络曲线数据'!$B$2:$U$742,ROW()-1,MATCH(F$1,'包络曲线数据'!$B$1:$U$1,0)),""))</x:f>
      </x:c>
      <x:c r="G309" t="str">
        <x:f>IF(G$1="","",IFERROR(INDEX('包络曲线数据'!$B$2:$U$742,ROW()-1,MATCH(G$1,'包络曲线数据'!$B$1:$U$1,0)),""))</x:f>
      </x:c>
    </x:row>
    <x:row r="310">
      <x:c r="A310" t="n">
        <x:v>30.8</x:v>
      </x:c>
      <x:c r="B310" t="str">
        <x:f>IF(B$1="","",IFERROR(INDEX('包络曲线数据'!$B$2:$U$742,ROW()-1,MATCH(B$1,'包络曲线数据'!$B$1:$U$1,0)),""))</x:f>
      </x:c>
      <x:c r="C310" t="n">
        <x:f>IF(C$1="","",IFERROR(INDEX('包络曲线数据'!$B$2:$U$742,ROW()-1,MATCH(C$1,'包络曲线数据'!$B$1:$U$1,0)),""))</x:f>
        <x:v>70.76448587354932</x:v>
      </x:c>
      <x:c r="D310" t="str">
        <x:f>IF(D$1="","",IFERROR(INDEX('包络曲线数据'!$B$2:$U$742,ROW()-1,MATCH(D$1,'包络曲线数据'!$B$1:$U$1,0)),""))</x:f>
      </x:c>
      <x:c r="E310" t="str">
        <x:f>IF(E$1="","",IFERROR(INDEX('包络曲线数据'!$B$2:$U$742,ROW()-1,MATCH(E$1,'包络曲线数据'!$B$1:$U$1,0)),""))</x:f>
      </x:c>
      <x:c r="F310" t="str">
        <x:f>IF(F$1="","",IFERROR(INDEX('包络曲线数据'!$B$2:$U$742,ROW()-1,MATCH(F$1,'包络曲线数据'!$B$1:$U$1,0)),""))</x:f>
      </x:c>
      <x:c r="G310" t="str">
        <x:f>IF(G$1="","",IFERROR(INDEX('包络曲线数据'!$B$2:$U$742,ROW()-1,MATCH(G$1,'包络曲线数据'!$B$1:$U$1,0)),""))</x:f>
      </x:c>
    </x:row>
    <x:row r="311">
      <x:c r="A311" t="n">
        <x:v>30.900000000000002</x:v>
      </x:c>
      <x:c r="B311" t="str">
        <x:f>IF(B$1="","",IFERROR(INDEX('包络曲线数据'!$B$2:$U$742,ROW()-1,MATCH(B$1,'包络曲线数据'!$B$1:$U$1,0)),""))</x:f>
      </x:c>
      <x:c r="C311" t="n">
        <x:f>IF(C$1="","",IFERROR(INDEX('包络曲线数据'!$B$2:$U$742,ROW()-1,MATCH(C$1,'包络曲线数据'!$B$1:$U$1,0)),""))</x:f>
        <x:v>74.1863902854125</x:v>
      </x:c>
      <x:c r="D311" t="str">
        <x:f>IF(D$1="","",IFERROR(INDEX('包络曲线数据'!$B$2:$U$742,ROW()-1,MATCH(D$1,'包络曲线数据'!$B$1:$U$1,0)),""))</x:f>
      </x:c>
      <x:c r="E311" t="str">
        <x:f>IF(E$1="","",IFERROR(INDEX('包络曲线数据'!$B$2:$U$742,ROW()-1,MATCH(E$1,'包络曲线数据'!$B$1:$U$1,0)),""))</x:f>
      </x:c>
      <x:c r="F311" t="str">
        <x:f>IF(F$1="","",IFERROR(INDEX('包络曲线数据'!$B$2:$U$742,ROW()-1,MATCH(F$1,'包络曲线数据'!$B$1:$U$1,0)),""))</x:f>
      </x:c>
      <x:c r="G311" t="str">
        <x:f>IF(G$1="","",IFERROR(INDEX('包络曲线数据'!$B$2:$U$742,ROW()-1,MATCH(G$1,'包络曲线数据'!$B$1:$U$1,0)),""))</x:f>
      </x:c>
    </x:row>
    <x:row r="312">
      <x:c r="A312" t="n">
        <x:v>31</x:v>
      </x:c>
      <x:c r="B312" t="str">
        <x:f>IF(B$1="","",IFERROR(INDEX('包络曲线数据'!$B$2:$U$742,ROW()-1,MATCH(B$1,'包络曲线数据'!$B$1:$U$1,0)),""))</x:f>
      </x:c>
      <x:c r="C312" t="n">
        <x:f>IF(C$1="","",IFERROR(INDEX('包络曲线数据'!$B$2:$U$742,ROW()-1,MATCH(C$1,'包络曲线数据'!$B$1:$U$1,0)),""))</x:f>
        <x:v>74.1863902854125</x:v>
      </x:c>
      <x:c r="D312" t="str">
        <x:f>IF(D$1="","",IFERROR(INDEX('包络曲线数据'!$B$2:$U$742,ROW()-1,MATCH(D$1,'包络曲线数据'!$B$1:$U$1,0)),""))</x:f>
      </x:c>
      <x:c r="E312" t="str">
        <x:f>IF(E$1="","",IFERROR(INDEX('包络曲线数据'!$B$2:$U$742,ROW()-1,MATCH(E$1,'包络曲线数据'!$B$1:$U$1,0)),""))</x:f>
      </x:c>
      <x:c r="F312" t="str">
        <x:f>IF(F$1="","",IFERROR(INDEX('包络曲线数据'!$B$2:$U$742,ROW()-1,MATCH(F$1,'包络曲线数据'!$B$1:$U$1,0)),""))</x:f>
      </x:c>
      <x:c r="G312" t="str">
        <x:f>IF(G$1="","",IFERROR(INDEX('包络曲线数据'!$B$2:$U$742,ROW()-1,MATCH(G$1,'包络曲线数据'!$B$1:$U$1,0)),""))</x:f>
      </x:c>
    </x:row>
    <x:row r="313">
      <x:c r="A313" t="n">
        <x:v>31.1</x:v>
      </x:c>
      <x:c r="B313" t="str">
        <x:f>IF(B$1="","",IFERROR(INDEX('包络曲线数据'!$B$2:$U$742,ROW()-1,MATCH(B$1,'包络曲线数据'!$B$1:$U$1,0)),""))</x:f>
      </x:c>
      <x:c r="C313" t="n">
        <x:f>IF(C$1="","",IFERROR(INDEX('包络曲线数据'!$B$2:$U$742,ROW()-1,MATCH(C$1,'包络曲线数据'!$B$1:$U$1,0)),""))</x:f>
        <x:v>74.55333681824041</x:v>
      </x:c>
      <x:c r="D313" t="str">
        <x:f>IF(D$1="","",IFERROR(INDEX('包络曲线数据'!$B$2:$U$742,ROW()-1,MATCH(D$1,'包络曲线数据'!$B$1:$U$1,0)),""))</x:f>
      </x:c>
      <x:c r="E313" t="str">
        <x:f>IF(E$1="","",IFERROR(INDEX('包络曲线数据'!$B$2:$U$742,ROW()-1,MATCH(E$1,'包络曲线数据'!$B$1:$U$1,0)),""))</x:f>
      </x:c>
      <x:c r="F313" t="str">
        <x:f>IF(F$1="","",IFERROR(INDEX('包络曲线数据'!$B$2:$U$742,ROW()-1,MATCH(F$1,'包络曲线数据'!$B$1:$U$1,0)),""))</x:f>
      </x:c>
      <x:c r="G313" t="str">
        <x:f>IF(G$1="","",IFERROR(INDEX('包络曲线数据'!$B$2:$U$742,ROW()-1,MATCH(G$1,'包络曲线数据'!$B$1:$U$1,0)),""))</x:f>
      </x:c>
    </x:row>
    <x:row r="314">
      <x:c r="A314" t="n">
        <x:v>31.200000000000003</x:v>
      </x:c>
      <x:c r="B314" t="str">
        <x:f>IF(B$1="","",IFERROR(INDEX('包络曲线数据'!$B$2:$U$742,ROW()-1,MATCH(B$1,'包络曲线数据'!$B$1:$U$1,0)),""))</x:f>
      </x:c>
      <x:c r="C314" t="n">
        <x:f>IF(C$1="","",IFERROR(INDEX('包络曲线数据'!$B$2:$U$742,ROW()-1,MATCH(C$1,'包络曲线数据'!$B$1:$U$1,0)),""))</x:f>
        <x:v>76.04056156534286</x:v>
      </x:c>
      <x:c r="D314" t="str">
        <x:f>IF(D$1="","",IFERROR(INDEX('包络曲线数据'!$B$2:$U$742,ROW()-1,MATCH(D$1,'包络曲线数据'!$B$1:$U$1,0)),""))</x:f>
      </x:c>
      <x:c r="E314" t="str">
        <x:f>IF(E$1="","",IFERROR(INDEX('包络曲线数据'!$B$2:$U$742,ROW()-1,MATCH(E$1,'包络曲线数据'!$B$1:$U$1,0)),""))</x:f>
      </x:c>
      <x:c r="F314" t="str">
        <x:f>IF(F$1="","",IFERROR(INDEX('包络曲线数据'!$B$2:$U$742,ROW()-1,MATCH(F$1,'包络曲线数据'!$B$1:$U$1,0)),""))</x:f>
      </x:c>
      <x:c r="G314" t="str">
        <x:f>IF(G$1="","",IFERROR(INDEX('包络曲线数据'!$B$2:$U$742,ROW()-1,MATCH(G$1,'包络曲线数据'!$B$1:$U$1,0)),""))</x:f>
      </x:c>
    </x:row>
    <x:row r="315">
      <x:c r="A315" t="n">
        <x:v>31.3</x:v>
      </x:c>
      <x:c r="B315" t="str">
        <x:f>IF(B$1="","",IFERROR(INDEX('包络曲线数据'!$B$2:$U$742,ROW()-1,MATCH(B$1,'包络曲线数据'!$B$1:$U$1,0)),""))</x:f>
      </x:c>
      <x:c r="C315" t="n">
        <x:f>IF(C$1="","",IFERROR(INDEX('包络曲线数据'!$B$2:$U$742,ROW()-1,MATCH(C$1,'包络曲线数据'!$B$1:$U$1,0)),""))</x:f>
        <x:v>76.04056156534286</x:v>
      </x:c>
      <x:c r="D315" t="str">
        <x:f>IF(D$1="","",IFERROR(INDEX('包络曲线数据'!$B$2:$U$742,ROW()-1,MATCH(D$1,'包络曲线数据'!$B$1:$U$1,0)),""))</x:f>
      </x:c>
      <x:c r="E315" t="str">
        <x:f>IF(E$1="","",IFERROR(INDEX('包络曲线数据'!$B$2:$U$742,ROW()-1,MATCH(E$1,'包络曲线数据'!$B$1:$U$1,0)),""))</x:f>
      </x:c>
      <x:c r="F315" t="str">
        <x:f>IF(F$1="","",IFERROR(INDEX('包络曲线数据'!$B$2:$U$742,ROW()-1,MATCH(F$1,'包络曲线数据'!$B$1:$U$1,0)),""))</x:f>
      </x:c>
      <x:c r="G315" t="str">
        <x:f>IF(G$1="","",IFERROR(INDEX('包络曲线数据'!$B$2:$U$742,ROW()-1,MATCH(G$1,'包络曲线数据'!$B$1:$U$1,0)),""))</x:f>
      </x:c>
    </x:row>
    <x:row r="316">
      <x:c r="A316" t="n">
        <x:v>31.400000000000002</x:v>
      </x:c>
      <x:c r="B316" t="str">
        <x:f>IF(B$1="","",IFERROR(INDEX('包络曲线数据'!$B$2:$U$742,ROW()-1,MATCH(B$1,'包络曲线数据'!$B$1:$U$1,0)),""))</x:f>
      </x:c>
      <x:c r="C316" t="n">
        <x:f>IF(C$1="","",IFERROR(INDEX('包络曲线数据'!$B$2:$U$742,ROW()-1,MATCH(C$1,'包络曲线数据'!$B$1:$U$1,0)),""))</x:f>
        <x:v>75.25576535460496</x:v>
      </x:c>
      <x:c r="D316" t="str">
        <x:f>IF(D$1="","",IFERROR(INDEX('包络曲线数据'!$B$2:$U$742,ROW()-1,MATCH(D$1,'包络曲线数据'!$B$1:$U$1,0)),""))</x:f>
      </x:c>
      <x:c r="E316" t="str">
        <x:f>IF(E$1="","",IFERROR(INDEX('包络曲线数据'!$B$2:$U$742,ROW()-1,MATCH(E$1,'包络曲线数据'!$B$1:$U$1,0)),""))</x:f>
      </x:c>
      <x:c r="F316" t="str">
        <x:f>IF(F$1="","",IFERROR(INDEX('包络曲线数据'!$B$2:$U$742,ROW()-1,MATCH(F$1,'包络曲线数据'!$B$1:$U$1,0)),""))</x:f>
      </x:c>
      <x:c r="G316" t="str">
        <x:f>IF(G$1="","",IFERROR(INDEX('包络曲线数据'!$B$2:$U$742,ROW()-1,MATCH(G$1,'包络曲线数据'!$B$1:$U$1,0)),""))</x:f>
      </x:c>
    </x:row>
    <x:row r="317">
      <x:c r="A317" t="n">
        <x:v>31.5</x:v>
      </x:c>
      <x:c r="B317" t="str">
        <x:f>IF(B$1="","",IFERROR(INDEX('包络曲线数据'!$B$2:$U$742,ROW()-1,MATCH(B$1,'包络曲线数据'!$B$1:$U$1,0)),""))</x:f>
      </x:c>
      <x:c r="C317" t="n">
        <x:f>IF(C$1="","",IFERROR(INDEX('包络曲线数据'!$B$2:$U$742,ROW()-1,MATCH(C$1,'包络曲线数据'!$B$1:$U$1,0)),""))</x:f>
        <x:v>76.03909326602722</x:v>
      </x:c>
      <x:c r="D317" t="str">
        <x:f>IF(D$1="","",IFERROR(INDEX('包络曲线数据'!$B$2:$U$742,ROW()-1,MATCH(D$1,'包络曲线数据'!$B$1:$U$1,0)),""))</x:f>
      </x:c>
      <x:c r="E317" t="str">
        <x:f>IF(E$1="","",IFERROR(INDEX('包络曲线数据'!$B$2:$U$742,ROW()-1,MATCH(E$1,'包络曲线数据'!$B$1:$U$1,0)),""))</x:f>
      </x:c>
      <x:c r="F317" t="str">
        <x:f>IF(F$1="","",IFERROR(INDEX('包络曲线数据'!$B$2:$U$742,ROW()-1,MATCH(F$1,'包络曲线数据'!$B$1:$U$1,0)),""))</x:f>
      </x:c>
      <x:c r="G317" t="str">
        <x:f>IF(G$1="","",IFERROR(INDEX('包络曲线数据'!$B$2:$U$742,ROW()-1,MATCH(G$1,'包络曲线数据'!$B$1:$U$1,0)),""))</x:f>
      </x:c>
    </x:row>
    <x:row r="318">
      <x:c r="A318" t="n">
        <x:v>31.6</x:v>
      </x:c>
      <x:c r="B318" t="str">
        <x:f>IF(B$1="","",IFERROR(INDEX('包络曲线数据'!$B$2:$U$742,ROW()-1,MATCH(B$1,'包络曲线数据'!$B$1:$U$1,0)),""))</x:f>
      </x:c>
      <x:c r="C318" t="n">
        <x:f>IF(C$1="","",IFERROR(INDEX('包络曲线数据'!$B$2:$U$742,ROW()-1,MATCH(C$1,'包络曲线数据'!$B$1:$U$1,0)),""))</x:f>
        <x:v>76.46585167242624</x:v>
      </x:c>
      <x:c r="D318" t="str">
        <x:f>IF(D$1="","",IFERROR(INDEX('包络曲线数据'!$B$2:$U$742,ROW()-1,MATCH(D$1,'包络曲线数据'!$B$1:$U$1,0)),""))</x:f>
      </x:c>
      <x:c r="E318" t="str">
        <x:f>IF(E$1="","",IFERROR(INDEX('包络曲线数据'!$B$2:$U$742,ROW()-1,MATCH(E$1,'包络曲线数据'!$B$1:$U$1,0)),""))</x:f>
      </x:c>
      <x:c r="F318" t="str">
        <x:f>IF(F$1="","",IFERROR(INDEX('包络曲线数据'!$B$2:$U$742,ROW()-1,MATCH(F$1,'包络曲线数据'!$B$1:$U$1,0)),""))</x:f>
      </x:c>
      <x:c r="G318" t="str">
        <x:f>IF(G$1="","",IFERROR(INDEX('包络曲线数据'!$B$2:$U$742,ROW()-1,MATCH(G$1,'包络曲线数据'!$B$1:$U$1,0)),""))</x:f>
      </x:c>
    </x:row>
    <x:row r="319">
      <x:c r="A319" t="n">
        <x:v>31.700000000000003</x:v>
      </x:c>
      <x:c r="B319" t="str">
        <x:f>IF(B$1="","",IFERROR(INDEX('包络曲线数据'!$B$2:$U$742,ROW()-1,MATCH(B$1,'包络曲线数据'!$B$1:$U$1,0)),""))</x:f>
      </x:c>
      <x:c r="C319" t="n">
        <x:f>IF(C$1="","",IFERROR(INDEX('包络曲线数据'!$B$2:$U$742,ROW()-1,MATCH(C$1,'包络曲线数据'!$B$1:$U$1,0)),""))</x:f>
        <x:v>76.46585167242611</x:v>
      </x:c>
      <x:c r="D319" t="str">
        <x:f>IF(D$1="","",IFERROR(INDEX('包络曲线数据'!$B$2:$U$742,ROW()-1,MATCH(D$1,'包络曲线数据'!$B$1:$U$1,0)),""))</x:f>
      </x:c>
      <x:c r="E319" t="str">
        <x:f>IF(E$1="","",IFERROR(INDEX('包络曲线数据'!$B$2:$U$742,ROW()-1,MATCH(E$1,'包络曲线数据'!$B$1:$U$1,0)),""))</x:f>
      </x:c>
      <x:c r="F319" t="str">
        <x:f>IF(F$1="","",IFERROR(INDEX('包络曲线数据'!$B$2:$U$742,ROW()-1,MATCH(F$1,'包络曲线数据'!$B$1:$U$1,0)),""))</x:f>
      </x:c>
      <x:c r="G319" t="str">
        <x:f>IF(G$1="","",IFERROR(INDEX('包络曲线数据'!$B$2:$U$742,ROW()-1,MATCH(G$1,'包络曲线数据'!$B$1:$U$1,0)),""))</x:f>
      </x:c>
    </x:row>
    <x:row r="320">
      <x:c r="A320" t="n">
        <x:v>31.8</x:v>
      </x:c>
      <x:c r="B320" t="str">
        <x:f>IF(B$1="","",IFERROR(INDEX('包络曲线数据'!$B$2:$U$742,ROW()-1,MATCH(B$1,'包络曲线数据'!$B$1:$U$1,0)),""))</x:f>
      </x:c>
      <x:c r="C320" t="n">
        <x:f>IF(C$1="","",IFERROR(INDEX('包络曲线数据'!$B$2:$U$742,ROW()-1,MATCH(C$1,'包络曲线数据'!$B$1:$U$1,0)),""))</x:f>
        <x:v>73.54324127213087</x:v>
      </x:c>
      <x:c r="D320" t="str">
        <x:f>IF(D$1="","",IFERROR(INDEX('包络曲线数据'!$B$2:$U$742,ROW()-1,MATCH(D$1,'包络曲线数据'!$B$1:$U$1,0)),""))</x:f>
      </x:c>
      <x:c r="E320" t="str">
        <x:f>IF(E$1="","",IFERROR(INDEX('包络曲线数据'!$B$2:$U$742,ROW()-1,MATCH(E$1,'包络曲线数据'!$B$1:$U$1,0)),""))</x:f>
      </x:c>
      <x:c r="F320" t="str">
        <x:f>IF(F$1="","",IFERROR(INDEX('包络曲线数据'!$B$2:$U$742,ROW()-1,MATCH(F$1,'包络曲线数据'!$B$1:$U$1,0)),""))</x:f>
      </x:c>
      <x:c r="G320" t="str">
        <x:f>IF(G$1="","",IFERROR(INDEX('包络曲线数据'!$B$2:$U$742,ROW()-1,MATCH(G$1,'包络曲线数据'!$B$1:$U$1,0)),""))</x:f>
      </x:c>
    </x:row>
    <x:row r="321">
      <x:c r="A321" t="n">
        <x:v>31.900000000000002</x:v>
      </x:c>
      <x:c r="B321" t="str">
        <x:f>IF(B$1="","",IFERROR(INDEX('包络曲线数据'!$B$2:$U$742,ROW()-1,MATCH(B$1,'包络曲线数据'!$B$1:$U$1,0)),""))</x:f>
      </x:c>
      <x:c r="C321" t="n">
        <x:f>IF(C$1="","",IFERROR(INDEX('包络曲线数据'!$B$2:$U$742,ROW()-1,MATCH(C$1,'包络曲线数据'!$B$1:$U$1,0)),""))</x:f>
        <x:v>84.6797785160713</x:v>
      </x:c>
      <x:c r="D321" t="str">
        <x:f>IF(D$1="","",IFERROR(INDEX('包络曲线数据'!$B$2:$U$742,ROW()-1,MATCH(D$1,'包络曲线数据'!$B$1:$U$1,0)),""))</x:f>
      </x:c>
      <x:c r="E321" t="str">
        <x:f>IF(E$1="","",IFERROR(INDEX('包络曲线数据'!$B$2:$U$742,ROW()-1,MATCH(E$1,'包络曲线数据'!$B$1:$U$1,0)),""))</x:f>
      </x:c>
      <x:c r="F321" t="str">
        <x:f>IF(F$1="","",IFERROR(INDEX('包络曲线数据'!$B$2:$U$742,ROW()-1,MATCH(F$1,'包络曲线数据'!$B$1:$U$1,0)),""))</x:f>
      </x:c>
      <x:c r="G321" t="str">
        <x:f>IF(G$1="","",IFERROR(INDEX('包络曲线数据'!$B$2:$U$742,ROW()-1,MATCH(G$1,'包络曲线数据'!$B$1:$U$1,0)),""))</x:f>
      </x:c>
    </x:row>
    <x:row r="322">
      <x:c r="A322" t="n">
        <x:v>32</x:v>
      </x:c>
      <x:c r="B322" t="str">
        <x:f>IF(B$1="","",IFERROR(INDEX('包络曲线数据'!$B$2:$U$742,ROW()-1,MATCH(B$1,'包络曲线数据'!$B$1:$U$1,0)),""))</x:f>
      </x:c>
      <x:c r="C322" t="n">
        <x:f>IF(C$1="","",IFERROR(INDEX('包络曲线数据'!$B$2:$U$742,ROW()-1,MATCH(C$1,'包络曲线数据'!$B$1:$U$1,0)),""))</x:f>
        <x:v>84.6797785160713</x:v>
      </x:c>
      <x:c r="D322" t="str">
        <x:f>IF(D$1="","",IFERROR(INDEX('包络曲线数据'!$B$2:$U$742,ROW()-1,MATCH(D$1,'包络曲线数据'!$B$1:$U$1,0)),""))</x:f>
      </x:c>
      <x:c r="E322" t="str">
        <x:f>IF(E$1="","",IFERROR(INDEX('包络曲线数据'!$B$2:$U$742,ROW()-1,MATCH(E$1,'包络曲线数据'!$B$1:$U$1,0)),""))</x:f>
      </x:c>
      <x:c r="F322" t="str">
        <x:f>IF(F$1="","",IFERROR(INDEX('包络曲线数据'!$B$2:$U$742,ROW()-1,MATCH(F$1,'包络曲线数据'!$B$1:$U$1,0)),""))</x:f>
      </x:c>
      <x:c r="G322" t="str">
        <x:f>IF(G$1="","",IFERROR(INDEX('包络曲线数据'!$B$2:$U$742,ROW()-1,MATCH(G$1,'包络曲线数据'!$B$1:$U$1,0)),""))</x:f>
      </x:c>
    </x:row>
    <x:row r="323">
      <x:c r="A323" t="n">
        <x:v>32.1</x:v>
      </x:c>
      <x:c r="B323" t="str">
        <x:f>IF(B$1="","",IFERROR(INDEX('包络曲线数据'!$B$2:$U$742,ROW()-1,MATCH(B$1,'包络曲线数据'!$B$1:$U$1,0)),""))</x:f>
      </x:c>
      <x:c r="C323" t="n">
        <x:f>IF(C$1="","",IFERROR(INDEX('包络曲线数据'!$B$2:$U$742,ROW()-1,MATCH(C$1,'包络曲线数据'!$B$1:$U$1,0)),""))</x:f>
        <x:v>79.93804099546634</x:v>
      </x:c>
      <x:c r="D323" t="str">
        <x:f>IF(D$1="","",IFERROR(INDEX('包络曲线数据'!$B$2:$U$742,ROW()-1,MATCH(D$1,'包络曲线数据'!$B$1:$U$1,0)),""))</x:f>
      </x:c>
      <x:c r="E323" t="str">
        <x:f>IF(E$1="","",IFERROR(INDEX('包络曲线数据'!$B$2:$U$742,ROW()-1,MATCH(E$1,'包络曲线数据'!$B$1:$U$1,0)),""))</x:f>
      </x:c>
      <x:c r="F323" t="str">
        <x:f>IF(F$1="","",IFERROR(INDEX('包络曲线数据'!$B$2:$U$742,ROW()-1,MATCH(F$1,'包络曲线数据'!$B$1:$U$1,0)),""))</x:f>
      </x:c>
      <x:c r="G323" t="str">
        <x:f>IF(G$1="","",IFERROR(INDEX('包络曲线数据'!$B$2:$U$742,ROW()-1,MATCH(G$1,'包络曲线数据'!$B$1:$U$1,0)),""))</x:f>
      </x:c>
    </x:row>
    <x:row r="324">
      <x:c r="A324" t="n">
        <x:v>32.2</x:v>
      </x:c>
      <x:c r="B324" t="str">
        <x:f>IF(B$1="","",IFERROR(INDEX('包络曲线数据'!$B$2:$U$742,ROW()-1,MATCH(B$1,'包络曲线数据'!$B$1:$U$1,0)),""))</x:f>
      </x:c>
      <x:c r="C324" t="n">
        <x:f>IF(C$1="","",IFERROR(INDEX('包络曲线数据'!$B$2:$U$742,ROW()-1,MATCH(C$1,'包络曲线数据'!$B$1:$U$1,0)),""))</x:f>
        <x:v>71.41779970344592</x:v>
      </x:c>
      <x:c r="D324" t="str">
        <x:f>IF(D$1="","",IFERROR(INDEX('包络曲线数据'!$B$2:$U$742,ROW()-1,MATCH(D$1,'包络曲线数据'!$B$1:$U$1,0)),""))</x:f>
      </x:c>
      <x:c r="E324" t="str">
        <x:f>IF(E$1="","",IFERROR(INDEX('包络曲线数据'!$B$2:$U$742,ROW()-1,MATCH(E$1,'包络曲线数据'!$B$1:$U$1,0)),""))</x:f>
      </x:c>
      <x:c r="F324" t="str">
        <x:f>IF(F$1="","",IFERROR(INDEX('包络曲线数据'!$B$2:$U$742,ROW()-1,MATCH(F$1,'包络曲线数据'!$B$1:$U$1,0)),""))</x:f>
      </x:c>
      <x:c r="G324" t="str">
        <x:f>IF(G$1="","",IFERROR(INDEX('包络曲线数据'!$B$2:$U$742,ROW()-1,MATCH(G$1,'包络曲线数据'!$B$1:$U$1,0)),""))</x:f>
      </x:c>
    </x:row>
    <x:row r="325">
      <x:c r="A325" t="n">
        <x:v>32.300000000000004</x:v>
      </x:c>
      <x:c r="B325" t="str">
        <x:f>IF(B$1="","",IFERROR(INDEX('包络曲线数据'!$B$2:$U$742,ROW()-1,MATCH(B$1,'包络曲线数据'!$B$1:$U$1,0)),""))</x:f>
      </x:c>
      <x:c r="C325" t="n">
        <x:f>IF(C$1="","",IFERROR(INDEX('包络曲线数据'!$B$2:$U$742,ROW()-1,MATCH(C$1,'包络曲线数据'!$B$1:$U$1,0)),""))</x:f>
        <x:v>50</x:v>
      </x:c>
      <x:c r="D325" t="str">
        <x:f>IF(D$1="","",IFERROR(INDEX('包络曲线数据'!$B$2:$U$742,ROW()-1,MATCH(D$1,'包络曲线数据'!$B$1:$U$1,0)),""))</x:f>
      </x:c>
      <x:c r="E325" t="str">
        <x:f>IF(E$1="","",IFERROR(INDEX('包络曲线数据'!$B$2:$U$742,ROW()-1,MATCH(E$1,'包络曲线数据'!$B$1:$U$1,0)),""))</x:f>
      </x:c>
      <x:c r="F325" t="str">
        <x:f>IF(F$1="","",IFERROR(INDEX('包络曲线数据'!$B$2:$U$742,ROW()-1,MATCH(F$1,'包络曲线数据'!$B$1:$U$1,0)),""))</x:f>
      </x:c>
      <x:c r="G325" t="str">
        <x:f>IF(G$1="","",IFERROR(INDEX('包络曲线数据'!$B$2:$U$742,ROW()-1,MATCH(G$1,'包络曲线数据'!$B$1:$U$1,0)),""))</x:f>
      </x:c>
    </x:row>
    <x:row r="326">
      <x:c r="A326" t="n">
        <x:v>32.4</x:v>
      </x:c>
      <x:c r="B326" t="str">
        <x:f>IF(B$1="","",IFERROR(INDEX('包络曲线数据'!$B$2:$U$742,ROW()-1,MATCH(B$1,'包络曲线数据'!$B$1:$U$1,0)),""))</x:f>
      </x:c>
      <x:c r="C326" t="n">
        <x:f>IF(C$1="","",IFERROR(INDEX('包络曲线数据'!$B$2:$U$742,ROW()-1,MATCH(C$1,'包络曲线数据'!$B$1:$U$1,0)),""))</x:f>
        <x:v>50</x:v>
      </x:c>
      <x:c r="D326" t="str">
        <x:f>IF(D$1="","",IFERROR(INDEX('包络曲线数据'!$B$2:$U$742,ROW()-1,MATCH(D$1,'包络曲线数据'!$B$1:$U$1,0)),""))</x:f>
      </x:c>
      <x:c r="E326" t="str">
        <x:f>IF(E$1="","",IFERROR(INDEX('包络曲线数据'!$B$2:$U$742,ROW()-1,MATCH(E$1,'包络曲线数据'!$B$1:$U$1,0)),""))</x:f>
      </x:c>
      <x:c r="F326" t="str">
        <x:f>IF(F$1="","",IFERROR(INDEX('包络曲线数据'!$B$2:$U$742,ROW()-1,MATCH(F$1,'包络曲线数据'!$B$1:$U$1,0)),""))</x:f>
      </x:c>
      <x:c r="G326" t="str">
        <x:f>IF(G$1="","",IFERROR(INDEX('包络曲线数据'!$B$2:$U$742,ROW()-1,MATCH(G$1,'包络曲线数据'!$B$1:$U$1,0)),""))</x:f>
      </x:c>
    </x:row>
    <x:row r="327">
      <x:c r="A327" t="n">
        <x:v>32.5</x:v>
      </x:c>
      <x:c r="B327" t="str">
        <x:f>IF(B$1="","",IFERROR(INDEX('包络曲线数据'!$B$2:$U$742,ROW()-1,MATCH(B$1,'包络曲线数据'!$B$1:$U$1,0)),""))</x:f>
      </x:c>
      <x:c r="C327" t="n">
        <x:f>IF(C$1="","",IFERROR(INDEX('包络曲线数据'!$B$2:$U$742,ROW()-1,MATCH(C$1,'包络曲线数据'!$B$1:$U$1,0)),""))</x:f>
        <x:v>54.53222568671507</x:v>
      </x:c>
      <x:c r="D327" t="str">
        <x:f>IF(D$1="","",IFERROR(INDEX('包络曲线数据'!$B$2:$U$742,ROW()-1,MATCH(D$1,'包络曲线数据'!$B$1:$U$1,0)),""))</x:f>
      </x:c>
      <x:c r="E327" t="str">
        <x:f>IF(E$1="","",IFERROR(INDEX('包络曲线数据'!$B$2:$U$742,ROW()-1,MATCH(E$1,'包络曲线数据'!$B$1:$U$1,0)),""))</x:f>
      </x:c>
      <x:c r="F327" t="str">
        <x:f>IF(F$1="","",IFERROR(INDEX('包络曲线数据'!$B$2:$U$742,ROW()-1,MATCH(F$1,'包络曲线数据'!$B$1:$U$1,0)),""))</x:f>
      </x:c>
      <x:c r="G327" t="str">
        <x:f>IF(G$1="","",IFERROR(INDEX('包络曲线数据'!$B$2:$U$742,ROW()-1,MATCH(G$1,'包络曲线数据'!$B$1:$U$1,0)),""))</x:f>
      </x:c>
    </x:row>
    <x:row r="328">
      <x:c r="A328" t="n">
        <x:v>32.6</x:v>
      </x:c>
      <x:c r="B328" t="str">
        <x:f>IF(B$1="","",IFERROR(INDEX('包络曲线数据'!$B$2:$U$742,ROW()-1,MATCH(B$1,'包络曲线数据'!$B$1:$U$1,0)),""))</x:f>
      </x:c>
      <x:c r="C328" t="n">
        <x:f>IF(C$1="","",IFERROR(INDEX('包络曲线数据'!$B$2:$U$742,ROW()-1,MATCH(C$1,'包络曲线数据'!$B$1:$U$1,0)),""))</x:f>
        <x:v>68.12890274685867</x:v>
      </x:c>
      <x:c r="D328" t="str">
        <x:f>IF(D$1="","",IFERROR(INDEX('包络曲线数据'!$B$2:$U$742,ROW()-1,MATCH(D$1,'包络曲线数据'!$B$1:$U$1,0)),""))</x:f>
      </x:c>
      <x:c r="E328" t="str">
        <x:f>IF(E$1="","",IFERROR(INDEX('包络曲线数据'!$B$2:$U$742,ROW()-1,MATCH(E$1,'包络曲线数据'!$B$1:$U$1,0)),""))</x:f>
      </x:c>
      <x:c r="F328" t="str">
        <x:f>IF(F$1="","",IFERROR(INDEX('包络曲线数据'!$B$2:$U$742,ROW()-1,MATCH(F$1,'包络曲线数据'!$B$1:$U$1,0)),""))</x:f>
      </x:c>
      <x:c r="G328" t="str">
        <x:f>IF(G$1="","",IFERROR(INDEX('包络曲线数据'!$B$2:$U$742,ROW()-1,MATCH(G$1,'包络曲线数据'!$B$1:$U$1,0)),""))</x:f>
      </x:c>
    </x:row>
    <x:row r="329">
      <x:c r="A329" t="n">
        <x:v>32.7</x:v>
      </x:c>
      <x:c r="B329" t="str">
        <x:f>IF(B$1="","",IFERROR(INDEX('包络曲线数据'!$B$2:$U$742,ROW()-1,MATCH(B$1,'包络曲线数据'!$B$1:$U$1,0)),""))</x:f>
      </x:c>
      <x:c r="C329" t="n">
        <x:f>IF(C$1="","",IFERROR(INDEX('包络曲线数据'!$B$2:$U$742,ROW()-1,MATCH(C$1,'包络曲线数据'!$B$1:$U$1,0)),""))</x:f>
        <x:v>73.51862218006724</x:v>
      </x:c>
      <x:c r="D329" t="str">
        <x:f>IF(D$1="","",IFERROR(INDEX('包络曲线数据'!$B$2:$U$742,ROW()-1,MATCH(D$1,'包络曲线数据'!$B$1:$U$1,0)),""))</x:f>
      </x:c>
      <x:c r="E329" t="str">
        <x:f>IF(E$1="","",IFERROR(INDEX('包络曲线数据'!$B$2:$U$742,ROW()-1,MATCH(E$1,'包络曲线数据'!$B$1:$U$1,0)),""))</x:f>
      </x:c>
      <x:c r="F329" t="str">
        <x:f>IF(F$1="","",IFERROR(INDEX('包络曲线数据'!$B$2:$U$742,ROW()-1,MATCH(F$1,'包络曲线数据'!$B$1:$U$1,0)),""))</x:f>
      </x:c>
      <x:c r="G329" t="str">
        <x:f>IF(G$1="","",IFERROR(INDEX('包络曲线数据'!$B$2:$U$742,ROW()-1,MATCH(G$1,'包络曲线数据'!$B$1:$U$1,0)),""))</x:f>
      </x:c>
    </x:row>
    <x:row r="330">
      <x:c r="A330" t="n">
        <x:v>32.800000000000004</x:v>
      </x:c>
      <x:c r="B330" t="str">
        <x:f>IF(B$1="","",IFERROR(INDEX('包络曲线数据'!$B$2:$U$742,ROW()-1,MATCH(B$1,'包络曲线数据'!$B$1:$U$1,0)),""))</x:f>
      </x:c>
      <x:c r="C330" t="n">
        <x:f>IF(C$1="","",IFERROR(INDEX('包络曲线数据'!$B$2:$U$742,ROW()-1,MATCH(C$1,'包络曲线数据'!$B$1:$U$1,0)),""))</x:f>
        <x:v>75.70837557757812</x:v>
      </x:c>
      <x:c r="D330" t="str">
        <x:f>IF(D$1="","",IFERROR(INDEX('包络曲线数据'!$B$2:$U$742,ROW()-1,MATCH(D$1,'包络曲线数据'!$B$1:$U$1,0)),""))</x:f>
      </x:c>
      <x:c r="E330" t="str">
        <x:f>IF(E$1="","",IFERROR(INDEX('包络曲线数据'!$B$2:$U$742,ROW()-1,MATCH(E$1,'包络曲线数据'!$B$1:$U$1,0)),""))</x:f>
      </x:c>
      <x:c r="F330" t="str">
        <x:f>IF(F$1="","",IFERROR(INDEX('包络曲线数据'!$B$2:$U$742,ROW()-1,MATCH(F$1,'包络曲线数据'!$B$1:$U$1,0)),""))</x:f>
      </x:c>
      <x:c r="G330" t="str">
        <x:f>IF(G$1="","",IFERROR(INDEX('包络曲线数据'!$B$2:$U$742,ROW()-1,MATCH(G$1,'包络曲线数据'!$B$1:$U$1,0)),""))</x:f>
      </x:c>
    </x:row>
    <x:row r="331">
      <x:c r="A331" t="n">
        <x:v>32.9</x:v>
      </x:c>
      <x:c r="B331" t="str">
        <x:f>IF(B$1="","",IFERROR(INDEX('包络曲线数据'!$B$2:$U$742,ROW()-1,MATCH(B$1,'包络曲线数据'!$B$1:$U$1,0)),""))</x:f>
      </x:c>
      <x:c r="C331" t="n">
        <x:f>IF(C$1="","",IFERROR(INDEX('包络曲线数据'!$B$2:$U$742,ROW()-1,MATCH(C$1,'包络曲线数据'!$B$1:$U$1,0)),""))</x:f>
        <x:v>75.70837557757812</x:v>
      </x:c>
      <x:c r="D331" t="str">
        <x:f>IF(D$1="","",IFERROR(INDEX('包络曲线数据'!$B$2:$U$742,ROW()-1,MATCH(D$1,'包络曲线数据'!$B$1:$U$1,0)),""))</x:f>
      </x:c>
      <x:c r="E331" t="str">
        <x:f>IF(E$1="","",IFERROR(INDEX('包络曲线数据'!$B$2:$U$742,ROW()-1,MATCH(E$1,'包络曲线数据'!$B$1:$U$1,0)),""))</x:f>
      </x:c>
      <x:c r="F331" t="str">
        <x:f>IF(F$1="","",IFERROR(INDEX('包络曲线数据'!$B$2:$U$742,ROW()-1,MATCH(F$1,'包络曲线数据'!$B$1:$U$1,0)),""))</x:f>
      </x:c>
      <x:c r="G331" t="str">
        <x:f>IF(G$1="","",IFERROR(INDEX('包络曲线数据'!$B$2:$U$742,ROW()-1,MATCH(G$1,'包络曲线数据'!$B$1:$U$1,0)),""))</x:f>
      </x:c>
    </x:row>
    <x:row r="332">
      <x:c r="A332" t="n">
        <x:v>33</x:v>
      </x:c>
      <x:c r="B332" t="str">
        <x:f>IF(B$1="","",IFERROR(INDEX('包络曲线数据'!$B$2:$U$742,ROW()-1,MATCH(B$1,'包络曲线数据'!$B$1:$U$1,0)),""))</x:f>
      </x:c>
      <x:c r="C332" t="n">
        <x:f>IF(C$1="","",IFERROR(INDEX('包络曲线数据'!$B$2:$U$742,ROW()-1,MATCH(C$1,'包络曲线数据'!$B$1:$U$1,0)),""))</x:f>
        <x:v>66.36997703215998</x:v>
      </x:c>
      <x:c r="D332" t="str">
        <x:f>IF(D$1="","",IFERROR(INDEX('包络曲线数据'!$B$2:$U$742,ROW()-1,MATCH(D$1,'包络曲线数据'!$B$1:$U$1,0)),""))</x:f>
      </x:c>
      <x:c r="E332" t="str">
        <x:f>IF(E$1="","",IFERROR(INDEX('包络曲线数据'!$B$2:$U$742,ROW()-1,MATCH(E$1,'包络曲线数据'!$B$1:$U$1,0)),""))</x:f>
      </x:c>
      <x:c r="F332" t="str">
        <x:f>IF(F$1="","",IFERROR(INDEX('包络曲线数据'!$B$2:$U$742,ROW()-1,MATCH(F$1,'包络曲线数据'!$B$1:$U$1,0)),""))</x:f>
      </x:c>
      <x:c r="G332" t="str">
        <x:f>IF(G$1="","",IFERROR(INDEX('包络曲线数据'!$B$2:$U$742,ROW()-1,MATCH(G$1,'包络曲线数据'!$B$1:$U$1,0)),""))</x:f>
      </x:c>
    </x:row>
    <x:row r="333">
      <x:c r="A333" t="n">
        <x:v>33.1</x:v>
      </x:c>
      <x:c r="B333" t="str">
        <x:f>IF(B$1="","",IFERROR(INDEX('包络曲线数据'!$B$2:$U$742,ROW()-1,MATCH(B$1,'包络曲线数据'!$B$1:$U$1,0)),""))</x:f>
      </x:c>
      <x:c r="C333" t="n">
        <x:f>IF(C$1="","",IFERROR(INDEX('包络曲线数据'!$B$2:$U$742,ROW()-1,MATCH(C$1,'包络曲线数据'!$B$1:$U$1,0)),""))</x:f>
        <x:v>72.21577964415147</x:v>
      </x:c>
      <x:c r="D333" t="str">
        <x:f>IF(D$1="","",IFERROR(INDEX('包络曲线数据'!$B$2:$U$742,ROW()-1,MATCH(D$1,'包络曲线数据'!$B$1:$U$1,0)),""))</x:f>
      </x:c>
      <x:c r="E333" t="str">
        <x:f>IF(E$1="","",IFERROR(INDEX('包络曲线数据'!$B$2:$U$742,ROW()-1,MATCH(E$1,'包络曲线数据'!$B$1:$U$1,0)),""))</x:f>
      </x:c>
      <x:c r="F333" t="str">
        <x:f>IF(F$1="","",IFERROR(INDEX('包络曲线数据'!$B$2:$U$742,ROW()-1,MATCH(F$1,'包络曲线数据'!$B$1:$U$1,0)),""))</x:f>
      </x:c>
      <x:c r="G333" t="str">
        <x:f>IF(G$1="","",IFERROR(INDEX('包络曲线数据'!$B$2:$U$742,ROW()-1,MATCH(G$1,'包络曲线数据'!$B$1:$U$1,0)),""))</x:f>
      </x:c>
    </x:row>
    <x:row r="334">
      <x:c r="A334" t="n">
        <x:v>33.2</x:v>
      </x:c>
      <x:c r="B334" t="str">
        <x:f>IF(B$1="","",IFERROR(INDEX('包络曲线数据'!$B$2:$U$742,ROW()-1,MATCH(B$1,'包络曲线数据'!$B$1:$U$1,0)),""))</x:f>
      </x:c>
      <x:c r="C334" t="n">
        <x:f>IF(C$1="","",IFERROR(INDEX('包络曲线数据'!$B$2:$U$742,ROW()-1,MATCH(C$1,'包络曲线数据'!$B$1:$U$1,0)),""))</x:f>
        <x:v>74.49457954413437</x:v>
      </x:c>
      <x:c r="D334" t="str">
        <x:f>IF(D$1="","",IFERROR(INDEX('包络曲线数据'!$B$2:$U$742,ROW()-1,MATCH(D$1,'包络曲线数据'!$B$1:$U$1,0)),""))</x:f>
      </x:c>
      <x:c r="E334" t="str">
        <x:f>IF(E$1="","",IFERROR(INDEX('包络曲线数据'!$B$2:$U$742,ROW()-1,MATCH(E$1,'包络曲线数据'!$B$1:$U$1,0)),""))</x:f>
      </x:c>
      <x:c r="F334" t="str">
        <x:f>IF(F$1="","",IFERROR(INDEX('包络曲线数据'!$B$2:$U$742,ROW()-1,MATCH(F$1,'包络曲线数据'!$B$1:$U$1,0)),""))</x:f>
      </x:c>
      <x:c r="G334" t="str">
        <x:f>IF(G$1="","",IFERROR(INDEX('包络曲线数据'!$B$2:$U$742,ROW()-1,MATCH(G$1,'包络曲线数据'!$B$1:$U$1,0)),""))</x:f>
      </x:c>
    </x:row>
    <x:row r="335">
      <x:c r="A335" t="n">
        <x:v>33.300000000000004</x:v>
      </x:c>
      <x:c r="B335" t="str">
        <x:f>IF(B$1="","",IFERROR(INDEX('包络曲线数据'!$B$2:$U$742,ROW()-1,MATCH(B$1,'包络曲线数据'!$B$1:$U$1,0)),""))</x:f>
      </x:c>
      <x:c r="C335" t="n">
        <x:f>IF(C$1="","",IFERROR(INDEX('包络曲线数据'!$B$2:$U$742,ROW()-1,MATCH(C$1,'包络曲线数据'!$B$1:$U$1,0)),""))</x:f>
        <x:v>75.47641463187543</x:v>
      </x:c>
      <x:c r="D335" t="str">
        <x:f>IF(D$1="","",IFERROR(INDEX('包络曲线数据'!$B$2:$U$742,ROW()-1,MATCH(D$1,'包络曲线数据'!$B$1:$U$1,0)),""))</x:f>
      </x:c>
      <x:c r="E335" t="str">
        <x:f>IF(E$1="","",IFERROR(INDEX('包络曲线数据'!$B$2:$U$742,ROW()-1,MATCH(E$1,'包络曲线数据'!$B$1:$U$1,0)),""))</x:f>
      </x:c>
      <x:c r="F335" t="str">
        <x:f>IF(F$1="","",IFERROR(INDEX('包络曲线数据'!$B$2:$U$742,ROW()-1,MATCH(F$1,'包络曲线数据'!$B$1:$U$1,0)),""))</x:f>
      </x:c>
      <x:c r="G335" t="str">
        <x:f>IF(G$1="","",IFERROR(INDEX('包络曲线数据'!$B$2:$U$742,ROW()-1,MATCH(G$1,'包络曲线数据'!$B$1:$U$1,0)),""))</x:f>
      </x:c>
    </x:row>
    <x:row r="336">
      <x:c r="A336" t="n">
        <x:v>33.4</x:v>
      </x:c>
      <x:c r="B336" t="str">
        <x:f>IF(B$1="","",IFERROR(INDEX('包络曲线数据'!$B$2:$U$742,ROW()-1,MATCH(B$1,'包络曲线数据'!$B$1:$U$1,0)),""))</x:f>
      </x:c>
      <x:c r="C336" t="n">
        <x:f>IF(C$1="","",IFERROR(INDEX('包络曲线数据'!$B$2:$U$742,ROW()-1,MATCH(C$1,'包络曲线数据'!$B$1:$U$1,0)),""))</x:f>
        <x:v>75.47641463187543</x:v>
      </x:c>
      <x:c r="D336" t="str">
        <x:f>IF(D$1="","",IFERROR(INDEX('包络曲线数据'!$B$2:$U$742,ROW()-1,MATCH(D$1,'包络曲线数据'!$B$1:$U$1,0)),""))</x:f>
      </x:c>
      <x:c r="E336" t="str">
        <x:f>IF(E$1="","",IFERROR(INDEX('包络曲线数据'!$B$2:$U$742,ROW()-1,MATCH(E$1,'包络曲线数据'!$B$1:$U$1,0)),""))</x:f>
      </x:c>
      <x:c r="F336" t="str">
        <x:f>IF(F$1="","",IFERROR(INDEX('包络曲线数据'!$B$2:$U$742,ROW()-1,MATCH(F$1,'包络曲线数据'!$B$1:$U$1,0)),""))</x:f>
      </x:c>
      <x:c r="G336" t="str">
        <x:f>IF(G$1="","",IFERROR(INDEX('包络曲线数据'!$B$2:$U$742,ROW()-1,MATCH(G$1,'包络曲线数据'!$B$1:$U$1,0)),""))</x:f>
      </x:c>
    </x:row>
    <x:row r="337">
      <x:c r="A337" t="n">
        <x:v>33.5</x:v>
      </x:c>
      <x:c r="B337" t="str">
        <x:f>IF(B$1="","",IFERROR(INDEX('包络曲线数据'!$B$2:$U$742,ROW()-1,MATCH(B$1,'包络曲线数据'!$B$1:$U$1,0)),""))</x:f>
      </x:c>
      <x:c r="C337" t="n">
        <x:f>IF(C$1="","",IFERROR(INDEX('包络曲线数据'!$B$2:$U$742,ROW()-1,MATCH(C$1,'包络曲线数据'!$B$1:$U$1,0)),""))</x:f>
        <x:v>75.21929298223841</x:v>
      </x:c>
      <x:c r="D337" t="str">
        <x:f>IF(D$1="","",IFERROR(INDEX('包络曲线数据'!$B$2:$U$742,ROW()-1,MATCH(D$1,'包络曲线数据'!$B$1:$U$1,0)),""))</x:f>
      </x:c>
      <x:c r="E337" t="str">
        <x:f>IF(E$1="","",IFERROR(INDEX('包络曲线数据'!$B$2:$U$742,ROW()-1,MATCH(E$1,'包络曲线数据'!$B$1:$U$1,0)),""))</x:f>
      </x:c>
      <x:c r="F337" t="str">
        <x:f>IF(F$1="","",IFERROR(INDEX('包络曲线数据'!$B$2:$U$742,ROW()-1,MATCH(F$1,'包络曲线数据'!$B$1:$U$1,0)),""))</x:f>
      </x:c>
      <x:c r="G337" t="str">
        <x:f>IF(G$1="","",IFERROR(INDEX('包络曲线数据'!$B$2:$U$742,ROW()-1,MATCH(G$1,'包络曲线数据'!$B$1:$U$1,0)),""))</x:f>
      </x:c>
    </x:row>
    <x:row r="338">
      <x:c r="A338" t="n">
        <x:v>33.6</x:v>
      </x:c>
      <x:c r="B338" t="str">
        <x:f>IF(B$1="","",IFERROR(INDEX('包络曲线数据'!$B$2:$U$742,ROW()-1,MATCH(B$1,'包络曲线数据'!$B$1:$U$1,0)),""))</x:f>
      </x:c>
      <x:c r="C338" t="n">
        <x:f>IF(C$1="","",IFERROR(INDEX('包络曲线数据'!$B$2:$U$742,ROW()-1,MATCH(C$1,'包络曲线数据'!$B$1:$U$1,0)),""))</x:f>
        <x:v>76.42935966859821</x:v>
      </x:c>
      <x:c r="D338" t="str">
        <x:f>IF(D$1="","",IFERROR(INDEX('包络曲线数据'!$B$2:$U$742,ROW()-1,MATCH(D$1,'包络曲线数据'!$B$1:$U$1,0)),""))</x:f>
      </x:c>
      <x:c r="E338" t="str">
        <x:f>IF(E$1="","",IFERROR(INDEX('包络曲线数据'!$B$2:$U$742,ROW()-1,MATCH(E$1,'包络曲线数据'!$B$1:$U$1,0)),""))</x:f>
      </x:c>
      <x:c r="F338" t="str">
        <x:f>IF(F$1="","",IFERROR(INDEX('包络曲线数据'!$B$2:$U$742,ROW()-1,MATCH(F$1,'包络曲线数据'!$B$1:$U$1,0)),""))</x:f>
      </x:c>
      <x:c r="G338" t="str">
        <x:f>IF(G$1="","",IFERROR(INDEX('包络曲线数据'!$B$2:$U$742,ROW()-1,MATCH(G$1,'包络曲线数据'!$B$1:$U$1,0)),""))</x:f>
      </x:c>
    </x:row>
    <x:row r="339">
      <x:c r="A339" t="n">
        <x:v>33.7</x:v>
      </x:c>
      <x:c r="B339" t="str">
        <x:f>IF(B$1="","",IFERROR(INDEX('包络曲线数据'!$B$2:$U$742,ROW()-1,MATCH(B$1,'包络曲线数据'!$B$1:$U$1,0)),""))</x:f>
      </x:c>
      <x:c r="C339" t="n">
        <x:f>IF(C$1="","",IFERROR(INDEX('包络曲线数据'!$B$2:$U$742,ROW()-1,MATCH(C$1,'包络曲线数据'!$B$1:$U$1,0)),""))</x:f>
        <x:v>76.42935966859821</x:v>
      </x:c>
      <x:c r="D339" t="str">
        <x:f>IF(D$1="","",IFERROR(INDEX('包络曲线数据'!$B$2:$U$742,ROW()-1,MATCH(D$1,'包络曲线数据'!$B$1:$U$1,0)),""))</x:f>
      </x:c>
      <x:c r="E339" t="str">
        <x:f>IF(E$1="","",IFERROR(INDEX('包络曲线数据'!$B$2:$U$742,ROW()-1,MATCH(E$1,'包络曲线数据'!$B$1:$U$1,0)),""))</x:f>
      </x:c>
      <x:c r="F339" t="str">
        <x:f>IF(F$1="","",IFERROR(INDEX('包络曲线数据'!$B$2:$U$742,ROW()-1,MATCH(F$1,'包络曲线数据'!$B$1:$U$1,0)),""))</x:f>
      </x:c>
      <x:c r="G339" t="str">
        <x:f>IF(G$1="","",IFERROR(INDEX('包络曲线数据'!$B$2:$U$742,ROW()-1,MATCH(G$1,'包络曲线数据'!$B$1:$U$1,0)),""))</x:f>
      </x:c>
    </x:row>
    <x:row r="340">
      <x:c r="A340" t="n">
        <x:v>33.800000000000004</x:v>
      </x:c>
      <x:c r="B340" t="str">
        <x:f>IF(B$1="","",IFERROR(INDEX('包络曲线数据'!$B$2:$U$742,ROW()-1,MATCH(B$1,'包络曲线数据'!$B$1:$U$1,0)),""))</x:f>
      </x:c>
      <x:c r="C340" t="n">
        <x:f>IF(C$1="","",IFERROR(INDEX('包络曲线数据'!$B$2:$U$742,ROW()-1,MATCH(C$1,'包络曲线数据'!$B$1:$U$1,0)),""))</x:f>
        <x:v>76.39700870710232</x:v>
      </x:c>
      <x:c r="D340" t="str">
        <x:f>IF(D$1="","",IFERROR(INDEX('包络曲线数据'!$B$2:$U$742,ROW()-1,MATCH(D$1,'包络曲线数据'!$B$1:$U$1,0)),""))</x:f>
      </x:c>
      <x:c r="E340" t="str">
        <x:f>IF(E$1="","",IFERROR(INDEX('包络曲线数据'!$B$2:$U$742,ROW()-1,MATCH(E$1,'包络曲线数据'!$B$1:$U$1,0)),""))</x:f>
      </x:c>
      <x:c r="F340" t="str">
        <x:f>IF(F$1="","",IFERROR(INDEX('包络曲线数据'!$B$2:$U$742,ROW()-1,MATCH(F$1,'包络曲线数据'!$B$1:$U$1,0)),""))</x:f>
      </x:c>
      <x:c r="G340" t="str">
        <x:f>IF(G$1="","",IFERROR(INDEX('包络曲线数据'!$B$2:$U$742,ROW()-1,MATCH(G$1,'包络曲线数据'!$B$1:$U$1,0)),""))</x:f>
      </x:c>
    </x:row>
    <x:row r="341">
      <x:c r="A341" t="n">
        <x:v>33.9</x:v>
      </x:c>
      <x:c r="B341" t="str">
        <x:f>IF(B$1="","",IFERROR(INDEX('包络曲线数据'!$B$2:$U$742,ROW()-1,MATCH(B$1,'包络曲线数据'!$B$1:$U$1,0)),""))</x:f>
      </x:c>
      <x:c r="C341" t="n">
        <x:f>IF(C$1="","",IFERROR(INDEX('包络曲线数据'!$B$2:$U$742,ROW()-1,MATCH(C$1,'包络曲线数据'!$B$1:$U$1,0)),""))</x:f>
        <x:v>75.60899958922559</x:v>
      </x:c>
      <x:c r="D341" t="str">
        <x:f>IF(D$1="","",IFERROR(INDEX('包络曲线数据'!$B$2:$U$742,ROW()-1,MATCH(D$1,'包络曲线数据'!$B$1:$U$1,0)),""))</x:f>
      </x:c>
      <x:c r="E341" t="str">
        <x:f>IF(E$1="","",IFERROR(INDEX('包络曲线数据'!$B$2:$U$742,ROW()-1,MATCH(E$1,'包络曲线数据'!$B$1:$U$1,0)),""))</x:f>
      </x:c>
      <x:c r="F341" t="str">
        <x:f>IF(F$1="","",IFERROR(INDEX('包络曲线数据'!$B$2:$U$742,ROW()-1,MATCH(F$1,'包络曲线数据'!$B$1:$U$1,0)),""))</x:f>
      </x:c>
      <x:c r="G341" t="str">
        <x:f>IF(G$1="","",IFERROR(INDEX('包络曲线数据'!$B$2:$U$742,ROW()-1,MATCH(G$1,'包络曲线数据'!$B$1:$U$1,0)),""))</x:f>
      </x:c>
    </x:row>
    <x:row r="342">
      <x:c r="A342" t="n">
        <x:v>34</x:v>
      </x:c>
      <x:c r="B342" t="str">
        <x:f>IF(B$1="","",IFERROR(INDEX('包络曲线数据'!$B$2:$U$742,ROW()-1,MATCH(B$1,'包络曲线数据'!$B$1:$U$1,0)),""))</x:f>
      </x:c>
      <x:c r="C342" t="n">
        <x:f>IF(C$1="","",IFERROR(INDEX('包络曲线数据'!$B$2:$U$742,ROW()-1,MATCH(C$1,'包络曲线数据'!$B$1:$U$1,0)),""))</x:f>
        <x:v>75.59642250726965</x:v>
      </x:c>
      <x:c r="D342" t="str">
        <x:f>IF(D$1="","",IFERROR(INDEX('包络曲线数据'!$B$2:$U$742,ROW()-1,MATCH(D$1,'包络曲线数据'!$B$1:$U$1,0)),""))</x:f>
      </x:c>
      <x:c r="E342" t="str">
        <x:f>IF(E$1="","",IFERROR(INDEX('包络曲线数据'!$B$2:$U$742,ROW()-1,MATCH(E$1,'包络曲线数据'!$B$1:$U$1,0)),""))</x:f>
      </x:c>
      <x:c r="F342" t="str">
        <x:f>IF(F$1="","",IFERROR(INDEX('包络曲线数据'!$B$2:$U$742,ROW()-1,MATCH(F$1,'包络曲线数据'!$B$1:$U$1,0)),""))</x:f>
      </x:c>
      <x:c r="G342" t="str">
        <x:f>IF(G$1="","",IFERROR(INDEX('包络曲线数据'!$B$2:$U$742,ROW()-1,MATCH(G$1,'包络曲线数据'!$B$1:$U$1,0)),""))</x:f>
      </x:c>
    </x:row>
    <x:row r="343">
      <x:c r="A343" t="n">
        <x:v>34.1</x:v>
      </x:c>
      <x:c r="B343" t="str">
        <x:f>IF(B$1="","",IFERROR(INDEX('包络曲线数据'!$B$2:$U$742,ROW()-1,MATCH(B$1,'包络曲线数据'!$B$1:$U$1,0)),""))</x:f>
      </x:c>
      <x:c r="C343" t="n">
        <x:f>IF(C$1="","",IFERROR(INDEX('包络曲线数据'!$B$2:$U$742,ROW()-1,MATCH(C$1,'包络曲线数据'!$B$1:$U$1,0)),""))</x:f>
        <x:v>74.66434909342499</x:v>
      </x:c>
      <x:c r="D343" t="str">
        <x:f>IF(D$1="","",IFERROR(INDEX('包络曲线数据'!$B$2:$U$742,ROW()-1,MATCH(D$1,'包络曲线数据'!$B$1:$U$1,0)),""))</x:f>
      </x:c>
      <x:c r="E343" t="str">
        <x:f>IF(E$1="","",IFERROR(INDEX('包络曲线数据'!$B$2:$U$742,ROW()-1,MATCH(E$1,'包络曲线数据'!$B$1:$U$1,0)),""))</x:f>
      </x:c>
      <x:c r="F343" t="str">
        <x:f>IF(F$1="","",IFERROR(INDEX('包络曲线数据'!$B$2:$U$742,ROW()-1,MATCH(F$1,'包络曲线数据'!$B$1:$U$1,0)),""))</x:f>
      </x:c>
      <x:c r="G343" t="str">
        <x:f>IF(G$1="","",IFERROR(INDEX('包络曲线数据'!$B$2:$U$742,ROW()-1,MATCH(G$1,'包络曲线数据'!$B$1:$U$1,0)),""))</x:f>
      </x:c>
    </x:row>
    <x:row r="344">
      <x:c r="A344" t="n">
        <x:v>34.2</x:v>
      </x:c>
      <x:c r="B344" t="str">
        <x:f>IF(B$1="","",IFERROR(INDEX('包络曲线数据'!$B$2:$U$742,ROW()-1,MATCH(B$1,'包络曲线数据'!$B$1:$U$1,0)),""))</x:f>
      </x:c>
      <x:c r="C344" t="n">
        <x:f>IF(C$1="","",IFERROR(INDEX('包络曲线数据'!$B$2:$U$742,ROW()-1,MATCH(C$1,'包络曲线数据'!$B$1:$U$1,0)),""))</x:f>
        <x:v>83.54139997804924</x:v>
      </x:c>
      <x:c r="D344" t="str">
        <x:f>IF(D$1="","",IFERROR(INDEX('包络曲线数据'!$B$2:$U$742,ROW()-1,MATCH(D$1,'包络曲线数据'!$B$1:$U$1,0)),""))</x:f>
      </x:c>
      <x:c r="E344" t="str">
        <x:f>IF(E$1="","",IFERROR(INDEX('包络曲线数据'!$B$2:$U$742,ROW()-1,MATCH(E$1,'包络曲线数据'!$B$1:$U$1,0)),""))</x:f>
      </x:c>
      <x:c r="F344" t="str">
        <x:f>IF(F$1="","",IFERROR(INDEX('包络曲线数据'!$B$2:$U$742,ROW()-1,MATCH(F$1,'包络曲线数据'!$B$1:$U$1,0)),""))</x:f>
      </x:c>
      <x:c r="G344" t="str">
        <x:f>IF(G$1="","",IFERROR(INDEX('包络曲线数据'!$B$2:$U$742,ROW()-1,MATCH(G$1,'包络曲线数据'!$B$1:$U$1,0)),""))</x:f>
      </x:c>
    </x:row>
    <x:row r="345">
      <x:c r="A345" t="n">
        <x:v>34.300000000000004</x:v>
      </x:c>
      <x:c r="B345" t="str">
        <x:f>IF(B$1="","",IFERROR(INDEX('包络曲线数据'!$B$2:$U$742,ROW()-1,MATCH(B$1,'包络曲线数据'!$B$1:$U$1,0)),""))</x:f>
      </x:c>
      <x:c r="C345" t="n">
        <x:f>IF(C$1="","",IFERROR(INDEX('包络曲线数据'!$B$2:$U$742,ROW()-1,MATCH(C$1,'包络曲线数据'!$B$1:$U$1,0)),""))</x:f>
        <x:v>84.244937234454</x:v>
      </x:c>
      <x:c r="D345" t="str">
        <x:f>IF(D$1="","",IFERROR(INDEX('包络曲线数据'!$B$2:$U$742,ROW()-1,MATCH(D$1,'包络曲线数据'!$B$1:$U$1,0)),""))</x:f>
      </x:c>
      <x:c r="E345" t="str">
        <x:f>IF(E$1="","",IFERROR(INDEX('包络曲线数据'!$B$2:$U$742,ROW()-1,MATCH(E$1,'包络曲线数据'!$B$1:$U$1,0)),""))</x:f>
      </x:c>
      <x:c r="F345" t="str">
        <x:f>IF(F$1="","",IFERROR(INDEX('包络曲线数据'!$B$2:$U$742,ROW()-1,MATCH(F$1,'包络曲线数据'!$B$1:$U$1,0)),""))</x:f>
      </x:c>
      <x:c r="G345" t="str">
        <x:f>IF(G$1="","",IFERROR(INDEX('包络曲线数据'!$B$2:$U$742,ROW()-1,MATCH(G$1,'包络曲线数据'!$B$1:$U$1,0)),""))</x:f>
      </x:c>
    </x:row>
    <x:row r="346">
      <x:c r="A346" t="n">
        <x:v>34.4</x:v>
      </x:c>
      <x:c r="B346" t="str">
        <x:f>IF(B$1="","",IFERROR(INDEX('包络曲线数据'!$B$2:$U$742,ROW()-1,MATCH(B$1,'包络曲线数据'!$B$1:$U$1,0)),""))</x:f>
      </x:c>
      <x:c r="C346" t="n">
        <x:f>IF(C$1="","",IFERROR(INDEX('包络曲线数据'!$B$2:$U$742,ROW()-1,MATCH(C$1,'包络曲线数据'!$B$1:$U$1,0)),""))</x:f>
        <x:v>82.5200804399149</x:v>
      </x:c>
      <x:c r="D346" t="str">
        <x:f>IF(D$1="","",IFERROR(INDEX('包络曲线数据'!$B$2:$U$742,ROW()-1,MATCH(D$1,'包络曲线数据'!$B$1:$U$1,0)),""))</x:f>
      </x:c>
      <x:c r="E346" t="str">
        <x:f>IF(E$1="","",IFERROR(INDEX('包络曲线数据'!$B$2:$U$742,ROW()-1,MATCH(E$1,'包络曲线数据'!$B$1:$U$1,0)),""))</x:f>
      </x:c>
      <x:c r="F346" t="str">
        <x:f>IF(F$1="","",IFERROR(INDEX('包络曲线数据'!$B$2:$U$742,ROW()-1,MATCH(F$1,'包络曲线数据'!$B$1:$U$1,0)),""))</x:f>
      </x:c>
      <x:c r="G346" t="str">
        <x:f>IF(G$1="","",IFERROR(INDEX('包络曲线数据'!$B$2:$U$742,ROW()-1,MATCH(G$1,'包络曲线数据'!$B$1:$U$1,0)),""))</x:f>
      </x:c>
    </x:row>
    <x:row r="347">
      <x:c r="A347" t="n">
        <x:v>34.5</x:v>
      </x:c>
      <x:c r="B347" t="str">
        <x:f>IF(B$1="","",IFERROR(INDEX('包络曲线数据'!$B$2:$U$742,ROW()-1,MATCH(B$1,'包络曲线数据'!$B$1:$U$1,0)),""))</x:f>
      </x:c>
      <x:c r="C347" t="n">
        <x:f>IF(C$1="","",IFERROR(INDEX('包络曲线数据'!$B$2:$U$742,ROW()-1,MATCH(C$1,'包络曲线数据'!$B$1:$U$1,0)),""))</x:f>
        <x:v>72.86056894522035</x:v>
      </x:c>
      <x:c r="D347" t="str">
        <x:f>IF(D$1="","",IFERROR(INDEX('包络曲线数据'!$B$2:$U$742,ROW()-1,MATCH(D$1,'包络曲线数据'!$B$1:$U$1,0)),""))</x:f>
      </x:c>
      <x:c r="E347" t="str">
        <x:f>IF(E$1="","",IFERROR(INDEX('包络曲线数据'!$B$2:$U$742,ROW()-1,MATCH(E$1,'包络曲线数据'!$B$1:$U$1,0)),""))</x:f>
      </x:c>
      <x:c r="F347" t="str">
        <x:f>IF(F$1="","",IFERROR(INDEX('包络曲线数据'!$B$2:$U$742,ROW()-1,MATCH(F$1,'包络曲线数据'!$B$1:$U$1,0)),""))</x:f>
      </x:c>
      <x:c r="G347" t="str">
        <x:f>IF(G$1="","",IFERROR(INDEX('包络曲线数据'!$B$2:$U$742,ROW()-1,MATCH(G$1,'包络曲线数据'!$B$1:$U$1,0)),""))</x:f>
      </x:c>
    </x:row>
    <x:row r="348">
      <x:c r="A348" t="n">
        <x:v>34.6</x:v>
      </x:c>
      <x:c r="B348" t="str">
        <x:f>IF(B$1="","",IFERROR(INDEX('包络曲线数据'!$B$2:$U$742,ROW()-1,MATCH(B$1,'包络曲线数据'!$B$1:$U$1,0)),""))</x:f>
      </x:c>
      <x:c r="C348" t="n">
        <x:f>IF(C$1="","",IFERROR(INDEX('包络曲线数据'!$B$2:$U$742,ROW()-1,MATCH(C$1,'包络曲线数据'!$B$1:$U$1,0)),""))</x:f>
        <x:v>67.32226379614873</x:v>
      </x:c>
      <x:c r="D348" t="str">
        <x:f>IF(D$1="","",IFERROR(INDEX('包络曲线数据'!$B$2:$U$742,ROW()-1,MATCH(D$1,'包络曲线数据'!$B$1:$U$1,0)),""))</x:f>
      </x:c>
      <x:c r="E348" t="str">
        <x:f>IF(E$1="","",IFERROR(INDEX('包络曲线数据'!$B$2:$U$742,ROW()-1,MATCH(E$1,'包络曲线数据'!$B$1:$U$1,0)),""))</x:f>
      </x:c>
      <x:c r="F348" t="str">
        <x:f>IF(F$1="","",IFERROR(INDEX('包络曲线数据'!$B$2:$U$742,ROW()-1,MATCH(F$1,'包络曲线数据'!$B$1:$U$1,0)),""))</x:f>
      </x:c>
      <x:c r="G348" t="str">
        <x:f>IF(G$1="","",IFERROR(INDEX('包络曲线数据'!$B$2:$U$742,ROW()-1,MATCH(G$1,'包络曲线数据'!$B$1:$U$1,0)),""))</x:f>
      </x:c>
    </x:row>
    <x:row r="349">
      <x:c r="A349" t="n">
        <x:v>34.7</x:v>
      </x:c>
      <x:c r="B349" t="str">
        <x:f>IF(B$1="","",IFERROR(INDEX('包络曲线数据'!$B$2:$U$742,ROW()-1,MATCH(B$1,'包络曲线数据'!$B$1:$U$1,0)),""))</x:f>
      </x:c>
      <x:c r="C349" t="n">
        <x:f>IF(C$1="","",IFERROR(INDEX('包络曲线数据'!$B$2:$U$742,ROW()-1,MATCH(C$1,'包络曲线数据'!$B$1:$U$1,0)),""))</x:f>
        <x:v>50</x:v>
      </x:c>
      <x:c r="D349" t="str">
        <x:f>IF(D$1="","",IFERROR(INDEX('包络曲线数据'!$B$2:$U$742,ROW()-1,MATCH(D$1,'包络曲线数据'!$B$1:$U$1,0)),""))</x:f>
      </x:c>
      <x:c r="E349" t="str">
        <x:f>IF(E$1="","",IFERROR(INDEX('包络曲线数据'!$B$2:$U$742,ROW()-1,MATCH(E$1,'包络曲线数据'!$B$1:$U$1,0)),""))</x:f>
      </x:c>
      <x:c r="F349" t="str">
        <x:f>IF(F$1="","",IFERROR(INDEX('包络曲线数据'!$B$2:$U$742,ROW()-1,MATCH(F$1,'包络曲线数据'!$B$1:$U$1,0)),""))</x:f>
      </x:c>
      <x:c r="G349" t="str">
        <x:f>IF(G$1="","",IFERROR(INDEX('包络曲线数据'!$B$2:$U$742,ROW()-1,MATCH(G$1,'包络曲线数据'!$B$1:$U$1,0)),""))</x:f>
      </x:c>
    </x:row>
    <x:row r="350">
      <x:c r="A350" t="n">
        <x:v>34.800000000000004</x:v>
      </x:c>
      <x:c r="B350" t="str">
        <x:f>IF(B$1="","",IFERROR(INDEX('包络曲线数据'!$B$2:$U$742,ROW()-1,MATCH(B$1,'包络曲线数据'!$B$1:$U$1,0)),""))</x:f>
      </x:c>
      <x:c r="C350" t="n">
        <x:f>IF(C$1="","",IFERROR(INDEX('包络曲线数据'!$B$2:$U$742,ROW()-1,MATCH(C$1,'包络曲线数据'!$B$1:$U$1,0)),""))</x:f>
        <x:v>50.00000000000206</x:v>
      </x:c>
      <x:c r="D350" t="str">
        <x:f>IF(D$1="","",IFERROR(INDEX('包络曲线数据'!$B$2:$U$742,ROW()-1,MATCH(D$1,'包络曲线数据'!$B$1:$U$1,0)),""))</x:f>
      </x:c>
      <x:c r="E350" t="str">
        <x:f>IF(E$1="","",IFERROR(INDEX('包络曲线数据'!$B$2:$U$742,ROW()-1,MATCH(E$1,'包络曲线数据'!$B$1:$U$1,0)),""))</x:f>
      </x:c>
      <x:c r="F350" t="str">
        <x:f>IF(F$1="","",IFERROR(INDEX('包络曲线数据'!$B$2:$U$742,ROW()-1,MATCH(F$1,'包络曲线数据'!$B$1:$U$1,0)),""))</x:f>
      </x:c>
      <x:c r="G350" t="str">
        <x:f>IF(G$1="","",IFERROR(INDEX('包络曲线数据'!$B$2:$U$742,ROW()-1,MATCH(G$1,'包络曲线数据'!$B$1:$U$1,0)),""))</x:f>
      </x:c>
    </x:row>
    <x:row r="351">
      <x:c r="A351" t="n">
        <x:v>34.9</x:v>
      </x:c>
      <x:c r="B351" t="str">
        <x:f>IF(B$1="","",IFERROR(INDEX('包络曲线数据'!$B$2:$U$742,ROW()-1,MATCH(B$1,'包络曲线数据'!$B$1:$U$1,0)),""))</x:f>
      </x:c>
      <x:c r="C351" t="n">
        <x:f>IF(C$1="","",IFERROR(INDEX('包络曲线数据'!$B$2:$U$742,ROW()-1,MATCH(C$1,'包络曲线数据'!$B$1:$U$1,0)),""))</x:f>
        <x:v>68.78779012954095</x:v>
      </x:c>
      <x:c r="D351" t="str">
        <x:f>IF(D$1="","",IFERROR(INDEX('包络曲线数据'!$B$2:$U$742,ROW()-1,MATCH(D$1,'包络曲线数据'!$B$1:$U$1,0)),""))</x:f>
      </x:c>
      <x:c r="E351" t="str">
        <x:f>IF(E$1="","",IFERROR(INDEX('包络曲线数据'!$B$2:$U$742,ROW()-1,MATCH(E$1,'包络曲线数据'!$B$1:$U$1,0)),""))</x:f>
      </x:c>
      <x:c r="F351" t="str">
        <x:f>IF(F$1="","",IFERROR(INDEX('包络曲线数据'!$B$2:$U$742,ROW()-1,MATCH(F$1,'包络曲线数据'!$B$1:$U$1,0)),""))</x:f>
      </x:c>
      <x:c r="G351" t="str">
        <x:f>IF(G$1="","",IFERROR(INDEX('包络曲线数据'!$B$2:$U$742,ROW()-1,MATCH(G$1,'包络曲线数据'!$B$1:$U$1,0)),""))</x:f>
      </x:c>
    </x:row>
    <x:row r="352">
      <x:c r="A352" t="n">
        <x:v>35</x:v>
      </x:c>
      <x:c r="B352" t="str">
        <x:f>IF(B$1="","",IFERROR(INDEX('包络曲线数据'!$B$2:$U$742,ROW()-1,MATCH(B$1,'包络曲线数据'!$B$1:$U$1,0)),""))</x:f>
      </x:c>
      <x:c r="C352" t="n">
        <x:f>IF(C$1="","",IFERROR(INDEX('包络曲线数据'!$B$2:$U$742,ROW()-1,MATCH(C$1,'包络曲线数据'!$B$1:$U$1,0)),""))</x:f>
        <x:v>68.78779012954095</x:v>
      </x:c>
      <x:c r="D352" t="str">
        <x:f>IF(D$1="","",IFERROR(INDEX('包络曲线数据'!$B$2:$U$742,ROW()-1,MATCH(D$1,'包络曲线数据'!$B$1:$U$1,0)),""))</x:f>
      </x:c>
      <x:c r="E352" t="str">
        <x:f>IF(E$1="","",IFERROR(INDEX('包络曲线数据'!$B$2:$U$742,ROW()-1,MATCH(E$1,'包络曲线数据'!$B$1:$U$1,0)),""))</x:f>
      </x:c>
      <x:c r="F352" t="str">
        <x:f>IF(F$1="","",IFERROR(INDEX('包络曲线数据'!$B$2:$U$742,ROW()-1,MATCH(F$1,'包络曲线数据'!$B$1:$U$1,0)),""))</x:f>
      </x:c>
      <x:c r="G352" t="str">
        <x:f>IF(G$1="","",IFERROR(INDEX('包络曲线数据'!$B$2:$U$742,ROW()-1,MATCH(G$1,'包络曲线数据'!$B$1:$U$1,0)),""))</x:f>
      </x:c>
    </x:row>
    <x:row r="353">
      <x:c r="A353" t="n">
        <x:v>35.1</x:v>
      </x:c>
      <x:c r="B353" t="str">
        <x:f>IF(B$1="","",IFERROR(INDEX('包络曲线数据'!$B$2:$U$742,ROW()-1,MATCH(B$1,'包络曲线数据'!$B$1:$U$1,0)),""))</x:f>
      </x:c>
      <x:c r="C353" t="n">
        <x:f>IF(C$1="","",IFERROR(INDEX('包络曲线数据'!$B$2:$U$742,ROW()-1,MATCH(C$1,'包络曲线数据'!$B$1:$U$1,0)),""))</x:f>
        <x:v>76.7607616146843</x:v>
      </x:c>
      <x:c r="D353" t="str">
        <x:f>IF(D$1="","",IFERROR(INDEX('包络曲线数据'!$B$2:$U$742,ROW()-1,MATCH(D$1,'包络曲线数据'!$B$1:$U$1,0)),""))</x:f>
      </x:c>
      <x:c r="E353" t="str">
        <x:f>IF(E$1="","",IFERROR(INDEX('包络曲线数据'!$B$2:$U$742,ROW()-1,MATCH(E$1,'包络曲线数据'!$B$1:$U$1,0)),""))</x:f>
      </x:c>
      <x:c r="F353" t="str">
        <x:f>IF(F$1="","",IFERROR(INDEX('包络曲线数据'!$B$2:$U$742,ROW()-1,MATCH(F$1,'包络曲线数据'!$B$1:$U$1,0)),""))</x:f>
      </x:c>
      <x:c r="G353" t="str">
        <x:f>IF(G$1="","",IFERROR(INDEX('包络曲线数据'!$B$2:$U$742,ROW()-1,MATCH(G$1,'包络曲线数据'!$B$1:$U$1,0)),""))</x:f>
      </x:c>
    </x:row>
    <x:row r="354">
      <x:c r="A354" t="n">
        <x:v>35.2</x:v>
      </x:c>
      <x:c r="B354" t="str">
        <x:f>IF(B$1="","",IFERROR(INDEX('包络曲线数据'!$B$2:$U$742,ROW()-1,MATCH(B$1,'包络曲线数据'!$B$1:$U$1,0)),""))</x:f>
      </x:c>
      <x:c r="C354" t="n">
        <x:f>IF(C$1="","",IFERROR(INDEX('包络曲线数据'!$B$2:$U$742,ROW()-1,MATCH(C$1,'包络曲线数据'!$B$1:$U$1,0)),""))</x:f>
        <x:v>76.7607616146843</x:v>
      </x:c>
      <x:c r="D354" t="str">
        <x:f>IF(D$1="","",IFERROR(INDEX('包络曲线数据'!$B$2:$U$742,ROW()-1,MATCH(D$1,'包络曲线数据'!$B$1:$U$1,0)),""))</x:f>
      </x:c>
      <x:c r="E354" t="str">
        <x:f>IF(E$1="","",IFERROR(INDEX('包络曲线数据'!$B$2:$U$742,ROW()-1,MATCH(E$1,'包络曲线数据'!$B$1:$U$1,0)),""))</x:f>
      </x:c>
      <x:c r="F354" t="str">
        <x:f>IF(F$1="","",IFERROR(INDEX('包络曲线数据'!$B$2:$U$742,ROW()-1,MATCH(F$1,'包络曲线数据'!$B$1:$U$1,0)),""))</x:f>
      </x:c>
      <x:c r="G354" t="str">
        <x:f>IF(G$1="","",IFERROR(INDEX('包络曲线数据'!$B$2:$U$742,ROW()-1,MATCH(G$1,'包络曲线数据'!$B$1:$U$1,0)),""))</x:f>
      </x:c>
    </x:row>
    <x:row r="355">
      <x:c r="A355" t="n">
        <x:v>35.300000000000004</x:v>
      </x:c>
      <x:c r="B355" t="str">
        <x:f>IF(B$1="","",IFERROR(INDEX('包络曲线数据'!$B$2:$U$742,ROW()-1,MATCH(B$1,'包络曲线数据'!$B$1:$U$1,0)),""))</x:f>
      </x:c>
      <x:c r="C355" t="n">
        <x:f>IF(C$1="","",IFERROR(INDEX('包络曲线数据'!$B$2:$U$742,ROW()-1,MATCH(C$1,'包络曲线数据'!$B$1:$U$1,0)),""))</x:f>
        <x:v>70.37919066318645</x:v>
      </x:c>
      <x:c r="D355" t="str">
        <x:f>IF(D$1="","",IFERROR(INDEX('包络曲线数据'!$B$2:$U$742,ROW()-1,MATCH(D$1,'包络曲线数据'!$B$1:$U$1,0)),""))</x:f>
      </x:c>
      <x:c r="E355" t="str">
        <x:f>IF(E$1="","",IFERROR(INDEX('包络曲线数据'!$B$2:$U$742,ROW()-1,MATCH(E$1,'包络曲线数据'!$B$1:$U$1,0)),""))</x:f>
      </x:c>
      <x:c r="F355" t="str">
        <x:f>IF(F$1="","",IFERROR(INDEX('包络曲线数据'!$B$2:$U$742,ROW()-1,MATCH(F$1,'包络曲线数据'!$B$1:$U$1,0)),""))</x:f>
      </x:c>
      <x:c r="G355" t="str">
        <x:f>IF(G$1="","",IFERROR(INDEX('包络曲线数据'!$B$2:$U$742,ROW()-1,MATCH(G$1,'包络曲线数据'!$B$1:$U$1,0)),""))</x:f>
      </x:c>
    </x:row>
    <x:row r="356">
      <x:c r="A356" t="n">
        <x:v>35.4</x:v>
      </x:c>
      <x:c r="B356" t="str">
        <x:f>IF(B$1="","",IFERROR(INDEX('包络曲线数据'!$B$2:$U$742,ROW()-1,MATCH(B$1,'包络曲线数据'!$B$1:$U$1,0)),""))</x:f>
      </x:c>
      <x:c r="C356" t="n">
        <x:f>IF(C$1="","",IFERROR(INDEX('包络曲线数据'!$B$2:$U$742,ROW()-1,MATCH(C$1,'包络曲线数据'!$B$1:$U$1,0)),""))</x:f>
        <x:v>63.90063347214106</x:v>
      </x:c>
      <x:c r="D356" t="str">
        <x:f>IF(D$1="","",IFERROR(INDEX('包络曲线数据'!$B$2:$U$742,ROW()-1,MATCH(D$1,'包络曲线数据'!$B$1:$U$1,0)),""))</x:f>
      </x:c>
      <x:c r="E356" t="str">
        <x:f>IF(E$1="","",IFERROR(INDEX('包络曲线数据'!$B$2:$U$742,ROW()-1,MATCH(E$1,'包络曲线数据'!$B$1:$U$1,0)),""))</x:f>
      </x:c>
      <x:c r="F356" t="str">
        <x:f>IF(F$1="","",IFERROR(INDEX('包络曲线数据'!$B$2:$U$742,ROW()-1,MATCH(F$1,'包络曲线数据'!$B$1:$U$1,0)),""))</x:f>
      </x:c>
      <x:c r="G356" t="str">
        <x:f>IF(G$1="","",IFERROR(INDEX('包络曲线数据'!$B$2:$U$742,ROW()-1,MATCH(G$1,'包络曲线数据'!$B$1:$U$1,0)),""))</x:f>
      </x:c>
    </x:row>
    <x:row r="357">
      <x:c r="A357" t="n">
        <x:v>35.5</x:v>
      </x:c>
      <x:c r="B357" t="str">
        <x:f>IF(B$1="","",IFERROR(INDEX('包络曲线数据'!$B$2:$U$742,ROW()-1,MATCH(B$1,'包络曲线数据'!$B$1:$U$1,0)),""))</x:f>
      </x:c>
      <x:c r="C357" t="n">
        <x:f>IF(C$1="","",IFERROR(INDEX('包络曲线数据'!$B$2:$U$742,ROW()-1,MATCH(C$1,'包络曲线数据'!$B$1:$U$1,0)),""))</x:f>
        <x:v>71.24395967286046</x:v>
      </x:c>
      <x:c r="D357" t="str">
        <x:f>IF(D$1="","",IFERROR(INDEX('包络曲线数据'!$B$2:$U$742,ROW()-1,MATCH(D$1,'包络曲线数据'!$B$1:$U$1,0)),""))</x:f>
      </x:c>
      <x:c r="E357" t="str">
        <x:f>IF(E$1="","",IFERROR(INDEX('包络曲线数据'!$B$2:$U$742,ROW()-1,MATCH(E$1,'包络曲线数据'!$B$1:$U$1,0)),""))</x:f>
      </x:c>
      <x:c r="F357" t="str">
        <x:f>IF(F$1="","",IFERROR(INDEX('包络曲线数据'!$B$2:$U$742,ROW()-1,MATCH(F$1,'包络曲线数据'!$B$1:$U$1,0)),""))</x:f>
      </x:c>
      <x:c r="G357" t="str">
        <x:f>IF(G$1="","",IFERROR(INDEX('包络曲线数据'!$B$2:$U$742,ROW()-1,MATCH(G$1,'包络曲线数据'!$B$1:$U$1,0)),""))</x:f>
      </x:c>
    </x:row>
    <x:row r="358">
      <x:c r="A358" t="n">
        <x:v>35.6</x:v>
      </x:c>
      <x:c r="B358" t="str">
        <x:f>IF(B$1="","",IFERROR(INDEX('包络曲线数据'!$B$2:$U$742,ROW()-1,MATCH(B$1,'包络曲线数据'!$B$1:$U$1,0)),""))</x:f>
      </x:c>
      <x:c r="C358" t="n">
        <x:f>IF(C$1="","",IFERROR(INDEX('包络曲线数据'!$B$2:$U$742,ROW()-1,MATCH(C$1,'包络曲线数据'!$B$1:$U$1,0)),""))</x:f>
        <x:v>75.57309272746033</x:v>
      </x:c>
      <x:c r="D358" t="str">
        <x:f>IF(D$1="","",IFERROR(INDEX('包络曲线数据'!$B$2:$U$742,ROW()-1,MATCH(D$1,'包络曲线数据'!$B$1:$U$1,0)),""))</x:f>
      </x:c>
      <x:c r="E358" t="str">
        <x:f>IF(E$1="","",IFERROR(INDEX('包络曲线数据'!$B$2:$U$742,ROW()-1,MATCH(E$1,'包络曲线数据'!$B$1:$U$1,0)),""))</x:f>
      </x:c>
      <x:c r="F358" t="str">
        <x:f>IF(F$1="","",IFERROR(INDEX('包络曲线数据'!$B$2:$U$742,ROW()-1,MATCH(F$1,'包络曲线数据'!$B$1:$U$1,0)),""))</x:f>
      </x:c>
      <x:c r="G358" t="str">
        <x:f>IF(G$1="","",IFERROR(INDEX('包络曲线数据'!$B$2:$U$742,ROW()-1,MATCH(G$1,'包络曲线数据'!$B$1:$U$1,0)),""))</x:f>
      </x:c>
    </x:row>
    <x:row r="359">
      <x:c r="A359" t="n">
        <x:v>35.7</x:v>
      </x:c>
      <x:c r="B359" t="str">
        <x:f>IF(B$1="","",IFERROR(INDEX('包络曲线数据'!$B$2:$U$742,ROW()-1,MATCH(B$1,'包络曲线数据'!$B$1:$U$1,0)),""))</x:f>
      </x:c>
      <x:c r="C359" t="n">
        <x:f>IF(C$1="","",IFERROR(INDEX('包络曲线数据'!$B$2:$U$742,ROW()-1,MATCH(C$1,'包络曲线数据'!$B$1:$U$1,0)),""))</x:f>
        <x:v>75.57309272746033</x:v>
      </x:c>
      <x:c r="D359" t="str">
        <x:f>IF(D$1="","",IFERROR(INDEX('包络曲线数据'!$B$2:$U$742,ROW()-1,MATCH(D$1,'包络曲线数据'!$B$1:$U$1,0)),""))</x:f>
      </x:c>
      <x:c r="E359" t="str">
        <x:f>IF(E$1="","",IFERROR(INDEX('包络曲线数据'!$B$2:$U$742,ROW()-1,MATCH(E$1,'包络曲线数据'!$B$1:$U$1,0)),""))</x:f>
      </x:c>
      <x:c r="F359" t="str">
        <x:f>IF(F$1="","",IFERROR(INDEX('包络曲线数据'!$B$2:$U$742,ROW()-1,MATCH(F$1,'包络曲线数据'!$B$1:$U$1,0)),""))</x:f>
      </x:c>
      <x:c r="G359" t="str">
        <x:f>IF(G$1="","",IFERROR(INDEX('包络曲线数据'!$B$2:$U$742,ROW()-1,MATCH(G$1,'包络曲线数据'!$B$1:$U$1,0)),""))</x:f>
      </x:c>
    </x:row>
    <x:row r="360">
      <x:c r="A360" t="n">
        <x:v>35.800000000000004</x:v>
      </x:c>
      <x:c r="B360" t="str">
        <x:f>IF(B$1="","",IFERROR(INDEX('包络曲线数据'!$B$2:$U$742,ROW()-1,MATCH(B$1,'包络曲线数据'!$B$1:$U$1,0)),""))</x:f>
      </x:c>
      <x:c r="C360" t="n">
        <x:f>IF(C$1="","",IFERROR(INDEX('包络曲线数据'!$B$2:$U$742,ROW()-1,MATCH(C$1,'包络曲线数据'!$B$1:$U$1,0)),""))</x:f>
        <x:v>75.36710307614598</x:v>
      </x:c>
      <x:c r="D360" t="str">
        <x:f>IF(D$1="","",IFERROR(INDEX('包络曲线数据'!$B$2:$U$742,ROW()-1,MATCH(D$1,'包络曲线数据'!$B$1:$U$1,0)),""))</x:f>
      </x:c>
      <x:c r="E360" t="str">
        <x:f>IF(E$1="","",IFERROR(INDEX('包络曲线数据'!$B$2:$U$742,ROW()-1,MATCH(E$1,'包络曲线数据'!$B$1:$U$1,0)),""))</x:f>
      </x:c>
      <x:c r="F360" t="str">
        <x:f>IF(F$1="","",IFERROR(INDEX('包络曲线数据'!$B$2:$U$742,ROW()-1,MATCH(F$1,'包络曲线数据'!$B$1:$U$1,0)),""))</x:f>
      </x:c>
      <x:c r="G360" t="str">
        <x:f>IF(G$1="","",IFERROR(INDEX('包络曲线数据'!$B$2:$U$742,ROW()-1,MATCH(G$1,'包络曲线数据'!$B$1:$U$1,0)),""))</x:f>
      </x:c>
    </x:row>
    <x:row r="361">
      <x:c r="A361" t="n">
        <x:v>35.9</x:v>
      </x:c>
      <x:c r="B361" t="str">
        <x:f>IF(B$1="","",IFERROR(INDEX('包络曲线数据'!$B$2:$U$742,ROW()-1,MATCH(B$1,'包络曲线数据'!$B$1:$U$1,0)),""))</x:f>
      </x:c>
      <x:c r="C361" t="n">
        <x:f>IF(C$1="","",IFERROR(INDEX('包络曲线数据'!$B$2:$U$742,ROW()-1,MATCH(C$1,'包络曲线数据'!$B$1:$U$1,0)),""))</x:f>
        <x:v>75.54475037592198</x:v>
      </x:c>
      <x:c r="D361" t="str">
        <x:f>IF(D$1="","",IFERROR(INDEX('包络曲线数据'!$B$2:$U$742,ROW()-1,MATCH(D$1,'包络曲线数据'!$B$1:$U$1,0)),""))</x:f>
      </x:c>
      <x:c r="E361" t="str">
        <x:f>IF(E$1="","",IFERROR(INDEX('包络曲线数据'!$B$2:$U$742,ROW()-1,MATCH(E$1,'包络曲线数据'!$B$1:$U$1,0)),""))</x:f>
      </x:c>
      <x:c r="F361" t="str">
        <x:f>IF(F$1="","",IFERROR(INDEX('包络曲线数据'!$B$2:$U$742,ROW()-1,MATCH(F$1,'包络曲线数据'!$B$1:$U$1,0)),""))</x:f>
      </x:c>
      <x:c r="G361" t="str">
        <x:f>IF(G$1="","",IFERROR(INDEX('包络曲线数据'!$B$2:$U$742,ROW()-1,MATCH(G$1,'包络曲线数据'!$B$1:$U$1,0)),""))</x:f>
      </x:c>
    </x:row>
    <x:row r="362">
      <x:c r="A362" t="n">
        <x:v>36</x:v>
      </x:c>
      <x:c r="B362" t="str">
        <x:f>IF(B$1="","",IFERROR(INDEX('包络曲线数据'!$B$2:$U$742,ROW()-1,MATCH(B$1,'包络曲线数据'!$B$1:$U$1,0)),""))</x:f>
      </x:c>
      <x:c r="C362" t="n">
        <x:f>IF(C$1="","",IFERROR(INDEX('包络曲线数据'!$B$2:$U$742,ROW()-1,MATCH(C$1,'包络曲线数据'!$B$1:$U$1,0)),""))</x:f>
        <x:v>76.17954612423381</x:v>
      </x:c>
      <x:c r="D362" t="str">
        <x:f>IF(D$1="","",IFERROR(INDEX('包络曲线数据'!$B$2:$U$742,ROW()-1,MATCH(D$1,'包络曲线数据'!$B$1:$U$1,0)),""))</x:f>
      </x:c>
      <x:c r="E362" t="str">
        <x:f>IF(E$1="","",IFERROR(INDEX('包络曲线数据'!$B$2:$U$742,ROW()-1,MATCH(E$1,'包络曲线数据'!$B$1:$U$1,0)),""))</x:f>
      </x:c>
      <x:c r="F362" t="str">
        <x:f>IF(F$1="","",IFERROR(INDEX('包络曲线数据'!$B$2:$U$742,ROW()-1,MATCH(F$1,'包络曲线数据'!$B$1:$U$1,0)),""))</x:f>
      </x:c>
      <x:c r="G362" t="str">
        <x:f>IF(G$1="","",IFERROR(INDEX('包络曲线数据'!$B$2:$U$742,ROW()-1,MATCH(G$1,'包络曲线数据'!$B$1:$U$1,0)),""))</x:f>
      </x:c>
    </x:row>
    <x:row r="363">
      <x:c r="A363" t="n">
        <x:v>36.1</x:v>
      </x:c>
      <x:c r="B363" t="str">
        <x:f>IF(B$1="","",IFERROR(INDEX('包络曲线数据'!$B$2:$U$742,ROW()-1,MATCH(B$1,'包络曲线数据'!$B$1:$U$1,0)),""))</x:f>
      </x:c>
      <x:c r="C363" t="n">
        <x:f>IF(C$1="","",IFERROR(INDEX('包络曲线数据'!$B$2:$U$742,ROW()-1,MATCH(C$1,'包络曲线数据'!$B$1:$U$1,0)),""))</x:f>
        <x:v>76.17954612423381</x:v>
      </x:c>
      <x:c r="D363" t="str">
        <x:f>IF(D$1="","",IFERROR(INDEX('包络曲线数据'!$B$2:$U$742,ROW()-1,MATCH(D$1,'包络曲线数据'!$B$1:$U$1,0)),""))</x:f>
      </x:c>
      <x:c r="E363" t="str">
        <x:f>IF(E$1="","",IFERROR(INDEX('包络曲线数据'!$B$2:$U$742,ROW()-1,MATCH(E$1,'包络曲线数据'!$B$1:$U$1,0)),""))</x:f>
      </x:c>
      <x:c r="F363" t="str">
        <x:f>IF(F$1="","",IFERROR(INDEX('包络曲线数据'!$B$2:$U$742,ROW()-1,MATCH(F$1,'包络曲线数据'!$B$1:$U$1,0)),""))</x:f>
      </x:c>
      <x:c r="G363" t="str">
        <x:f>IF(G$1="","",IFERROR(INDEX('包络曲线数据'!$B$2:$U$742,ROW()-1,MATCH(G$1,'包络曲线数据'!$B$1:$U$1,0)),""))</x:f>
      </x:c>
    </x:row>
    <x:row r="364">
      <x:c r="A364" t="n">
        <x:v>36.2</x:v>
      </x:c>
      <x:c r="B364" t="str">
        <x:f>IF(B$1="","",IFERROR(INDEX('包络曲线数据'!$B$2:$U$742,ROW()-1,MATCH(B$1,'包络曲线数据'!$B$1:$U$1,0)),""))</x:f>
      </x:c>
      <x:c r="C364" t="n">
        <x:f>IF(C$1="","",IFERROR(INDEX('包络曲线数据'!$B$2:$U$742,ROW()-1,MATCH(C$1,'包络曲线数据'!$B$1:$U$1,0)),""))</x:f>
        <x:v>76.06981553279765</x:v>
      </x:c>
      <x:c r="D364" t="str">
        <x:f>IF(D$1="","",IFERROR(INDEX('包络曲线数据'!$B$2:$U$742,ROW()-1,MATCH(D$1,'包络曲线数据'!$B$1:$U$1,0)),""))</x:f>
      </x:c>
      <x:c r="E364" t="str">
        <x:f>IF(E$1="","",IFERROR(INDEX('包络曲线数据'!$B$2:$U$742,ROW()-1,MATCH(E$1,'包络曲线数据'!$B$1:$U$1,0)),""))</x:f>
      </x:c>
      <x:c r="F364" t="str">
        <x:f>IF(F$1="","",IFERROR(INDEX('包络曲线数据'!$B$2:$U$742,ROW()-1,MATCH(F$1,'包络曲线数据'!$B$1:$U$1,0)),""))</x:f>
      </x:c>
      <x:c r="G364" t="str">
        <x:f>IF(G$1="","",IFERROR(INDEX('包络曲线数据'!$B$2:$U$742,ROW()-1,MATCH(G$1,'包络曲线数据'!$B$1:$U$1,0)),""))</x:f>
      </x:c>
    </x:row>
    <x:row r="365">
      <x:c r="A365" t="n">
        <x:v>36.300000000000004</x:v>
      </x:c>
      <x:c r="B365" t="str">
        <x:f>IF(B$1="","",IFERROR(INDEX('包络曲线数据'!$B$2:$U$742,ROW()-1,MATCH(B$1,'包络曲线数据'!$B$1:$U$1,0)),""))</x:f>
      </x:c>
      <x:c r="C365" t="n">
        <x:f>IF(C$1="","",IFERROR(INDEX('包络曲线数据'!$B$2:$U$742,ROW()-1,MATCH(C$1,'包络曲线数据'!$B$1:$U$1,0)),""))</x:f>
        <x:v>76.06981553279765</x:v>
      </x:c>
      <x:c r="D365" t="str">
        <x:f>IF(D$1="","",IFERROR(INDEX('包络曲线数据'!$B$2:$U$742,ROW()-1,MATCH(D$1,'包络曲线数据'!$B$1:$U$1,0)),""))</x:f>
      </x:c>
      <x:c r="E365" t="str">
        <x:f>IF(E$1="","",IFERROR(INDEX('包络曲线数据'!$B$2:$U$742,ROW()-1,MATCH(E$1,'包络曲线数据'!$B$1:$U$1,0)),""))</x:f>
      </x:c>
      <x:c r="F365" t="str">
        <x:f>IF(F$1="","",IFERROR(INDEX('包络曲线数据'!$B$2:$U$742,ROW()-1,MATCH(F$1,'包络曲线数据'!$B$1:$U$1,0)),""))</x:f>
      </x:c>
      <x:c r="G365" t="str">
        <x:f>IF(G$1="","",IFERROR(INDEX('包络曲线数据'!$B$2:$U$742,ROW()-1,MATCH(G$1,'包络曲线数据'!$B$1:$U$1,0)),""))</x:f>
      </x:c>
    </x:row>
    <x:row r="366">
      <x:c r="A366" t="n">
        <x:v>36.4</x:v>
      </x:c>
      <x:c r="B366" t="str">
        <x:f>IF(B$1="","",IFERROR(INDEX('包络曲线数据'!$B$2:$U$742,ROW()-1,MATCH(B$1,'包络曲线数据'!$B$1:$U$1,0)),""))</x:f>
      </x:c>
      <x:c r="C366" t="n">
        <x:f>IF(C$1="","",IFERROR(INDEX('包络曲线数据'!$B$2:$U$742,ROW()-1,MATCH(C$1,'包络曲线数据'!$B$1:$U$1,0)),""))</x:f>
        <x:v>74.58406304220308</x:v>
      </x:c>
      <x:c r="D366" t="str">
        <x:f>IF(D$1="","",IFERROR(INDEX('包络曲线数据'!$B$2:$U$742,ROW()-1,MATCH(D$1,'包络曲线数据'!$B$1:$U$1,0)),""))</x:f>
      </x:c>
      <x:c r="E366" t="str">
        <x:f>IF(E$1="","",IFERROR(INDEX('包络曲线数据'!$B$2:$U$742,ROW()-1,MATCH(E$1,'包络曲线数据'!$B$1:$U$1,0)),""))</x:f>
      </x:c>
      <x:c r="F366" t="str">
        <x:f>IF(F$1="","",IFERROR(INDEX('包络曲线数据'!$B$2:$U$742,ROW()-1,MATCH(F$1,'包络曲线数据'!$B$1:$U$1,0)),""))</x:f>
      </x:c>
      <x:c r="G366" t="str">
        <x:f>IF(G$1="","",IFERROR(INDEX('包络曲线数据'!$B$2:$U$742,ROW()-1,MATCH(G$1,'包络曲线数据'!$B$1:$U$1,0)),""))</x:f>
      </x:c>
    </x:row>
    <x:row r="367">
      <x:c r="A367" t="n">
        <x:v>36.5</x:v>
      </x:c>
      <x:c r="B367" t="str">
        <x:f>IF(B$1="","",IFERROR(INDEX('包络曲线数据'!$B$2:$U$742,ROW()-1,MATCH(B$1,'包络曲线数据'!$B$1:$U$1,0)),""))</x:f>
      </x:c>
      <x:c r="C367" t="n">
        <x:f>IF(C$1="","",IFERROR(INDEX('包络曲线数据'!$B$2:$U$742,ROW()-1,MATCH(C$1,'包络曲线数据'!$B$1:$U$1,0)),""))</x:f>
        <x:v>73.69596114106348</x:v>
      </x:c>
      <x:c r="D367" t="str">
        <x:f>IF(D$1="","",IFERROR(INDEX('包络曲线数据'!$B$2:$U$742,ROW()-1,MATCH(D$1,'包络曲线数据'!$B$1:$U$1,0)),""))</x:f>
      </x:c>
      <x:c r="E367" t="str">
        <x:f>IF(E$1="","",IFERROR(INDEX('包络曲线数据'!$B$2:$U$742,ROW()-1,MATCH(E$1,'包络曲线数据'!$B$1:$U$1,0)),""))</x:f>
      </x:c>
      <x:c r="F367" t="str">
        <x:f>IF(F$1="","",IFERROR(INDEX('包络曲线数据'!$B$2:$U$742,ROW()-1,MATCH(F$1,'包络曲线数据'!$B$1:$U$1,0)),""))</x:f>
      </x:c>
      <x:c r="G367" t="str">
        <x:f>IF(G$1="","",IFERROR(INDEX('包络曲线数据'!$B$2:$U$742,ROW()-1,MATCH(G$1,'包络曲线数据'!$B$1:$U$1,0)),""))</x:f>
      </x:c>
    </x:row>
    <x:row r="368">
      <x:c r="A368" t="n">
        <x:v>36.6</x:v>
      </x:c>
      <x:c r="B368" t="str">
        <x:f>IF(B$1="","",IFERROR(INDEX('包络曲线数据'!$B$2:$U$742,ROW()-1,MATCH(B$1,'包络曲线数据'!$B$1:$U$1,0)),""))</x:f>
      </x:c>
      <x:c r="C368" t="n">
        <x:f>IF(C$1="","",IFERROR(INDEX('包络曲线数据'!$B$2:$U$742,ROW()-1,MATCH(C$1,'包络曲线数据'!$B$1:$U$1,0)),""))</x:f>
        <x:v>69.70607009577837</x:v>
      </x:c>
      <x:c r="D368" t="str">
        <x:f>IF(D$1="","",IFERROR(INDEX('包络曲线数据'!$B$2:$U$742,ROW()-1,MATCH(D$1,'包络曲线数据'!$B$1:$U$1,0)),""))</x:f>
      </x:c>
      <x:c r="E368" t="str">
        <x:f>IF(E$1="","",IFERROR(INDEX('包络曲线数据'!$B$2:$U$742,ROW()-1,MATCH(E$1,'包络曲线数据'!$B$1:$U$1,0)),""))</x:f>
      </x:c>
      <x:c r="F368" t="str">
        <x:f>IF(F$1="","",IFERROR(INDEX('包络曲线数据'!$B$2:$U$742,ROW()-1,MATCH(F$1,'包络曲线数据'!$B$1:$U$1,0)),""))</x:f>
      </x:c>
      <x:c r="G368" t="str">
        <x:f>IF(G$1="","",IFERROR(INDEX('包络曲线数据'!$B$2:$U$742,ROW()-1,MATCH(G$1,'包络曲线数据'!$B$1:$U$1,0)),""))</x:f>
      </x:c>
    </x:row>
    <x:row r="369">
      <x:c r="A369" t="n">
        <x:v>36.7</x:v>
      </x:c>
      <x:c r="B369" t="str">
        <x:f>IF(B$1="","",IFERROR(INDEX('包络曲线数据'!$B$2:$U$742,ROW()-1,MATCH(B$1,'包络曲线数据'!$B$1:$U$1,0)),""))</x:f>
      </x:c>
      <x:c r="C369" t="n">
        <x:f>IF(C$1="","",IFERROR(INDEX('包络曲线数据'!$B$2:$U$742,ROW()-1,MATCH(C$1,'包络曲线数据'!$B$1:$U$1,0)),""))</x:f>
        <x:v>77.1322254449236</x:v>
      </x:c>
      <x:c r="D369" t="str">
        <x:f>IF(D$1="","",IFERROR(INDEX('包络曲线数据'!$B$2:$U$742,ROW()-1,MATCH(D$1,'包络曲线数据'!$B$1:$U$1,0)),""))</x:f>
      </x:c>
      <x:c r="E369" t="str">
        <x:f>IF(E$1="","",IFERROR(INDEX('包络曲线数据'!$B$2:$U$742,ROW()-1,MATCH(E$1,'包络曲线数据'!$B$1:$U$1,0)),""))</x:f>
      </x:c>
      <x:c r="F369" t="str">
        <x:f>IF(F$1="","",IFERROR(INDEX('包络曲线数据'!$B$2:$U$742,ROW()-1,MATCH(F$1,'包络曲线数据'!$B$1:$U$1,0)),""))</x:f>
      </x:c>
      <x:c r="G369" t="str">
        <x:f>IF(G$1="","",IFERROR(INDEX('包络曲线数据'!$B$2:$U$742,ROW()-1,MATCH(G$1,'包络曲线数据'!$B$1:$U$1,0)),""))</x:f>
      </x:c>
    </x:row>
    <x:row r="370">
      <x:c r="A370" t="n">
        <x:v>36.800000000000004</x:v>
      </x:c>
      <x:c r="B370" t="str">
        <x:f>IF(B$1="","",IFERROR(INDEX('包络曲线数据'!$B$2:$U$742,ROW()-1,MATCH(B$1,'包络曲线数据'!$B$1:$U$1,0)),""))</x:f>
      </x:c>
      <x:c r="C370" t="n">
        <x:f>IF(C$1="","",IFERROR(INDEX('包络曲线数据'!$B$2:$U$742,ROW()-1,MATCH(C$1,'包络曲线数据'!$B$1:$U$1,0)),""))</x:f>
        <x:v>81.51214433985344</x:v>
      </x:c>
      <x:c r="D370" t="str">
        <x:f>IF(D$1="","",IFERROR(INDEX('包络曲线数据'!$B$2:$U$742,ROW()-1,MATCH(D$1,'包络曲线数据'!$B$1:$U$1,0)),""))</x:f>
      </x:c>
      <x:c r="E370" t="str">
        <x:f>IF(E$1="","",IFERROR(INDEX('包络曲线数据'!$B$2:$U$742,ROW()-1,MATCH(E$1,'包络曲线数据'!$B$1:$U$1,0)),""))</x:f>
      </x:c>
      <x:c r="F370" t="str">
        <x:f>IF(F$1="","",IFERROR(INDEX('包络曲线数据'!$B$2:$U$742,ROW()-1,MATCH(F$1,'包络曲线数据'!$B$1:$U$1,0)),""))</x:f>
      </x:c>
      <x:c r="G370" t="str">
        <x:f>IF(G$1="","",IFERROR(INDEX('包络曲线数据'!$B$2:$U$742,ROW()-1,MATCH(G$1,'包络曲线数据'!$B$1:$U$1,0)),""))</x:f>
      </x:c>
    </x:row>
    <x:row r="371">
      <x:c r="A371" t="n">
        <x:v>36.9</x:v>
      </x:c>
      <x:c r="B371" t="str">
        <x:f>IF(B$1="","",IFERROR(INDEX('包络曲线数据'!$B$2:$U$742,ROW()-1,MATCH(B$1,'包络曲线数据'!$B$1:$U$1,0)),""))</x:f>
      </x:c>
      <x:c r="C371" t="n">
        <x:f>IF(C$1="","",IFERROR(INDEX('包络曲线数据'!$B$2:$U$742,ROW()-1,MATCH(C$1,'包络曲线数据'!$B$1:$U$1,0)),""))</x:f>
        <x:v>81.51214433985344</x:v>
      </x:c>
      <x:c r="D371" t="str">
        <x:f>IF(D$1="","",IFERROR(INDEX('包络曲线数据'!$B$2:$U$742,ROW()-1,MATCH(D$1,'包络曲线数据'!$B$1:$U$1,0)),""))</x:f>
      </x:c>
      <x:c r="E371" t="str">
        <x:f>IF(E$1="","",IFERROR(INDEX('包络曲线数据'!$B$2:$U$742,ROW()-1,MATCH(E$1,'包络曲线数据'!$B$1:$U$1,0)),""))</x:f>
      </x:c>
      <x:c r="F371" t="str">
        <x:f>IF(F$1="","",IFERROR(INDEX('包络曲线数据'!$B$2:$U$742,ROW()-1,MATCH(F$1,'包络曲线数据'!$B$1:$U$1,0)),""))</x:f>
      </x:c>
      <x:c r="G371" t="str">
        <x:f>IF(G$1="","",IFERROR(INDEX('包络曲线数据'!$B$2:$U$742,ROW()-1,MATCH(G$1,'包络曲线数据'!$B$1:$U$1,0)),""))</x:f>
      </x:c>
    </x:row>
    <x:row r="372">
      <x:c r="A372" t="n">
        <x:v>37</x:v>
      </x:c>
      <x:c r="B372" t="str">
        <x:f>IF(B$1="","",IFERROR(INDEX('包络曲线数据'!$B$2:$U$742,ROW()-1,MATCH(B$1,'包络曲线数据'!$B$1:$U$1,0)),""))</x:f>
      </x:c>
      <x:c r="C372" t="n">
        <x:f>IF(C$1="","",IFERROR(INDEX('包络曲线数据'!$B$2:$U$742,ROW()-1,MATCH(C$1,'包络曲线数据'!$B$1:$U$1,0)),""))</x:f>
        <x:v>71.39039561713604</x:v>
      </x:c>
      <x:c r="D372" t="str">
        <x:f>IF(D$1="","",IFERROR(INDEX('包络曲线数据'!$B$2:$U$742,ROW()-1,MATCH(D$1,'包络曲线数据'!$B$1:$U$1,0)),""))</x:f>
      </x:c>
      <x:c r="E372" t="str">
        <x:f>IF(E$1="","",IFERROR(INDEX('包络曲线数据'!$B$2:$U$742,ROW()-1,MATCH(E$1,'包络曲线数据'!$B$1:$U$1,0)),""))</x:f>
      </x:c>
      <x:c r="F372" t="str">
        <x:f>IF(F$1="","",IFERROR(INDEX('包络曲线数据'!$B$2:$U$742,ROW()-1,MATCH(F$1,'包络曲线数据'!$B$1:$U$1,0)),""))</x:f>
      </x:c>
      <x:c r="G372" t="str">
        <x:f>IF(G$1="","",IFERROR(INDEX('包络曲线数据'!$B$2:$U$742,ROW()-1,MATCH(G$1,'包络曲线数据'!$B$1:$U$1,0)),""))</x:f>
      </x:c>
    </x:row>
    <x:row r="373">
      <x:c r="A373" t="n">
        <x:v>37.1</x:v>
      </x:c>
      <x:c r="B373" t="str">
        <x:f>IF(B$1="","",IFERROR(INDEX('包络曲线数据'!$B$2:$U$742,ROW()-1,MATCH(B$1,'包络曲线数据'!$B$1:$U$1,0)),""))</x:f>
      </x:c>
      <x:c r="C373" t="n">
        <x:f>IF(C$1="","",IFERROR(INDEX('包络曲线数据'!$B$2:$U$742,ROW()-1,MATCH(C$1,'包络曲线数据'!$B$1:$U$1,0)),""))</x:f>
        <x:v>62.24509428617573</x:v>
      </x:c>
      <x:c r="D373" t="str">
        <x:f>IF(D$1="","",IFERROR(INDEX('包络曲线数据'!$B$2:$U$742,ROW()-1,MATCH(D$1,'包络曲线数据'!$B$1:$U$1,0)),""))</x:f>
      </x:c>
      <x:c r="E373" t="str">
        <x:f>IF(E$1="","",IFERROR(INDEX('包络曲线数据'!$B$2:$U$742,ROW()-1,MATCH(E$1,'包络曲线数据'!$B$1:$U$1,0)),""))</x:f>
      </x:c>
      <x:c r="F373" t="str">
        <x:f>IF(F$1="","",IFERROR(INDEX('包络曲线数据'!$B$2:$U$742,ROW()-1,MATCH(F$1,'包络曲线数据'!$B$1:$U$1,0)),""))</x:f>
      </x:c>
      <x:c r="G373" t="str">
        <x:f>IF(G$1="","",IFERROR(INDEX('包络曲线数据'!$B$2:$U$742,ROW()-1,MATCH(G$1,'包络曲线数据'!$B$1:$U$1,0)),""))</x:f>
      </x:c>
    </x:row>
    <x:row r="374">
      <x:c r="A374" t="n">
        <x:v>37.2</x:v>
      </x:c>
      <x:c r="B374" t="str">
        <x:f>IF(B$1="","",IFERROR(INDEX('包络曲线数据'!$B$2:$U$742,ROW()-1,MATCH(B$1,'包络曲线数据'!$B$1:$U$1,0)),""))</x:f>
      </x:c>
      <x:c r="C374" t="n">
        <x:f>IF(C$1="","",IFERROR(INDEX('包络曲线数据'!$B$2:$U$742,ROW()-1,MATCH(C$1,'包络曲线数据'!$B$1:$U$1,0)),""))</x:f>
        <x:v>64.4650637036507</x:v>
      </x:c>
      <x:c r="D374" t="str">
        <x:f>IF(D$1="","",IFERROR(INDEX('包络曲线数据'!$B$2:$U$742,ROW()-1,MATCH(D$1,'包络曲线数据'!$B$1:$U$1,0)),""))</x:f>
      </x:c>
      <x:c r="E374" t="str">
        <x:f>IF(E$1="","",IFERROR(INDEX('包络曲线数据'!$B$2:$U$742,ROW()-1,MATCH(E$1,'包络曲线数据'!$B$1:$U$1,0)),""))</x:f>
      </x:c>
      <x:c r="F374" t="str">
        <x:f>IF(F$1="","",IFERROR(INDEX('包络曲线数据'!$B$2:$U$742,ROW()-1,MATCH(F$1,'包络曲线数据'!$B$1:$U$1,0)),""))</x:f>
      </x:c>
      <x:c r="G374" t="str">
        <x:f>IF(G$1="","",IFERROR(INDEX('包络曲线数据'!$B$2:$U$742,ROW()-1,MATCH(G$1,'包络曲线数据'!$B$1:$U$1,0)),""))</x:f>
      </x:c>
    </x:row>
    <x:row r="375">
      <x:c r="A375" t="n">
        <x:v>37.300000000000004</x:v>
      </x:c>
      <x:c r="B375" t="str">
        <x:f>IF(B$1="","",IFERROR(INDEX('包络曲线数据'!$B$2:$U$742,ROW()-1,MATCH(B$1,'包络曲线数据'!$B$1:$U$1,0)),""))</x:f>
      </x:c>
      <x:c r="C375" t="n">
        <x:f>IF(C$1="","",IFERROR(INDEX('包络曲线数据'!$B$2:$U$742,ROW()-1,MATCH(C$1,'包络曲线数据'!$B$1:$U$1,0)),""))</x:f>
        <x:v>66.68503312112567</x:v>
      </x:c>
      <x:c r="D375" t="str">
        <x:f>IF(D$1="","",IFERROR(INDEX('包络曲线数据'!$B$2:$U$742,ROW()-1,MATCH(D$1,'包络曲线数据'!$B$1:$U$1,0)),""))</x:f>
      </x:c>
      <x:c r="E375" t="str">
        <x:f>IF(E$1="","",IFERROR(INDEX('包络曲线数据'!$B$2:$U$742,ROW()-1,MATCH(E$1,'包络曲线数据'!$B$1:$U$1,0)),""))</x:f>
      </x:c>
      <x:c r="F375" t="str">
        <x:f>IF(F$1="","",IFERROR(INDEX('包络曲线数据'!$B$2:$U$742,ROW()-1,MATCH(F$1,'包络曲线数据'!$B$1:$U$1,0)),""))</x:f>
      </x:c>
      <x:c r="G375" t="str">
        <x:f>IF(G$1="","",IFERROR(INDEX('包络曲线数据'!$B$2:$U$742,ROW()-1,MATCH(G$1,'包络曲线数据'!$B$1:$U$1,0)),""))</x:f>
      </x:c>
    </x:row>
    <x:row r="376">
      <x:c r="A376" t="n">
        <x:v>37.4</x:v>
      </x:c>
      <x:c r="B376" t="str">
        <x:f>IF(B$1="","",IFERROR(INDEX('包络曲线数据'!$B$2:$U$742,ROW()-1,MATCH(B$1,'包络曲线数据'!$B$1:$U$1,0)),""))</x:f>
      </x:c>
      <x:c r="C376" t="n">
        <x:f>IF(C$1="","",IFERROR(INDEX('包络曲线数据'!$B$2:$U$742,ROW()-1,MATCH(C$1,'包络曲线数据'!$B$1:$U$1,0)),""))</x:f>
        <x:v>68.90500253860048</x:v>
      </x:c>
      <x:c r="D376" t="str">
        <x:f>IF(D$1="","",IFERROR(INDEX('包络曲线数据'!$B$2:$U$742,ROW()-1,MATCH(D$1,'包络曲线数据'!$B$1:$U$1,0)),""))</x:f>
      </x:c>
      <x:c r="E376" t="str">
        <x:f>IF(E$1="","",IFERROR(INDEX('包络曲线数据'!$B$2:$U$742,ROW()-1,MATCH(E$1,'包络曲线数据'!$B$1:$U$1,0)),""))</x:f>
      </x:c>
      <x:c r="F376" t="str">
        <x:f>IF(F$1="","",IFERROR(INDEX('包络曲线数据'!$B$2:$U$742,ROW()-1,MATCH(F$1,'包络曲线数据'!$B$1:$U$1,0)),""))</x:f>
      </x:c>
      <x:c r="G376" t="str">
        <x:f>IF(G$1="","",IFERROR(INDEX('包络曲线数据'!$B$2:$U$742,ROW()-1,MATCH(G$1,'包络曲线数据'!$B$1:$U$1,0)),""))</x:f>
      </x:c>
    </x:row>
    <x:row r="377">
      <x:c r="A377" t="n">
        <x:v>37.5</x:v>
      </x:c>
      <x:c r="B377" t="str">
        <x:f>IF(B$1="","",IFERROR(INDEX('包络曲线数据'!$B$2:$U$742,ROW()-1,MATCH(B$1,'包络曲线数据'!$B$1:$U$1,0)),""))</x:f>
      </x:c>
      <x:c r="C377" t="n">
        <x:f>IF(C$1="","",IFERROR(INDEX('包络曲线数据'!$B$2:$U$742,ROW()-1,MATCH(C$1,'包络曲线数据'!$B$1:$U$1,0)),""))</x:f>
        <x:v>70.2369841890855</x:v>
      </x:c>
      <x:c r="D377" t="str">
        <x:f>IF(D$1="","",IFERROR(INDEX('包络曲线数据'!$B$2:$U$742,ROW()-1,MATCH(D$1,'包络曲线数据'!$B$1:$U$1,0)),""))</x:f>
      </x:c>
      <x:c r="E377" t="str">
        <x:f>IF(E$1="","",IFERROR(INDEX('包络曲线数据'!$B$2:$U$742,ROW()-1,MATCH(E$1,'包络曲线数据'!$B$1:$U$1,0)),""))</x:f>
      </x:c>
      <x:c r="F377" t="str">
        <x:f>IF(F$1="","",IFERROR(INDEX('包络曲线数据'!$B$2:$U$742,ROW()-1,MATCH(F$1,'包络曲线数据'!$B$1:$U$1,0)),""))</x:f>
      </x:c>
      <x:c r="G377" t="str">
        <x:f>IF(G$1="","",IFERROR(INDEX('包络曲线数据'!$B$2:$U$742,ROW()-1,MATCH(G$1,'包络曲线数据'!$B$1:$U$1,0)),""))</x:f>
      </x:c>
    </x:row>
    <x:row r="378">
      <x:c r="A378" t="n">
        <x:v>37.6</x:v>
      </x:c>
      <x:c r="B378" t="str">
        <x:f>IF(B$1="","",IFERROR(INDEX('包络曲线数据'!$B$2:$U$742,ROW()-1,MATCH(B$1,'包络曲线数据'!$B$1:$U$1,0)),""))</x:f>
      </x:c>
      <x:c r="C378" t="n">
        <x:f>IF(C$1="","",IFERROR(INDEX('包络曲线数据'!$B$2:$U$742,ROW()-1,MATCH(C$1,'包络曲线数据'!$B$1:$U$1,0)),""))</x:f>
        <x:v>74.01799449726502</x:v>
      </x:c>
      <x:c r="D378" t="str">
        <x:f>IF(D$1="","",IFERROR(INDEX('包络曲线数据'!$B$2:$U$742,ROW()-1,MATCH(D$1,'包络曲线数据'!$B$1:$U$1,0)),""))</x:f>
      </x:c>
      <x:c r="E378" t="str">
        <x:f>IF(E$1="","",IFERROR(INDEX('包络曲线数据'!$B$2:$U$742,ROW()-1,MATCH(E$1,'包络曲线数据'!$B$1:$U$1,0)),""))</x:f>
      </x:c>
      <x:c r="F378" t="str">
        <x:f>IF(F$1="","",IFERROR(INDEX('包络曲线数据'!$B$2:$U$742,ROW()-1,MATCH(F$1,'包络曲线数据'!$B$1:$U$1,0)),""))</x:f>
      </x:c>
      <x:c r="G378" t="str">
        <x:f>IF(G$1="","",IFERROR(INDEX('包络曲线数据'!$B$2:$U$742,ROW()-1,MATCH(G$1,'包络曲线数据'!$B$1:$U$1,0)),""))</x:f>
      </x:c>
    </x:row>
    <x:row r="379">
      <x:c r="A379" t="n">
        <x:v>37.7</x:v>
      </x:c>
      <x:c r="B379" t="str">
        <x:f>IF(B$1="","",IFERROR(INDEX('包络曲线数据'!$B$2:$U$742,ROW()-1,MATCH(B$1,'包络曲线数据'!$B$1:$U$1,0)),""))</x:f>
      </x:c>
      <x:c r="C379" t="n">
        <x:f>IF(C$1="","",IFERROR(INDEX('包络曲线数据'!$B$2:$U$742,ROW()-1,MATCH(C$1,'包络曲线数据'!$B$1:$U$1,0)),""))</x:f>
        <x:v>74.76941645250548</x:v>
      </x:c>
      <x:c r="D379" t="str">
        <x:f>IF(D$1="","",IFERROR(INDEX('包络曲线数据'!$B$2:$U$742,ROW()-1,MATCH(D$1,'包络曲线数据'!$B$1:$U$1,0)),""))</x:f>
      </x:c>
      <x:c r="E379" t="str">
        <x:f>IF(E$1="","",IFERROR(INDEX('包络曲线数据'!$B$2:$U$742,ROW()-1,MATCH(E$1,'包络曲线数据'!$B$1:$U$1,0)),""))</x:f>
      </x:c>
      <x:c r="F379" t="str">
        <x:f>IF(F$1="","",IFERROR(INDEX('包络曲线数据'!$B$2:$U$742,ROW()-1,MATCH(F$1,'包络曲线数据'!$B$1:$U$1,0)),""))</x:f>
      </x:c>
      <x:c r="G379" t="str">
        <x:f>IF(G$1="","",IFERROR(INDEX('包络曲线数据'!$B$2:$U$742,ROW()-1,MATCH(G$1,'包络曲线数据'!$B$1:$U$1,0)),""))</x:f>
      </x:c>
    </x:row>
    <x:row r="380">
      <x:c r="A380" t="n">
        <x:v>37.800000000000004</x:v>
      </x:c>
      <x:c r="B380" t="str">
        <x:f>IF(B$1="","",IFERROR(INDEX('包络曲线数据'!$B$2:$U$742,ROW()-1,MATCH(B$1,'包络曲线数据'!$B$1:$U$1,0)),""))</x:f>
      </x:c>
      <x:c r="C380" t="n">
        <x:f>IF(C$1="","",IFERROR(INDEX('包络曲线数据'!$B$2:$U$742,ROW()-1,MATCH(C$1,'包络曲线数据'!$B$1:$U$1,0)),""))</x:f>
        <x:v>74.08143959510727</x:v>
      </x:c>
      <x:c r="D380" t="str">
        <x:f>IF(D$1="","",IFERROR(INDEX('包络曲线数据'!$B$2:$U$742,ROW()-1,MATCH(D$1,'包络曲线数据'!$B$1:$U$1,0)),""))</x:f>
      </x:c>
      <x:c r="E380" t="str">
        <x:f>IF(E$1="","",IFERROR(INDEX('包络曲线数据'!$B$2:$U$742,ROW()-1,MATCH(E$1,'包络曲线数据'!$B$1:$U$1,0)),""))</x:f>
      </x:c>
      <x:c r="F380" t="str">
        <x:f>IF(F$1="","",IFERROR(INDEX('包络曲线数据'!$B$2:$U$742,ROW()-1,MATCH(F$1,'包络曲线数据'!$B$1:$U$1,0)),""))</x:f>
      </x:c>
      <x:c r="G380" t="str">
        <x:f>IF(G$1="","",IFERROR(INDEX('包络曲线数据'!$B$2:$U$742,ROW()-1,MATCH(G$1,'包络曲线数据'!$B$1:$U$1,0)),""))</x:f>
      </x:c>
    </x:row>
    <x:row r="381">
      <x:c r="A381" t="n">
        <x:v>37.9</x:v>
      </x:c>
      <x:c r="B381" t="str">
        <x:f>IF(B$1="","",IFERROR(INDEX('包络曲线数据'!$B$2:$U$742,ROW()-1,MATCH(B$1,'包络曲线数据'!$B$1:$U$1,0)),""))</x:f>
      </x:c>
      <x:c r="C381" t="n">
        <x:f>IF(C$1="","",IFERROR(INDEX('包络曲线数据'!$B$2:$U$742,ROW()-1,MATCH(C$1,'包络曲线数据'!$B$1:$U$1,0)),""))</x:f>
        <x:v>63.13886557374512</x:v>
      </x:c>
      <x:c r="D381" t="str">
        <x:f>IF(D$1="","",IFERROR(INDEX('包络曲线数据'!$B$2:$U$742,ROW()-1,MATCH(D$1,'包络曲线数据'!$B$1:$U$1,0)),""))</x:f>
      </x:c>
      <x:c r="E381" t="str">
        <x:f>IF(E$1="","",IFERROR(INDEX('包络曲线数据'!$B$2:$U$742,ROW()-1,MATCH(E$1,'包络曲线数据'!$B$1:$U$1,0)),""))</x:f>
      </x:c>
      <x:c r="F381" t="str">
        <x:f>IF(F$1="","",IFERROR(INDEX('包络曲线数据'!$B$2:$U$742,ROW()-1,MATCH(F$1,'包络曲线数据'!$B$1:$U$1,0)),""))</x:f>
      </x:c>
      <x:c r="G381" t="str">
        <x:f>IF(G$1="","",IFERROR(INDEX('包络曲线数据'!$B$2:$U$742,ROW()-1,MATCH(G$1,'包络曲线数据'!$B$1:$U$1,0)),""))</x:f>
      </x:c>
    </x:row>
    <x:row r="382">
      <x:c r="A382" t="n">
        <x:v>38</x:v>
      </x:c>
      <x:c r="B382" t="str">
        <x:f>IF(B$1="","",IFERROR(INDEX('包络曲线数据'!$B$2:$U$742,ROW()-1,MATCH(B$1,'包络曲线数据'!$B$1:$U$1,0)),""))</x:f>
      </x:c>
      <x:c r="C382" t="n">
        <x:f>IF(C$1="","",IFERROR(INDEX('包络曲线数据'!$B$2:$U$742,ROW()-1,MATCH(C$1,'包络曲线数据'!$B$1:$U$1,0)),""))</x:f>
        <x:v>69.54404472325291</x:v>
      </x:c>
      <x:c r="D382" t="str">
        <x:f>IF(D$1="","",IFERROR(INDEX('包络曲线数据'!$B$2:$U$742,ROW()-1,MATCH(D$1,'包络曲线数据'!$B$1:$U$1,0)),""))</x:f>
      </x:c>
      <x:c r="E382" t="str">
        <x:f>IF(E$1="","",IFERROR(INDEX('包络曲线数据'!$B$2:$U$742,ROW()-1,MATCH(E$1,'包络曲线数据'!$B$1:$U$1,0)),""))</x:f>
      </x:c>
      <x:c r="F382" t="str">
        <x:f>IF(F$1="","",IFERROR(INDEX('包络曲线数据'!$B$2:$U$742,ROW()-1,MATCH(F$1,'包络曲线数据'!$B$1:$U$1,0)),""))</x:f>
      </x:c>
      <x:c r="G382" t="str">
        <x:f>IF(G$1="","",IFERROR(INDEX('包络曲线数据'!$B$2:$U$742,ROW()-1,MATCH(G$1,'包络曲线数据'!$B$1:$U$1,0)),""))</x:f>
      </x:c>
    </x:row>
    <x:row r="383">
      <x:c r="A383" t="n">
        <x:v>38.1</x:v>
      </x:c>
      <x:c r="B383" t="str">
        <x:f>IF(B$1="","",IFERROR(INDEX('包络曲线数据'!$B$2:$U$742,ROW()-1,MATCH(B$1,'包络曲线数据'!$B$1:$U$1,0)),""))</x:f>
      </x:c>
      <x:c r="C383" t="n">
        <x:f>IF(C$1="","",IFERROR(INDEX('包络曲线数据'!$B$2:$U$742,ROW()-1,MATCH(C$1,'包络曲线数据'!$B$1:$U$1,0)),""))</x:f>
        <x:v>72.37165809686175</x:v>
      </x:c>
      <x:c r="D383" t="str">
        <x:f>IF(D$1="","",IFERROR(INDEX('包络曲线数据'!$B$2:$U$742,ROW()-1,MATCH(D$1,'包络曲线数据'!$B$1:$U$1,0)),""))</x:f>
      </x:c>
      <x:c r="E383" t="str">
        <x:f>IF(E$1="","",IFERROR(INDEX('包络曲线数据'!$B$2:$U$742,ROW()-1,MATCH(E$1,'包络曲线数据'!$B$1:$U$1,0)),""))</x:f>
      </x:c>
      <x:c r="F383" t="str">
        <x:f>IF(F$1="","",IFERROR(INDEX('包络曲线数据'!$B$2:$U$742,ROW()-1,MATCH(F$1,'包络曲线数据'!$B$1:$U$1,0)),""))</x:f>
      </x:c>
      <x:c r="G383" t="str">
        <x:f>IF(G$1="","",IFERROR(INDEX('包络曲线数据'!$B$2:$U$742,ROW()-1,MATCH(G$1,'包络曲线数据'!$B$1:$U$1,0)),""))</x:f>
      </x:c>
    </x:row>
    <x:row r="384">
      <x:c r="A384" t="n">
        <x:v>38.2</x:v>
      </x:c>
      <x:c r="B384" t="str">
        <x:f>IF(B$1="","",IFERROR(INDEX('包络曲线数据'!$B$2:$U$742,ROW()-1,MATCH(B$1,'包络曲线数据'!$B$1:$U$1,0)),""))</x:f>
      </x:c>
      <x:c r="C384" t="n">
        <x:f>IF(C$1="","",IFERROR(INDEX('包络曲线数据'!$B$2:$U$742,ROW()-1,MATCH(C$1,'包络曲线数据'!$B$1:$U$1,0)),""))</x:f>
        <x:v>73.7627429014409</x:v>
      </x:c>
      <x:c r="D384" t="str">
        <x:f>IF(D$1="","",IFERROR(INDEX('包络曲线数据'!$B$2:$U$742,ROW()-1,MATCH(D$1,'包络曲线数据'!$B$1:$U$1,0)),""))</x:f>
      </x:c>
      <x:c r="E384" t="str">
        <x:f>IF(E$1="","",IFERROR(INDEX('包络曲线数据'!$B$2:$U$742,ROW()-1,MATCH(E$1,'包络曲线数据'!$B$1:$U$1,0)),""))</x:f>
      </x:c>
      <x:c r="F384" t="str">
        <x:f>IF(F$1="","",IFERROR(INDEX('包络曲线数据'!$B$2:$U$742,ROW()-1,MATCH(F$1,'包络曲线数据'!$B$1:$U$1,0)),""))</x:f>
      </x:c>
      <x:c r="G384" t="str">
        <x:f>IF(G$1="","",IFERROR(INDEX('包络曲线数据'!$B$2:$U$742,ROW()-1,MATCH(G$1,'包络曲线数据'!$B$1:$U$1,0)),""))</x:f>
      </x:c>
    </x:row>
    <x:row r="385">
      <x:c r="A385" t="n">
        <x:v>38.300000000000004</x:v>
      </x:c>
      <x:c r="B385" t="str">
        <x:f>IF(B$1="","",IFERROR(INDEX('包络曲线数据'!$B$2:$U$742,ROW()-1,MATCH(B$1,'包络曲线数据'!$B$1:$U$1,0)),""))</x:f>
      </x:c>
      <x:c r="C385" t="n">
        <x:f>IF(C$1="","",IFERROR(INDEX('包络曲线数据'!$B$2:$U$742,ROW()-1,MATCH(C$1,'包络曲线数据'!$B$1:$U$1,0)),""))</x:f>
        <x:v>74.63519486137332</x:v>
      </x:c>
      <x:c r="D385" t="str">
        <x:f>IF(D$1="","",IFERROR(INDEX('包络曲线数据'!$B$2:$U$742,ROW()-1,MATCH(D$1,'包络曲线数据'!$B$1:$U$1,0)),""))</x:f>
      </x:c>
      <x:c r="E385" t="str">
        <x:f>IF(E$1="","",IFERROR(INDEX('包络曲线数据'!$B$2:$U$742,ROW()-1,MATCH(E$1,'包络曲线数据'!$B$1:$U$1,0)),""))</x:f>
      </x:c>
      <x:c r="F385" t="str">
        <x:f>IF(F$1="","",IFERROR(INDEX('包络曲线数据'!$B$2:$U$742,ROW()-1,MATCH(F$1,'包络曲线数据'!$B$1:$U$1,0)),""))</x:f>
      </x:c>
      <x:c r="G385" t="str">
        <x:f>IF(G$1="","",IFERROR(INDEX('包络曲线数据'!$B$2:$U$742,ROW()-1,MATCH(G$1,'包络曲线数据'!$B$1:$U$1,0)),""))</x:f>
      </x:c>
    </x:row>
    <x:row r="386">
      <x:c r="A386" t="n">
        <x:v>38.400000000000006</x:v>
      </x:c>
      <x:c r="B386" t="str">
        <x:f>IF(B$1="","",IFERROR(INDEX('包络曲线数据'!$B$2:$U$742,ROW()-1,MATCH(B$1,'包络曲线数据'!$B$1:$U$1,0)),""))</x:f>
      </x:c>
      <x:c r="C386" t="n">
        <x:f>IF(C$1="","",IFERROR(INDEX('包络曲线数据'!$B$2:$U$742,ROW()-1,MATCH(C$1,'包络曲线数据'!$B$1:$U$1,0)),""))</x:f>
        <x:v>74.63519486137366</x:v>
      </x:c>
      <x:c r="D386" t="str">
        <x:f>IF(D$1="","",IFERROR(INDEX('包络曲线数据'!$B$2:$U$742,ROW()-1,MATCH(D$1,'包络曲线数据'!$B$1:$U$1,0)),""))</x:f>
      </x:c>
      <x:c r="E386" t="str">
        <x:f>IF(E$1="","",IFERROR(INDEX('包络曲线数据'!$B$2:$U$742,ROW()-1,MATCH(E$1,'包络曲线数据'!$B$1:$U$1,0)),""))</x:f>
      </x:c>
      <x:c r="F386" t="str">
        <x:f>IF(F$1="","",IFERROR(INDEX('包络曲线数据'!$B$2:$U$742,ROW()-1,MATCH(F$1,'包络曲线数据'!$B$1:$U$1,0)),""))</x:f>
      </x:c>
      <x:c r="G386" t="str">
        <x:f>IF(G$1="","",IFERROR(INDEX('包络曲线数据'!$B$2:$U$742,ROW()-1,MATCH(G$1,'包络曲线数据'!$B$1:$U$1,0)),""))</x:f>
      </x:c>
    </x:row>
    <x:row r="387">
      <x:c r="A387" t="n">
        <x:v>38.5</x:v>
      </x:c>
      <x:c r="B387" t="str">
        <x:f>IF(B$1="","",IFERROR(INDEX('包络曲线数据'!$B$2:$U$742,ROW()-1,MATCH(B$1,'包络曲线数据'!$B$1:$U$1,0)),""))</x:f>
      </x:c>
      <x:c r="C387" t="n">
        <x:f>IF(C$1="","",IFERROR(INDEX('包络曲线数据'!$B$2:$U$742,ROW()-1,MATCH(C$1,'包络曲线数据'!$B$1:$U$1,0)),""))</x:f>
        <x:v>75.6132451299164</x:v>
      </x:c>
      <x:c r="D387" t="str">
        <x:f>IF(D$1="","",IFERROR(INDEX('包络曲线数据'!$B$2:$U$742,ROW()-1,MATCH(D$1,'包络曲线数据'!$B$1:$U$1,0)),""))</x:f>
      </x:c>
      <x:c r="E387" t="str">
        <x:f>IF(E$1="","",IFERROR(INDEX('包络曲线数据'!$B$2:$U$742,ROW()-1,MATCH(E$1,'包络曲线数据'!$B$1:$U$1,0)),""))</x:f>
      </x:c>
      <x:c r="F387" t="str">
        <x:f>IF(F$1="","",IFERROR(INDEX('包络曲线数据'!$B$2:$U$742,ROW()-1,MATCH(F$1,'包络曲线数据'!$B$1:$U$1,0)),""))</x:f>
      </x:c>
      <x:c r="G387" t="str">
        <x:f>IF(G$1="","",IFERROR(INDEX('包络曲线数据'!$B$2:$U$742,ROW()-1,MATCH(G$1,'包络曲线数据'!$B$1:$U$1,0)),""))</x:f>
      </x:c>
    </x:row>
    <x:row r="388">
      <x:c r="A388" t="n">
        <x:v>38.6</x:v>
      </x:c>
      <x:c r="B388" t="str">
        <x:f>IF(B$1="","",IFERROR(INDEX('包络曲线数据'!$B$2:$U$742,ROW()-1,MATCH(B$1,'包络曲线数据'!$B$1:$U$1,0)),""))</x:f>
      </x:c>
      <x:c r="C388" t="n">
        <x:f>IF(C$1="","",IFERROR(INDEX('包络曲线数据'!$B$2:$U$742,ROW()-1,MATCH(C$1,'包络曲线数据'!$B$1:$U$1,0)),""))</x:f>
        <x:v>75.46987512927522</x:v>
      </x:c>
      <x:c r="D388" t="str">
        <x:f>IF(D$1="","",IFERROR(INDEX('包络曲线数据'!$B$2:$U$742,ROW()-1,MATCH(D$1,'包络曲线数据'!$B$1:$U$1,0)),""))</x:f>
      </x:c>
      <x:c r="E388" t="str">
        <x:f>IF(E$1="","",IFERROR(INDEX('包络曲线数据'!$B$2:$U$742,ROW()-1,MATCH(E$1,'包络曲线数据'!$B$1:$U$1,0)),""))</x:f>
      </x:c>
      <x:c r="F388" t="str">
        <x:f>IF(F$1="","",IFERROR(INDEX('包络曲线数据'!$B$2:$U$742,ROW()-1,MATCH(F$1,'包络曲线数据'!$B$1:$U$1,0)),""))</x:f>
      </x:c>
      <x:c r="G388" t="str">
        <x:f>IF(G$1="","",IFERROR(INDEX('包络曲线数据'!$B$2:$U$742,ROW()-1,MATCH(G$1,'包络曲线数据'!$B$1:$U$1,0)),""))</x:f>
      </x:c>
    </x:row>
    <x:row r="389">
      <x:c r="A389" t="n">
        <x:v>38.7</x:v>
      </x:c>
      <x:c r="B389" t="str">
        <x:f>IF(B$1="","",IFERROR(INDEX('包络曲线数据'!$B$2:$U$742,ROW()-1,MATCH(B$1,'包络曲线数据'!$B$1:$U$1,0)),""))</x:f>
      </x:c>
      <x:c r="C389" t="n">
        <x:f>IF(C$1="","",IFERROR(INDEX('包络曲线数据'!$B$2:$U$742,ROW()-1,MATCH(C$1,'包络曲线数据'!$B$1:$U$1,0)),""))</x:f>
        <x:v>75.46987512927522</x:v>
      </x:c>
      <x:c r="D389" t="str">
        <x:f>IF(D$1="","",IFERROR(INDEX('包络曲线数据'!$B$2:$U$742,ROW()-1,MATCH(D$1,'包络曲线数据'!$B$1:$U$1,0)),""))</x:f>
      </x:c>
      <x:c r="E389" t="str">
        <x:f>IF(E$1="","",IFERROR(INDEX('包络曲线数据'!$B$2:$U$742,ROW()-1,MATCH(E$1,'包络曲线数据'!$B$1:$U$1,0)),""))</x:f>
      </x:c>
      <x:c r="F389" t="str">
        <x:f>IF(F$1="","",IFERROR(INDEX('包络曲线数据'!$B$2:$U$742,ROW()-1,MATCH(F$1,'包络曲线数据'!$B$1:$U$1,0)),""))</x:f>
      </x:c>
      <x:c r="G389" t="str">
        <x:f>IF(G$1="","",IFERROR(INDEX('包络曲线数据'!$B$2:$U$742,ROW()-1,MATCH(G$1,'包络曲线数据'!$B$1:$U$1,0)),""))</x:f>
      </x:c>
    </x:row>
    <x:row r="390">
      <x:c r="A390" t="n">
        <x:v>38.800000000000004</x:v>
      </x:c>
      <x:c r="B390" t="str">
        <x:f>IF(B$1="","",IFERROR(INDEX('包络曲线数据'!$B$2:$U$742,ROW()-1,MATCH(B$1,'包络曲线数据'!$B$1:$U$1,0)),""))</x:f>
      </x:c>
      <x:c r="C390" t="n">
        <x:f>IF(C$1="","",IFERROR(INDEX('包络曲线数据'!$B$2:$U$742,ROW()-1,MATCH(C$1,'包络曲线数据'!$B$1:$U$1,0)),""))</x:f>
        <x:v>75.25031733723551</x:v>
      </x:c>
      <x:c r="D390" t="str">
        <x:f>IF(D$1="","",IFERROR(INDEX('包络曲线数据'!$B$2:$U$742,ROW()-1,MATCH(D$1,'包络曲线数据'!$B$1:$U$1,0)),""))</x:f>
      </x:c>
      <x:c r="E390" t="str">
        <x:f>IF(E$1="","",IFERROR(INDEX('包络曲线数据'!$B$2:$U$742,ROW()-1,MATCH(E$1,'包络曲线数据'!$B$1:$U$1,0)),""))</x:f>
      </x:c>
      <x:c r="F390" t="str">
        <x:f>IF(F$1="","",IFERROR(INDEX('包络曲线数据'!$B$2:$U$742,ROW()-1,MATCH(F$1,'包络曲线数据'!$B$1:$U$1,0)),""))</x:f>
      </x:c>
      <x:c r="G390" t="str">
        <x:f>IF(G$1="","",IFERROR(INDEX('包络曲线数据'!$B$2:$U$742,ROW()-1,MATCH(G$1,'包络曲线数据'!$B$1:$U$1,0)),""))</x:f>
      </x:c>
    </x:row>
    <x:row r="391">
      <x:c r="A391" t="n">
        <x:v>38.900000000000006</x:v>
      </x:c>
      <x:c r="B391" t="str">
        <x:f>IF(B$1="","",IFERROR(INDEX('包络曲线数据'!$B$2:$U$742,ROW()-1,MATCH(B$1,'包络曲线数据'!$B$1:$U$1,0)),""))</x:f>
      </x:c>
      <x:c r="C391" t="n">
        <x:f>IF(C$1="","",IFERROR(INDEX('包络曲线数据'!$B$2:$U$742,ROW()-1,MATCH(C$1,'包络曲线数据'!$B$1:$U$1,0)),""))</x:f>
        <x:v>74.48434571767032</x:v>
      </x:c>
      <x:c r="D391" t="str">
        <x:f>IF(D$1="","",IFERROR(INDEX('包络曲线数据'!$B$2:$U$742,ROW()-1,MATCH(D$1,'包络曲线数据'!$B$1:$U$1,0)),""))</x:f>
      </x:c>
      <x:c r="E391" t="str">
        <x:f>IF(E$1="","",IFERROR(INDEX('包络曲线数据'!$B$2:$U$742,ROW()-1,MATCH(E$1,'包络曲线数据'!$B$1:$U$1,0)),""))</x:f>
      </x:c>
      <x:c r="F391" t="str">
        <x:f>IF(F$1="","",IFERROR(INDEX('包络曲线数据'!$B$2:$U$742,ROW()-1,MATCH(F$1,'包络曲线数据'!$B$1:$U$1,0)),""))</x:f>
      </x:c>
      <x:c r="G391" t="str">
        <x:f>IF(G$1="","",IFERROR(INDEX('包络曲线数据'!$B$2:$U$742,ROW()-1,MATCH(G$1,'包络曲线数据'!$B$1:$U$1,0)),""))</x:f>
      </x:c>
    </x:row>
    <x:row r="392">
      <x:c r="A392" t="n">
        <x:v>39</x:v>
      </x:c>
      <x:c r="B392" t="str">
        <x:f>IF(B$1="","",IFERROR(INDEX('包络曲线数据'!$B$2:$U$742,ROW()-1,MATCH(B$1,'包络曲线数据'!$B$1:$U$1,0)),""))</x:f>
      </x:c>
      <x:c r="C392" t="n">
        <x:f>IF(C$1="","",IFERROR(INDEX('包络曲线数据'!$B$2:$U$742,ROW()-1,MATCH(C$1,'包络曲线数据'!$B$1:$U$1,0)),""))</x:f>
        <x:v>73.49804557937927</x:v>
      </x:c>
      <x:c r="D392" t="str">
        <x:f>IF(D$1="","",IFERROR(INDEX('包络曲线数据'!$B$2:$U$742,ROW()-1,MATCH(D$1,'包络曲线数据'!$B$1:$U$1,0)),""))</x:f>
      </x:c>
      <x:c r="E392" t="str">
        <x:f>IF(E$1="","",IFERROR(INDEX('包络曲线数据'!$B$2:$U$742,ROW()-1,MATCH(E$1,'包络曲线数据'!$B$1:$U$1,0)),""))</x:f>
      </x:c>
      <x:c r="F392" t="str">
        <x:f>IF(F$1="","",IFERROR(INDEX('包络曲线数据'!$B$2:$U$742,ROW()-1,MATCH(F$1,'包络曲线数据'!$B$1:$U$1,0)),""))</x:f>
      </x:c>
      <x:c r="G392" t="str">
        <x:f>IF(G$1="","",IFERROR(INDEX('包络曲线数据'!$B$2:$U$742,ROW()-1,MATCH(G$1,'包络曲线数据'!$B$1:$U$1,0)),""))</x:f>
      </x:c>
    </x:row>
    <x:row r="393">
      <x:c r="A393" t="n">
        <x:v>39.1</x:v>
      </x:c>
      <x:c r="B393" t="str">
        <x:f>IF(B$1="","",IFERROR(INDEX('包络曲线数据'!$B$2:$U$742,ROW()-1,MATCH(B$1,'包络曲线数据'!$B$1:$U$1,0)),""))</x:f>
      </x:c>
      <x:c r="C393" t="n">
        <x:f>IF(C$1="","",IFERROR(INDEX('包络曲线数据'!$B$2:$U$742,ROW()-1,MATCH(C$1,'包络曲线数据'!$B$1:$U$1,0)),""))</x:f>
        <x:v>72.19128348891785</x:v>
      </x:c>
      <x:c r="D393" t="str">
        <x:f>IF(D$1="","",IFERROR(INDEX('包络曲线数据'!$B$2:$U$742,ROW()-1,MATCH(D$1,'包络曲线数据'!$B$1:$U$1,0)),""))</x:f>
      </x:c>
      <x:c r="E393" t="str">
        <x:f>IF(E$1="","",IFERROR(INDEX('包络曲线数据'!$B$2:$U$742,ROW()-1,MATCH(E$1,'包络曲线数据'!$B$1:$U$1,0)),""))</x:f>
      </x:c>
      <x:c r="F393" t="str">
        <x:f>IF(F$1="","",IFERROR(INDEX('包络曲线数据'!$B$2:$U$742,ROW()-1,MATCH(F$1,'包络曲线数据'!$B$1:$U$1,0)),""))</x:f>
      </x:c>
      <x:c r="G393" t="str">
        <x:f>IF(G$1="","",IFERROR(INDEX('包络曲线数据'!$B$2:$U$742,ROW()-1,MATCH(G$1,'包络曲线数据'!$B$1:$U$1,0)),""))</x:f>
      </x:c>
    </x:row>
    <x:row r="394">
      <x:c r="A394" t="n">
        <x:v>39.2</x:v>
      </x:c>
      <x:c r="B394" t="str">
        <x:f>IF(B$1="","",IFERROR(INDEX('包络曲线数据'!$B$2:$U$742,ROW()-1,MATCH(B$1,'包络曲线数据'!$B$1:$U$1,0)),""))</x:f>
      </x:c>
      <x:c r="C394" t="n">
        <x:f>IF(C$1="","",IFERROR(INDEX('包络曲线数据'!$B$2:$U$742,ROW()-1,MATCH(C$1,'包络曲线数据'!$B$1:$U$1,0)),""))</x:f>
        <x:v>63.47029495365402</x:v>
      </x:c>
      <x:c r="D394" t="str">
        <x:f>IF(D$1="","",IFERROR(INDEX('包络曲线数据'!$B$2:$U$742,ROW()-1,MATCH(D$1,'包络曲线数据'!$B$1:$U$1,0)),""))</x:f>
      </x:c>
      <x:c r="E394" t="str">
        <x:f>IF(E$1="","",IFERROR(INDEX('包络曲线数据'!$B$2:$U$742,ROW()-1,MATCH(E$1,'包络曲线数据'!$B$1:$U$1,0)),""))</x:f>
      </x:c>
      <x:c r="F394" t="str">
        <x:f>IF(F$1="","",IFERROR(INDEX('包络曲线数据'!$B$2:$U$742,ROW()-1,MATCH(F$1,'包络曲线数据'!$B$1:$U$1,0)),""))</x:f>
      </x:c>
      <x:c r="G394" t="str">
        <x:f>IF(G$1="","",IFERROR(INDEX('包络曲线数据'!$B$2:$U$742,ROW()-1,MATCH(G$1,'包络曲线数据'!$B$1:$U$1,0)),""))</x:f>
      </x:c>
    </x:row>
    <x:row r="395">
      <x:c r="A395" t="n">
        <x:v>39.300000000000004</x:v>
      </x:c>
      <x:c r="B395" t="str">
        <x:f>IF(B$1="","",IFERROR(INDEX('包络曲线数据'!$B$2:$U$742,ROW()-1,MATCH(B$1,'包络曲线数据'!$B$1:$U$1,0)),""))</x:f>
      </x:c>
      <x:c r="C395" t="n">
        <x:f>IF(C$1="","",IFERROR(INDEX('包络曲线数据'!$B$2:$U$742,ROW()-1,MATCH(C$1,'包络曲线数据'!$B$1:$U$1,0)),""))</x:f>
        <x:v>81.74916934925322</x:v>
      </x:c>
      <x:c r="D395" t="str">
        <x:f>IF(D$1="","",IFERROR(INDEX('包络曲线数据'!$B$2:$U$742,ROW()-1,MATCH(D$1,'包络曲线数据'!$B$1:$U$1,0)),""))</x:f>
      </x:c>
      <x:c r="E395" t="str">
        <x:f>IF(E$1="","",IFERROR(INDEX('包络曲线数据'!$B$2:$U$742,ROW()-1,MATCH(E$1,'包络曲线数据'!$B$1:$U$1,0)),""))</x:f>
      </x:c>
      <x:c r="F395" t="str">
        <x:f>IF(F$1="","",IFERROR(INDEX('包络曲线数据'!$B$2:$U$742,ROW()-1,MATCH(F$1,'包络曲线数据'!$B$1:$U$1,0)),""))</x:f>
      </x:c>
      <x:c r="G395" t="str">
        <x:f>IF(G$1="","",IFERROR(INDEX('包络曲线数据'!$B$2:$U$742,ROW()-1,MATCH(G$1,'包络曲线数据'!$B$1:$U$1,0)),""))</x:f>
      </x:c>
    </x:row>
    <x:row r="396">
      <x:c r="A396" t="n">
        <x:v>39.400000000000006</x:v>
      </x:c>
      <x:c r="B396" t="str">
        <x:f>IF(B$1="","",IFERROR(INDEX('包络曲线数据'!$B$2:$U$742,ROW()-1,MATCH(B$1,'包络曲线数据'!$B$1:$U$1,0)),""))</x:f>
      </x:c>
      <x:c r="C396" t="n">
        <x:f>IF(C$1="","",IFERROR(INDEX('包络曲线数据'!$B$2:$U$742,ROW()-1,MATCH(C$1,'包络曲线数据'!$B$1:$U$1,0)),""))</x:f>
        <x:v>81.74916934925322</x:v>
      </x:c>
      <x:c r="D396" t="str">
        <x:f>IF(D$1="","",IFERROR(INDEX('包络曲线数据'!$B$2:$U$742,ROW()-1,MATCH(D$1,'包络曲线数据'!$B$1:$U$1,0)),""))</x:f>
      </x:c>
      <x:c r="E396" t="str">
        <x:f>IF(E$1="","",IFERROR(INDEX('包络曲线数据'!$B$2:$U$742,ROW()-1,MATCH(E$1,'包络曲线数据'!$B$1:$U$1,0)),""))</x:f>
      </x:c>
      <x:c r="F396" t="str">
        <x:f>IF(F$1="","",IFERROR(INDEX('包络曲线数据'!$B$2:$U$742,ROW()-1,MATCH(F$1,'包络曲线数据'!$B$1:$U$1,0)),""))</x:f>
      </x:c>
      <x:c r="G396" t="str">
        <x:f>IF(G$1="","",IFERROR(INDEX('包络曲线数据'!$B$2:$U$742,ROW()-1,MATCH(G$1,'包络曲线数据'!$B$1:$U$1,0)),""))</x:f>
      </x:c>
    </x:row>
    <x:row r="397">
      <x:c r="A397" t="n">
        <x:v>39.5</x:v>
      </x:c>
      <x:c r="B397" t="str">
        <x:f>IF(B$1="","",IFERROR(INDEX('包络曲线数据'!$B$2:$U$742,ROW()-1,MATCH(B$1,'包络曲线数据'!$B$1:$U$1,0)),""))</x:f>
      </x:c>
      <x:c r="C397" t="n">
        <x:f>IF(C$1="","",IFERROR(INDEX('包络曲线数据'!$B$2:$U$742,ROW()-1,MATCH(C$1,'包络曲线数据'!$B$1:$U$1,0)),""))</x:f>
        <x:v>73.46048412721427</x:v>
      </x:c>
      <x:c r="D397" t="str">
        <x:f>IF(D$1="","",IFERROR(INDEX('包络曲线数据'!$B$2:$U$742,ROW()-1,MATCH(D$1,'包络曲线数据'!$B$1:$U$1,0)),""))</x:f>
      </x:c>
      <x:c r="E397" t="str">
        <x:f>IF(E$1="","",IFERROR(INDEX('包络曲线数据'!$B$2:$U$742,ROW()-1,MATCH(E$1,'包络曲线数据'!$B$1:$U$1,0)),""))</x:f>
      </x:c>
      <x:c r="F397" t="str">
        <x:f>IF(F$1="","",IFERROR(INDEX('包络曲线数据'!$B$2:$U$742,ROW()-1,MATCH(F$1,'包络曲线数据'!$B$1:$U$1,0)),""))</x:f>
      </x:c>
      <x:c r="G397" t="str">
        <x:f>IF(G$1="","",IFERROR(INDEX('包络曲线数据'!$B$2:$U$742,ROW()-1,MATCH(G$1,'包络曲线数据'!$B$1:$U$1,0)),""))</x:f>
      </x:c>
    </x:row>
    <x:row r="398">
      <x:c r="A398" t="n">
        <x:v>39.6</x:v>
      </x:c>
      <x:c r="B398" t="str">
        <x:f>IF(B$1="","",IFERROR(INDEX('包络曲线数据'!$B$2:$U$742,ROW()-1,MATCH(B$1,'包络曲线数据'!$B$1:$U$1,0)),""))</x:f>
      </x:c>
      <x:c r="C398" t="n">
        <x:f>IF(C$1="","",IFERROR(INDEX('包络曲线数据'!$B$2:$U$742,ROW()-1,MATCH(C$1,'包络曲线数据'!$B$1:$U$1,0)),""))</x:f>
        <x:v>65.46677916858638</x:v>
      </x:c>
      <x:c r="D398" t="str">
        <x:f>IF(D$1="","",IFERROR(INDEX('包络曲线数据'!$B$2:$U$742,ROW()-1,MATCH(D$1,'包络曲线数据'!$B$1:$U$1,0)),""))</x:f>
      </x:c>
      <x:c r="E398" t="str">
        <x:f>IF(E$1="","",IFERROR(INDEX('包络曲线数据'!$B$2:$U$742,ROW()-1,MATCH(E$1,'包络曲线数据'!$B$1:$U$1,0)),""))</x:f>
      </x:c>
      <x:c r="F398" t="str">
        <x:f>IF(F$1="","",IFERROR(INDEX('包络曲线数据'!$B$2:$U$742,ROW()-1,MATCH(F$1,'包络曲线数据'!$B$1:$U$1,0)),""))</x:f>
      </x:c>
      <x:c r="G398" t="str">
        <x:f>IF(G$1="","",IFERROR(INDEX('包络曲线数据'!$B$2:$U$742,ROW()-1,MATCH(G$1,'包络曲线数据'!$B$1:$U$1,0)),""))</x:f>
      </x:c>
    </x:row>
    <x:row r="399">
      <x:c r="A399" t="n">
        <x:v>39.7</x:v>
      </x:c>
      <x:c r="B399" t="str">
        <x:f>IF(B$1="","",IFERROR(INDEX('包络曲线数据'!$B$2:$U$742,ROW()-1,MATCH(B$1,'包络曲线数据'!$B$1:$U$1,0)),""))</x:f>
      </x:c>
      <x:c r="C399" t="n">
        <x:f>IF(C$1="","",IFERROR(INDEX('包络曲线数据'!$B$2:$U$742,ROW()-1,MATCH(C$1,'包络曲线数据'!$B$1:$U$1,0)),""))</x:f>
        <x:v>54.92436644784834</x:v>
      </x:c>
      <x:c r="D399" t="str">
        <x:f>IF(D$1="","",IFERROR(INDEX('包络曲线数据'!$B$2:$U$742,ROW()-1,MATCH(D$1,'包络曲线数据'!$B$1:$U$1,0)),""))</x:f>
      </x:c>
      <x:c r="E399" t="str">
        <x:f>IF(E$1="","",IFERROR(INDEX('包络曲线数据'!$B$2:$U$742,ROW()-1,MATCH(E$1,'包络曲线数据'!$B$1:$U$1,0)),""))</x:f>
      </x:c>
      <x:c r="F399" t="str">
        <x:f>IF(F$1="","",IFERROR(INDEX('包络曲线数据'!$B$2:$U$742,ROW()-1,MATCH(F$1,'包络曲线数据'!$B$1:$U$1,0)),""))</x:f>
      </x:c>
      <x:c r="G399" t="str">
        <x:f>IF(G$1="","",IFERROR(INDEX('包络曲线数据'!$B$2:$U$742,ROW()-1,MATCH(G$1,'包络曲线数据'!$B$1:$U$1,0)),""))</x:f>
      </x:c>
    </x:row>
    <x:row r="400">
      <x:c r="A400" t="n">
        <x:v>39.800000000000004</x:v>
      </x:c>
      <x:c r="B400" t="str">
        <x:f>IF(B$1="","",IFERROR(INDEX('包络曲线数据'!$B$2:$U$742,ROW()-1,MATCH(B$1,'包络曲线数据'!$B$1:$U$1,0)),""))</x:f>
      </x:c>
      <x:c r="C400" t="n">
        <x:f>IF(C$1="","",IFERROR(INDEX('包络曲线数据'!$B$2:$U$742,ROW()-1,MATCH(C$1,'包络曲线数据'!$B$1:$U$1,0)),""))</x:f>
        <x:v>50</x:v>
      </x:c>
      <x:c r="D400" t="str">
        <x:f>IF(D$1="","",IFERROR(INDEX('包络曲线数据'!$B$2:$U$742,ROW()-1,MATCH(D$1,'包络曲线数据'!$B$1:$U$1,0)),""))</x:f>
      </x:c>
      <x:c r="E400" t="str">
        <x:f>IF(E$1="","",IFERROR(INDEX('包络曲线数据'!$B$2:$U$742,ROW()-1,MATCH(E$1,'包络曲线数据'!$B$1:$U$1,0)),""))</x:f>
      </x:c>
      <x:c r="F400" t="str">
        <x:f>IF(F$1="","",IFERROR(INDEX('包络曲线数据'!$B$2:$U$742,ROW()-1,MATCH(F$1,'包络曲线数据'!$B$1:$U$1,0)),""))</x:f>
      </x:c>
      <x:c r="G400" t="str">
        <x:f>IF(G$1="","",IFERROR(INDEX('包络曲线数据'!$B$2:$U$742,ROW()-1,MATCH(G$1,'包络曲线数据'!$B$1:$U$1,0)),""))</x:f>
      </x:c>
    </x:row>
    <x:row r="401">
      <x:c r="A401" t="n">
        <x:v>39.900000000000006</x:v>
      </x:c>
      <x:c r="B401" t="str">
        <x:f>IF(B$1="","",IFERROR(INDEX('包络曲线数据'!$B$2:$U$742,ROW()-1,MATCH(B$1,'包络曲线数据'!$B$1:$U$1,0)),""))</x:f>
      </x:c>
      <x:c r="C401" t="n">
        <x:f>IF(C$1="","",IFERROR(INDEX('包络曲线数据'!$B$2:$U$742,ROW()-1,MATCH(C$1,'包络曲线数据'!$B$1:$U$1,0)),""))</x:f>
        <x:v>55.58026739312551</x:v>
      </x:c>
      <x:c r="D401" t="str">
        <x:f>IF(D$1="","",IFERROR(INDEX('包络曲线数据'!$B$2:$U$742,ROW()-1,MATCH(D$1,'包络曲线数据'!$B$1:$U$1,0)),""))</x:f>
      </x:c>
      <x:c r="E401" t="str">
        <x:f>IF(E$1="","",IFERROR(INDEX('包络曲线数据'!$B$2:$U$742,ROW()-1,MATCH(E$1,'包络曲线数据'!$B$1:$U$1,0)),""))</x:f>
      </x:c>
      <x:c r="F401" t="str">
        <x:f>IF(F$1="","",IFERROR(INDEX('包络曲线数据'!$B$2:$U$742,ROW()-1,MATCH(F$1,'包络曲线数据'!$B$1:$U$1,0)),""))</x:f>
      </x:c>
      <x:c r="G401" t="str">
        <x:f>IF(G$1="","",IFERROR(INDEX('包络曲线数据'!$B$2:$U$742,ROW()-1,MATCH(G$1,'包络曲线数据'!$B$1:$U$1,0)),""))</x:f>
      </x:c>
    </x:row>
    <x:row r="402">
      <x:c r="A402" t="n">
        <x:v>40</x:v>
      </x:c>
      <x:c r="B402" t="str">
        <x:f>IF(B$1="","",IFERROR(INDEX('包络曲线数据'!$B$2:$U$742,ROW()-1,MATCH(B$1,'包络曲线数据'!$B$1:$U$1,0)),""))</x:f>
      </x:c>
      <x:c r="C402" t="n">
        <x:f>IF(C$1="","",IFERROR(INDEX('包络曲线数据'!$B$2:$U$742,ROW()-1,MATCH(C$1,'包络曲线数据'!$B$1:$U$1,0)),""))</x:f>
        <x:v>69.53093587593632</x:v>
      </x:c>
      <x:c r="D402" t="str">
        <x:f>IF(D$1="","",IFERROR(INDEX('包络曲线数据'!$B$2:$U$742,ROW()-1,MATCH(D$1,'包络曲线数据'!$B$1:$U$1,0)),""))</x:f>
      </x:c>
      <x:c r="E402" t="str">
        <x:f>IF(E$1="","",IFERROR(INDEX('包络曲线数据'!$B$2:$U$742,ROW()-1,MATCH(E$1,'包络曲线数据'!$B$1:$U$1,0)),""))</x:f>
      </x:c>
      <x:c r="F402" t="str">
        <x:f>IF(F$1="","",IFERROR(INDEX('包络曲线数据'!$B$2:$U$742,ROW()-1,MATCH(F$1,'包络曲线数据'!$B$1:$U$1,0)),""))</x:f>
      </x:c>
      <x:c r="G402" t="str">
        <x:f>IF(G$1="","",IFERROR(INDEX('包络曲线数据'!$B$2:$U$742,ROW()-1,MATCH(G$1,'包络曲线数据'!$B$1:$U$1,0)),""))</x:f>
      </x:c>
    </x:row>
    <x:row r="403">
      <x:c r="A403" t="n">
        <x:v>40.1</x:v>
      </x:c>
      <x:c r="B403" t="str">
        <x:f>IF(B$1="","",IFERROR(INDEX('包络曲线数据'!$B$2:$U$742,ROW()-1,MATCH(B$1,'包络曲线数据'!$B$1:$U$1,0)),""))</x:f>
      </x:c>
      <x:c r="C403" t="n">
        <x:f>IF(C$1="","",IFERROR(INDEX('包络曲线数据'!$B$2:$U$742,ROW()-1,MATCH(C$1,'包络曲线数据'!$B$1:$U$1,0)),""))</x:f>
        <x:v>73.89704896582883</x:v>
      </x:c>
      <x:c r="D403" t="str">
        <x:f>IF(D$1="","",IFERROR(INDEX('包络曲线数据'!$B$2:$U$742,ROW()-1,MATCH(D$1,'包络曲线数据'!$B$1:$U$1,0)),""))</x:f>
      </x:c>
      <x:c r="E403" t="str">
        <x:f>IF(E$1="","",IFERROR(INDEX('包络曲线数据'!$B$2:$U$742,ROW()-1,MATCH(E$1,'包络曲线数据'!$B$1:$U$1,0)),""))</x:f>
      </x:c>
      <x:c r="F403" t="str">
        <x:f>IF(F$1="","",IFERROR(INDEX('包络曲线数据'!$B$2:$U$742,ROW()-1,MATCH(F$1,'包络曲线数据'!$B$1:$U$1,0)),""))</x:f>
      </x:c>
      <x:c r="G403" t="str">
        <x:f>IF(G$1="","",IFERROR(INDEX('包络曲线数据'!$B$2:$U$742,ROW()-1,MATCH(G$1,'包络曲线数据'!$B$1:$U$1,0)),""))</x:f>
      </x:c>
    </x:row>
    <x:row r="404">
      <x:c r="A404" t="n">
        <x:v>40.2</x:v>
      </x:c>
      <x:c r="B404" t="str">
        <x:f>IF(B$1="","",IFERROR(INDEX('包络曲线数据'!$B$2:$U$742,ROW()-1,MATCH(B$1,'包络曲线数据'!$B$1:$U$1,0)),""))</x:f>
      </x:c>
      <x:c r="C404" t="n">
        <x:f>IF(C$1="","",IFERROR(INDEX('包络曲线数据'!$B$2:$U$742,ROW()-1,MATCH(C$1,'包络曲线数据'!$B$1:$U$1,0)),""))</x:f>
        <x:v>75.39702016933924</x:v>
      </x:c>
      <x:c r="D404" t="str">
        <x:f>IF(D$1="","",IFERROR(INDEX('包络曲线数据'!$B$2:$U$742,ROW()-1,MATCH(D$1,'包络曲线数据'!$B$1:$U$1,0)),""))</x:f>
      </x:c>
      <x:c r="E404" t="str">
        <x:f>IF(E$1="","",IFERROR(INDEX('包络曲线数据'!$B$2:$U$742,ROW()-1,MATCH(E$1,'包络曲线数据'!$B$1:$U$1,0)),""))</x:f>
      </x:c>
      <x:c r="F404" t="str">
        <x:f>IF(F$1="","",IFERROR(INDEX('包络曲线数据'!$B$2:$U$742,ROW()-1,MATCH(F$1,'包络曲线数据'!$B$1:$U$1,0)),""))</x:f>
      </x:c>
      <x:c r="G404" t="str">
        <x:f>IF(G$1="","",IFERROR(INDEX('包络曲线数据'!$B$2:$U$742,ROW()-1,MATCH(G$1,'包络曲线数据'!$B$1:$U$1,0)),""))</x:f>
      </x:c>
    </x:row>
    <x:row r="405">
      <x:c r="A405" t="n">
        <x:v>40.300000000000004</x:v>
      </x:c>
      <x:c r="B405" t="str">
        <x:f>IF(B$1="","",IFERROR(INDEX('包络曲线数据'!$B$2:$U$742,ROW()-1,MATCH(B$1,'包络曲线数据'!$B$1:$U$1,0)),""))</x:f>
      </x:c>
      <x:c r="C405" t="n">
        <x:f>IF(C$1="","",IFERROR(INDEX('包络曲线数据'!$B$2:$U$742,ROW()-1,MATCH(C$1,'包络曲线数据'!$B$1:$U$1,0)),""))</x:f>
        <x:v>75.39702016933855</x:v>
      </x:c>
      <x:c r="D405" t="str">
        <x:f>IF(D$1="","",IFERROR(INDEX('包络曲线数据'!$B$2:$U$742,ROW()-1,MATCH(D$1,'包络曲线数据'!$B$1:$U$1,0)),""))</x:f>
      </x:c>
      <x:c r="E405" t="str">
        <x:f>IF(E$1="","",IFERROR(INDEX('包络曲线数据'!$B$2:$U$742,ROW()-1,MATCH(E$1,'包络曲线数据'!$B$1:$U$1,0)),""))</x:f>
      </x:c>
      <x:c r="F405" t="str">
        <x:f>IF(F$1="","",IFERROR(INDEX('包络曲线数据'!$B$2:$U$742,ROW()-1,MATCH(F$1,'包络曲线数据'!$B$1:$U$1,0)),""))</x:f>
      </x:c>
      <x:c r="G405" t="str">
        <x:f>IF(G$1="","",IFERROR(INDEX('包络曲线数据'!$B$2:$U$742,ROW()-1,MATCH(G$1,'包络曲线数据'!$B$1:$U$1,0)),""))</x:f>
      </x:c>
    </x:row>
    <x:row r="406">
      <x:c r="A406" t="n">
        <x:v>40.400000000000006</x:v>
      </x:c>
      <x:c r="B406" t="str">
        <x:f>IF(B$1="","",IFERROR(INDEX('包络曲线数据'!$B$2:$U$742,ROW()-1,MATCH(B$1,'包络曲线数据'!$B$1:$U$1,0)),""))</x:f>
      </x:c>
      <x:c r="C406" t="n">
        <x:f>IF(C$1="","",IFERROR(INDEX('包络曲线数据'!$B$2:$U$742,ROW()-1,MATCH(C$1,'包络曲线数据'!$B$1:$U$1,0)),""))</x:f>
        <x:v>68.3386921877821</x:v>
      </x:c>
      <x:c r="D406" t="str">
        <x:f>IF(D$1="","",IFERROR(INDEX('包络曲线数据'!$B$2:$U$742,ROW()-1,MATCH(D$1,'包络曲线数据'!$B$1:$U$1,0)),""))</x:f>
      </x:c>
      <x:c r="E406" t="str">
        <x:f>IF(E$1="","",IFERROR(INDEX('包络曲线数据'!$B$2:$U$742,ROW()-1,MATCH(E$1,'包络曲线数据'!$B$1:$U$1,0)),""))</x:f>
      </x:c>
      <x:c r="F406" t="str">
        <x:f>IF(F$1="","",IFERROR(INDEX('包络曲线数据'!$B$2:$U$742,ROW()-1,MATCH(F$1,'包络曲线数据'!$B$1:$U$1,0)),""))</x:f>
      </x:c>
      <x:c r="G406" t="str">
        <x:f>IF(G$1="","",IFERROR(INDEX('包络曲线数据'!$B$2:$U$742,ROW()-1,MATCH(G$1,'包络曲线数据'!$B$1:$U$1,0)),""))</x:f>
      </x:c>
    </x:row>
    <x:row r="407">
      <x:c r="A407" t="n">
        <x:v>40.5</x:v>
      </x:c>
      <x:c r="B407" t="str">
        <x:f>IF(B$1="","",IFERROR(INDEX('包络曲线数据'!$B$2:$U$742,ROW()-1,MATCH(B$1,'包络曲线数据'!$B$1:$U$1,0)),""))</x:f>
      </x:c>
      <x:c r="C407" t="n">
        <x:f>IF(C$1="","",IFERROR(INDEX('包络曲线数据'!$B$2:$U$742,ROW()-1,MATCH(C$1,'包络曲线数据'!$B$1:$U$1,0)),""))</x:f>
        <x:v>70.21646893146979</x:v>
      </x:c>
      <x:c r="D407" t="str">
        <x:f>IF(D$1="","",IFERROR(INDEX('包络曲线数据'!$B$2:$U$742,ROW()-1,MATCH(D$1,'包络曲线数据'!$B$1:$U$1,0)),""))</x:f>
      </x:c>
      <x:c r="E407" t="str">
        <x:f>IF(E$1="","",IFERROR(INDEX('包络曲线数据'!$B$2:$U$742,ROW()-1,MATCH(E$1,'包络曲线数据'!$B$1:$U$1,0)),""))</x:f>
      </x:c>
      <x:c r="F407" t="str">
        <x:f>IF(F$1="","",IFERROR(INDEX('包络曲线数据'!$B$2:$U$742,ROW()-1,MATCH(F$1,'包络曲线数据'!$B$1:$U$1,0)),""))</x:f>
      </x:c>
      <x:c r="G407" t="str">
        <x:f>IF(G$1="","",IFERROR(INDEX('包络曲线数据'!$B$2:$U$742,ROW()-1,MATCH(G$1,'包络曲线数据'!$B$1:$U$1,0)),""))</x:f>
      </x:c>
    </x:row>
    <x:row r="408">
      <x:c r="A408" t="n">
        <x:v>40.6</x:v>
      </x:c>
      <x:c r="B408" t="str">
        <x:f>IF(B$1="","",IFERROR(INDEX('包络曲线数据'!$B$2:$U$742,ROW()-1,MATCH(B$1,'包络曲线数据'!$B$1:$U$1,0)),""))</x:f>
      </x:c>
      <x:c r="C408" t="n">
        <x:f>IF(C$1="","",IFERROR(INDEX('包络曲线数据'!$B$2:$U$742,ROW()-1,MATCH(C$1,'包络曲线数据'!$B$1:$U$1,0)),""))</x:f>
        <x:v>75.74396786661188</x:v>
      </x:c>
      <x:c r="D408" t="str">
        <x:f>IF(D$1="","",IFERROR(INDEX('包络曲线数据'!$B$2:$U$742,ROW()-1,MATCH(D$1,'包络曲线数据'!$B$1:$U$1,0)),""))</x:f>
      </x:c>
      <x:c r="E408" t="str">
        <x:f>IF(E$1="","",IFERROR(INDEX('包络曲线数据'!$B$2:$U$742,ROW()-1,MATCH(E$1,'包络曲线数据'!$B$1:$U$1,0)),""))</x:f>
      </x:c>
      <x:c r="F408" t="str">
        <x:f>IF(F$1="","",IFERROR(INDEX('包络曲线数据'!$B$2:$U$742,ROW()-1,MATCH(F$1,'包络曲线数据'!$B$1:$U$1,0)),""))</x:f>
      </x:c>
      <x:c r="G408" t="str">
        <x:f>IF(G$1="","",IFERROR(INDEX('包络曲线数据'!$B$2:$U$742,ROW()-1,MATCH(G$1,'包络曲线数据'!$B$1:$U$1,0)),""))</x:f>
      </x:c>
    </x:row>
    <x:row r="409">
      <x:c r="A409" t="n">
        <x:v>40.7</x:v>
      </x:c>
      <x:c r="B409" t="str">
        <x:f>IF(B$1="","",IFERROR(INDEX('包络曲线数据'!$B$2:$U$742,ROW()-1,MATCH(B$1,'包络曲线数据'!$B$1:$U$1,0)),""))</x:f>
      </x:c>
      <x:c r="C409" t="n">
        <x:f>IF(C$1="","",IFERROR(INDEX('包络曲线数据'!$B$2:$U$742,ROW()-1,MATCH(C$1,'包络曲线数据'!$B$1:$U$1,0)),""))</x:f>
        <x:v>75.9366205484679</x:v>
      </x:c>
      <x:c r="D409" t="str">
        <x:f>IF(D$1="","",IFERROR(INDEX('包络曲线数据'!$B$2:$U$742,ROW()-1,MATCH(D$1,'包络曲线数据'!$B$1:$U$1,0)),""))</x:f>
      </x:c>
      <x:c r="E409" t="str">
        <x:f>IF(E$1="","",IFERROR(INDEX('包络曲线数据'!$B$2:$U$742,ROW()-1,MATCH(E$1,'包络曲线数据'!$B$1:$U$1,0)),""))</x:f>
      </x:c>
      <x:c r="F409" t="str">
        <x:f>IF(F$1="","",IFERROR(INDEX('包络曲线数据'!$B$2:$U$742,ROW()-1,MATCH(F$1,'包络曲线数据'!$B$1:$U$1,0)),""))</x:f>
      </x:c>
      <x:c r="G409" t="str">
        <x:f>IF(G$1="","",IFERROR(INDEX('包络曲线数据'!$B$2:$U$742,ROW()-1,MATCH(G$1,'包络曲线数据'!$B$1:$U$1,0)),""))</x:f>
      </x:c>
    </x:row>
    <x:row r="410">
      <x:c r="A410" t="n">
        <x:v>40.800000000000004</x:v>
      </x:c>
      <x:c r="B410" t="str">
        <x:f>IF(B$1="","",IFERROR(INDEX('包络曲线数据'!$B$2:$U$742,ROW()-1,MATCH(B$1,'包络曲线数据'!$B$1:$U$1,0)),""))</x:f>
      </x:c>
      <x:c r="C410" t="n">
        <x:f>IF(C$1="","",IFERROR(INDEX('包络曲线数据'!$B$2:$U$742,ROW()-1,MATCH(C$1,'包络曲线数据'!$B$1:$U$1,0)),""))</x:f>
        <x:v>75.93662054846772</x:v>
      </x:c>
      <x:c r="D410" t="str">
        <x:f>IF(D$1="","",IFERROR(INDEX('包络曲线数据'!$B$2:$U$742,ROW()-1,MATCH(D$1,'包络曲线数据'!$B$1:$U$1,0)),""))</x:f>
      </x:c>
      <x:c r="E410" t="str">
        <x:f>IF(E$1="","",IFERROR(INDEX('包络曲线数据'!$B$2:$U$742,ROW()-1,MATCH(E$1,'包络曲线数据'!$B$1:$U$1,0)),""))</x:f>
      </x:c>
      <x:c r="F410" t="str">
        <x:f>IF(F$1="","",IFERROR(INDEX('包络曲线数据'!$B$2:$U$742,ROW()-1,MATCH(F$1,'包络曲线数据'!$B$1:$U$1,0)),""))</x:f>
      </x:c>
      <x:c r="G410" t="str">
        <x:f>IF(G$1="","",IFERROR(INDEX('包络曲线数据'!$B$2:$U$742,ROW()-1,MATCH(G$1,'包络曲线数据'!$B$1:$U$1,0)),""))</x:f>
      </x:c>
    </x:row>
    <x:row r="411">
      <x:c r="A411" t="n">
        <x:v>40.900000000000006</x:v>
      </x:c>
      <x:c r="B411" t="str">
        <x:f>IF(B$1="","",IFERROR(INDEX('包络曲线数据'!$B$2:$U$742,ROW()-1,MATCH(B$1,'包络曲线数据'!$B$1:$U$1,0)),""))</x:f>
      </x:c>
      <x:c r="C411" t="n">
        <x:f>IF(C$1="","",IFERROR(INDEX('包络曲线数据'!$B$2:$U$742,ROW()-1,MATCH(C$1,'包络曲线数据'!$B$1:$U$1,0)),""))</x:f>
        <x:v>74.84775277264639</x:v>
      </x:c>
      <x:c r="D411" t="str">
        <x:f>IF(D$1="","",IFERROR(INDEX('包络曲线数据'!$B$2:$U$742,ROW()-1,MATCH(D$1,'包络曲线数据'!$B$1:$U$1,0)),""))</x:f>
      </x:c>
      <x:c r="E411" t="str">
        <x:f>IF(E$1="","",IFERROR(INDEX('包络曲线数据'!$B$2:$U$742,ROW()-1,MATCH(E$1,'包络曲线数据'!$B$1:$U$1,0)),""))</x:f>
      </x:c>
      <x:c r="F411" t="str">
        <x:f>IF(F$1="","",IFERROR(INDEX('包络曲线数据'!$B$2:$U$742,ROW()-1,MATCH(F$1,'包络曲线数据'!$B$1:$U$1,0)),""))</x:f>
      </x:c>
      <x:c r="G411" t="str">
        <x:f>IF(G$1="","",IFERROR(INDEX('包络曲线数据'!$B$2:$U$742,ROW()-1,MATCH(G$1,'包络曲线数据'!$B$1:$U$1,0)),""))</x:f>
      </x:c>
    </x:row>
    <x:row r="412">
      <x:c r="A412" t="n">
        <x:v>41</x:v>
      </x:c>
      <x:c r="B412" t="str">
        <x:f>IF(B$1="","",IFERROR(INDEX('包络曲线数据'!$B$2:$U$742,ROW()-1,MATCH(B$1,'包络曲线数据'!$B$1:$U$1,0)),""))</x:f>
      </x:c>
      <x:c r="C412" t="n">
        <x:f>IF(C$1="","",IFERROR(INDEX('包络曲线数据'!$B$2:$U$742,ROW()-1,MATCH(C$1,'包络曲线数据'!$B$1:$U$1,0)),""))</x:f>
        <x:v>76.76047285729206</x:v>
      </x:c>
      <x:c r="D412" t="str">
        <x:f>IF(D$1="","",IFERROR(INDEX('包络曲线数据'!$B$2:$U$742,ROW()-1,MATCH(D$1,'包络曲线数据'!$B$1:$U$1,0)),""))</x:f>
      </x:c>
      <x:c r="E412" t="str">
        <x:f>IF(E$1="","",IFERROR(INDEX('包络曲线数据'!$B$2:$U$742,ROW()-1,MATCH(E$1,'包络曲线数据'!$B$1:$U$1,0)),""))</x:f>
      </x:c>
      <x:c r="F412" t="str">
        <x:f>IF(F$1="","",IFERROR(INDEX('包络曲线数据'!$B$2:$U$742,ROW()-1,MATCH(F$1,'包络曲线数据'!$B$1:$U$1,0)),""))</x:f>
      </x:c>
      <x:c r="G412" t="str">
        <x:f>IF(G$1="","",IFERROR(INDEX('包络曲线数据'!$B$2:$U$742,ROW()-1,MATCH(G$1,'包络曲线数据'!$B$1:$U$1,0)),""))</x:f>
      </x:c>
    </x:row>
    <x:row r="413">
      <x:c r="A413" t="n">
        <x:v>41.1</x:v>
      </x:c>
      <x:c r="B413" t="str">
        <x:f>IF(B$1="","",IFERROR(INDEX('包络曲线数据'!$B$2:$U$742,ROW()-1,MATCH(B$1,'包络曲线数据'!$B$1:$U$1,0)),""))</x:f>
      </x:c>
      <x:c r="C413" t="n">
        <x:f>IF(C$1="","",IFERROR(INDEX('包络曲线数据'!$B$2:$U$742,ROW()-1,MATCH(C$1,'包络曲线数据'!$B$1:$U$1,0)),""))</x:f>
        <x:v>76.76047285729206</x:v>
      </x:c>
      <x:c r="D413" t="str">
        <x:f>IF(D$1="","",IFERROR(INDEX('包络曲线数据'!$B$2:$U$742,ROW()-1,MATCH(D$1,'包络曲线数据'!$B$1:$U$1,0)),""))</x:f>
      </x:c>
      <x:c r="E413" t="str">
        <x:f>IF(E$1="","",IFERROR(INDEX('包络曲线数据'!$B$2:$U$742,ROW()-1,MATCH(E$1,'包络曲线数据'!$B$1:$U$1,0)),""))</x:f>
      </x:c>
      <x:c r="F413" t="str">
        <x:f>IF(F$1="","",IFERROR(INDEX('包络曲线数据'!$B$2:$U$742,ROW()-1,MATCH(F$1,'包络曲线数据'!$B$1:$U$1,0)),""))</x:f>
      </x:c>
      <x:c r="G413" t="str">
        <x:f>IF(G$1="","",IFERROR(INDEX('包络曲线数据'!$B$2:$U$742,ROW()-1,MATCH(G$1,'包络曲线数据'!$B$1:$U$1,0)),""))</x:f>
      </x:c>
    </x:row>
    <x:row r="414">
      <x:c r="A414" t="n">
        <x:v>41.2</x:v>
      </x:c>
      <x:c r="B414" t="str">
        <x:f>IF(B$1="","",IFERROR(INDEX('包络曲线数据'!$B$2:$U$742,ROW()-1,MATCH(B$1,'包络曲线数据'!$B$1:$U$1,0)),""))</x:f>
      </x:c>
      <x:c r="C414" t="n">
        <x:f>IF(C$1="","",IFERROR(INDEX('包络曲线数据'!$B$2:$U$742,ROW()-1,MATCH(C$1,'包络曲线数据'!$B$1:$U$1,0)),""))</x:f>
        <x:v>75.97155008158396</x:v>
      </x:c>
      <x:c r="D414" t="str">
        <x:f>IF(D$1="","",IFERROR(INDEX('包络曲线数据'!$B$2:$U$742,ROW()-1,MATCH(D$1,'包络曲线数据'!$B$1:$U$1,0)),""))</x:f>
      </x:c>
      <x:c r="E414" t="str">
        <x:f>IF(E$1="","",IFERROR(INDEX('包络曲线数据'!$B$2:$U$742,ROW()-1,MATCH(E$1,'包络曲线数据'!$B$1:$U$1,0)),""))</x:f>
      </x:c>
      <x:c r="F414" t="str">
        <x:f>IF(F$1="","",IFERROR(INDEX('包络曲线数据'!$B$2:$U$742,ROW()-1,MATCH(F$1,'包络曲线数据'!$B$1:$U$1,0)),""))</x:f>
      </x:c>
      <x:c r="G414" t="str">
        <x:f>IF(G$1="","",IFERROR(INDEX('包络曲线数据'!$B$2:$U$742,ROW()-1,MATCH(G$1,'包络曲线数据'!$B$1:$U$1,0)),""))</x:f>
      </x:c>
    </x:row>
    <x:row r="415">
      <x:c r="A415" t="n">
        <x:v>41.300000000000004</x:v>
      </x:c>
      <x:c r="B415" t="str">
        <x:f>IF(B$1="","",IFERROR(INDEX('包络曲线数据'!$B$2:$U$742,ROW()-1,MATCH(B$1,'包络曲线数据'!$B$1:$U$1,0)),""))</x:f>
      </x:c>
      <x:c r="C415" t="n">
        <x:f>IF(C$1="","",IFERROR(INDEX('包络曲线数据'!$B$2:$U$742,ROW()-1,MATCH(C$1,'包络曲线数据'!$B$1:$U$1,0)),""))</x:f>
        <x:v>76.30057642407208</x:v>
      </x:c>
      <x:c r="D415" t="str">
        <x:f>IF(D$1="","",IFERROR(INDEX('包络曲线数据'!$B$2:$U$742,ROW()-1,MATCH(D$1,'包络曲线数据'!$B$1:$U$1,0)),""))</x:f>
      </x:c>
      <x:c r="E415" t="str">
        <x:f>IF(E$1="","",IFERROR(INDEX('包络曲线数据'!$B$2:$U$742,ROW()-1,MATCH(E$1,'包络曲线数据'!$B$1:$U$1,0)),""))</x:f>
      </x:c>
      <x:c r="F415" t="str">
        <x:f>IF(F$1="","",IFERROR(INDEX('包络曲线数据'!$B$2:$U$742,ROW()-1,MATCH(F$1,'包络曲线数据'!$B$1:$U$1,0)),""))</x:f>
      </x:c>
      <x:c r="G415" t="str">
        <x:f>IF(G$1="","",IFERROR(INDEX('包络曲线数据'!$B$2:$U$742,ROW()-1,MATCH(G$1,'包络曲线数据'!$B$1:$U$1,0)),""))</x:f>
      </x:c>
    </x:row>
    <x:row r="416">
      <x:c r="A416" t="n">
        <x:v>41.400000000000006</x:v>
      </x:c>
      <x:c r="B416" t="str">
        <x:f>IF(B$1="","",IFERROR(INDEX('包络曲线数据'!$B$2:$U$742,ROW()-1,MATCH(B$1,'包络曲线数据'!$B$1:$U$1,0)),""))</x:f>
      </x:c>
      <x:c r="C416" t="n">
        <x:f>IF(C$1="","",IFERROR(INDEX('包络曲线数据'!$B$2:$U$742,ROW()-1,MATCH(C$1,'包络曲线数据'!$B$1:$U$1,0)),""))</x:f>
        <x:v>76.30057642407208</x:v>
      </x:c>
      <x:c r="D416" t="str">
        <x:f>IF(D$1="","",IFERROR(INDEX('包络曲线数据'!$B$2:$U$742,ROW()-1,MATCH(D$1,'包络曲线数据'!$B$1:$U$1,0)),""))</x:f>
      </x:c>
      <x:c r="E416" t="str">
        <x:f>IF(E$1="","",IFERROR(INDEX('包络曲线数据'!$B$2:$U$742,ROW()-1,MATCH(E$1,'包络曲线数据'!$B$1:$U$1,0)),""))</x:f>
      </x:c>
      <x:c r="F416" t="str">
        <x:f>IF(F$1="","",IFERROR(INDEX('包络曲线数据'!$B$2:$U$742,ROW()-1,MATCH(F$1,'包络曲线数据'!$B$1:$U$1,0)),""))</x:f>
      </x:c>
      <x:c r="G416" t="str">
        <x:f>IF(G$1="","",IFERROR(INDEX('包络曲线数据'!$B$2:$U$742,ROW()-1,MATCH(G$1,'包络曲线数据'!$B$1:$U$1,0)),""))</x:f>
      </x:c>
    </x:row>
    <x:row r="417">
      <x:c r="A417" t="n">
        <x:v>41.5</x:v>
      </x:c>
      <x:c r="B417" t="str">
        <x:f>IF(B$1="","",IFERROR(INDEX('包络曲线数据'!$B$2:$U$742,ROW()-1,MATCH(B$1,'包络曲线数据'!$B$1:$U$1,0)),""))</x:f>
      </x:c>
      <x:c r="C417" t="n">
        <x:f>IF(C$1="","",IFERROR(INDEX('包络曲线数据'!$B$2:$U$742,ROW()-1,MATCH(C$1,'包络曲线数据'!$B$1:$U$1,0)),""))</x:f>
        <x:v>74.46792813477751</x:v>
      </x:c>
      <x:c r="D417" t="str">
        <x:f>IF(D$1="","",IFERROR(INDEX('包络曲线数据'!$B$2:$U$742,ROW()-1,MATCH(D$1,'包络曲线数据'!$B$1:$U$1,0)),""))</x:f>
      </x:c>
      <x:c r="E417" t="str">
        <x:f>IF(E$1="","",IFERROR(INDEX('包络曲线数据'!$B$2:$U$742,ROW()-1,MATCH(E$1,'包络曲线数据'!$B$1:$U$1,0)),""))</x:f>
      </x:c>
      <x:c r="F417" t="str">
        <x:f>IF(F$1="","",IFERROR(INDEX('包络曲线数据'!$B$2:$U$742,ROW()-1,MATCH(F$1,'包络曲线数据'!$B$1:$U$1,0)),""))</x:f>
      </x:c>
      <x:c r="G417" t="str">
        <x:f>IF(G$1="","",IFERROR(INDEX('包络曲线数据'!$B$2:$U$742,ROW()-1,MATCH(G$1,'包络曲线数据'!$B$1:$U$1,0)),""))</x:f>
      </x:c>
    </x:row>
    <x:row r="418">
      <x:c r="A418" t="n">
        <x:v>41.6</x:v>
      </x:c>
      <x:c r="B418" t="str">
        <x:f>IF(B$1="","",IFERROR(INDEX('包络曲线数据'!$B$2:$U$742,ROW()-1,MATCH(B$1,'包络曲线数据'!$B$1:$U$1,0)),""))</x:f>
      </x:c>
      <x:c r="C418" t="n">
        <x:f>IF(C$1="","",IFERROR(INDEX('包络曲线数据'!$B$2:$U$742,ROW()-1,MATCH(C$1,'包络曲线数据'!$B$1:$U$1,0)),""))</x:f>
        <x:v>71.90834408973444</x:v>
      </x:c>
      <x:c r="D418" t="str">
        <x:f>IF(D$1="","",IFERROR(INDEX('包络曲线数据'!$B$2:$U$742,ROW()-1,MATCH(D$1,'包络曲线数据'!$B$1:$U$1,0)),""))</x:f>
      </x:c>
      <x:c r="E418" t="str">
        <x:f>IF(E$1="","",IFERROR(INDEX('包络曲线数据'!$B$2:$U$742,ROW()-1,MATCH(E$1,'包络曲线数据'!$B$1:$U$1,0)),""))</x:f>
      </x:c>
      <x:c r="F418" t="str">
        <x:f>IF(F$1="","",IFERROR(INDEX('包络曲线数据'!$B$2:$U$742,ROW()-1,MATCH(F$1,'包络曲线数据'!$B$1:$U$1,0)),""))</x:f>
      </x:c>
      <x:c r="G418" t="str">
        <x:f>IF(G$1="","",IFERROR(INDEX('包络曲线数据'!$B$2:$U$742,ROW()-1,MATCH(G$1,'包络曲线数据'!$B$1:$U$1,0)),""))</x:f>
      </x:c>
    </x:row>
    <x:row r="419">
      <x:c r="A419" t="n">
        <x:v>41.7</x:v>
      </x:c>
      <x:c r="B419" t="str">
        <x:f>IF(B$1="","",IFERROR(INDEX('包络曲线数据'!$B$2:$U$742,ROW()-1,MATCH(B$1,'包络曲线数据'!$B$1:$U$1,0)),""))</x:f>
      </x:c>
      <x:c r="C419" t="n">
        <x:f>IF(C$1="","",IFERROR(INDEX('包络曲线数据'!$B$2:$U$742,ROW()-1,MATCH(C$1,'包络曲线数据'!$B$1:$U$1,0)),""))</x:f>
        <x:v>66.52541564334626</x:v>
      </x:c>
      <x:c r="D419" t="str">
        <x:f>IF(D$1="","",IFERROR(INDEX('包络曲线数据'!$B$2:$U$742,ROW()-1,MATCH(D$1,'包络曲线数据'!$B$1:$U$1,0)),""))</x:f>
      </x:c>
      <x:c r="E419" t="str">
        <x:f>IF(E$1="","",IFERROR(INDEX('包络曲线数据'!$B$2:$U$742,ROW()-1,MATCH(E$1,'包络曲线数据'!$B$1:$U$1,0)),""))</x:f>
      </x:c>
      <x:c r="F419" t="str">
        <x:f>IF(F$1="","",IFERROR(INDEX('包络曲线数据'!$B$2:$U$742,ROW()-1,MATCH(F$1,'包络曲线数据'!$B$1:$U$1,0)),""))</x:f>
      </x:c>
      <x:c r="G419" t="str">
        <x:f>IF(G$1="","",IFERROR(INDEX('包络曲线数据'!$B$2:$U$742,ROW()-1,MATCH(G$1,'包络曲线数据'!$B$1:$U$1,0)),""))</x:f>
      </x:c>
    </x:row>
    <x:row r="420">
      <x:c r="A420" t="n">
        <x:v>41.800000000000004</x:v>
      </x:c>
      <x:c r="B420" t="str">
        <x:f>IF(B$1="","",IFERROR(INDEX('包络曲线数据'!$B$2:$U$742,ROW()-1,MATCH(B$1,'包络曲线数据'!$B$1:$U$1,0)),""))</x:f>
      </x:c>
      <x:c r="C420" t="n">
        <x:f>IF(C$1="","",IFERROR(INDEX('包络曲线数据'!$B$2:$U$742,ROW()-1,MATCH(C$1,'包络曲线数据'!$B$1:$U$1,0)),""))</x:f>
        <x:v>82.27122390143523</x:v>
      </x:c>
      <x:c r="D420" t="str">
        <x:f>IF(D$1="","",IFERROR(INDEX('包络曲线数据'!$B$2:$U$742,ROW()-1,MATCH(D$1,'包络曲线数据'!$B$1:$U$1,0)),""))</x:f>
      </x:c>
      <x:c r="E420" t="str">
        <x:f>IF(E$1="","",IFERROR(INDEX('包络曲线数据'!$B$2:$U$742,ROW()-1,MATCH(E$1,'包络曲线数据'!$B$1:$U$1,0)),""))</x:f>
      </x:c>
      <x:c r="F420" t="str">
        <x:f>IF(F$1="","",IFERROR(INDEX('包络曲线数据'!$B$2:$U$742,ROW()-1,MATCH(F$1,'包络曲线数据'!$B$1:$U$1,0)),""))</x:f>
      </x:c>
      <x:c r="G420" t="str">
        <x:f>IF(G$1="","",IFERROR(INDEX('包络曲线数据'!$B$2:$U$742,ROW()-1,MATCH(G$1,'包络曲线数据'!$B$1:$U$1,0)),""))</x:f>
      </x:c>
    </x:row>
    <x:row r="421">
      <x:c r="A421" t="n">
        <x:v>41.900000000000006</x:v>
      </x:c>
      <x:c r="B421" t="str">
        <x:f>IF(B$1="","",IFERROR(INDEX('包络曲线数据'!$B$2:$U$742,ROW()-1,MATCH(B$1,'包络曲线数据'!$B$1:$U$1,0)),""))</x:f>
      </x:c>
      <x:c r="C421" t="n">
        <x:f>IF(C$1="","",IFERROR(INDEX('包络曲线数据'!$B$2:$U$742,ROW()-1,MATCH(C$1,'包络曲线数据'!$B$1:$U$1,0)),""))</x:f>
        <x:v>82.3530627828916</x:v>
      </x:c>
      <x:c r="D421" t="str">
        <x:f>IF(D$1="","",IFERROR(INDEX('包络曲线数据'!$B$2:$U$742,ROW()-1,MATCH(D$1,'包络曲线数据'!$B$1:$U$1,0)),""))</x:f>
      </x:c>
      <x:c r="E421" t="str">
        <x:f>IF(E$1="","",IFERROR(INDEX('包络曲线数据'!$B$2:$U$742,ROW()-1,MATCH(E$1,'包络曲线数据'!$B$1:$U$1,0)),""))</x:f>
      </x:c>
      <x:c r="F421" t="str">
        <x:f>IF(F$1="","",IFERROR(INDEX('包络曲线数据'!$B$2:$U$742,ROW()-1,MATCH(F$1,'包络曲线数据'!$B$1:$U$1,0)),""))</x:f>
      </x:c>
      <x:c r="G421" t="str">
        <x:f>IF(G$1="","",IFERROR(INDEX('包络曲线数据'!$B$2:$U$742,ROW()-1,MATCH(G$1,'包络曲线数据'!$B$1:$U$1,0)),""))</x:f>
      </x:c>
    </x:row>
    <x:row r="422">
      <x:c r="A422" t="n">
        <x:v>42</x:v>
      </x:c>
      <x:c r="B422" t="str">
        <x:f>IF(B$1="","",IFERROR(INDEX('包络曲线数据'!$B$2:$U$742,ROW()-1,MATCH(B$1,'包络曲线数据'!$B$1:$U$1,0)),""))</x:f>
      </x:c>
      <x:c r="C422" t="n">
        <x:f>IF(C$1="","",IFERROR(INDEX('包络曲线数据'!$B$2:$U$742,ROW()-1,MATCH(C$1,'包络曲线数据'!$B$1:$U$1,0)),""))</x:f>
        <x:v>79.55874350672579</x:v>
      </x:c>
      <x:c r="D422" t="str">
        <x:f>IF(D$1="","",IFERROR(INDEX('包络曲线数据'!$B$2:$U$742,ROW()-1,MATCH(D$1,'包络曲线数据'!$B$1:$U$1,0)),""))</x:f>
      </x:c>
      <x:c r="E422" t="str">
        <x:f>IF(E$1="","",IFERROR(INDEX('包络曲线数据'!$B$2:$U$742,ROW()-1,MATCH(E$1,'包络曲线数据'!$B$1:$U$1,0)),""))</x:f>
      </x:c>
      <x:c r="F422" t="str">
        <x:f>IF(F$1="","",IFERROR(INDEX('包络曲线数据'!$B$2:$U$742,ROW()-1,MATCH(F$1,'包络曲线数据'!$B$1:$U$1,0)),""))</x:f>
      </x:c>
      <x:c r="G422" t="str">
        <x:f>IF(G$1="","",IFERROR(INDEX('包络曲线数据'!$B$2:$U$742,ROW()-1,MATCH(G$1,'包络曲线数据'!$B$1:$U$1,0)),""))</x:f>
      </x:c>
    </x:row>
    <x:row r="423">
      <x:c r="A423" t="n">
        <x:v>42.1</x:v>
      </x:c>
      <x:c r="B423" t="str">
        <x:f>IF(B$1="","",IFERROR(INDEX('包络曲线数据'!$B$2:$U$742,ROW()-1,MATCH(B$1,'包络曲线数据'!$B$1:$U$1,0)),""))</x:f>
      </x:c>
      <x:c r="C423" t="n">
        <x:f>IF(C$1="","",IFERROR(INDEX('包络曲线数据'!$B$2:$U$742,ROW()-1,MATCH(C$1,'包络曲线数据'!$B$1:$U$1,0)),""))</x:f>
        <x:v>66.23200864216203</x:v>
      </x:c>
      <x:c r="D423" t="str">
        <x:f>IF(D$1="","",IFERROR(INDEX('包络曲线数据'!$B$2:$U$742,ROW()-1,MATCH(D$1,'包络曲线数据'!$B$1:$U$1,0)),""))</x:f>
      </x:c>
      <x:c r="E423" t="str">
        <x:f>IF(E$1="","",IFERROR(INDEX('包络曲线数据'!$B$2:$U$742,ROW()-1,MATCH(E$1,'包络曲线数据'!$B$1:$U$1,0)),""))</x:f>
      </x:c>
      <x:c r="F423" t="str">
        <x:f>IF(F$1="","",IFERROR(INDEX('包络曲线数据'!$B$2:$U$742,ROW()-1,MATCH(F$1,'包络曲线数据'!$B$1:$U$1,0)),""))</x:f>
      </x:c>
      <x:c r="G423" t="str">
        <x:f>IF(G$1="","",IFERROR(INDEX('包络曲线数据'!$B$2:$U$742,ROW()-1,MATCH(G$1,'包络曲线数据'!$B$1:$U$1,0)),""))</x:f>
      </x:c>
    </x:row>
    <x:row r="424">
      <x:c r="A424" t="n">
        <x:v>42.2</x:v>
      </x:c>
      <x:c r="B424" t="str">
        <x:f>IF(B$1="","",IFERROR(INDEX('包络曲线数据'!$B$2:$U$742,ROW()-1,MATCH(B$1,'包络曲线数据'!$B$1:$U$1,0)),""))</x:f>
      </x:c>
      <x:c r="C424" t="n">
        <x:f>IF(C$1="","",IFERROR(INDEX('包络曲线数据'!$B$2:$U$742,ROW()-1,MATCH(C$1,'包络曲线数据'!$B$1:$U$1,0)),""))</x:f>
        <x:v>54.105339855814265</x:v>
      </x:c>
      <x:c r="D424" t="str">
        <x:f>IF(D$1="","",IFERROR(INDEX('包络曲线数据'!$B$2:$U$742,ROW()-1,MATCH(D$1,'包络曲线数据'!$B$1:$U$1,0)),""))</x:f>
      </x:c>
      <x:c r="E424" t="str">
        <x:f>IF(E$1="","",IFERROR(INDEX('包络曲线数据'!$B$2:$U$742,ROW()-1,MATCH(E$1,'包络曲线数据'!$B$1:$U$1,0)),""))</x:f>
      </x:c>
      <x:c r="F424" t="str">
        <x:f>IF(F$1="","",IFERROR(INDEX('包络曲线数据'!$B$2:$U$742,ROW()-1,MATCH(F$1,'包络曲线数据'!$B$1:$U$1,0)),""))</x:f>
      </x:c>
      <x:c r="G424" t="str">
        <x:f>IF(G$1="","",IFERROR(INDEX('包络曲线数据'!$B$2:$U$742,ROW()-1,MATCH(G$1,'包络曲线数据'!$B$1:$U$1,0)),""))</x:f>
      </x:c>
    </x:row>
    <x:row r="425">
      <x:c r="A425" t="n">
        <x:v>42.300000000000004</x:v>
      </x:c>
      <x:c r="B425" t="str">
        <x:f>IF(B$1="","",IFERROR(INDEX('包络曲线数据'!$B$2:$U$742,ROW()-1,MATCH(B$1,'包络曲线数据'!$B$1:$U$1,0)),""))</x:f>
      </x:c>
      <x:c r="C425" t="n">
        <x:f>IF(C$1="","",IFERROR(INDEX('包络曲线数据'!$B$2:$U$742,ROW()-1,MATCH(C$1,'包络曲线数据'!$B$1:$U$1,0)),""))</x:f>
        <x:v>50</x:v>
      </x:c>
      <x:c r="D425" t="str">
        <x:f>IF(D$1="","",IFERROR(INDEX('包络曲线数据'!$B$2:$U$742,ROW()-1,MATCH(D$1,'包络曲线数据'!$B$1:$U$1,0)),""))</x:f>
      </x:c>
      <x:c r="E425" t="str">
        <x:f>IF(E$1="","",IFERROR(INDEX('包络曲线数据'!$B$2:$U$742,ROW()-1,MATCH(E$1,'包络曲线数据'!$B$1:$U$1,0)),""))</x:f>
      </x:c>
      <x:c r="F425" t="str">
        <x:f>IF(F$1="","",IFERROR(INDEX('包络曲线数据'!$B$2:$U$742,ROW()-1,MATCH(F$1,'包络曲线数据'!$B$1:$U$1,0)),""))</x:f>
      </x:c>
      <x:c r="G425" t="str">
        <x:f>IF(G$1="","",IFERROR(INDEX('包络曲线数据'!$B$2:$U$742,ROW()-1,MATCH(G$1,'包络曲线数据'!$B$1:$U$1,0)),""))</x:f>
      </x:c>
    </x:row>
    <x:row r="426">
      <x:c r="A426" t="n">
        <x:v>42.400000000000006</x:v>
      </x:c>
      <x:c r="B426" t="str">
        <x:f>IF(B$1="","",IFERROR(INDEX('包络曲线数据'!$B$2:$U$742,ROW()-1,MATCH(B$1,'包络曲线数据'!$B$1:$U$1,0)),""))</x:f>
      </x:c>
      <x:c r="C426" t="n">
        <x:f>IF(C$1="","",IFERROR(INDEX('包络曲线数据'!$B$2:$U$742,ROW()-1,MATCH(C$1,'包络曲线数据'!$B$1:$U$1,0)),""))</x:f>
        <x:v>52.71292077560851</x:v>
      </x:c>
      <x:c r="D426" t="str">
        <x:f>IF(D$1="","",IFERROR(INDEX('包络曲线数据'!$B$2:$U$742,ROW()-1,MATCH(D$1,'包络曲线数据'!$B$1:$U$1,0)),""))</x:f>
      </x:c>
      <x:c r="E426" t="str">
        <x:f>IF(E$1="","",IFERROR(INDEX('包络曲线数据'!$B$2:$U$742,ROW()-1,MATCH(E$1,'包络曲线数据'!$B$1:$U$1,0)),""))</x:f>
      </x:c>
      <x:c r="F426" t="str">
        <x:f>IF(F$1="","",IFERROR(INDEX('包络曲线数据'!$B$2:$U$742,ROW()-1,MATCH(F$1,'包络曲线数据'!$B$1:$U$1,0)),""))</x:f>
      </x:c>
      <x:c r="G426" t="str">
        <x:f>IF(G$1="","",IFERROR(INDEX('包络曲线数据'!$B$2:$U$742,ROW()-1,MATCH(G$1,'包络曲线数据'!$B$1:$U$1,0)),""))</x:f>
      </x:c>
    </x:row>
    <x:row r="427">
      <x:c r="A427" t="n">
        <x:v>42.5</x:v>
      </x:c>
      <x:c r="B427" t="str">
        <x:f>IF(B$1="","",IFERROR(INDEX('包络曲线数据'!$B$2:$U$742,ROW()-1,MATCH(B$1,'包络曲线数据'!$B$1:$U$1,0)),""))</x:f>
      </x:c>
      <x:c r="C427" t="n">
        <x:f>IF(C$1="","",IFERROR(INDEX('包络曲线数据'!$B$2:$U$742,ROW()-1,MATCH(C$1,'包络曲线数据'!$B$1:$U$1,0)),""))</x:f>
        <x:v>66.27752465364814</x:v>
      </x:c>
      <x:c r="D427" t="str">
        <x:f>IF(D$1="","",IFERROR(INDEX('包络曲线数据'!$B$2:$U$742,ROW()-1,MATCH(D$1,'包络曲线数据'!$B$1:$U$1,0)),""))</x:f>
      </x:c>
      <x:c r="E427" t="str">
        <x:f>IF(E$1="","",IFERROR(INDEX('包络曲线数据'!$B$2:$U$742,ROW()-1,MATCH(E$1,'包络曲线数据'!$B$1:$U$1,0)),""))</x:f>
      </x:c>
      <x:c r="F427" t="str">
        <x:f>IF(F$1="","",IFERROR(INDEX('包络曲线数据'!$B$2:$U$742,ROW()-1,MATCH(F$1,'包络曲线数据'!$B$1:$U$1,0)),""))</x:f>
      </x:c>
      <x:c r="G427" t="str">
        <x:f>IF(G$1="","",IFERROR(INDEX('包络曲线数据'!$B$2:$U$742,ROW()-1,MATCH(G$1,'包络曲线数据'!$B$1:$U$1,0)),""))</x:f>
      </x:c>
    </x:row>
    <x:row r="428">
      <x:c r="A428" t="n">
        <x:v>42.6</x:v>
      </x:c>
      <x:c r="B428" t="str">
        <x:f>IF(B$1="","",IFERROR(INDEX('包络曲线数据'!$B$2:$U$742,ROW()-1,MATCH(B$1,'包络曲线数据'!$B$1:$U$1,0)),""))</x:f>
      </x:c>
      <x:c r="C428" t="n">
        <x:f>IF(C$1="","",IFERROR(INDEX('包络曲线数据'!$B$2:$U$742,ROW()-1,MATCH(C$1,'包络曲线数据'!$B$1:$U$1,0)),""))</x:f>
        <x:v>68.99044542925665</x:v>
      </x:c>
      <x:c r="D428" t="str">
        <x:f>IF(D$1="","",IFERROR(INDEX('包络曲线数据'!$B$2:$U$742,ROW()-1,MATCH(D$1,'包络曲线数据'!$B$1:$U$1,0)),""))</x:f>
      </x:c>
      <x:c r="E428" t="str">
        <x:f>IF(E$1="","",IFERROR(INDEX('包络曲线数据'!$B$2:$U$742,ROW()-1,MATCH(E$1,'包络曲线数据'!$B$1:$U$1,0)),""))</x:f>
      </x:c>
      <x:c r="F428" t="str">
        <x:f>IF(F$1="","",IFERROR(INDEX('包络曲线数据'!$B$2:$U$742,ROW()-1,MATCH(F$1,'包络曲线数据'!$B$1:$U$1,0)),""))</x:f>
      </x:c>
      <x:c r="G428" t="str">
        <x:f>IF(G$1="","",IFERROR(INDEX('包络曲线数据'!$B$2:$U$742,ROW()-1,MATCH(G$1,'包络曲线数据'!$B$1:$U$1,0)),""))</x:f>
      </x:c>
    </x:row>
    <x:row r="429">
      <x:c r="A429" t="n">
        <x:v>42.7</x:v>
      </x:c>
      <x:c r="B429" t="str">
        <x:f>IF(B$1="","",IFERROR(INDEX('包络曲线数据'!$B$2:$U$742,ROW()-1,MATCH(B$1,'包络曲线数据'!$B$1:$U$1,0)),""))</x:f>
      </x:c>
      <x:c r="C429" t="n">
        <x:f>IF(C$1="","",IFERROR(INDEX('包络曲线数据'!$B$2:$U$742,ROW()-1,MATCH(C$1,'包络曲线数据'!$B$1:$U$1,0)),""))</x:f>
        <x:v>77.07313684373732</x:v>
      </x:c>
      <x:c r="D429" t="str">
        <x:f>IF(D$1="","",IFERROR(INDEX('包络曲线数据'!$B$2:$U$742,ROW()-1,MATCH(D$1,'包络曲线数据'!$B$1:$U$1,0)),""))</x:f>
      </x:c>
      <x:c r="E429" t="str">
        <x:f>IF(E$1="","",IFERROR(INDEX('包络曲线数据'!$B$2:$U$742,ROW()-1,MATCH(E$1,'包络曲线数据'!$B$1:$U$1,0)),""))</x:f>
      </x:c>
      <x:c r="F429" t="str">
        <x:f>IF(F$1="","",IFERROR(INDEX('包络曲线数据'!$B$2:$U$742,ROW()-1,MATCH(F$1,'包络曲线数据'!$B$1:$U$1,0)),""))</x:f>
      </x:c>
      <x:c r="G429" t="str">
        <x:f>IF(G$1="","",IFERROR(INDEX('包络曲线数据'!$B$2:$U$742,ROW()-1,MATCH(G$1,'包络曲线数据'!$B$1:$U$1,0)),""))</x:f>
      </x:c>
    </x:row>
    <x:row r="430">
      <x:c r="A430" t="n">
        <x:v>42.800000000000004</x:v>
      </x:c>
      <x:c r="B430" t="str">
        <x:f>IF(B$1="","",IFERROR(INDEX('包络曲线数据'!$B$2:$U$742,ROW()-1,MATCH(B$1,'包络曲线数据'!$B$1:$U$1,0)),""))</x:f>
      </x:c>
      <x:c r="C430" t="n">
        <x:f>IF(C$1="","",IFERROR(INDEX('包络曲线数据'!$B$2:$U$742,ROW()-1,MATCH(C$1,'包络曲线数据'!$B$1:$U$1,0)),""))</x:f>
        <x:v>77.07313684373732</x:v>
      </x:c>
      <x:c r="D430" t="str">
        <x:f>IF(D$1="","",IFERROR(INDEX('包络曲线数据'!$B$2:$U$742,ROW()-1,MATCH(D$1,'包络曲线数据'!$B$1:$U$1,0)),""))</x:f>
      </x:c>
      <x:c r="E430" t="str">
        <x:f>IF(E$1="","",IFERROR(INDEX('包络曲线数据'!$B$2:$U$742,ROW()-1,MATCH(E$1,'包络曲线数据'!$B$1:$U$1,0)),""))</x:f>
      </x:c>
      <x:c r="F430" t="str">
        <x:f>IF(F$1="","",IFERROR(INDEX('包络曲线数据'!$B$2:$U$742,ROW()-1,MATCH(F$1,'包络曲线数据'!$B$1:$U$1,0)),""))</x:f>
      </x:c>
      <x:c r="G430" t="str">
        <x:f>IF(G$1="","",IFERROR(INDEX('包络曲线数据'!$B$2:$U$742,ROW()-1,MATCH(G$1,'包络曲线数据'!$B$1:$U$1,0)),""))</x:f>
      </x:c>
    </x:row>
    <x:row r="431">
      <x:c r="A431" t="n">
        <x:v>42.900000000000006</x:v>
      </x:c>
      <x:c r="B431" t="str">
        <x:f>IF(B$1="","",IFERROR(INDEX('包络曲线数据'!$B$2:$U$742,ROW()-1,MATCH(B$1,'包络曲线数据'!$B$1:$U$1,0)),""))</x:f>
      </x:c>
      <x:c r="C431" t="n">
        <x:f>IF(C$1="","",IFERROR(INDEX('包络曲线数据'!$B$2:$U$742,ROW()-1,MATCH(C$1,'包络曲线数据'!$B$1:$U$1,0)),""))</x:f>
        <x:v>69.73686871477126</x:v>
      </x:c>
      <x:c r="D431" t="str">
        <x:f>IF(D$1="","",IFERROR(INDEX('包络曲线数据'!$B$2:$U$742,ROW()-1,MATCH(D$1,'包络曲线数据'!$B$1:$U$1,0)),""))</x:f>
      </x:c>
      <x:c r="E431" t="str">
        <x:f>IF(E$1="","",IFERROR(INDEX('包络曲线数据'!$B$2:$U$742,ROW()-1,MATCH(E$1,'包络曲线数据'!$B$1:$U$1,0)),""))</x:f>
      </x:c>
      <x:c r="F431" t="str">
        <x:f>IF(F$1="","",IFERROR(INDEX('包络曲线数据'!$B$2:$U$742,ROW()-1,MATCH(F$1,'包络曲线数据'!$B$1:$U$1,0)),""))</x:f>
      </x:c>
      <x:c r="G431" t="str">
        <x:f>IF(G$1="","",IFERROR(INDEX('包络曲线数据'!$B$2:$U$742,ROW()-1,MATCH(G$1,'包络曲线数据'!$B$1:$U$1,0)),""))</x:f>
      </x:c>
    </x:row>
    <x:row r="432">
      <x:c r="A432" t="n">
        <x:v>43</x:v>
      </x:c>
      <x:c r="B432" t="str">
        <x:f>IF(B$1="","",IFERROR(INDEX('包络曲线数据'!$B$2:$U$742,ROW()-1,MATCH(B$1,'包络曲线数据'!$B$1:$U$1,0)),""))</x:f>
      </x:c>
      <x:c r="C432" t="n">
        <x:f>IF(C$1="","",IFERROR(INDEX('包络曲线数据'!$B$2:$U$742,ROW()-1,MATCH(C$1,'包络曲线数据'!$B$1:$U$1,0)),""))</x:f>
        <x:v>66.92228257963876</x:v>
      </x:c>
      <x:c r="D432" t="str">
        <x:f>IF(D$1="","",IFERROR(INDEX('包络曲线数据'!$B$2:$U$742,ROW()-1,MATCH(D$1,'包络曲线数据'!$B$1:$U$1,0)),""))</x:f>
      </x:c>
      <x:c r="E432" t="str">
        <x:f>IF(E$1="","",IFERROR(INDEX('包络曲线数据'!$B$2:$U$742,ROW()-1,MATCH(E$1,'包络曲线数据'!$B$1:$U$1,0)),""))</x:f>
      </x:c>
      <x:c r="F432" t="str">
        <x:f>IF(F$1="","",IFERROR(INDEX('包络曲线数据'!$B$2:$U$742,ROW()-1,MATCH(F$1,'包络曲线数据'!$B$1:$U$1,0)),""))</x:f>
      </x:c>
      <x:c r="G432" t="str">
        <x:f>IF(G$1="","",IFERROR(INDEX('包络曲线数据'!$B$2:$U$742,ROW()-1,MATCH(G$1,'包络曲线数据'!$B$1:$U$1,0)),""))</x:f>
      </x:c>
    </x:row>
    <x:row r="433">
      <x:c r="A433" t="n">
        <x:v>43.1</x:v>
      </x:c>
      <x:c r="B433" t="str">
        <x:f>IF(B$1="","",IFERROR(INDEX('包络曲线数据'!$B$2:$U$742,ROW()-1,MATCH(B$1,'包络曲线数据'!$B$1:$U$1,0)),""))</x:f>
      </x:c>
      <x:c r="C433" t="n">
        <x:f>IF(C$1="","",IFERROR(INDEX('包络曲线数据'!$B$2:$U$742,ROW()-1,MATCH(C$1,'包络曲线数据'!$B$1:$U$1,0)),""))</x:f>
        <x:v>73.34615683607406</x:v>
      </x:c>
      <x:c r="D433" t="str">
        <x:f>IF(D$1="","",IFERROR(INDEX('包络曲线数据'!$B$2:$U$742,ROW()-1,MATCH(D$1,'包络曲线数据'!$B$1:$U$1,0)),""))</x:f>
      </x:c>
      <x:c r="E433" t="str">
        <x:f>IF(E$1="","",IFERROR(INDEX('包络曲线数据'!$B$2:$U$742,ROW()-1,MATCH(E$1,'包络曲线数据'!$B$1:$U$1,0)),""))</x:f>
      </x:c>
      <x:c r="F433" t="str">
        <x:f>IF(F$1="","",IFERROR(INDEX('包络曲线数据'!$B$2:$U$742,ROW()-1,MATCH(F$1,'包络曲线数据'!$B$1:$U$1,0)),""))</x:f>
      </x:c>
      <x:c r="G433" t="str">
        <x:f>IF(G$1="","",IFERROR(INDEX('包络曲线数据'!$B$2:$U$742,ROW()-1,MATCH(G$1,'包络曲线数据'!$B$1:$U$1,0)),""))</x:f>
      </x:c>
    </x:row>
    <x:row r="434">
      <x:c r="A434" t="n">
        <x:v>43.2</x:v>
      </x:c>
      <x:c r="B434" t="str">
        <x:f>IF(B$1="","",IFERROR(INDEX('包络曲线数据'!$B$2:$U$742,ROW()-1,MATCH(B$1,'包络曲线数据'!$B$1:$U$1,0)),""))</x:f>
      </x:c>
      <x:c r="C434" t="n">
        <x:f>IF(C$1="","",IFERROR(INDEX('包络曲线数据'!$B$2:$U$742,ROW()-1,MATCH(C$1,'包络曲线数据'!$B$1:$U$1,0)),""))</x:f>
        <x:v>76.25717478360316</x:v>
      </x:c>
      <x:c r="D434" t="str">
        <x:f>IF(D$1="","",IFERROR(INDEX('包络曲线数据'!$B$2:$U$742,ROW()-1,MATCH(D$1,'包络曲线数据'!$B$1:$U$1,0)),""))</x:f>
      </x:c>
      <x:c r="E434" t="str">
        <x:f>IF(E$1="","",IFERROR(INDEX('包络曲线数据'!$B$2:$U$742,ROW()-1,MATCH(E$1,'包络曲线数据'!$B$1:$U$1,0)),""))</x:f>
      </x:c>
      <x:c r="F434" t="str">
        <x:f>IF(F$1="","",IFERROR(INDEX('包络曲线数据'!$B$2:$U$742,ROW()-1,MATCH(F$1,'包络曲线数据'!$B$1:$U$1,0)),""))</x:f>
      </x:c>
      <x:c r="G434" t="str">
        <x:f>IF(G$1="","",IFERROR(INDEX('包络曲线数据'!$B$2:$U$742,ROW()-1,MATCH(G$1,'包络曲线数据'!$B$1:$U$1,0)),""))</x:f>
      </x:c>
    </x:row>
    <x:row r="435">
      <x:c r="A435" t="n">
        <x:v>43.300000000000004</x:v>
      </x:c>
      <x:c r="B435" t="str">
        <x:f>IF(B$1="","",IFERROR(INDEX('包络曲线数据'!$B$2:$U$742,ROW()-1,MATCH(B$1,'包络曲线数据'!$B$1:$U$1,0)),""))</x:f>
      </x:c>
      <x:c r="C435" t="n">
        <x:f>IF(C$1="","",IFERROR(INDEX('包络曲线数据'!$B$2:$U$742,ROW()-1,MATCH(C$1,'包络曲线数据'!$B$1:$U$1,0)),""))</x:f>
        <x:v>76.72982061834631</x:v>
      </x:c>
      <x:c r="D435" t="str">
        <x:f>IF(D$1="","",IFERROR(INDEX('包络曲线数据'!$B$2:$U$742,ROW()-1,MATCH(D$1,'包络曲线数据'!$B$1:$U$1,0)),""))</x:f>
      </x:c>
      <x:c r="E435" t="str">
        <x:f>IF(E$1="","",IFERROR(INDEX('包络曲线数据'!$B$2:$U$742,ROW()-1,MATCH(E$1,'包络曲线数据'!$B$1:$U$1,0)),""))</x:f>
      </x:c>
      <x:c r="F435" t="str">
        <x:f>IF(F$1="","",IFERROR(INDEX('包络曲线数据'!$B$2:$U$742,ROW()-1,MATCH(F$1,'包络曲线数据'!$B$1:$U$1,0)),""))</x:f>
      </x:c>
      <x:c r="G435" t="str">
        <x:f>IF(G$1="","",IFERROR(INDEX('包络曲线数据'!$B$2:$U$742,ROW()-1,MATCH(G$1,'包络曲线数据'!$B$1:$U$1,0)),""))</x:f>
      </x:c>
    </x:row>
    <x:row r="436">
      <x:c r="A436" t="n">
        <x:v>43.400000000000006</x:v>
      </x:c>
      <x:c r="B436" t="str">
        <x:f>IF(B$1="","",IFERROR(INDEX('包络曲线数据'!$B$2:$U$742,ROW()-1,MATCH(B$1,'包络曲线数据'!$B$1:$U$1,0)),""))</x:f>
      </x:c>
      <x:c r="C436" t="n">
        <x:f>IF(C$1="","",IFERROR(INDEX('包络曲线数据'!$B$2:$U$742,ROW()-1,MATCH(C$1,'包络曲线数据'!$B$1:$U$1,0)),""))</x:f>
        <x:v>76.7298206183461</x:v>
      </x:c>
      <x:c r="D436" t="str">
        <x:f>IF(D$1="","",IFERROR(INDEX('包络曲线数据'!$B$2:$U$742,ROW()-1,MATCH(D$1,'包络曲线数据'!$B$1:$U$1,0)),""))</x:f>
      </x:c>
      <x:c r="E436" t="str">
        <x:f>IF(E$1="","",IFERROR(INDEX('包络曲线数据'!$B$2:$U$742,ROW()-1,MATCH(E$1,'包络曲线数据'!$B$1:$U$1,0)),""))</x:f>
      </x:c>
      <x:c r="F436" t="str">
        <x:f>IF(F$1="","",IFERROR(INDEX('包络曲线数据'!$B$2:$U$742,ROW()-1,MATCH(F$1,'包络曲线数据'!$B$1:$U$1,0)),""))</x:f>
      </x:c>
      <x:c r="G436" t="str">
        <x:f>IF(G$1="","",IFERROR(INDEX('包络曲线数据'!$B$2:$U$742,ROW()-1,MATCH(G$1,'包络曲线数据'!$B$1:$U$1,0)),""))</x:f>
      </x:c>
    </x:row>
    <x:row r="437">
      <x:c r="A437" t="n">
        <x:v>43.5</x:v>
      </x:c>
      <x:c r="B437" t="str">
        <x:f>IF(B$1="","",IFERROR(INDEX('包络曲线数据'!$B$2:$U$742,ROW()-1,MATCH(B$1,'包络曲线数据'!$B$1:$U$1,0)),""))</x:f>
      </x:c>
      <x:c r="C437" t="n">
        <x:f>IF(C$1="","",IFERROR(INDEX('包络曲线数据'!$B$2:$U$742,ROW()-1,MATCH(C$1,'包络曲线数据'!$B$1:$U$1,0)),""))</x:f>
        <x:v>75.6225697957602</x:v>
      </x:c>
      <x:c r="D437" t="str">
        <x:f>IF(D$1="","",IFERROR(INDEX('包络曲线数据'!$B$2:$U$742,ROW()-1,MATCH(D$1,'包络曲线数据'!$B$1:$U$1,0)),""))</x:f>
      </x:c>
      <x:c r="E437" t="str">
        <x:f>IF(E$1="","",IFERROR(INDEX('包络曲线数据'!$B$2:$U$742,ROW()-1,MATCH(E$1,'包络曲线数据'!$B$1:$U$1,0)),""))</x:f>
      </x:c>
      <x:c r="F437" t="str">
        <x:f>IF(F$1="","",IFERROR(INDEX('包络曲线数据'!$B$2:$U$742,ROW()-1,MATCH(F$1,'包络曲线数据'!$B$1:$U$1,0)),""))</x:f>
      </x:c>
      <x:c r="G437" t="str">
        <x:f>IF(G$1="","",IFERROR(INDEX('包络曲线数据'!$B$2:$U$742,ROW()-1,MATCH(G$1,'包络曲线数据'!$B$1:$U$1,0)),""))</x:f>
      </x:c>
    </x:row>
    <x:row r="438">
      <x:c r="A438" t="n">
        <x:v>43.6</x:v>
      </x:c>
      <x:c r="B438" t="str">
        <x:f>IF(B$1="","",IFERROR(INDEX('包络曲线数据'!$B$2:$U$742,ROW()-1,MATCH(B$1,'包络曲线数据'!$B$1:$U$1,0)),""))</x:f>
      </x:c>
      <x:c r="C438" t="n">
        <x:f>IF(C$1="","",IFERROR(INDEX('包络曲线数据'!$B$2:$U$742,ROW()-1,MATCH(C$1,'包络曲线数据'!$B$1:$U$1,0)),""))</x:f>
        <x:v>76.35395246136865</x:v>
      </x:c>
      <x:c r="D438" t="str">
        <x:f>IF(D$1="","",IFERROR(INDEX('包络曲线数据'!$B$2:$U$742,ROW()-1,MATCH(D$1,'包络曲线数据'!$B$1:$U$1,0)),""))</x:f>
      </x:c>
      <x:c r="E438" t="str">
        <x:f>IF(E$1="","",IFERROR(INDEX('包络曲线数据'!$B$2:$U$742,ROW()-1,MATCH(E$1,'包络曲线数据'!$B$1:$U$1,0)),""))</x:f>
      </x:c>
      <x:c r="F438" t="str">
        <x:f>IF(F$1="","",IFERROR(INDEX('包络曲线数据'!$B$2:$U$742,ROW()-1,MATCH(F$1,'包络曲线数据'!$B$1:$U$1,0)),""))</x:f>
      </x:c>
      <x:c r="G438" t="str">
        <x:f>IF(G$1="","",IFERROR(INDEX('包络曲线数据'!$B$2:$U$742,ROW()-1,MATCH(G$1,'包络曲线数据'!$B$1:$U$1,0)),""))</x:f>
      </x:c>
    </x:row>
    <x:row r="439">
      <x:c r="A439" t="n">
        <x:v>43.7</x:v>
      </x:c>
      <x:c r="B439" t="str">
        <x:f>IF(B$1="","",IFERROR(INDEX('包络曲线数据'!$B$2:$U$742,ROW()-1,MATCH(B$1,'包络曲线数据'!$B$1:$U$1,0)),""))</x:f>
      </x:c>
      <x:c r="C439" t="n">
        <x:f>IF(C$1="","",IFERROR(INDEX('包络曲线数据'!$B$2:$U$742,ROW()-1,MATCH(C$1,'包络曲线数据'!$B$1:$U$1,0)),""))</x:f>
        <x:v>76.35395246136865</x:v>
      </x:c>
      <x:c r="D439" t="str">
        <x:f>IF(D$1="","",IFERROR(INDEX('包络曲线数据'!$B$2:$U$742,ROW()-1,MATCH(D$1,'包络曲线数据'!$B$1:$U$1,0)),""))</x:f>
      </x:c>
      <x:c r="E439" t="str">
        <x:f>IF(E$1="","",IFERROR(INDEX('包络曲线数据'!$B$2:$U$742,ROW()-1,MATCH(E$1,'包络曲线数据'!$B$1:$U$1,0)),""))</x:f>
      </x:c>
      <x:c r="F439" t="str">
        <x:f>IF(F$1="","",IFERROR(INDEX('包络曲线数据'!$B$2:$U$742,ROW()-1,MATCH(F$1,'包络曲线数据'!$B$1:$U$1,0)),""))</x:f>
      </x:c>
      <x:c r="G439" t="str">
        <x:f>IF(G$1="","",IFERROR(INDEX('包络曲线数据'!$B$2:$U$742,ROW()-1,MATCH(G$1,'包络曲线数据'!$B$1:$U$1,0)),""))</x:f>
      </x:c>
    </x:row>
    <x:row r="440">
      <x:c r="A440" t="n">
        <x:v>43.800000000000004</x:v>
      </x:c>
      <x:c r="B440" t="str">
        <x:f>IF(B$1="","",IFERROR(INDEX('包络曲线数据'!$B$2:$U$742,ROW()-1,MATCH(B$1,'包络曲线数据'!$B$1:$U$1,0)),""))</x:f>
      </x:c>
      <x:c r="C440" t="n">
        <x:f>IF(C$1="","",IFERROR(INDEX('包络曲线数据'!$B$2:$U$742,ROW()-1,MATCH(C$1,'包络曲线数据'!$B$1:$U$1,0)),""))</x:f>
        <x:v>76.58524432656544</x:v>
      </x:c>
      <x:c r="D440" t="str">
        <x:f>IF(D$1="","",IFERROR(INDEX('包络曲线数据'!$B$2:$U$742,ROW()-1,MATCH(D$1,'包络曲线数据'!$B$1:$U$1,0)),""))</x:f>
      </x:c>
      <x:c r="E440" t="str">
        <x:f>IF(E$1="","",IFERROR(INDEX('包络曲线数据'!$B$2:$U$742,ROW()-1,MATCH(E$1,'包络曲线数据'!$B$1:$U$1,0)),""))</x:f>
      </x:c>
      <x:c r="F440" t="str">
        <x:f>IF(F$1="","",IFERROR(INDEX('包络曲线数据'!$B$2:$U$742,ROW()-1,MATCH(F$1,'包络曲线数据'!$B$1:$U$1,0)),""))</x:f>
      </x:c>
      <x:c r="G440" t="str">
        <x:f>IF(G$1="","",IFERROR(INDEX('包络曲线数据'!$B$2:$U$742,ROW()-1,MATCH(G$1,'包络曲线数据'!$B$1:$U$1,0)),""))</x:f>
      </x:c>
    </x:row>
    <x:row r="441">
      <x:c r="A441" t="n">
        <x:v>43.900000000000006</x:v>
      </x:c>
      <x:c r="B441" t="str">
        <x:f>IF(B$1="","",IFERROR(INDEX('包络曲线数据'!$B$2:$U$742,ROW()-1,MATCH(B$1,'包络曲线数据'!$B$1:$U$1,0)),""))</x:f>
      </x:c>
      <x:c r="C441" t="n">
        <x:f>IF(C$1="","",IFERROR(INDEX('包络曲线数据'!$B$2:$U$742,ROW()-1,MATCH(C$1,'包络曲线数据'!$B$1:$U$1,0)),""))</x:f>
        <x:v>77.11463085403389</x:v>
      </x:c>
      <x:c r="D441" t="str">
        <x:f>IF(D$1="","",IFERROR(INDEX('包络曲线数据'!$B$2:$U$742,ROW()-1,MATCH(D$1,'包络曲线数据'!$B$1:$U$1,0)),""))</x:f>
      </x:c>
      <x:c r="E441" t="str">
        <x:f>IF(E$1="","",IFERROR(INDEX('包络曲线数据'!$B$2:$U$742,ROW()-1,MATCH(E$1,'包络曲线数据'!$B$1:$U$1,0)),""))</x:f>
      </x:c>
      <x:c r="F441" t="str">
        <x:f>IF(F$1="","",IFERROR(INDEX('包络曲线数据'!$B$2:$U$742,ROW()-1,MATCH(F$1,'包络曲线数据'!$B$1:$U$1,0)),""))</x:f>
      </x:c>
      <x:c r="G441" t="str">
        <x:f>IF(G$1="","",IFERROR(INDEX('包络曲线数据'!$B$2:$U$742,ROW()-1,MATCH(G$1,'包络曲线数据'!$B$1:$U$1,0)),""))</x:f>
      </x:c>
    </x:row>
    <x:row r="442">
      <x:c r="A442" t="n">
        <x:v>44</x:v>
      </x:c>
      <x:c r="B442" t="str">
        <x:f>IF(B$1="","",IFERROR(INDEX('包络曲线数据'!$B$2:$U$742,ROW()-1,MATCH(B$1,'包络曲线数据'!$B$1:$U$1,0)),""))</x:f>
      </x:c>
      <x:c r="C442" t="n">
        <x:f>IF(C$1="","",IFERROR(INDEX('包络曲线数据'!$B$2:$U$742,ROW()-1,MATCH(C$1,'包络曲线数据'!$B$1:$U$1,0)),""))</x:f>
        <x:v>77.11463085403389</x:v>
      </x:c>
      <x:c r="D442" t="str">
        <x:f>IF(D$1="","",IFERROR(INDEX('包络曲线数据'!$B$2:$U$742,ROW()-1,MATCH(D$1,'包络曲线数据'!$B$1:$U$1,0)),""))</x:f>
      </x:c>
      <x:c r="E442" t="str">
        <x:f>IF(E$1="","",IFERROR(INDEX('包络曲线数据'!$B$2:$U$742,ROW()-1,MATCH(E$1,'包络曲线数据'!$B$1:$U$1,0)),""))</x:f>
      </x:c>
      <x:c r="F442" t="str">
        <x:f>IF(F$1="","",IFERROR(INDEX('包络曲线数据'!$B$2:$U$742,ROW()-1,MATCH(F$1,'包络曲线数据'!$B$1:$U$1,0)),""))</x:f>
      </x:c>
      <x:c r="G442" t="str">
        <x:f>IF(G$1="","",IFERROR(INDEX('包络曲线数据'!$B$2:$U$742,ROW()-1,MATCH(G$1,'包络曲线数据'!$B$1:$U$1,0)),""))</x:f>
      </x:c>
    </x:row>
    <x:row r="443">
      <x:c r="A443" t="n">
        <x:v>44.1</x:v>
      </x:c>
      <x:c r="B443" t="str">
        <x:f>IF(B$1="","",IFERROR(INDEX('包络曲线数据'!$B$2:$U$742,ROW()-1,MATCH(B$1,'包络曲线数据'!$B$1:$U$1,0)),""))</x:f>
      </x:c>
      <x:c r="C443" t="n">
        <x:f>IF(C$1="","",IFERROR(INDEX('包络曲线数据'!$B$2:$U$742,ROW()-1,MATCH(C$1,'包络曲线数据'!$B$1:$U$1,0)),""))</x:f>
        <x:v>80.54176055623984</x:v>
      </x:c>
      <x:c r="D443" t="str">
        <x:f>IF(D$1="","",IFERROR(INDEX('包络曲线数据'!$B$2:$U$742,ROW()-1,MATCH(D$1,'包络曲线数据'!$B$1:$U$1,0)),""))</x:f>
      </x:c>
      <x:c r="E443" t="str">
        <x:f>IF(E$1="","",IFERROR(INDEX('包络曲线数据'!$B$2:$U$742,ROW()-1,MATCH(E$1,'包络曲线数据'!$B$1:$U$1,0)),""))</x:f>
      </x:c>
      <x:c r="F443" t="str">
        <x:f>IF(F$1="","",IFERROR(INDEX('包络曲线数据'!$B$2:$U$742,ROW()-1,MATCH(F$1,'包络曲线数据'!$B$1:$U$1,0)),""))</x:f>
      </x:c>
      <x:c r="G443" t="str">
        <x:f>IF(G$1="","",IFERROR(INDEX('包络曲线数据'!$B$2:$U$742,ROW()-1,MATCH(G$1,'包络曲线数据'!$B$1:$U$1,0)),""))</x:f>
      </x:c>
    </x:row>
    <x:row r="444">
      <x:c r="A444" t="n">
        <x:v>44.2</x:v>
      </x:c>
      <x:c r="B444" t="str">
        <x:f>IF(B$1="","",IFERROR(INDEX('包络曲线数据'!$B$2:$U$742,ROW()-1,MATCH(B$1,'包络曲线数据'!$B$1:$U$1,0)),""))</x:f>
      </x:c>
      <x:c r="C444" t="n">
        <x:f>IF(C$1="","",IFERROR(INDEX('包络曲线数据'!$B$2:$U$742,ROW()-1,MATCH(C$1,'包络曲线数据'!$B$1:$U$1,0)),""))</x:f>
        <x:v>84.51938831536259</x:v>
      </x:c>
      <x:c r="D444" t="str">
        <x:f>IF(D$1="","",IFERROR(INDEX('包络曲线数据'!$B$2:$U$742,ROW()-1,MATCH(D$1,'包络曲线数据'!$B$1:$U$1,0)),""))</x:f>
      </x:c>
      <x:c r="E444" t="str">
        <x:f>IF(E$1="","",IFERROR(INDEX('包络曲线数据'!$B$2:$U$742,ROW()-1,MATCH(E$1,'包络曲线数据'!$B$1:$U$1,0)),""))</x:f>
      </x:c>
      <x:c r="F444" t="str">
        <x:f>IF(F$1="","",IFERROR(INDEX('包络曲线数据'!$B$2:$U$742,ROW()-1,MATCH(F$1,'包络曲线数据'!$B$1:$U$1,0)),""))</x:f>
      </x:c>
      <x:c r="G444" t="str">
        <x:f>IF(G$1="","",IFERROR(INDEX('包络曲线数据'!$B$2:$U$742,ROW()-1,MATCH(G$1,'包络曲线数据'!$B$1:$U$1,0)),""))</x:f>
      </x:c>
    </x:row>
    <x:row r="445">
      <x:c r="A445" t="n">
        <x:v>44.300000000000004</x:v>
      </x:c>
      <x:c r="B445" t="str">
        <x:f>IF(B$1="","",IFERROR(INDEX('包络曲线数据'!$B$2:$U$742,ROW()-1,MATCH(B$1,'包络曲线数据'!$B$1:$U$1,0)),""))</x:f>
      </x:c>
      <x:c r="C445" t="n">
        <x:f>IF(C$1="","",IFERROR(INDEX('包络曲线数据'!$B$2:$U$742,ROW()-1,MATCH(C$1,'包络曲线数据'!$B$1:$U$1,0)),""))</x:f>
        <x:v>84.51938831536252</x:v>
      </x:c>
      <x:c r="D445" t="str">
        <x:f>IF(D$1="","",IFERROR(INDEX('包络曲线数据'!$B$2:$U$742,ROW()-1,MATCH(D$1,'包络曲线数据'!$B$1:$U$1,0)),""))</x:f>
      </x:c>
      <x:c r="E445" t="str">
        <x:f>IF(E$1="","",IFERROR(INDEX('包络曲线数据'!$B$2:$U$742,ROW()-1,MATCH(E$1,'包络曲线数据'!$B$1:$U$1,0)),""))</x:f>
      </x:c>
      <x:c r="F445" t="str">
        <x:f>IF(F$1="","",IFERROR(INDEX('包络曲线数据'!$B$2:$U$742,ROW()-1,MATCH(F$1,'包络曲线数据'!$B$1:$U$1,0)),""))</x:f>
      </x:c>
      <x:c r="G445" t="str">
        <x:f>IF(G$1="","",IFERROR(INDEX('包络曲线数据'!$B$2:$U$742,ROW()-1,MATCH(G$1,'包络曲线数据'!$B$1:$U$1,0)),""))</x:f>
      </x:c>
    </x:row>
    <x:row r="446">
      <x:c r="A446" t="n">
        <x:v>44.400000000000006</x:v>
      </x:c>
      <x:c r="B446" t="str">
        <x:f>IF(B$1="","",IFERROR(INDEX('包络曲线数据'!$B$2:$U$742,ROW()-1,MATCH(B$1,'包络曲线数据'!$B$1:$U$1,0)),""))</x:f>
      </x:c>
      <x:c r="C446" t="n">
        <x:f>IF(C$1="","",IFERROR(INDEX('包络曲线数据'!$B$2:$U$742,ROW()-1,MATCH(C$1,'包络曲线数据'!$B$1:$U$1,0)),""))</x:f>
        <x:v>75.83974852365571</x:v>
      </x:c>
      <x:c r="D446" t="str">
        <x:f>IF(D$1="","",IFERROR(INDEX('包络曲线数据'!$B$2:$U$742,ROW()-1,MATCH(D$1,'包络曲线数据'!$B$1:$U$1,0)),""))</x:f>
      </x:c>
      <x:c r="E446" t="str">
        <x:f>IF(E$1="","",IFERROR(INDEX('包络曲线数据'!$B$2:$U$742,ROW()-1,MATCH(E$1,'包络曲线数据'!$B$1:$U$1,0)),""))</x:f>
      </x:c>
      <x:c r="F446" t="str">
        <x:f>IF(F$1="","",IFERROR(INDEX('包络曲线数据'!$B$2:$U$742,ROW()-1,MATCH(F$1,'包络曲线数据'!$B$1:$U$1,0)),""))</x:f>
      </x:c>
      <x:c r="G446" t="str">
        <x:f>IF(G$1="","",IFERROR(INDEX('包络曲线数据'!$B$2:$U$742,ROW()-1,MATCH(G$1,'包络曲线数据'!$B$1:$U$1,0)),""))</x:f>
      </x:c>
    </x:row>
    <x:row r="447">
      <x:c r="A447" t="n">
        <x:v>44.5</x:v>
      </x:c>
      <x:c r="B447" t="str">
        <x:f>IF(B$1="","",IFERROR(INDEX('包络曲线数据'!$B$2:$U$742,ROW()-1,MATCH(B$1,'包络曲线数据'!$B$1:$U$1,0)),""))</x:f>
      </x:c>
      <x:c r="C447" t="n">
        <x:f>IF(C$1="","",IFERROR(INDEX('包络曲线数据'!$B$2:$U$742,ROW()-1,MATCH(C$1,'包络曲线数据'!$B$1:$U$1,0)),""))</x:f>
        <x:v>64.1648505036585</x:v>
      </x:c>
      <x:c r="D447" t="str">
        <x:f>IF(D$1="","",IFERROR(INDEX('包络曲线数据'!$B$2:$U$742,ROW()-1,MATCH(D$1,'包络曲线数据'!$B$1:$U$1,0)),""))</x:f>
      </x:c>
      <x:c r="E447" t="str">
        <x:f>IF(E$1="","",IFERROR(INDEX('包络曲线数据'!$B$2:$U$742,ROW()-1,MATCH(E$1,'包络曲线数据'!$B$1:$U$1,0)),""))</x:f>
      </x:c>
      <x:c r="F447" t="str">
        <x:f>IF(F$1="","",IFERROR(INDEX('包络曲线数据'!$B$2:$U$742,ROW()-1,MATCH(F$1,'包络曲线数据'!$B$1:$U$1,0)),""))</x:f>
      </x:c>
      <x:c r="G447" t="str">
        <x:f>IF(G$1="","",IFERROR(INDEX('包络曲线数据'!$B$2:$U$742,ROW()-1,MATCH(G$1,'包络曲线数据'!$B$1:$U$1,0)),""))</x:f>
      </x:c>
    </x:row>
    <x:row r="448">
      <x:c r="A448" t="n">
        <x:v>44.6</x:v>
      </x:c>
      <x:c r="B448" t="str">
        <x:f>IF(B$1="","",IFERROR(INDEX('包络曲线数据'!$B$2:$U$742,ROW()-1,MATCH(B$1,'包络曲线数据'!$B$1:$U$1,0)),""))</x:f>
      </x:c>
      <x:c r="C448" t="n">
        <x:f>IF(C$1="","",IFERROR(INDEX('包络曲线数据'!$B$2:$U$742,ROW()-1,MATCH(C$1,'包络曲线数据'!$B$1:$U$1,0)),""))</x:f>
        <x:v>50</x:v>
      </x:c>
      <x:c r="D448" t="str">
        <x:f>IF(D$1="","",IFERROR(INDEX('包络曲线数据'!$B$2:$U$742,ROW()-1,MATCH(D$1,'包络曲线数据'!$B$1:$U$1,0)),""))</x:f>
      </x:c>
      <x:c r="E448" t="str">
        <x:f>IF(E$1="","",IFERROR(INDEX('包络曲线数据'!$B$2:$U$742,ROW()-1,MATCH(E$1,'包络曲线数据'!$B$1:$U$1,0)),""))</x:f>
      </x:c>
      <x:c r="F448" t="str">
        <x:f>IF(F$1="","",IFERROR(INDEX('包络曲线数据'!$B$2:$U$742,ROW()-1,MATCH(F$1,'包络曲线数据'!$B$1:$U$1,0)),""))</x:f>
      </x:c>
      <x:c r="G448" t="str">
        <x:f>IF(G$1="","",IFERROR(INDEX('包络曲线数据'!$B$2:$U$742,ROW()-1,MATCH(G$1,'包络曲线数据'!$B$1:$U$1,0)),""))</x:f>
      </x:c>
    </x:row>
    <x:row r="449">
      <x:c r="A449" t="n">
        <x:v>44.7</x:v>
      </x:c>
      <x:c r="B449" t="str">
        <x:f>IF(B$1="","",IFERROR(INDEX('包络曲线数据'!$B$2:$U$742,ROW()-1,MATCH(B$1,'包络曲线数据'!$B$1:$U$1,0)),""))</x:f>
      </x:c>
      <x:c r="C449" t="n">
        <x:f>IF(C$1="","",IFERROR(INDEX('包络曲线数据'!$B$2:$U$742,ROW()-1,MATCH(C$1,'包络曲线数据'!$B$1:$U$1,0)),""))</x:f>
        <x:v>50</x:v>
      </x:c>
      <x:c r="D449" t="str">
        <x:f>IF(D$1="","",IFERROR(INDEX('包络曲线数据'!$B$2:$U$742,ROW()-1,MATCH(D$1,'包络曲线数据'!$B$1:$U$1,0)),""))</x:f>
      </x:c>
      <x:c r="E449" t="str">
        <x:f>IF(E$1="","",IFERROR(INDEX('包络曲线数据'!$B$2:$U$742,ROW()-1,MATCH(E$1,'包络曲线数据'!$B$1:$U$1,0)),""))</x:f>
      </x:c>
      <x:c r="F449" t="str">
        <x:f>IF(F$1="","",IFERROR(INDEX('包络曲线数据'!$B$2:$U$742,ROW()-1,MATCH(F$1,'包络曲线数据'!$B$1:$U$1,0)),""))</x:f>
      </x:c>
      <x:c r="G449" t="str">
        <x:f>IF(G$1="","",IFERROR(INDEX('包络曲线数据'!$B$2:$U$742,ROW()-1,MATCH(G$1,'包络曲线数据'!$B$1:$U$1,0)),""))</x:f>
      </x:c>
    </x:row>
    <x:row r="450">
      <x:c r="A450" t="n">
        <x:v>44.800000000000004</x:v>
      </x:c>
      <x:c r="B450" t="str">
        <x:f>IF(B$1="","",IFERROR(INDEX('包络曲线数据'!$B$2:$U$742,ROW()-1,MATCH(B$1,'包络曲线数据'!$B$1:$U$1,0)),""))</x:f>
      </x:c>
      <x:c r="C450" t="n">
        <x:f>IF(C$1="","",IFERROR(INDEX('包络曲线数据'!$B$2:$U$742,ROW()-1,MATCH(C$1,'包络曲线数据'!$B$1:$U$1,0)),""))</x:f>
        <x:v>65.93994236202819</x:v>
      </x:c>
      <x:c r="D450" t="str">
        <x:f>IF(D$1="","",IFERROR(INDEX('包络曲线数据'!$B$2:$U$742,ROW()-1,MATCH(D$1,'包络曲线数据'!$B$1:$U$1,0)),""))</x:f>
      </x:c>
      <x:c r="E450" t="str">
        <x:f>IF(E$1="","",IFERROR(INDEX('包络曲线数据'!$B$2:$U$742,ROW()-1,MATCH(E$1,'包络曲线数据'!$B$1:$U$1,0)),""))</x:f>
      </x:c>
      <x:c r="F450" t="str">
        <x:f>IF(F$1="","",IFERROR(INDEX('包络曲线数据'!$B$2:$U$742,ROW()-1,MATCH(F$1,'包络曲线数据'!$B$1:$U$1,0)),""))</x:f>
      </x:c>
      <x:c r="G450" t="str">
        <x:f>IF(G$1="","",IFERROR(INDEX('包络曲线数据'!$B$2:$U$742,ROW()-1,MATCH(G$1,'包络曲线数据'!$B$1:$U$1,0)),""))</x:f>
      </x:c>
    </x:row>
    <x:row r="451">
      <x:c r="A451" t="n">
        <x:v>44.900000000000006</x:v>
      </x:c>
      <x:c r="B451" t="str">
        <x:f>IF(B$1="","",IFERROR(INDEX('包络曲线数据'!$B$2:$U$742,ROW()-1,MATCH(B$1,'包络曲线数据'!$B$1:$U$1,0)),""))</x:f>
      </x:c>
      <x:c r="C451" t="n">
        <x:f>IF(C$1="","",IFERROR(INDEX('包络曲线数据'!$B$2:$U$742,ROW()-1,MATCH(C$1,'包络曲线数据'!$B$1:$U$1,0)),""))</x:f>
        <x:v>66.59355101388348</x:v>
      </x:c>
      <x:c r="D451" t="str">
        <x:f>IF(D$1="","",IFERROR(INDEX('包络曲线数据'!$B$2:$U$742,ROW()-1,MATCH(D$1,'包络曲线数据'!$B$1:$U$1,0)),""))</x:f>
      </x:c>
      <x:c r="E451" t="str">
        <x:f>IF(E$1="","",IFERROR(INDEX('包络曲线数据'!$B$2:$U$742,ROW()-1,MATCH(E$1,'包络曲线数据'!$B$1:$U$1,0)),""))</x:f>
      </x:c>
      <x:c r="F451" t="str">
        <x:f>IF(F$1="","",IFERROR(INDEX('包络曲线数据'!$B$2:$U$742,ROW()-1,MATCH(F$1,'包络曲线数据'!$B$1:$U$1,0)),""))</x:f>
      </x:c>
      <x:c r="G451" t="str">
        <x:f>IF(G$1="","",IFERROR(INDEX('包络曲线数据'!$B$2:$U$742,ROW()-1,MATCH(G$1,'包络曲线数据'!$B$1:$U$1,0)),""))</x:f>
      </x:c>
    </x:row>
    <x:row r="452">
      <x:c r="A452" t="n">
        <x:v>45</x:v>
      </x:c>
      <x:c r="B452" t="str">
        <x:f>IF(B$1="","",IFERROR(INDEX('包络曲线数据'!$B$2:$U$742,ROW()-1,MATCH(B$1,'包络曲线数据'!$B$1:$U$1,0)),""))</x:f>
      </x:c>
      <x:c r="C452" t="n">
        <x:f>IF(C$1="","",IFERROR(INDEX('包络曲线数据'!$B$2:$U$742,ROW()-1,MATCH(C$1,'包络曲线数据'!$B$1:$U$1,0)),""))</x:f>
        <x:v>76.59733488394852</x:v>
      </x:c>
      <x:c r="D452" t="str">
        <x:f>IF(D$1="","",IFERROR(INDEX('包络曲线数据'!$B$2:$U$742,ROW()-1,MATCH(D$1,'包络曲线数据'!$B$1:$U$1,0)),""))</x:f>
      </x:c>
      <x:c r="E452" t="str">
        <x:f>IF(E$1="","",IFERROR(INDEX('包络曲线数据'!$B$2:$U$742,ROW()-1,MATCH(E$1,'包络曲线数据'!$B$1:$U$1,0)),""))</x:f>
      </x:c>
      <x:c r="F452" t="str">
        <x:f>IF(F$1="","",IFERROR(INDEX('包络曲线数据'!$B$2:$U$742,ROW()-1,MATCH(F$1,'包络曲线数据'!$B$1:$U$1,0)),""))</x:f>
      </x:c>
      <x:c r="G452" t="str">
        <x:f>IF(G$1="","",IFERROR(INDEX('包络曲线数据'!$B$2:$U$742,ROW()-1,MATCH(G$1,'包络曲线数据'!$B$1:$U$1,0)),""))</x:f>
      </x:c>
    </x:row>
    <x:row r="453">
      <x:c r="A453" t="n">
        <x:v>45.1</x:v>
      </x:c>
      <x:c r="B453" t="str">
        <x:f>IF(B$1="","",IFERROR(INDEX('包络曲线数据'!$B$2:$U$742,ROW()-1,MATCH(B$1,'包络曲线数据'!$B$1:$U$1,0)),""))</x:f>
      </x:c>
      <x:c r="C453" t="n">
        <x:f>IF(C$1="","",IFERROR(INDEX('包络曲线数据'!$B$2:$U$742,ROW()-1,MATCH(C$1,'包络曲线数据'!$B$1:$U$1,0)),""))</x:f>
        <x:v>76.59733488394852</x:v>
      </x:c>
      <x:c r="D453" t="str">
        <x:f>IF(D$1="","",IFERROR(INDEX('包络曲线数据'!$B$2:$U$742,ROW()-1,MATCH(D$1,'包络曲线数据'!$B$1:$U$1,0)),""))</x:f>
      </x:c>
      <x:c r="E453" t="str">
        <x:f>IF(E$1="","",IFERROR(INDEX('包络曲线数据'!$B$2:$U$742,ROW()-1,MATCH(E$1,'包络曲线数据'!$B$1:$U$1,0)),""))</x:f>
      </x:c>
      <x:c r="F453" t="str">
        <x:f>IF(F$1="","",IFERROR(INDEX('包络曲线数据'!$B$2:$U$742,ROW()-1,MATCH(F$1,'包络曲线数据'!$B$1:$U$1,0)),""))</x:f>
      </x:c>
      <x:c r="G453" t="str">
        <x:f>IF(G$1="","",IFERROR(INDEX('包络曲线数据'!$B$2:$U$742,ROW()-1,MATCH(G$1,'包络曲线数据'!$B$1:$U$1,0)),""))</x:f>
      </x:c>
    </x:row>
    <x:row r="454">
      <x:c r="A454" t="n">
        <x:v>45.2</x:v>
      </x:c>
      <x:c r="B454" t="str">
        <x:f>IF(B$1="","",IFERROR(INDEX('包络曲线数据'!$B$2:$U$742,ROW()-1,MATCH(B$1,'包络曲线数据'!$B$1:$U$1,0)),""))</x:f>
      </x:c>
      <x:c r="C454" t="n">
        <x:f>IF(C$1="","",IFERROR(INDEX('包络曲线数据'!$B$2:$U$742,ROW()-1,MATCH(C$1,'包络曲线数据'!$B$1:$U$1,0)),""))</x:f>
        <x:v>75.22793196769001</x:v>
      </x:c>
      <x:c r="D454" t="str">
        <x:f>IF(D$1="","",IFERROR(INDEX('包络曲线数据'!$B$2:$U$742,ROW()-1,MATCH(D$1,'包络曲线数据'!$B$1:$U$1,0)),""))</x:f>
      </x:c>
      <x:c r="E454" t="str">
        <x:f>IF(E$1="","",IFERROR(INDEX('包络曲线数据'!$B$2:$U$742,ROW()-1,MATCH(E$1,'包络曲线数据'!$B$1:$U$1,0)),""))</x:f>
      </x:c>
      <x:c r="F454" t="str">
        <x:f>IF(F$1="","",IFERROR(INDEX('包络曲线数据'!$B$2:$U$742,ROW()-1,MATCH(F$1,'包络曲线数据'!$B$1:$U$1,0)),""))</x:f>
      </x:c>
      <x:c r="G454" t="str">
        <x:f>IF(G$1="","",IFERROR(INDEX('包络曲线数据'!$B$2:$U$742,ROW()-1,MATCH(G$1,'包络曲线数据'!$B$1:$U$1,0)),""))</x:f>
      </x:c>
    </x:row>
    <x:row r="455">
      <x:c r="A455" t="n">
        <x:v>45.300000000000004</x:v>
      </x:c>
      <x:c r="B455" t="str">
        <x:f>IF(B$1="","",IFERROR(INDEX('包络曲线数据'!$B$2:$U$742,ROW()-1,MATCH(B$1,'包络曲线数据'!$B$1:$U$1,0)),""))</x:f>
      </x:c>
      <x:c r="C455" t="n">
        <x:f>IF(C$1="","",IFERROR(INDEX('包络曲线数据'!$B$2:$U$742,ROW()-1,MATCH(C$1,'包络曲线数据'!$B$1:$U$1,0)),""))</x:f>
        <x:v>66.2547858537855</x:v>
      </x:c>
      <x:c r="D455" t="str">
        <x:f>IF(D$1="","",IFERROR(INDEX('包络曲线数据'!$B$2:$U$742,ROW()-1,MATCH(D$1,'包络曲线数据'!$B$1:$U$1,0)),""))</x:f>
      </x:c>
      <x:c r="E455" t="str">
        <x:f>IF(E$1="","",IFERROR(INDEX('包络曲线数据'!$B$2:$U$742,ROW()-1,MATCH(E$1,'包络曲线数据'!$B$1:$U$1,0)),""))</x:f>
      </x:c>
      <x:c r="F455" t="str">
        <x:f>IF(F$1="","",IFERROR(INDEX('包络曲线数据'!$B$2:$U$742,ROW()-1,MATCH(F$1,'包络曲线数据'!$B$1:$U$1,0)),""))</x:f>
      </x:c>
      <x:c r="G455" t="str">
        <x:f>IF(G$1="","",IFERROR(INDEX('包络曲线数据'!$B$2:$U$742,ROW()-1,MATCH(G$1,'包络曲线数据'!$B$1:$U$1,0)),""))</x:f>
      </x:c>
    </x:row>
    <x:row r="456">
      <x:c r="A456" t="n">
        <x:v>45.400000000000006</x:v>
      </x:c>
      <x:c r="B456" t="str">
        <x:f>IF(B$1="","",IFERROR(INDEX('包络曲线数据'!$B$2:$U$742,ROW()-1,MATCH(B$1,'包络曲线数据'!$B$1:$U$1,0)),""))</x:f>
      </x:c>
      <x:c r="C456" t="n">
        <x:f>IF(C$1="","",IFERROR(INDEX('包络曲线数据'!$B$2:$U$742,ROW()-1,MATCH(C$1,'包络曲线数据'!$B$1:$U$1,0)),""))</x:f>
        <x:v>74.51890069673233</x:v>
      </x:c>
      <x:c r="D456" t="str">
        <x:f>IF(D$1="","",IFERROR(INDEX('包络曲线数据'!$B$2:$U$742,ROW()-1,MATCH(D$1,'包络曲线数据'!$B$1:$U$1,0)),""))</x:f>
      </x:c>
      <x:c r="E456" t="str">
        <x:f>IF(E$1="","",IFERROR(INDEX('包络曲线数据'!$B$2:$U$742,ROW()-1,MATCH(E$1,'包络曲线数据'!$B$1:$U$1,0)),""))</x:f>
      </x:c>
      <x:c r="F456" t="str">
        <x:f>IF(F$1="","",IFERROR(INDEX('包络曲线数据'!$B$2:$U$742,ROW()-1,MATCH(F$1,'包络曲线数据'!$B$1:$U$1,0)),""))</x:f>
      </x:c>
      <x:c r="G456" t="str">
        <x:f>IF(G$1="","",IFERROR(INDEX('包络曲线数据'!$B$2:$U$742,ROW()-1,MATCH(G$1,'包络曲线数据'!$B$1:$U$1,0)),""))</x:f>
      </x:c>
    </x:row>
    <x:row r="457">
      <x:c r="A457" t="n">
        <x:v>45.5</x:v>
      </x:c>
      <x:c r="B457" t="str">
        <x:f>IF(B$1="","",IFERROR(INDEX('包络曲线数据'!$B$2:$U$742,ROW()-1,MATCH(B$1,'包络曲线数据'!$B$1:$U$1,0)),""))</x:f>
      </x:c>
      <x:c r="C457" t="n">
        <x:f>IF(C$1="","",IFERROR(INDEX('包络曲线数据'!$B$2:$U$742,ROW()-1,MATCH(C$1,'包络曲线数据'!$B$1:$U$1,0)),""))</x:f>
        <x:v>75.0980448334916</x:v>
      </x:c>
      <x:c r="D457" t="str">
        <x:f>IF(D$1="","",IFERROR(INDEX('包络曲线数据'!$B$2:$U$742,ROW()-1,MATCH(D$1,'包络曲线数据'!$B$1:$U$1,0)),""))</x:f>
      </x:c>
      <x:c r="E457" t="str">
        <x:f>IF(E$1="","",IFERROR(INDEX('包络曲线数据'!$B$2:$U$742,ROW()-1,MATCH(E$1,'包络曲线数据'!$B$1:$U$1,0)),""))</x:f>
      </x:c>
      <x:c r="F457" t="str">
        <x:f>IF(F$1="","",IFERROR(INDEX('包络曲线数据'!$B$2:$U$742,ROW()-1,MATCH(F$1,'包络曲线数据'!$B$1:$U$1,0)),""))</x:f>
      </x:c>
      <x:c r="G457" t="str">
        <x:f>IF(G$1="","",IFERROR(INDEX('包络曲线数据'!$B$2:$U$742,ROW()-1,MATCH(G$1,'包络曲线数据'!$B$1:$U$1,0)),""))</x:f>
      </x:c>
    </x:row>
    <x:row r="458">
      <x:c r="A458" t="n">
        <x:v>45.6</x:v>
      </x:c>
      <x:c r="B458" t="str">
        <x:f>IF(B$1="","",IFERROR(INDEX('包络曲线数据'!$B$2:$U$742,ROW()-1,MATCH(B$1,'包络曲线数据'!$B$1:$U$1,0)),""))</x:f>
      </x:c>
      <x:c r="C458" t="n">
        <x:f>IF(C$1="","",IFERROR(INDEX('包络曲线数据'!$B$2:$U$742,ROW()-1,MATCH(C$1,'包络曲线数据'!$B$1:$U$1,0)),""))</x:f>
        <x:v>75.936149166643</x:v>
      </x:c>
      <x:c r="D458" t="str">
        <x:f>IF(D$1="","",IFERROR(INDEX('包络曲线数据'!$B$2:$U$742,ROW()-1,MATCH(D$1,'包络曲线数据'!$B$1:$U$1,0)),""))</x:f>
      </x:c>
      <x:c r="E458" t="str">
        <x:f>IF(E$1="","",IFERROR(INDEX('包络曲线数据'!$B$2:$U$742,ROW()-1,MATCH(E$1,'包络曲线数据'!$B$1:$U$1,0)),""))</x:f>
      </x:c>
      <x:c r="F458" t="str">
        <x:f>IF(F$1="","",IFERROR(INDEX('包络曲线数据'!$B$2:$U$742,ROW()-1,MATCH(F$1,'包络曲线数据'!$B$1:$U$1,0)),""))</x:f>
      </x:c>
      <x:c r="G458" t="str">
        <x:f>IF(G$1="","",IFERROR(INDEX('包络曲线数据'!$B$2:$U$742,ROW()-1,MATCH(G$1,'包络曲线数据'!$B$1:$U$1,0)),""))</x:f>
      </x:c>
    </x:row>
    <x:row r="459">
      <x:c r="A459" t="n">
        <x:v>45.7</x:v>
      </x:c>
      <x:c r="B459" t="str">
        <x:f>IF(B$1="","",IFERROR(INDEX('包络曲线数据'!$B$2:$U$742,ROW()-1,MATCH(B$1,'包络曲线数据'!$B$1:$U$1,0)),""))</x:f>
      </x:c>
      <x:c r="C459" t="n">
        <x:f>IF(C$1="","",IFERROR(INDEX('包络曲线数据'!$B$2:$U$742,ROW()-1,MATCH(C$1,'包络曲线数据'!$B$1:$U$1,0)),""))</x:f>
        <x:v>76.33854144266377</x:v>
      </x:c>
      <x:c r="D459" t="str">
        <x:f>IF(D$1="","",IFERROR(INDEX('包络曲线数据'!$B$2:$U$742,ROW()-1,MATCH(D$1,'包络曲线数据'!$B$1:$U$1,0)),""))</x:f>
      </x:c>
      <x:c r="E459" t="str">
        <x:f>IF(E$1="","",IFERROR(INDEX('包络曲线数据'!$B$2:$U$742,ROW()-1,MATCH(E$1,'包络曲线数据'!$B$1:$U$1,0)),""))</x:f>
      </x:c>
      <x:c r="F459" t="str">
        <x:f>IF(F$1="","",IFERROR(INDEX('包络曲线数据'!$B$2:$U$742,ROW()-1,MATCH(F$1,'包络曲线数据'!$B$1:$U$1,0)),""))</x:f>
      </x:c>
      <x:c r="G459" t="str">
        <x:f>IF(G$1="","",IFERROR(INDEX('包络曲线数据'!$B$2:$U$742,ROW()-1,MATCH(G$1,'包络曲线数据'!$B$1:$U$1,0)),""))</x:f>
      </x:c>
    </x:row>
    <x:row r="460">
      <x:c r="A460" t="n">
        <x:v>45.800000000000004</x:v>
      </x:c>
      <x:c r="B460" t="str">
        <x:f>IF(B$1="","",IFERROR(INDEX('包络曲线数据'!$B$2:$U$742,ROW()-1,MATCH(B$1,'包络曲线数据'!$B$1:$U$1,0)),""))</x:f>
      </x:c>
      <x:c r="C460" t="n">
        <x:f>IF(C$1="","",IFERROR(INDEX('包络曲线数据'!$B$2:$U$742,ROW()-1,MATCH(C$1,'包络曲线数据'!$B$1:$U$1,0)),""))</x:f>
        <x:v>76.3659510662503</x:v>
      </x:c>
      <x:c r="D460" t="str">
        <x:f>IF(D$1="","",IFERROR(INDEX('包络曲线数据'!$B$2:$U$742,ROW()-1,MATCH(D$1,'包络曲线数据'!$B$1:$U$1,0)),""))</x:f>
      </x:c>
      <x:c r="E460" t="str">
        <x:f>IF(E$1="","",IFERROR(INDEX('包络曲线数据'!$B$2:$U$742,ROW()-1,MATCH(E$1,'包络曲线数据'!$B$1:$U$1,0)),""))</x:f>
      </x:c>
      <x:c r="F460" t="str">
        <x:f>IF(F$1="","",IFERROR(INDEX('包络曲线数据'!$B$2:$U$742,ROW()-1,MATCH(F$1,'包络曲线数据'!$B$1:$U$1,0)),""))</x:f>
      </x:c>
      <x:c r="G460" t="str">
        <x:f>IF(G$1="","",IFERROR(INDEX('包络曲线数据'!$B$2:$U$742,ROW()-1,MATCH(G$1,'包络曲线数据'!$B$1:$U$1,0)),""))</x:f>
      </x:c>
    </x:row>
    <x:row r="461">
      <x:c r="A461" t="n">
        <x:v>45.900000000000006</x:v>
      </x:c>
      <x:c r="B461" t="str">
        <x:f>IF(B$1="","",IFERROR(INDEX('包络曲线数据'!$B$2:$U$742,ROW()-1,MATCH(B$1,'包络曲线数据'!$B$1:$U$1,0)),""))</x:f>
      </x:c>
      <x:c r="C461" t="n">
        <x:f>IF(C$1="","",IFERROR(INDEX('包络曲线数据'!$B$2:$U$742,ROW()-1,MATCH(C$1,'包络曲线数据'!$B$1:$U$1,0)),""))</x:f>
        <x:v>75.57644461416308</x:v>
      </x:c>
      <x:c r="D461" t="str">
        <x:f>IF(D$1="","",IFERROR(INDEX('包络曲线数据'!$B$2:$U$742,ROW()-1,MATCH(D$1,'包络曲线数据'!$B$1:$U$1,0)),""))</x:f>
      </x:c>
      <x:c r="E461" t="str">
        <x:f>IF(E$1="","",IFERROR(INDEX('包络曲线数据'!$B$2:$U$742,ROW()-1,MATCH(E$1,'包络曲线数据'!$B$1:$U$1,0)),""))</x:f>
      </x:c>
      <x:c r="F461" t="str">
        <x:f>IF(F$1="","",IFERROR(INDEX('包络曲线数据'!$B$2:$U$742,ROW()-1,MATCH(F$1,'包络曲线数据'!$B$1:$U$1,0)),""))</x:f>
      </x:c>
      <x:c r="G461" t="str">
        <x:f>IF(G$1="","",IFERROR(INDEX('包络曲线数据'!$B$2:$U$742,ROW()-1,MATCH(G$1,'包络曲线数据'!$B$1:$U$1,0)),""))</x:f>
      </x:c>
    </x:row>
    <x:row r="462">
      <x:c r="A462" t="n">
        <x:v>46</x:v>
      </x:c>
      <x:c r="B462" t="str">
        <x:f>IF(B$1="","",IFERROR(INDEX('包络曲线数据'!$B$2:$U$742,ROW()-1,MATCH(B$1,'包络曲线数据'!$B$1:$U$1,0)),""))</x:f>
      </x:c>
      <x:c r="C462" t="n">
        <x:f>IF(C$1="","",IFERROR(INDEX('包络曲线数据'!$B$2:$U$742,ROW()-1,MATCH(C$1,'包络曲线数据'!$B$1:$U$1,0)),""))</x:f>
        <x:v>73.69077212875457</x:v>
      </x:c>
      <x:c r="D462" t="str">
        <x:f>IF(D$1="","",IFERROR(INDEX('包络曲线数据'!$B$2:$U$742,ROW()-1,MATCH(D$1,'包络曲线数据'!$B$1:$U$1,0)),""))</x:f>
      </x:c>
      <x:c r="E462" t="str">
        <x:f>IF(E$1="","",IFERROR(INDEX('包络曲线数据'!$B$2:$U$742,ROW()-1,MATCH(E$1,'包络曲线数据'!$B$1:$U$1,0)),""))</x:f>
      </x:c>
      <x:c r="F462" t="str">
        <x:f>IF(F$1="","",IFERROR(INDEX('包络曲线数据'!$B$2:$U$742,ROW()-1,MATCH(F$1,'包络曲线数据'!$B$1:$U$1,0)),""))</x:f>
      </x:c>
      <x:c r="G462" t="str">
        <x:f>IF(G$1="","",IFERROR(INDEX('包络曲线数据'!$B$2:$U$742,ROW()-1,MATCH(G$1,'包络曲线数据'!$B$1:$U$1,0)),""))</x:f>
      </x:c>
    </x:row>
    <x:row r="463">
      <x:c r="A463" t="n">
        <x:v>46.1</x:v>
      </x:c>
      <x:c r="B463" t="str">
        <x:f>IF(B$1="","",IFERROR(INDEX('包络曲线数据'!$B$2:$U$742,ROW()-1,MATCH(B$1,'包络曲线数据'!$B$1:$U$1,0)),""))</x:f>
      </x:c>
      <x:c r="C463" t="n">
        <x:f>IF(C$1="","",IFERROR(INDEX('包络曲线数据'!$B$2:$U$742,ROW()-1,MATCH(C$1,'包络曲线数据'!$B$1:$U$1,0)),""))</x:f>
        <x:v>77.02498866160377</x:v>
      </x:c>
      <x:c r="D463" t="str">
        <x:f>IF(D$1="","",IFERROR(INDEX('包络曲线数据'!$B$2:$U$742,ROW()-1,MATCH(D$1,'包络曲线数据'!$B$1:$U$1,0)),""))</x:f>
      </x:c>
      <x:c r="E463" t="str">
        <x:f>IF(E$1="","",IFERROR(INDEX('包络曲线数据'!$B$2:$U$742,ROW()-1,MATCH(E$1,'包络曲线数据'!$B$1:$U$1,0)),""))</x:f>
      </x:c>
      <x:c r="F463" t="str">
        <x:f>IF(F$1="","",IFERROR(INDEX('包络曲线数据'!$B$2:$U$742,ROW()-1,MATCH(F$1,'包络曲线数据'!$B$1:$U$1,0)),""))</x:f>
      </x:c>
      <x:c r="G463" t="str">
        <x:f>IF(G$1="","",IFERROR(INDEX('包络曲线数据'!$B$2:$U$742,ROW()-1,MATCH(G$1,'包络曲线数据'!$B$1:$U$1,0)),""))</x:f>
      </x:c>
    </x:row>
    <x:row r="464">
      <x:c r="A464" t="n">
        <x:v>46.2</x:v>
      </x:c>
      <x:c r="B464" t="str">
        <x:f>IF(B$1="","",IFERROR(INDEX('包络曲线数据'!$B$2:$U$742,ROW()-1,MATCH(B$1,'包络曲线数据'!$B$1:$U$1,0)),""))</x:f>
      </x:c>
      <x:c r="C464" t="n">
        <x:f>IF(C$1="","",IFERROR(INDEX('包络曲线数据'!$B$2:$U$742,ROW()-1,MATCH(C$1,'包络曲线数据'!$B$1:$U$1,0)),""))</x:f>
        <x:v>77.02498866160377</x:v>
      </x:c>
      <x:c r="D464" t="str">
        <x:f>IF(D$1="","",IFERROR(INDEX('包络曲线数据'!$B$2:$U$742,ROW()-1,MATCH(D$1,'包络曲线数据'!$B$1:$U$1,0)),""))</x:f>
      </x:c>
      <x:c r="E464" t="str">
        <x:f>IF(E$1="","",IFERROR(INDEX('包络曲线数据'!$B$2:$U$742,ROW()-1,MATCH(E$1,'包络曲线数据'!$B$1:$U$1,0)),""))</x:f>
      </x:c>
      <x:c r="F464" t="str">
        <x:f>IF(F$1="","",IFERROR(INDEX('包络曲线数据'!$B$2:$U$742,ROW()-1,MATCH(F$1,'包络曲线数据'!$B$1:$U$1,0)),""))</x:f>
      </x:c>
      <x:c r="G464" t="str">
        <x:f>IF(G$1="","",IFERROR(INDEX('包络曲线数据'!$B$2:$U$742,ROW()-1,MATCH(G$1,'包络曲线数据'!$B$1:$U$1,0)),""))</x:f>
      </x:c>
    </x:row>
    <x:row r="465">
      <x:c r="A465" t="n">
        <x:v>46.300000000000004</x:v>
      </x:c>
      <x:c r="B465" t="str">
        <x:f>IF(B$1="","",IFERROR(INDEX('包络曲线数据'!$B$2:$U$742,ROW()-1,MATCH(B$1,'包络曲线数据'!$B$1:$U$1,0)),""))</x:f>
      </x:c>
      <x:c r="C465" t="n">
        <x:f>IF(C$1="","",IFERROR(INDEX('包络曲线数据'!$B$2:$U$742,ROW()-1,MATCH(C$1,'包络曲线数据'!$B$1:$U$1,0)),""))</x:f>
        <x:v>75.79656365870002</x:v>
      </x:c>
      <x:c r="D465" t="str">
        <x:f>IF(D$1="","",IFERROR(INDEX('包络曲线数据'!$B$2:$U$742,ROW()-1,MATCH(D$1,'包络曲线数据'!$B$1:$U$1,0)),""))</x:f>
      </x:c>
      <x:c r="E465" t="str">
        <x:f>IF(E$1="","",IFERROR(INDEX('包络曲线数据'!$B$2:$U$742,ROW()-1,MATCH(E$1,'包络曲线数据'!$B$1:$U$1,0)),""))</x:f>
      </x:c>
      <x:c r="F465" t="str">
        <x:f>IF(F$1="","",IFERROR(INDEX('包络曲线数据'!$B$2:$U$742,ROW()-1,MATCH(F$1,'包络曲线数据'!$B$1:$U$1,0)),""))</x:f>
      </x:c>
      <x:c r="G465" t="str">
        <x:f>IF(G$1="","",IFERROR(INDEX('包络曲线数据'!$B$2:$U$742,ROW()-1,MATCH(G$1,'包络曲线数据'!$B$1:$U$1,0)),""))</x:f>
      </x:c>
    </x:row>
    <x:row r="466">
      <x:c r="A466" t="n">
        <x:v>46.400000000000006</x:v>
      </x:c>
      <x:c r="B466" t="str">
        <x:f>IF(B$1="","",IFERROR(INDEX('包络曲线数据'!$B$2:$U$742,ROW()-1,MATCH(B$1,'包络曲线数据'!$B$1:$U$1,0)),""))</x:f>
      </x:c>
      <x:c r="C466" t="n">
        <x:f>IF(C$1="","",IFERROR(INDEX('包络曲线数据'!$B$2:$U$742,ROW()-1,MATCH(C$1,'包络曲线数据'!$B$1:$U$1,0)),""))</x:f>
        <x:v>74.01550541780091</x:v>
      </x:c>
      <x:c r="D466" t="str">
        <x:f>IF(D$1="","",IFERROR(INDEX('包络曲线数据'!$B$2:$U$742,ROW()-1,MATCH(D$1,'包络曲线数据'!$B$1:$U$1,0)),""))</x:f>
      </x:c>
      <x:c r="E466" t="str">
        <x:f>IF(E$1="","",IFERROR(INDEX('包络曲线数据'!$B$2:$U$742,ROW()-1,MATCH(E$1,'包络曲线数据'!$B$1:$U$1,0)),""))</x:f>
      </x:c>
      <x:c r="F466" t="str">
        <x:f>IF(F$1="","",IFERROR(INDEX('包络曲线数据'!$B$2:$U$742,ROW()-1,MATCH(F$1,'包络曲线数据'!$B$1:$U$1,0)),""))</x:f>
      </x:c>
      <x:c r="G466" t="str">
        <x:f>IF(G$1="","",IFERROR(INDEX('包络曲线数据'!$B$2:$U$742,ROW()-1,MATCH(G$1,'包络曲线数据'!$B$1:$U$1,0)),""))</x:f>
      </x:c>
    </x:row>
    <x:row r="467">
      <x:c r="A467" t="n">
        <x:v>46.5</x:v>
      </x:c>
      <x:c r="B467" t="str">
        <x:f>IF(B$1="","",IFERROR(INDEX('包络曲线数据'!$B$2:$U$742,ROW()-1,MATCH(B$1,'包络曲线数据'!$B$1:$U$1,0)),""))</x:f>
      </x:c>
      <x:c r="C467" t="n">
        <x:f>IF(C$1="","",IFERROR(INDEX('包络曲线数据'!$B$2:$U$742,ROW()-1,MATCH(C$1,'包络曲线数据'!$B$1:$U$1,0)),""))</x:f>
        <x:v>85.43750836477977</x:v>
      </x:c>
      <x:c r="D467" t="str">
        <x:f>IF(D$1="","",IFERROR(INDEX('包络曲线数据'!$B$2:$U$742,ROW()-1,MATCH(D$1,'包络曲线数据'!$B$1:$U$1,0)),""))</x:f>
      </x:c>
      <x:c r="E467" t="str">
        <x:f>IF(E$1="","",IFERROR(INDEX('包络曲线数据'!$B$2:$U$742,ROW()-1,MATCH(E$1,'包络曲线数据'!$B$1:$U$1,0)),""))</x:f>
      </x:c>
      <x:c r="F467" t="str">
        <x:f>IF(F$1="","",IFERROR(INDEX('包络曲线数据'!$B$2:$U$742,ROW()-1,MATCH(F$1,'包络曲线数据'!$B$1:$U$1,0)),""))</x:f>
      </x:c>
      <x:c r="G467" t="str">
        <x:f>IF(G$1="","",IFERROR(INDEX('包络曲线数据'!$B$2:$U$742,ROW()-1,MATCH(G$1,'包络曲线数据'!$B$1:$U$1,0)),""))</x:f>
      </x:c>
    </x:row>
    <x:row r="468">
      <x:c r="A468" t="n">
        <x:v>46.6</x:v>
      </x:c>
      <x:c r="B468" t="str">
        <x:f>IF(B$1="","",IFERROR(INDEX('包络曲线数据'!$B$2:$U$742,ROW()-1,MATCH(B$1,'包络曲线数据'!$B$1:$U$1,0)),""))</x:f>
      </x:c>
      <x:c r="C468" t="n">
        <x:f>IF(C$1="","",IFERROR(INDEX('包络曲线数据'!$B$2:$U$742,ROW()-1,MATCH(C$1,'包络曲线数据'!$B$1:$U$1,0)),""))</x:f>
        <x:v>85.43750836477977</x:v>
      </x:c>
      <x:c r="D468" t="str">
        <x:f>IF(D$1="","",IFERROR(INDEX('包络曲线数据'!$B$2:$U$742,ROW()-1,MATCH(D$1,'包络曲线数据'!$B$1:$U$1,0)),""))</x:f>
      </x:c>
      <x:c r="E468" t="str">
        <x:f>IF(E$1="","",IFERROR(INDEX('包络曲线数据'!$B$2:$U$742,ROW()-1,MATCH(E$1,'包络曲线数据'!$B$1:$U$1,0)),""))</x:f>
      </x:c>
      <x:c r="F468" t="str">
        <x:f>IF(F$1="","",IFERROR(INDEX('包络曲线数据'!$B$2:$U$742,ROW()-1,MATCH(F$1,'包络曲线数据'!$B$1:$U$1,0)),""))</x:f>
      </x:c>
      <x:c r="G468" t="str">
        <x:f>IF(G$1="","",IFERROR(INDEX('包络曲线数据'!$B$2:$U$742,ROW()-1,MATCH(G$1,'包络曲线数据'!$B$1:$U$1,0)),""))</x:f>
      </x:c>
    </x:row>
    <x:row r="469">
      <x:c r="A469" t="n">
        <x:v>46.7</x:v>
      </x:c>
      <x:c r="B469" t="str">
        <x:f>IF(B$1="","",IFERROR(INDEX('包络曲线数据'!$B$2:$U$742,ROW()-1,MATCH(B$1,'包络曲线数据'!$B$1:$U$1,0)),""))</x:f>
      </x:c>
      <x:c r="C469" t="n">
        <x:f>IF(C$1="","",IFERROR(INDEX('包络曲线数据'!$B$2:$U$742,ROW()-1,MATCH(C$1,'包络曲线数据'!$B$1:$U$1,0)),""))</x:f>
        <x:v>79.85434076381893</x:v>
      </x:c>
      <x:c r="D469" t="str">
        <x:f>IF(D$1="","",IFERROR(INDEX('包络曲线数据'!$B$2:$U$742,ROW()-1,MATCH(D$1,'包络曲线数据'!$B$1:$U$1,0)),""))</x:f>
      </x:c>
      <x:c r="E469" t="str">
        <x:f>IF(E$1="","",IFERROR(INDEX('包络曲线数据'!$B$2:$U$742,ROW()-1,MATCH(E$1,'包络曲线数据'!$B$1:$U$1,0)),""))</x:f>
      </x:c>
      <x:c r="F469" t="str">
        <x:f>IF(F$1="","",IFERROR(INDEX('包络曲线数据'!$B$2:$U$742,ROW()-1,MATCH(F$1,'包络曲线数据'!$B$1:$U$1,0)),""))</x:f>
      </x:c>
      <x:c r="G469" t="str">
        <x:f>IF(G$1="","",IFERROR(INDEX('包络曲线数据'!$B$2:$U$742,ROW()-1,MATCH(G$1,'包络曲线数据'!$B$1:$U$1,0)),""))</x:f>
      </x:c>
    </x:row>
    <x:row r="470">
      <x:c r="A470" t="n">
        <x:v>46.800000000000004</x:v>
      </x:c>
      <x:c r="B470" t="str">
        <x:f>IF(B$1="","",IFERROR(INDEX('包络曲线数据'!$B$2:$U$742,ROW()-1,MATCH(B$1,'包络曲线数据'!$B$1:$U$1,0)),""))</x:f>
      </x:c>
      <x:c r="C470" t="n">
        <x:f>IF(C$1="","",IFERROR(INDEX('包络曲线数据'!$B$2:$U$742,ROW()-1,MATCH(C$1,'包络曲线数据'!$B$1:$U$1,0)),""))</x:f>
        <x:v>70.91507311398303</x:v>
      </x:c>
      <x:c r="D470" t="str">
        <x:f>IF(D$1="","",IFERROR(INDEX('包络曲线数据'!$B$2:$U$742,ROW()-1,MATCH(D$1,'包络曲线数据'!$B$1:$U$1,0)),""))</x:f>
      </x:c>
      <x:c r="E470" t="str">
        <x:f>IF(E$1="","",IFERROR(INDEX('包络曲线数据'!$B$2:$U$742,ROW()-1,MATCH(E$1,'包络曲线数据'!$B$1:$U$1,0)),""))</x:f>
      </x:c>
      <x:c r="F470" t="str">
        <x:f>IF(F$1="","",IFERROR(INDEX('包络曲线数据'!$B$2:$U$742,ROW()-1,MATCH(F$1,'包络曲线数据'!$B$1:$U$1,0)),""))</x:f>
      </x:c>
      <x:c r="G470" t="str">
        <x:f>IF(G$1="","",IFERROR(INDEX('包络曲线数据'!$B$2:$U$742,ROW()-1,MATCH(G$1,'包络曲线数据'!$B$1:$U$1,0)),""))</x:f>
      </x:c>
    </x:row>
    <x:row r="471">
      <x:c r="A471" t="n">
        <x:v>46.900000000000006</x:v>
      </x:c>
      <x:c r="B471" t="str">
        <x:f>IF(B$1="","",IFERROR(INDEX('包络曲线数据'!$B$2:$U$742,ROW()-1,MATCH(B$1,'包络曲线数据'!$B$1:$U$1,0)),""))</x:f>
      </x:c>
      <x:c r="C471" t="n">
        <x:f>IF(C$1="","",IFERROR(INDEX('包络曲线数据'!$B$2:$U$742,ROW()-1,MATCH(C$1,'包络曲线数据'!$B$1:$U$1,0)),""))</x:f>
        <x:v>50</x:v>
      </x:c>
      <x:c r="D471" t="str">
        <x:f>IF(D$1="","",IFERROR(INDEX('包络曲线数据'!$B$2:$U$742,ROW()-1,MATCH(D$1,'包络曲线数据'!$B$1:$U$1,0)),""))</x:f>
      </x:c>
      <x:c r="E471" t="str">
        <x:f>IF(E$1="","",IFERROR(INDEX('包络曲线数据'!$B$2:$U$742,ROW()-1,MATCH(E$1,'包络曲线数据'!$B$1:$U$1,0)),""))</x:f>
      </x:c>
      <x:c r="F471" t="str">
        <x:f>IF(F$1="","",IFERROR(INDEX('包络曲线数据'!$B$2:$U$742,ROW()-1,MATCH(F$1,'包络曲线数据'!$B$1:$U$1,0)),""))</x:f>
      </x:c>
      <x:c r="G471" t="str">
        <x:f>IF(G$1="","",IFERROR(INDEX('包络曲线数据'!$B$2:$U$742,ROW()-1,MATCH(G$1,'包络曲线数据'!$B$1:$U$1,0)),""))</x:f>
      </x:c>
    </x:row>
    <x:row r="472">
      <x:c r="A472" t="n">
        <x:v>47</x:v>
      </x:c>
      <x:c r="B472" t="str">
        <x:f>IF(B$1="","",IFERROR(INDEX('包络曲线数据'!$B$2:$U$742,ROW()-1,MATCH(B$1,'包络曲线数据'!$B$1:$U$1,0)),""))</x:f>
      </x:c>
      <x:c r="C472" t="n">
        <x:f>IF(C$1="","",IFERROR(INDEX('包络曲线数据'!$B$2:$U$742,ROW()-1,MATCH(C$1,'包络曲线数据'!$B$1:$U$1,0)),""))</x:f>
        <x:v>50</x:v>
      </x:c>
      <x:c r="D472" t="str">
        <x:f>IF(D$1="","",IFERROR(INDEX('包络曲线数据'!$B$2:$U$742,ROW()-1,MATCH(D$1,'包络曲线数据'!$B$1:$U$1,0)),""))</x:f>
      </x:c>
      <x:c r="E472" t="str">
        <x:f>IF(E$1="","",IFERROR(INDEX('包络曲线数据'!$B$2:$U$742,ROW()-1,MATCH(E$1,'包络曲线数据'!$B$1:$U$1,0)),""))</x:f>
      </x:c>
      <x:c r="F472" t="str">
        <x:f>IF(F$1="","",IFERROR(INDEX('包络曲线数据'!$B$2:$U$742,ROW()-1,MATCH(F$1,'包络曲线数据'!$B$1:$U$1,0)),""))</x:f>
      </x:c>
      <x:c r="G472" t="str">
        <x:f>IF(G$1="","",IFERROR(INDEX('包络曲线数据'!$B$2:$U$742,ROW()-1,MATCH(G$1,'包络曲线数据'!$B$1:$U$1,0)),""))</x:f>
      </x:c>
    </x:row>
    <x:row r="473">
      <x:c r="A473" t="n">
        <x:v>47.1</x:v>
      </x:c>
      <x:c r="B473" t="str">
        <x:f>IF(B$1="","",IFERROR(INDEX('包络曲线数据'!$B$2:$U$742,ROW()-1,MATCH(B$1,'包络曲线数据'!$B$1:$U$1,0)),""))</x:f>
      </x:c>
      <x:c r="C473" t="n">
        <x:f>IF(C$1="","",IFERROR(INDEX('包络曲线数据'!$B$2:$U$742,ROW()-1,MATCH(C$1,'包络曲线数据'!$B$1:$U$1,0)),""))</x:f>
        <x:v>60.684509196307005</x:v>
      </x:c>
      <x:c r="D473" t="str">
        <x:f>IF(D$1="","",IFERROR(INDEX('包络曲线数据'!$B$2:$U$742,ROW()-1,MATCH(D$1,'包络曲线数据'!$B$1:$U$1,0)),""))</x:f>
      </x:c>
      <x:c r="E473" t="str">
        <x:f>IF(E$1="","",IFERROR(INDEX('包络曲线数据'!$B$2:$U$742,ROW()-1,MATCH(E$1,'包络曲线数据'!$B$1:$U$1,0)),""))</x:f>
      </x:c>
      <x:c r="F473" t="str">
        <x:f>IF(F$1="","",IFERROR(INDEX('包络曲线数据'!$B$2:$U$742,ROW()-1,MATCH(F$1,'包络曲线数据'!$B$1:$U$1,0)),""))</x:f>
      </x:c>
      <x:c r="G473" t="str">
        <x:f>IF(G$1="","",IFERROR(INDEX('包络曲线数据'!$B$2:$U$742,ROW()-1,MATCH(G$1,'包络曲线数据'!$B$1:$U$1,0)),""))</x:f>
      </x:c>
    </x:row>
    <x:row r="474">
      <x:c r="A474" t="n">
        <x:v>47.2</x:v>
      </x:c>
      <x:c r="B474" t="str">
        <x:f>IF(B$1="","",IFERROR(INDEX('包络曲线数据'!$B$2:$U$742,ROW()-1,MATCH(B$1,'包络曲线数据'!$B$1:$U$1,0)),""))</x:f>
      </x:c>
      <x:c r="C474" t="n">
        <x:f>IF(C$1="","",IFERROR(INDEX('包络曲线数据'!$B$2:$U$742,ROW()-1,MATCH(C$1,'包络曲线数据'!$B$1:$U$1,0)),""))</x:f>
        <x:v>68.69789109353678</x:v>
      </x:c>
      <x:c r="D474" t="str">
        <x:f>IF(D$1="","",IFERROR(INDEX('包络曲线数据'!$B$2:$U$742,ROW()-1,MATCH(D$1,'包络曲线数据'!$B$1:$U$1,0)),""))</x:f>
      </x:c>
      <x:c r="E474" t="str">
        <x:f>IF(E$1="","",IFERROR(INDEX('包络曲线数据'!$B$2:$U$742,ROW()-1,MATCH(E$1,'包络曲线数据'!$B$1:$U$1,0)),""))</x:f>
      </x:c>
      <x:c r="F474" t="str">
        <x:f>IF(F$1="","",IFERROR(INDEX('包络曲线数据'!$B$2:$U$742,ROW()-1,MATCH(F$1,'包络曲线数据'!$B$1:$U$1,0)),""))</x:f>
      </x:c>
      <x:c r="G474" t="str">
        <x:f>IF(G$1="","",IFERROR(INDEX('包络曲线数据'!$B$2:$U$742,ROW()-1,MATCH(G$1,'包络曲线数据'!$B$1:$U$1,0)),""))</x:f>
      </x:c>
    </x:row>
    <x:row r="475">
      <x:c r="A475" t="n">
        <x:v>47.300000000000004</x:v>
      </x:c>
      <x:c r="B475" t="str">
        <x:f>IF(B$1="","",IFERROR(INDEX('包络曲线数据'!$B$2:$U$742,ROW()-1,MATCH(B$1,'包络曲线数据'!$B$1:$U$1,0)),""))</x:f>
      </x:c>
      <x:c r="C475" t="n">
        <x:f>IF(C$1="","",IFERROR(INDEX('包络曲线数据'!$B$2:$U$742,ROW()-1,MATCH(C$1,'包络曲线数据'!$B$1:$U$1,0)),""))</x:f>
        <x:v>73.6509228691167</x:v>
      </x:c>
      <x:c r="D475" t="str">
        <x:f>IF(D$1="","",IFERROR(INDEX('包络曲线数据'!$B$2:$U$742,ROW()-1,MATCH(D$1,'包络曲线数据'!$B$1:$U$1,0)),""))</x:f>
      </x:c>
      <x:c r="E475" t="str">
        <x:f>IF(E$1="","",IFERROR(INDEX('包络曲线数据'!$B$2:$U$742,ROW()-1,MATCH(E$1,'包络曲线数据'!$B$1:$U$1,0)),""))</x:f>
      </x:c>
      <x:c r="F475" t="str">
        <x:f>IF(F$1="","",IFERROR(INDEX('包络曲线数据'!$B$2:$U$742,ROW()-1,MATCH(F$1,'包络曲线数据'!$B$1:$U$1,0)),""))</x:f>
      </x:c>
      <x:c r="G475" t="str">
        <x:f>IF(G$1="","",IFERROR(INDEX('包络曲线数据'!$B$2:$U$742,ROW()-1,MATCH(G$1,'包络曲线数据'!$B$1:$U$1,0)),""))</x:f>
      </x:c>
    </x:row>
    <x:row r="476">
      <x:c r="A476" t="n">
        <x:v>47.400000000000006</x:v>
      </x:c>
      <x:c r="B476" t="str">
        <x:f>IF(B$1="","",IFERROR(INDEX('包络曲线数据'!$B$2:$U$742,ROW()-1,MATCH(B$1,'包络曲线数据'!$B$1:$U$1,0)),""))</x:f>
      </x:c>
      <x:c r="C476" t="n">
        <x:f>IF(C$1="","",IFERROR(INDEX('包络曲线数据'!$B$2:$U$742,ROW()-1,MATCH(C$1,'包络曲线数据'!$B$1:$U$1,0)),""))</x:f>
        <x:v>75.81936342591163</x:v>
      </x:c>
      <x:c r="D476" t="str">
        <x:f>IF(D$1="","",IFERROR(INDEX('包络曲线数据'!$B$2:$U$742,ROW()-1,MATCH(D$1,'包络曲线数据'!$B$1:$U$1,0)),""))</x:f>
      </x:c>
      <x:c r="E476" t="str">
        <x:f>IF(E$1="","",IFERROR(INDEX('包络曲线数据'!$B$2:$U$742,ROW()-1,MATCH(E$1,'包络曲线数据'!$B$1:$U$1,0)),""))</x:f>
      </x:c>
      <x:c r="F476" t="str">
        <x:f>IF(F$1="","",IFERROR(INDEX('包络曲线数据'!$B$2:$U$742,ROW()-1,MATCH(F$1,'包络曲线数据'!$B$1:$U$1,0)),""))</x:f>
      </x:c>
      <x:c r="G476" t="str">
        <x:f>IF(G$1="","",IFERROR(INDEX('包络曲线数据'!$B$2:$U$742,ROW()-1,MATCH(G$1,'包络曲线数据'!$B$1:$U$1,0)),""))</x:f>
      </x:c>
    </x:row>
    <x:row r="477">
      <x:c r="A477" t="n">
        <x:v>47.5</x:v>
      </x:c>
      <x:c r="B477" t="str">
        <x:f>IF(B$1="","",IFERROR(INDEX('包络曲线数据'!$B$2:$U$742,ROW()-1,MATCH(B$1,'包络曲线数据'!$B$1:$U$1,0)),""))</x:f>
      </x:c>
      <x:c r="C477" t="n">
        <x:f>IF(C$1="","",IFERROR(INDEX('包络曲线数据'!$B$2:$U$742,ROW()-1,MATCH(C$1,'包络曲线数据'!$B$1:$U$1,0)),""))</x:f>
        <x:v>75.81936342591163</x:v>
      </x:c>
      <x:c r="D477" t="str">
        <x:f>IF(D$1="","",IFERROR(INDEX('包络曲线数据'!$B$2:$U$742,ROW()-1,MATCH(D$1,'包络曲线数据'!$B$1:$U$1,0)),""))</x:f>
      </x:c>
      <x:c r="E477" t="str">
        <x:f>IF(E$1="","",IFERROR(INDEX('包络曲线数据'!$B$2:$U$742,ROW()-1,MATCH(E$1,'包络曲线数据'!$B$1:$U$1,0)),""))</x:f>
      </x:c>
      <x:c r="F477" t="str">
        <x:f>IF(F$1="","",IFERROR(INDEX('包络曲线数据'!$B$2:$U$742,ROW()-1,MATCH(F$1,'包络曲线数据'!$B$1:$U$1,0)),""))</x:f>
      </x:c>
      <x:c r="G477" t="str">
        <x:f>IF(G$1="","",IFERROR(INDEX('包络曲线数据'!$B$2:$U$742,ROW()-1,MATCH(G$1,'包络曲线数据'!$B$1:$U$1,0)),""))</x:f>
      </x:c>
    </x:row>
    <x:row r="478">
      <x:c r="A478" t="n">
        <x:v>47.6</x:v>
      </x:c>
      <x:c r="B478" t="str">
        <x:f>IF(B$1="","",IFERROR(INDEX('包络曲线数据'!$B$2:$U$742,ROW()-1,MATCH(B$1,'包络曲线数据'!$B$1:$U$1,0)),""))</x:f>
      </x:c>
      <x:c r="C478" t="n">
        <x:f>IF(C$1="","",IFERROR(INDEX('包络曲线数据'!$B$2:$U$742,ROW()-1,MATCH(C$1,'包络曲线数据'!$B$1:$U$1,0)),""))</x:f>
        <x:v>65.04452980358718</x:v>
      </x:c>
      <x:c r="D478" t="str">
        <x:f>IF(D$1="","",IFERROR(INDEX('包络曲线数据'!$B$2:$U$742,ROW()-1,MATCH(D$1,'包络曲线数据'!$B$1:$U$1,0)),""))</x:f>
      </x:c>
      <x:c r="E478" t="str">
        <x:f>IF(E$1="","",IFERROR(INDEX('包络曲线数据'!$B$2:$U$742,ROW()-1,MATCH(E$1,'包络曲线数据'!$B$1:$U$1,0)),""))</x:f>
      </x:c>
      <x:c r="F478" t="str">
        <x:f>IF(F$1="","",IFERROR(INDEX('包络曲线数据'!$B$2:$U$742,ROW()-1,MATCH(F$1,'包络曲线数据'!$B$1:$U$1,0)),""))</x:f>
      </x:c>
      <x:c r="G478" t="str">
        <x:f>IF(G$1="","",IFERROR(INDEX('包络曲线数据'!$B$2:$U$742,ROW()-1,MATCH(G$1,'包络曲线数据'!$B$1:$U$1,0)),""))</x:f>
      </x:c>
    </x:row>
    <x:row r="479">
      <x:c r="A479" t="n">
        <x:v>47.7</x:v>
      </x:c>
      <x:c r="B479" t="str">
        <x:f>IF(B$1="","",IFERROR(INDEX('包络曲线数据'!$B$2:$U$742,ROW()-1,MATCH(B$1,'包络曲线数据'!$B$1:$U$1,0)),""))</x:f>
      </x:c>
      <x:c r="C479" t="n">
        <x:f>IF(C$1="","",IFERROR(INDEX('包络曲线数据'!$B$2:$U$742,ROW()-1,MATCH(C$1,'包络曲线数据'!$B$1:$U$1,0)),""))</x:f>
        <x:v>71.98147402212136</x:v>
      </x:c>
      <x:c r="D479" t="str">
        <x:f>IF(D$1="","",IFERROR(INDEX('包络曲线数据'!$B$2:$U$742,ROW()-1,MATCH(D$1,'包络曲线数据'!$B$1:$U$1,0)),""))</x:f>
      </x:c>
      <x:c r="E479" t="str">
        <x:f>IF(E$1="","",IFERROR(INDEX('包络曲线数据'!$B$2:$U$742,ROW()-1,MATCH(E$1,'包络曲线数据'!$B$1:$U$1,0)),""))</x:f>
      </x:c>
      <x:c r="F479" t="str">
        <x:f>IF(F$1="","",IFERROR(INDEX('包络曲线数据'!$B$2:$U$742,ROW()-1,MATCH(F$1,'包络曲线数据'!$B$1:$U$1,0)),""))</x:f>
      </x:c>
      <x:c r="G479" t="str">
        <x:f>IF(G$1="","",IFERROR(INDEX('包络曲线数据'!$B$2:$U$742,ROW()-1,MATCH(G$1,'包络曲线数据'!$B$1:$U$1,0)),""))</x:f>
      </x:c>
    </x:row>
    <x:row r="480">
      <x:c r="A480" t="n">
        <x:v>47.800000000000004</x:v>
      </x:c>
      <x:c r="B480" t="str">
        <x:f>IF(B$1="","",IFERROR(INDEX('包络曲线数据'!$B$2:$U$742,ROW()-1,MATCH(B$1,'包络曲线数据'!$B$1:$U$1,0)),""))</x:f>
      </x:c>
      <x:c r="C480" t="n">
        <x:f>IF(C$1="","",IFERROR(INDEX('包络曲线数据'!$B$2:$U$742,ROW()-1,MATCH(C$1,'包络曲线数据'!$B$1:$U$1,0)),""))</x:f>
        <x:v>74.91727553069849</x:v>
      </x:c>
      <x:c r="D480" t="str">
        <x:f>IF(D$1="","",IFERROR(INDEX('包络曲线数据'!$B$2:$U$742,ROW()-1,MATCH(D$1,'包络曲线数据'!$B$1:$U$1,0)),""))</x:f>
      </x:c>
      <x:c r="E480" t="str">
        <x:f>IF(E$1="","",IFERROR(INDEX('包络曲线数据'!$B$2:$U$742,ROW()-1,MATCH(E$1,'包络曲线数据'!$B$1:$U$1,0)),""))</x:f>
      </x:c>
      <x:c r="F480" t="str">
        <x:f>IF(F$1="","",IFERROR(INDEX('包络曲线数据'!$B$2:$U$742,ROW()-1,MATCH(F$1,'包络曲线数据'!$B$1:$U$1,0)),""))</x:f>
      </x:c>
      <x:c r="G480" t="str">
        <x:f>IF(G$1="","",IFERROR(INDEX('包络曲线数据'!$B$2:$U$742,ROW()-1,MATCH(G$1,'包络曲线数据'!$B$1:$U$1,0)),""))</x:f>
      </x:c>
    </x:row>
    <x:row r="481">
      <x:c r="A481" t="n">
        <x:v>47.900000000000006</x:v>
      </x:c>
      <x:c r="B481" t="str">
        <x:f>IF(B$1="","",IFERROR(INDEX('包络曲线数据'!$B$2:$U$742,ROW()-1,MATCH(B$1,'包络曲线数据'!$B$1:$U$1,0)),""))</x:f>
      </x:c>
      <x:c r="C481" t="n">
        <x:f>IF(C$1="","",IFERROR(INDEX('包络曲线数据'!$B$2:$U$742,ROW()-1,MATCH(C$1,'包络曲线数据'!$B$1:$U$1,0)),""))</x:f>
        <x:v>74.91727553069849</x:v>
      </x:c>
      <x:c r="D481" t="str">
        <x:f>IF(D$1="","",IFERROR(INDEX('包络曲线数据'!$B$2:$U$742,ROW()-1,MATCH(D$1,'包络曲线数据'!$B$1:$U$1,0)),""))</x:f>
      </x:c>
      <x:c r="E481" t="str">
        <x:f>IF(E$1="","",IFERROR(INDEX('包络曲线数据'!$B$2:$U$742,ROW()-1,MATCH(E$1,'包络曲线数据'!$B$1:$U$1,0)),""))</x:f>
      </x:c>
      <x:c r="F481" t="str">
        <x:f>IF(F$1="","",IFERROR(INDEX('包络曲线数据'!$B$2:$U$742,ROW()-1,MATCH(F$1,'包络曲线数据'!$B$1:$U$1,0)),""))</x:f>
      </x:c>
      <x:c r="G481" t="str">
        <x:f>IF(G$1="","",IFERROR(INDEX('包络曲线数据'!$B$2:$U$742,ROW()-1,MATCH(G$1,'包络曲线数据'!$B$1:$U$1,0)),""))</x:f>
      </x:c>
    </x:row>
    <x:row r="482">
      <x:c r="A482" t="n">
        <x:v>48</x:v>
      </x:c>
      <x:c r="B482" t="str">
        <x:f>IF(B$1="","",IFERROR(INDEX('包络曲线数据'!$B$2:$U$742,ROW()-1,MATCH(B$1,'包络曲线数据'!$B$1:$U$1,0)),""))</x:f>
      </x:c>
      <x:c r="C482" t="n">
        <x:f>IF(C$1="","",IFERROR(INDEX('包络曲线数据'!$B$2:$U$742,ROW()-1,MATCH(C$1,'包络曲线数据'!$B$1:$U$1,0)),""))</x:f>
        <x:v>74.84208656420313</x:v>
      </x:c>
      <x:c r="D482" t="str">
        <x:f>IF(D$1="","",IFERROR(INDEX('包络曲线数据'!$B$2:$U$742,ROW()-1,MATCH(D$1,'包络曲线数据'!$B$1:$U$1,0)),""))</x:f>
      </x:c>
      <x:c r="E482" t="str">
        <x:f>IF(E$1="","",IFERROR(INDEX('包络曲线数据'!$B$2:$U$742,ROW()-1,MATCH(E$1,'包络曲线数据'!$B$1:$U$1,0)),""))</x:f>
      </x:c>
      <x:c r="F482" t="str">
        <x:f>IF(F$1="","",IFERROR(INDEX('包络曲线数据'!$B$2:$U$742,ROW()-1,MATCH(F$1,'包络曲线数据'!$B$1:$U$1,0)),""))</x:f>
      </x:c>
      <x:c r="G482" t="str">
        <x:f>IF(G$1="","",IFERROR(INDEX('包络曲线数据'!$B$2:$U$742,ROW()-1,MATCH(G$1,'包络曲线数据'!$B$1:$U$1,0)),""))</x:f>
      </x:c>
    </x:row>
    <x:row r="483">
      <x:c r="A483" t="n">
        <x:v>48.1</x:v>
      </x:c>
      <x:c r="B483" t="str">
        <x:f>IF(B$1="","",IFERROR(INDEX('包络曲线数据'!$B$2:$U$742,ROW()-1,MATCH(B$1,'包络曲线数据'!$B$1:$U$1,0)),""))</x:f>
      </x:c>
      <x:c r="C483" t="n">
        <x:f>IF(C$1="","",IFERROR(INDEX('包络曲线数据'!$B$2:$U$742,ROW()-1,MATCH(C$1,'包络曲线数据'!$B$1:$U$1,0)),""))</x:f>
        <x:v>74.3057598522731</x:v>
      </x:c>
      <x:c r="D483" t="str">
        <x:f>IF(D$1="","",IFERROR(INDEX('包络曲线数据'!$B$2:$U$742,ROW()-1,MATCH(D$1,'包络曲线数据'!$B$1:$U$1,0)),""))</x:f>
      </x:c>
      <x:c r="E483" t="str">
        <x:f>IF(E$1="","",IFERROR(INDEX('包络曲线数据'!$B$2:$U$742,ROW()-1,MATCH(E$1,'包络曲线数据'!$B$1:$U$1,0)),""))</x:f>
      </x:c>
      <x:c r="F483" t="str">
        <x:f>IF(F$1="","",IFERROR(INDEX('包络曲线数据'!$B$2:$U$742,ROW()-1,MATCH(F$1,'包络曲线数据'!$B$1:$U$1,0)),""))</x:f>
      </x:c>
      <x:c r="G483" t="str">
        <x:f>IF(G$1="","",IFERROR(INDEX('包络曲线数据'!$B$2:$U$742,ROW()-1,MATCH(G$1,'包络曲线数据'!$B$1:$U$1,0)),""))</x:f>
      </x:c>
    </x:row>
    <x:row r="484">
      <x:c r="A484" t="n">
        <x:v>48.2</x:v>
      </x:c>
      <x:c r="B484" t="str">
        <x:f>IF(B$1="","",IFERROR(INDEX('包络曲线数据'!$B$2:$U$742,ROW()-1,MATCH(B$1,'包络曲线数据'!$B$1:$U$1,0)),""))</x:f>
      </x:c>
      <x:c r="C484" t="n">
        <x:f>IF(C$1="","",IFERROR(INDEX('包络曲线数据'!$B$2:$U$742,ROW()-1,MATCH(C$1,'包络曲线数据'!$B$1:$U$1,0)),""))</x:f>
        <x:v>77.10295360247714</x:v>
      </x:c>
      <x:c r="D484" t="str">
        <x:f>IF(D$1="","",IFERROR(INDEX('包络曲线数据'!$B$2:$U$742,ROW()-1,MATCH(D$1,'包络曲线数据'!$B$1:$U$1,0)),""))</x:f>
      </x:c>
      <x:c r="E484" t="str">
        <x:f>IF(E$1="","",IFERROR(INDEX('包络曲线数据'!$B$2:$U$742,ROW()-1,MATCH(E$1,'包络曲线数据'!$B$1:$U$1,0)),""))</x:f>
      </x:c>
      <x:c r="F484" t="str">
        <x:f>IF(F$1="","",IFERROR(INDEX('包络曲线数据'!$B$2:$U$742,ROW()-1,MATCH(F$1,'包络曲线数据'!$B$1:$U$1,0)),""))</x:f>
      </x:c>
      <x:c r="G484" t="str">
        <x:f>IF(G$1="","",IFERROR(INDEX('包络曲线数据'!$B$2:$U$742,ROW()-1,MATCH(G$1,'包络曲线数据'!$B$1:$U$1,0)),""))</x:f>
      </x:c>
    </x:row>
    <x:row r="485">
      <x:c r="A485" t="n">
        <x:v>48.300000000000004</x:v>
      </x:c>
      <x:c r="B485" t="str">
        <x:f>IF(B$1="","",IFERROR(INDEX('包络曲线数据'!$B$2:$U$742,ROW()-1,MATCH(B$1,'包络曲线数据'!$B$1:$U$1,0)),""))</x:f>
      </x:c>
      <x:c r="C485" t="n">
        <x:f>IF(C$1="","",IFERROR(INDEX('包络曲线数据'!$B$2:$U$742,ROW()-1,MATCH(C$1,'包络曲线数据'!$B$1:$U$1,0)),""))</x:f>
        <x:v>77.28937665226528</x:v>
      </x:c>
      <x:c r="D485" t="str">
        <x:f>IF(D$1="","",IFERROR(INDEX('包络曲线数据'!$B$2:$U$742,ROW()-1,MATCH(D$1,'包络曲线数据'!$B$1:$U$1,0)),""))</x:f>
      </x:c>
      <x:c r="E485" t="str">
        <x:f>IF(E$1="","",IFERROR(INDEX('包络曲线数据'!$B$2:$U$742,ROW()-1,MATCH(E$1,'包络曲线数据'!$B$1:$U$1,0)),""))</x:f>
      </x:c>
      <x:c r="F485" t="str">
        <x:f>IF(F$1="","",IFERROR(INDEX('包络曲线数据'!$B$2:$U$742,ROW()-1,MATCH(F$1,'包络曲线数据'!$B$1:$U$1,0)),""))</x:f>
      </x:c>
      <x:c r="G485" t="str">
        <x:f>IF(G$1="","",IFERROR(INDEX('包络曲线数据'!$B$2:$U$742,ROW()-1,MATCH(G$1,'包络曲线数据'!$B$1:$U$1,0)),""))</x:f>
      </x:c>
    </x:row>
    <x:row r="486">
      <x:c r="A486" t="n">
        <x:v>48.400000000000006</x:v>
      </x:c>
      <x:c r="B486" t="str">
        <x:f>IF(B$1="","",IFERROR(INDEX('包络曲线数据'!$B$2:$U$742,ROW()-1,MATCH(B$1,'包络曲线数据'!$B$1:$U$1,0)),""))</x:f>
      </x:c>
      <x:c r="C486" t="n">
        <x:f>IF(C$1="","",IFERROR(INDEX('包络曲线数据'!$B$2:$U$742,ROW()-1,MATCH(C$1,'包络曲线数据'!$B$1:$U$1,0)),""))</x:f>
        <x:v>76.9885403983998</x:v>
      </x:c>
      <x:c r="D486" t="str">
        <x:f>IF(D$1="","",IFERROR(INDEX('包络曲线数据'!$B$2:$U$742,ROW()-1,MATCH(D$1,'包络曲线数据'!$B$1:$U$1,0)),""))</x:f>
      </x:c>
      <x:c r="E486" t="str">
        <x:f>IF(E$1="","",IFERROR(INDEX('包络曲线数据'!$B$2:$U$742,ROW()-1,MATCH(E$1,'包络曲线数据'!$B$1:$U$1,0)),""))</x:f>
      </x:c>
      <x:c r="F486" t="str">
        <x:f>IF(F$1="","",IFERROR(INDEX('包络曲线数据'!$B$2:$U$742,ROW()-1,MATCH(F$1,'包络曲线数据'!$B$1:$U$1,0)),""))</x:f>
      </x:c>
      <x:c r="G486" t="str">
        <x:f>IF(G$1="","",IFERROR(INDEX('包络曲线数据'!$B$2:$U$742,ROW()-1,MATCH(G$1,'包络曲线数据'!$B$1:$U$1,0)),""))</x:f>
      </x:c>
    </x:row>
    <x:row r="487">
      <x:c r="A487" t="n">
        <x:v>48.5</x:v>
      </x:c>
      <x:c r="B487" t="str">
        <x:f>IF(B$1="","",IFERROR(INDEX('包络曲线数据'!$B$2:$U$742,ROW()-1,MATCH(B$1,'包络曲线数据'!$B$1:$U$1,0)),""))</x:f>
      </x:c>
      <x:c r="C487" t="n">
        <x:f>IF(C$1="","",IFERROR(INDEX('包络曲线数据'!$B$2:$U$742,ROW()-1,MATCH(C$1,'包络曲线数据'!$B$1:$U$1,0)),""))</x:f>
        <x:v>76.93621972670805</x:v>
      </x:c>
      <x:c r="D487" t="str">
        <x:f>IF(D$1="","",IFERROR(INDEX('包络曲线数据'!$B$2:$U$742,ROW()-1,MATCH(D$1,'包络曲线数据'!$B$1:$U$1,0)),""))</x:f>
      </x:c>
      <x:c r="E487" t="str">
        <x:f>IF(E$1="","",IFERROR(INDEX('包络曲线数据'!$B$2:$U$742,ROW()-1,MATCH(E$1,'包络曲线数据'!$B$1:$U$1,0)),""))</x:f>
      </x:c>
      <x:c r="F487" t="str">
        <x:f>IF(F$1="","",IFERROR(INDEX('包络曲线数据'!$B$2:$U$742,ROW()-1,MATCH(F$1,'包络曲线数据'!$B$1:$U$1,0)),""))</x:f>
      </x:c>
      <x:c r="G487" t="str">
        <x:f>IF(G$1="","",IFERROR(INDEX('包络曲线数据'!$B$2:$U$742,ROW()-1,MATCH(G$1,'包络曲线数据'!$B$1:$U$1,0)),""))</x:f>
      </x:c>
    </x:row>
    <x:row r="488">
      <x:c r="A488" t="n">
        <x:v>48.6</x:v>
      </x:c>
      <x:c r="B488" t="str">
        <x:f>IF(B$1="","",IFERROR(INDEX('包络曲线数据'!$B$2:$U$742,ROW()-1,MATCH(B$1,'包络曲线数据'!$B$1:$U$1,0)),""))</x:f>
      </x:c>
      <x:c r="C488" t="n">
        <x:f>IF(C$1="","",IFERROR(INDEX('包络曲线数据'!$B$2:$U$742,ROW()-1,MATCH(C$1,'包络曲线数据'!$B$1:$U$1,0)),""))</x:f>
        <x:v>76.60214984033777</x:v>
      </x:c>
      <x:c r="D488" t="str">
        <x:f>IF(D$1="","",IFERROR(INDEX('包络曲线数据'!$B$2:$U$742,ROW()-1,MATCH(D$1,'包络曲线数据'!$B$1:$U$1,0)),""))</x:f>
      </x:c>
      <x:c r="E488" t="str">
        <x:f>IF(E$1="","",IFERROR(INDEX('包络曲线数据'!$B$2:$U$742,ROW()-1,MATCH(E$1,'包络曲线数据'!$B$1:$U$1,0)),""))</x:f>
      </x:c>
      <x:c r="F488" t="str">
        <x:f>IF(F$1="","",IFERROR(INDEX('包络曲线数据'!$B$2:$U$742,ROW()-1,MATCH(F$1,'包络曲线数据'!$B$1:$U$1,0)),""))</x:f>
      </x:c>
      <x:c r="G488" t="str">
        <x:f>IF(G$1="","",IFERROR(INDEX('包络曲线数据'!$B$2:$U$742,ROW()-1,MATCH(G$1,'包络曲线数据'!$B$1:$U$1,0)),""))</x:f>
      </x:c>
    </x:row>
    <x:row r="489">
      <x:c r="A489" t="n">
        <x:v>48.7</x:v>
      </x:c>
      <x:c r="B489" t="str">
        <x:f>IF(B$1="","",IFERROR(INDEX('包络曲线数据'!$B$2:$U$742,ROW()-1,MATCH(B$1,'包络曲线数据'!$B$1:$U$1,0)),""))</x:f>
      </x:c>
      <x:c r="C489" t="n">
        <x:f>IF(C$1="","",IFERROR(INDEX('包络曲线数据'!$B$2:$U$742,ROW()-1,MATCH(C$1,'包络曲线数据'!$B$1:$U$1,0)),""))</x:f>
        <x:v>75.67167184250623</x:v>
      </x:c>
      <x:c r="D489" t="str">
        <x:f>IF(D$1="","",IFERROR(INDEX('包络曲线数据'!$B$2:$U$742,ROW()-1,MATCH(D$1,'包络曲线数据'!$B$1:$U$1,0)),""))</x:f>
      </x:c>
      <x:c r="E489" t="str">
        <x:f>IF(E$1="","",IFERROR(INDEX('包络曲线数据'!$B$2:$U$742,ROW()-1,MATCH(E$1,'包络曲线数据'!$B$1:$U$1,0)),""))</x:f>
      </x:c>
      <x:c r="F489" t="str">
        <x:f>IF(F$1="","",IFERROR(INDEX('包络曲线数据'!$B$2:$U$742,ROW()-1,MATCH(F$1,'包络曲线数据'!$B$1:$U$1,0)),""))</x:f>
      </x:c>
      <x:c r="G489" t="str">
        <x:f>IF(G$1="","",IFERROR(INDEX('包络曲线数据'!$B$2:$U$742,ROW()-1,MATCH(G$1,'包络曲线数据'!$B$1:$U$1,0)),""))</x:f>
      </x:c>
    </x:row>
    <x:row r="490">
      <x:c r="A490" t="n">
        <x:v>48.800000000000004</x:v>
      </x:c>
      <x:c r="B490" t="str">
        <x:f>IF(B$1="","",IFERROR(INDEX('包络曲线数据'!$B$2:$U$742,ROW()-1,MATCH(B$1,'包络曲线数据'!$B$1:$U$1,0)),""))</x:f>
      </x:c>
      <x:c r="C490" t="n">
        <x:f>IF(C$1="","",IFERROR(INDEX('包络曲线数据'!$B$2:$U$742,ROW()-1,MATCH(C$1,'包络曲线数据'!$B$1:$U$1,0)),""))</x:f>
        <x:v>75.04628748681073</x:v>
      </x:c>
      <x:c r="D490" t="str">
        <x:f>IF(D$1="","",IFERROR(INDEX('包络曲线数据'!$B$2:$U$742,ROW()-1,MATCH(D$1,'包络曲线数据'!$B$1:$U$1,0)),""))</x:f>
      </x:c>
      <x:c r="E490" t="str">
        <x:f>IF(E$1="","",IFERROR(INDEX('包络曲线数据'!$B$2:$U$742,ROW()-1,MATCH(E$1,'包络曲线数据'!$B$1:$U$1,0)),""))</x:f>
      </x:c>
      <x:c r="F490" t="str">
        <x:f>IF(F$1="","",IFERROR(INDEX('包络曲线数据'!$B$2:$U$742,ROW()-1,MATCH(F$1,'包络曲线数据'!$B$1:$U$1,0)),""))</x:f>
      </x:c>
      <x:c r="G490" t="str">
        <x:f>IF(G$1="","",IFERROR(INDEX('包络曲线数据'!$B$2:$U$742,ROW()-1,MATCH(G$1,'包络曲线数据'!$B$1:$U$1,0)),""))</x:f>
      </x:c>
    </x:row>
    <x:row r="491">
      <x:c r="A491" t="n">
        <x:v>48.900000000000006</x:v>
      </x:c>
      <x:c r="B491" t="str">
        <x:f>IF(B$1="","",IFERROR(INDEX('包络曲线数据'!$B$2:$U$742,ROW()-1,MATCH(B$1,'包络曲线数据'!$B$1:$U$1,0)),""))</x:f>
      </x:c>
      <x:c r="C491" t="n">
        <x:f>IF(C$1="","",IFERROR(INDEX('包络曲线数据'!$B$2:$U$742,ROW()-1,MATCH(C$1,'包络曲线数据'!$B$1:$U$1,0)),""))</x:f>
        <x:v>73.36145612779453</x:v>
      </x:c>
      <x:c r="D491" t="str">
        <x:f>IF(D$1="","",IFERROR(INDEX('包络曲线数据'!$B$2:$U$742,ROW()-1,MATCH(D$1,'包络曲线数据'!$B$1:$U$1,0)),""))</x:f>
      </x:c>
      <x:c r="E491" t="str">
        <x:f>IF(E$1="","",IFERROR(INDEX('包络曲线数据'!$B$2:$U$742,ROW()-1,MATCH(E$1,'包络曲线数据'!$B$1:$U$1,0)),""))</x:f>
      </x:c>
      <x:c r="F491" t="str">
        <x:f>IF(F$1="","",IFERROR(INDEX('包络曲线数据'!$B$2:$U$742,ROW()-1,MATCH(F$1,'包络曲线数据'!$B$1:$U$1,0)),""))</x:f>
      </x:c>
      <x:c r="G491" t="str">
        <x:f>IF(G$1="","",IFERROR(INDEX('包络曲线数据'!$B$2:$U$742,ROW()-1,MATCH(G$1,'包络曲线数据'!$B$1:$U$1,0)),""))</x:f>
      </x:c>
    </x:row>
    <x:row r="492">
      <x:c r="A492" t="n">
        <x:v>49</x:v>
      </x:c>
      <x:c r="B492" t="str">
        <x:f>IF(B$1="","",IFERROR(INDEX('包络曲线数据'!$B$2:$U$742,ROW()-1,MATCH(B$1,'包络曲线数据'!$B$1:$U$1,0)),""))</x:f>
      </x:c>
      <x:c r="C492" t="n">
        <x:f>IF(C$1="","",IFERROR(INDEX('包络曲线数据'!$B$2:$U$742,ROW()-1,MATCH(C$1,'包络曲线数据'!$B$1:$U$1,0)),""))</x:f>
        <x:v>84.02725550354644</x:v>
      </x:c>
      <x:c r="D492" t="str">
        <x:f>IF(D$1="","",IFERROR(INDEX('包络曲线数据'!$B$2:$U$742,ROW()-1,MATCH(D$1,'包络曲线数据'!$B$1:$U$1,0)),""))</x:f>
      </x:c>
      <x:c r="E492" t="str">
        <x:f>IF(E$1="","",IFERROR(INDEX('包络曲线数据'!$B$2:$U$742,ROW()-1,MATCH(E$1,'包络曲线数据'!$B$1:$U$1,0)),""))</x:f>
      </x:c>
      <x:c r="F492" t="str">
        <x:f>IF(F$1="","",IFERROR(INDEX('包络曲线数据'!$B$2:$U$742,ROW()-1,MATCH(F$1,'包络曲线数据'!$B$1:$U$1,0)),""))</x:f>
      </x:c>
      <x:c r="G492" t="str">
        <x:f>IF(G$1="","",IFERROR(INDEX('包络曲线数据'!$B$2:$U$742,ROW()-1,MATCH(G$1,'包络曲线数据'!$B$1:$U$1,0)),""))</x:f>
      </x:c>
    </x:row>
    <x:row r="493">
      <x:c r="A493" t="n">
        <x:v>49.1</x:v>
      </x:c>
      <x:c r="B493" t="str">
        <x:f>IF(B$1="","",IFERROR(INDEX('包络曲线数据'!$B$2:$U$742,ROW()-1,MATCH(B$1,'包络曲线数据'!$B$1:$U$1,0)),""))</x:f>
      </x:c>
      <x:c r="C493" t="n">
        <x:f>IF(C$1="","",IFERROR(INDEX('包络曲线数据'!$B$2:$U$742,ROW()-1,MATCH(C$1,'包络曲线数据'!$B$1:$U$1,0)),""))</x:f>
        <x:v>84.03659604226854</x:v>
      </x:c>
      <x:c r="D493" t="str">
        <x:f>IF(D$1="","",IFERROR(INDEX('包络曲线数据'!$B$2:$U$742,ROW()-1,MATCH(D$1,'包络曲线数据'!$B$1:$U$1,0)),""))</x:f>
      </x:c>
      <x:c r="E493" t="str">
        <x:f>IF(E$1="","",IFERROR(INDEX('包络曲线数据'!$B$2:$U$742,ROW()-1,MATCH(E$1,'包络曲线数据'!$B$1:$U$1,0)),""))</x:f>
      </x:c>
      <x:c r="F493" t="str">
        <x:f>IF(F$1="","",IFERROR(INDEX('包络曲线数据'!$B$2:$U$742,ROW()-1,MATCH(F$1,'包络曲线数据'!$B$1:$U$1,0)),""))</x:f>
      </x:c>
      <x:c r="G493" t="str">
        <x:f>IF(G$1="","",IFERROR(INDEX('包络曲线数据'!$B$2:$U$742,ROW()-1,MATCH(G$1,'包络曲线数据'!$B$1:$U$1,0)),""))</x:f>
      </x:c>
    </x:row>
    <x:row r="494">
      <x:c r="A494" t="n">
        <x:v>49.2</x:v>
      </x:c>
      <x:c r="B494" t="str">
        <x:f>IF(B$1="","",IFERROR(INDEX('包络曲线数据'!$B$2:$U$742,ROW()-1,MATCH(B$1,'包络曲线数据'!$B$1:$U$1,0)),""))</x:f>
      </x:c>
      <x:c r="C494" t="n">
        <x:f>IF(C$1="","",IFERROR(INDEX('包络曲线数据'!$B$2:$U$742,ROW()-1,MATCH(C$1,'包络曲线数据'!$B$1:$U$1,0)),""))</x:f>
        <x:v>81.88171783328832</x:v>
      </x:c>
      <x:c r="D494" t="str">
        <x:f>IF(D$1="","",IFERROR(INDEX('包络曲线数据'!$B$2:$U$742,ROW()-1,MATCH(D$1,'包络曲线数据'!$B$1:$U$1,0)),""))</x:f>
      </x:c>
      <x:c r="E494" t="str">
        <x:f>IF(E$1="","",IFERROR(INDEX('包络曲线数据'!$B$2:$U$742,ROW()-1,MATCH(E$1,'包络曲线数据'!$B$1:$U$1,0)),""))</x:f>
      </x:c>
      <x:c r="F494" t="str">
        <x:f>IF(F$1="","",IFERROR(INDEX('包络曲线数据'!$B$2:$U$742,ROW()-1,MATCH(F$1,'包络曲线数据'!$B$1:$U$1,0)),""))</x:f>
      </x:c>
      <x:c r="G494" t="str">
        <x:f>IF(G$1="","",IFERROR(INDEX('包络曲线数据'!$B$2:$U$742,ROW()-1,MATCH(G$1,'包络曲线数据'!$B$1:$U$1,0)),""))</x:f>
      </x:c>
    </x:row>
    <x:row r="495">
      <x:c r="A495" t="n">
        <x:v>49.300000000000004</x:v>
      </x:c>
      <x:c r="B495" t="str">
        <x:f>IF(B$1="","",IFERROR(INDEX('包络曲线数据'!$B$2:$U$742,ROW()-1,MATCH(B$1,'包络曲线数据'!$B$1:$U$1,0)),""))</x:f>
      </x:c>
      <x:c r="C495" t="n">
        <x:f>IF(C$1="","",IFERROR(INDEX('包络曲线数据'!$B$2:$U$742,ROW()-1,MATCH(C$1,'包络曲线数据'!$B$1:$U$1,0)),""))</x:f>
        <x:v>71.29886823874854</x:v>
      </x:c>
      <x:c r="D495" t="str">
        <x:f>IF(D$1="","",IFERROR(INDEX('包络曲线数据'!$B$2:$U$742,ROW()-1,MATCH(D$1,'包络曲线数据'!$B$1:$U$1,0)),""))</x:f>
      </x:c>
      <x:c r="E495" t="str">
        <x:f>IF(E$1="","",IFERROR(INDEX('包络曲线数据'!$B$2:$U$742,ROW()-1,MATCH(E$1,'包络曲线数据'!$B$1:$U$1,0)),""))</x:f>
      </x:c>
      <x:c r="F495" t="str">
        <x:f>IF(F$1="","",IFERROR(INDEX('包络曲线数据'!$B$2:$U$742,ROW()-1,MATCH(F$1,'包络曲线数据'!$B$1:$U$1,0)),""))</x:f>
      </x:c>
      <x:c r="G495" t="str">
        <x:f>IF(G$1="","",IFERROR(INDEX('包络曲线数据'!$B$2:$U$742,ROW()-1,MATCH(G$1,'包络曲线数据'!$B$1:$U$1,0)),""))</x:f>
      </x:c>
    </x:row>
    <x:row r="496">
      <x:c r="A496" t="n">
        <x:v>49.400000000000006</x:v>
      </x:c>
      <x:c r="B496" t="str">
        <x:f>IF(B$1="","",IFERROR(INDEX('包络曲线数据'!$B$2:$U$742,ROW()-1,MATCH(B$1,'包络曲线数据'!$B$1:$U$1,0)),""))</x:f>
      </x:c>
      <x:c r="C496" t="n">
        <x:f>IF(C$1="","",IFERROR(INDEX('包络曲线数据'!$B$2:$U$742,ROW()-1,MATCH(C$1,'包络曲线数据'!$B$1:$U$1,0)),""))</x:f>
        <x:v>51.37640399892957</x:v>
      </x:c>
      <x:c r="D496" t="str">
        <x:f>IF(D$1="","",IFERROR(INDEX('包络曲线数据'!$B$2:$U$742,ROW()-1,MATCH(D$1,'包络曲线数据'!$B$1:$U$1,0)),""))</x:f>
      </x:c>
      <x:c r="E496" t="str">
        <x:f>IF(E$1="","",IFERROR(INDEX('包络曲线数据'!$B$2:$U$742,ROW()-1,MATCH(E$1,'包络曲线数据'!$B$1:$U$1,0)),""))</x:f>
      </x:c>
      <x:c r="F496" t="str">
        <x:f>IF(F$1="","",IFERROR(INDEX('包络曲线数据'!$B$2:$U$742,ROW()-1,MATCH(F$1,'包络曲线数据'!$B$1:$U$1,0)),""))</x:f>
      </x:c>
      <x:c r="G496" t="str">
        <x:f>IF(G$1="","",IFERROR(INDEX('包络曲线数据'!$B$2:$U$742,ROW()-1,MATCH(G$1,'包络曲线数据'!$B$1:$U$1,0)),""))</x:f>
      </x:c>
    </x:row>
    <x:row r="497">
      <x:c r="A497" t="n">
        <x:v>49.5</x:v>
      </x:c>
      <x:c r="B497" t="str">
        <x:f>IF(B$1="","",IFERROR(INDEX('包络曲线数据'!$B$2:$U$742,ROW()-1,MATCH(B$1,'包络曲线数据'!$B$1:$U$1,0)),""))</x:f>
      </x:c>
      <x:c r="C497" t="n">
        <x:f>IF(C$1="","",IFERROR(INDEX('包络曲线数据'!$B$2:$U$742,ROW()-1,MATCH(C$1,'包络曲线数据'!$B$1:$U$1,0)),""))</x:f>
        <x:v>58.25842399357596</x:v>
      </x:c>
      <x:c r="D497" t="str">
        <x:f>IF(D$1="","",IFERROR(INDEX('包络曲线数据'!$B$2:$U$742,ROW()-1,MATCH(D$1,'包络曲线数据'!$B$1:$U$1,0)),""))</x:f>
      </x:c>
      <x:c r="E497" t="str">
        <x:f>IF(E$1="","",IFERROR(INDEX('包络曲线数据'!$B$2:$U$742,ROW()-1,MATCH(E$1,'包络曲线数据'!$B$1:$U$1,0)),""))</x:f>
      </x:c>
      <x:c r="F497" t="str">
        <x:f>IF(F$1="","",IFERROR(INDEX('包络曲线数据'!$B$2:$U$742,ROW()-1,MATCH(F$1,'包络曲线数据'!$B$1:$U$1,0)),""))</x:f>
      </x:c>
      <x:c r="G497" t="str">
        <x:f>IF(G$1="","",IFERROR(INDEX('包络曲线数据'!$B$2:$U$742,ROW()-1,MATCH(G$1,'包络曲线数据'!$B$1:$U$1,0)),""))</x:f>
      </x:c>
    </x:row>
    <x:row r="498">
      <x:c r="A498" t="n">
        <x:v>49.6</x:v>
      </x:c>
      <x:c r="B498" t="str">
        <x:f>IF(B$1="","",IFERROR(INDEX('包络曲线数据'!$B$2:$U$742,ROW()-1,MATCH(B$1,'包络曲线数据'!$B$1:$U$1,0)),""))</x:f>
      </x:c>
      <x:c r="C498" t="n">
        <x:f>IF(C$1="","",IFERROR(INDEX('包络曲线数据'!$B$2:$U$742,ROW()-1,MATCH(C$1,'包络曲线数据'!$B$1:$U$1,0)),""))</x:f>
        <x:v>65.14044398822284</x:v>
      </x:c>
      <x:c r="D498" t="str">
        <x:f>IF(D$1="","",IFERROR(INDEX('包络曲线数据'!$B$2:$U$742,ROW()-1,MATCH(D$1,'包络曲线数据'!$B$1:$U$1,0)),""))</x:f>
      </x:c>
      <x:c r="E498" t="str">
        <x:f>IF(E$1="","",IFERROR(INDEX('包络曲线数据'!$B$2:$U$742,ROW()-1,MATCH(E$1,'包络曲线数据'!$B$1:$U$1,0)),""))</x:f>
      </x:c>
      <x:c r="F498" t="str">
        <x:f>IF(F$1="","",IFERROR(INDEX('包络曲线数据'!$B$2:$U$742,ROW()-1,MATCH(F$1,'包络曲线数据'!$B$1:$U$1,0)),""))</x:f>
      </x:c>
      <x:c r="G498" t="str">
        <x:f>IF(G$1="","",IFERROR(INDEX('包络曲线数据'!$B$2:$U$742,ROW()-1,MATCH(G$1,'包络曲线数据'!$B$1:$U$1,0)),""))</x:f>
      </x:c>
    </x:row>
    <x:row r="499">
      <x:c r="A499" t="n">
        <x:v>49.7</x:v>
      </x:c>
      <x:c r="B499" t="str">
        <x:f>IF(B$1="","",IFERROR(INDEX('包络曲线数据'!$B$2:$U$742,ROW()-1,MATCH(B$1,'包络曲线数据'!$B$1:$U$1,0)),""))</x:f>
      </x:c>
      <x:c r="C499" t="n">
        <x:f>IF(C$1="","",IFERROR(INDEX('包络曲线数据'!$B$2:$U$742,ROW()-1,MATCH(C$1,'包络曲线数据'!$B$1:$U$1,0)),""))</x:f>
        <x:v>70.64605998394015</x:v>
      </x:c>
      <x:c r="D499" t="str">
        <x:f>IF(D$1="","",IFERROR(INDEX('包络曲线数据'!$B$2:$U$742,ROW()-1,MATCH(D$1,'包络曲线数据'!$B$1:$U$1,0)),""))</x:f>
      </x:c>
      <x:c r="E499" t="str">
        <x:f>IF(E$1="","",IFERROR(INDEX('包络曲线数据'!$B$2:$U$742,ROW()-1,MATCH(E$1,'包络曲线数据'!$B$1:$U$1,0)),""))</x:f>
      </x:c>
      <x:c r="F499" t="str">
        <x:f>IF(F$1="","",IFERROR(INDEX('包络曲线数据'!$B$2:$U$742,ROW()-1,MATCH(F$1,'包络曲线数据'!$B$1:$U$1,0)),""))</x:f>
      </x:c>
      <x:c r="G499" t="str">
        <x:f>IF(G$1="","",IFERROR(INDEX('包络曲线数据'!$B$2:$U$742,ROW()-1,MATCH(G$1,'包络曲线数据'!$B$1:$U$1,0)),""))</x:f>
      </x:c>
    </x:row>
    <x:row r="500">
      <x:c r="A500" t="n">
        <x:v>49.800000000000004</x:v>
      </x:c>
      <x:c r="B500" t="str">
        <x:f>IF(B$1="","",IFERROR(INDEX('包络曲线数据'!$B$2:$U$742,ROW()-1,MATCH(B$1,'包络曲线数据'!$B$1:$U$1,0)),""))</x:f>
      </x:c>
      <x:c r="C500" t="n">
        <x:f>IF(C$1="","",IFERROR(INDEX('包络曲线数据'!$B$2:$U$742,ROW()-1,MATCH(C$1,'包络曲线数据'!$B$1:$U$1,0)),""))</x:f>
        <x:v>70.64605998394138</x:v>
      </x:c>
      <x:c r="D500" t="str">
        <x:f>IF(D$1="","",IFERROR(INDEX('包络曲线数据'!$B$2:$U$742,ROW()-1,MATCH(D$1,'包络曲线数据'!$B$1:$U$1,0)),""))</x:f>
      </x:c>
      <x:c r="E500" t="str">
        <x:f>IF(E$1="","",IFERROR(INDEX('包络曲线数据'!$B$2:$U$742,ROW()-1,MATCH(E$1,'包络曲线数据'!$B$1:$U$1,0)),""))</x:f>
      </x:c>
      <x:c r="F500" t="str">
        <x:f>IF(F$1="","",IFERROR(INDEX('包络曲线数据'!$B$2:$U$742,ROW()-1,MATCH(F$1,'包络曲线数据'!$B$1:$U$1,0)),""))</x:f>
      </x:c>
      <x:c r="G500" t="str">
        <x:f>IF(G$1="","",IFERROR(INDEX('包络曲线数据'!$B$2:$U$742,ROW()-1,MATCH(G$1,'包络曲线数据'!$B$1:$U$1,0)),""))</x:f>
      </x:c>
    </x:row>
    <x:row r="501">
      <x:c r="A501" t="n">
        <x:v>49.900000000000006</x:v>
      </x:c>
      <x:c r="B501" t="str">
        <x:f>IF(B$1="","",IFERROR(INDEX('包络曲线数据'!$B$2:$U$742,ROW()-1,MATCH(B$1,'包络曲线数据'!$B$1:$U$1,0)),""))</x:f>
      </x:c>
      <x:c r="C501" t="n">
        <x:f>IF(C$1="","",IFERROR(INDEX('包络曲线数据'!$B$2:$U$742,ROW()-1,MATCH(C$1,'包络曲线数据'!$B$1:$U$1,0)),""))</x:f>
        <x:v>77.06630981055866</x:v>
      </x:c>
      <x:c r="D501" t="str">
        <x:f>IF(D$1="","",IFERROR(INDEX('包络曲线数据'!$B$2:$U$742,ROW()-1,MATCH(D$1,'包络曲线数据'!$B$1:$U$1,0)),""))</x:f>
      </x:c>
      <x:c r="E501" t="str">
        <x:f>IF(E$1="","",IFERROR(INDEX('包络曲线数据'!$B$2:$U$742,ROW()-1,MATCH(E$1,'包络曲线数据'!$B$1:$U$1,0)),""))</x:f>
      </x:c>
      <x:c r="F501" t="str">
        <x:f>IF(F$1="","",IFERROR(INDEX('包络曲线数据'!$B$2:$U$742,ROW()-1,MATCH(F$1,'包络曲线数据'!$B$1:$U$1,0)),""))</x:f>
      </x:c>
      <x:c r="G501" t="str">
        <x:f>IF(G$1="","",IFERROR(INDEX('包络曲线数据'!$B$2:$U$742,ROW()-1,MATCH(G$1,'包络曲线数据'!$B$1:$U$1,0)),""))</x:f>
      </x:c>
    </x:row>
    <x:row r="502">
      <x:c r="A502" t="n">
        <x:v>50</x:v>
      </x:c>
      <x:c r="B502" t="str">
        <x:f>IF(B$1="","",IFERROR(INDEX('包络曲线数据'!$B$2:$U$742,ROW()-1,MATCH(B$1,'包络曲线数据'!$B$1:$U$1,0)),""))</x:f>
      </x:c>
      <x:c r="C502" t="n">
        <x:f>IF(C$1="","",IFERROR(INDEX('包络曲线数据'!$B$2:$U$742,ROW()-1,MATCH(C$1,'包络曲线数据'!$B$1:$U$1,0)),""))</x:f>
        <x:v>77.06630981055866</x:v>
      </x:c>
      <x:c r="D502" t="str">
        <x:f>IF(D$1="","",IFERROR(INDEX('包络曲线数据'!$B$2:$U$742,ROW()-1,MATCH(D$1,'包络曲线数据'!$B$1:$U$1,0)),""))</x:f>
      </x:c>
      <x:c r="E502" t="str">
        <x:f>IF(E$1="","",IFERROR(INDEX('包络曲线数据'!$B$2:$U$742,ROW()-1,MATCH(E$1,'包络曲线数据'!$B$1:$U$1,0)),""))</x:f>
      </x:c>
      <x:c r="F502" t="str">
        <x:f>IF(F$1="","",IFERROR(INDEX('包络曲线数据'!$B$2:$U$742,ROW()-1,MATCH(F$1,'包络曲线数据'!$B$1:$U$1,0)),""))</x:f>
      </x:c>
      <x:c r="G502" t="str">
        <x:f>IF(G$1="","",IFERROR(INDEX('包络曲线数据'!$B$2:$U$742,ROW()-1,MATCH(G$1,'包络曲线数据'!$B$1:$U$1,0)),""))</x:f>
      </x:c>
    </x:row>
    <x:row r="503">
      <x:c r="A503" t="n">
        <x:v>50.1</x:v>
      </x:c>
      <x:c r="B503" t="str">
        <x:f>IF(B$1="","",IFERROR(INDEX('包络曲线数据'!$B$2:$U$742,ROW()-1,MATCH(B$1,'包络曲线数据'!$B$1:$U$1,0)),""))</x:f>
      </x:c>
      <x:c r="C503" t="n">
        <x:f>IF(C$1="","",IFERROR(INDEX('包络曲线数据'!$B$2:$U$742,ROW()-1,MATCH(C$1,'包络曲线数据'!$B$1:$U$1,0)),""))</x:f>
        <x:v>71.76743309487736</x:v>
      </x:c>
      <x:c r="D503" t="str">
        <x:f>IF(D$1="","",IFERROR(INDEX('包络曲线数据'!$B$2:$U$742,ROW()-1,MATCH(D$1,'包络曲线数据'!$B$1:$U$1,0)),""))</x:f>
      </x:c>
      <x:c r="E503" t="str">
        <x:f>IF(E$1="","",IFERROR(INDEX('包络曲线数据'!$B$2:$U$742,ROW()-1,MATCH(E$1,'包络曲线数据'!$B$1:$U$1,0)),""))</x:f>
      </x:c>
      <x:c r="F503" t="str">
        <x:f>IF(F$1="","",IFERROR(INDEX('包络曲线数据'!$B$2:$U$742,ROW()-1,MATCH(F$1,'包络曲线数据'!$B$1:$U$1,0)),""))</x:f>
      </x:c>
      <x:c r="G503" t="str">
        <x:f>IF(G$1="","",IFERROR(INDEX('包络曲线数据'!$B$2:$U$742,ROW()-1,MATCH(G$1,'包络曲线数据'!$B$1:$U$1,0)),""))</x:f>
      </x:c>
    </x:row>
    <x:row r="504">
      <x:c r="A504" t="n">
        <x:v>50.2</x:v>
      </x:c>
      <x:c r="B504" t="str">
        <x:f>IF(B$1="","",IFERROR(INDEX('包络曲线数据'!$B$2:$U$742,ROW()-1,MATCH(B$1,'包络曲线数据'!$B$1:$U$1,0)),""))</x:f>
      </x:c>
      <x:c r="C504" t="n">
        <x:f>IF(C$1="","",IFERROR(INDEX('包络曲线数据'!$B$2:$U$742,ROW()-1,MATCH(C$1,'包络曲线数据'!$B$1:$U$1,0)),""))</x:f>
        <x:v>74.7793269355067</x:v>
      </x:c>
      <x:c r="D504" t="str">
        <x:f>IF(D$1="","",IFERROR(INDEX('包络曲线数据'!$B$2:$U$742,ROW()-1,MATCH(D$1,'包络曲线数据'!$B$1:$U$1,0)),""))</x:f>
      </x:c>
      <x:c r="E504" t="str">
        <x:f>IF(E$1="","",IFERROR(INDEX('包络曲线数据'!$B$2:$U$742,ROW()-1,MATCH(E$1,'包络曲线数据'!$B$1:$U$1,0)),""))</x:f>
      </x:c>
      <x:c r="F504" t="str">
        <x:f>IF(F$1="","",IFERROR(INDEX('包络曲线数据'!$B$2:$U$742,ROW()-1,MATCH(F$1,'包络曲线数据'!$B$1:$U$1,0)),""))</x:f>
      </x:c>
      <x:c r="G504" t="str">
        <x:f>IF(G$1="","",IFERROR(INDEX('包络曲线数据'!$B$2:$U$742,ROW()-1,MATCH(G$1,'包络曲线数据'!$B$1:$U$1,0)),""))</x:f>
      </x:c>
    </x:row>
    <x:row r="505">
      <x:c r="A505" t="n">
        <x:v>50.300000000000004</x:v>
      </x:c>
      <x:c r="B505" t="str">
        <x:f>IF(B$1="","",IFERROR(INDEX('包络曲线数据'!$B$2:$U$742,ROW()-1,MATCH(B$1,'包络曲线数据'!$B$1:$U$1,0)),""))</x:f>
      </x:c>
      <x:c r="C505" t="n">
        <x:f>IF(C$1="","",IFERROR(INDEX('包络曲线数据'!$B$2:$U$742,ROW()-1,MATCH(C$1,'包络曲线数据'!$B$1:$U$1,0)),""))</x:f>
        <x:v>75.69724519560546</x:v>
      </x:c>
      <x:c r="D505" t="str">
        <x:f>IF(D$1="","",IFERROR(INDEX('包络曲线数据'!$B$2:$U$742,ROW()-1,MATCH(D$1,'包络曲线数据'!$B$1:$U$1,0)),""))</x:f>
      </x:c>
      <x:c r="E505" t="str">
        <x:f>IF(E$1="","",IFERROR(INDEX('包络曲线数据'!$B$2:$U$742,ROW()-1,MATCH(E$1,'包络曲线数据'!$B$1:$U$1,0)),""))</x:f>
      </x:c>
      <x:c r="F505" t="str">
        <x:f>IF(F$1="","",IFERROR(INDEX('包络曲线数据'!$B$2:$U$742,ROW()-1,MATCH(F$1,'包络曲线数据'!$B$1:$U$1,0)),""))</x:f>
      </x:c>
      <x:c r="G505" t="str">
        <x:f>IF(G$1="","",IFERROR(INDEX('包络曲线数据'!$B$2:$U$742,ROW()-1,MATCH(G$1,'包络曲线数据'!$B$1:$U$1,0)),""))</x:f>
      </x:c>
    </x:row>
    <x:row r="506">
      <x:c r="A506" t="n">
        <x:v>50.400000000000006</x:v>
      </x:c>
      <x:c r="B506" t="str">
        <x:f>IF(B$1="","",IFERROR(INDEX('包络曲线数据'!$B$2:$U$742,ROW()-1,MATCH(B$1,'包络曲线数据'!$B$1:$U$1,0)),""))</x:f>
      </x:c>
      <x:c r="C506" t="n">
        <x:f>IF(C$1="","",IFERROR(INDEX('包络曲线数据'!$B$2:$U$742,ROW()-1,MATCH(C$1,'包络曲线数据'!$B$1:$U$1,0)),""))</x:f>
        <x:v>75.92674945964418</x:v>
      </x:c>
      <x:c r="D506" t="str">
        <x:f>IF(D$1="","",IFERROR(INDEX('包络曲线数据'!$B$2:$U$742,ROW()-1,MATCH(D$1,'包络曲线数据'!$B$1:$U$1,0)),""))</x:f>
      </x:c>
      <x:c r="E506" t="str">
        <x:f>IF(E$1="","",IFERROR(INDEX('包络曲线数据'!$B$2:$U$742,ROW()-1,MATCH(E$1,'包络曲线数据'!$B$1:$U$1,0)),""))</x:f>
      </x:c>
      <x:c r="F506" t="str">
        <x:f>IF(F$1="","",IFERROR(INDEX('包络曲线数据'!$B$2:$U$742,ROW()-1,MATCH(F$1,'包络曲线数据'!$B$1:$U$1,0)),""))</x:f>
      </x:c>
      <x:c r="G506" t="str">
        <x:f>IF(G$1="","",IFERROR(INDEX('包络曲线数据'!$B$2:$U$742,ROW()-1,MATCH(G$1,'包络曲线数据'!$B$1:$U$1,0)),""))</x:f>
      </x:c>
    </x:row>
    <x:row r="507">
      <x:c r="A507" t="n">
        <x:v>50.5</x:v>
      </x:c>
      <x:c r="B507" t="str">
        <x:f>IF(B$1="","",IFERROR(INDEX('包络曲线数据'!$B$2:$U$742,ROW()-1,MATCH(B$1,'包络曲线数据'!$B$1:$U$1,0)),""))</x:f>
      </x:c>
      <x:c r="C507" t="n">
        <x:f>IF(C$1="","",IFERROR(INDEX('包络曲线数据'!$B$2:$U$742,ROW()-1,MATCH(C$1,'包络曲线数据'!$B$1:$U$1,0)),""))</x:f>
        <x:v>75.50276033489378</x:v>
      </x:c>
      <x:c r="D507" t="str">
        <x:f>IF(D$1="","",IFERROR(INDEX('包络曲线数据'!$B$2:$U$742,ROW()-1,MATCH(D$1,'包络曲线数据'!$B$1:$U$1,0)),""))</x:f>
      </x:c>
      <x:c r="E507" t="str">
        <x:f>IF(E$1="","",IFERROR(INDEX('包络曲线数据'!$B$2:$U$742,ROW()-1,MATCH(E$1,'包络曲线数据'!$B$1:$U$1,0)),""))</x:f>
      </x:c>
      <x:c r="F507" t="str">
        <x:f>IF(F$1="","",IFERROR(INDEX('包络曲线数据'!$B$2:$U$742,ROW()-1,MATCH(F$1,'包络曲线数据'!$B$1:$U$1,0)),""))</x:f>
      </x:c>
      <x:c r="G507" t="str">
        <x:f>IF(G$1="","",IFERROR(INDEX('包络曲线数据'!$B$2:$U$742,ROW()-1,MATCH(G$1,'包络曲线数据'!$B$1:$U$1,0)),""))</x:f>
      </x:c>
    </x:row>
    <x:row r="508">
      <x:c r="A508" t="n">
        <x:v>50.6</x:v>
      </x:c>
      <x:c r="B508" t="str">
        <x:f>IF(B$1="","",IFERROR(INDEX('包络曲线数据'!$B$2:$U$742,ROW()-1,MATCH(B$1,'包络曲线数据'!$B$1:$U$1,0)),""))</x:f>
      </x:c>
      <x:c r="C508" t="n">
        <x:f>IF(C$1="","",IFERROR(INDEX('包络曲线数据'!$B$2:$U$742,ROW()-1,MATCH(C$1,'包络曲线数据'!$B$1:$U$1,0)),""))</x:f>
        <x:v>75.84191035438252</x:v>
      </x:c>
      <x:c r="D508" t="str">
        <x:f>IF(D$1="","",IFERROR(INDEX('包络曲线数据'!$B$2:$U$742,ROW()-1,MATCH(D$1,'包络曲线数据'!$B$1:$U$1,0)),""))</x:f>
      </x:c>
      <x:c r="E508" t="str">
        <x:f>IF(E$1="","",IFERROR(INDEX('包络曲线数据'!$B$2:$U$742,ROW()-1,MATCH(E$1,'包络曲线数据'!$B$1:$U$1,0)),""))</x:f>
      </x:c>
      <x:c r="F508" t="str">
        <x:f>IF(F$1="","",IFERROR(INDEX('包络曲线数据'!$B$2:$U$742,ROW()-1,MATCH(F$1,'包络曲线数据'!$B$1:$U$1,0)),""))</x:f>
      </x:c>
      <x:c r="G508" t="str">
        <x:f>IF(G$1="","",IFERROR(INDEX('包络曲线数据'!$B$2:$U$742,ROW()-1,MATCH(G$1,'包络曲线数据'!$B$1:$U$1,0)),""))</x:f>
      </x:c>
    </x:row>
    <x:row r="509">
      <x:c r="A509" t="n">
        <x:v>50.7</x:v>
      </x:c>
      <x:c r="B509" t="str">
        <x:f>IF(B$1="","",IFERROR(INDEX('包络曲线数据'!$B$2:$U$742,ROW()-1,MATCH(B$1,'包络曲线数据'!$B$1:$U$1,0)),""))</x:f>
      </x:c>
      <x:c r="C509" t="n">
        <x:f>IF(C$1="","",IFERROR(INDEX('包络曲线数据'!$B$2:$U$742,ROW()-1,MATCH(C$1,'包络曲线数据'!$B$1:$U$1,0)),""))</x:f>
        <x:v>75.84191035438252</x:v>
      </x:c>
      <x:c r="D509" t="str">
        <x:f>IF(D$1="","",IFERROR(INDEX('包络曲线数据'!$B$2:$U$742,ROW()-1,MATCH(D$1,'包络曲线数据'!$B$1:$U$1,0)),""))</x:f>
      </x:c>
      <x:c r="E509" t="str">
        <x:f>IF(E$1="","",IFERROR(INDEX('包络曲线数据'!$B$2:$U$742,ROW()-1,MATCH(E$1,'包络曲线数据'!$B$1:$U$1,0)),""))</x:f>
      </x:c>
      <x:c r="F509" t="str">
        <x:f>IF(F$1="","",IFERROR(INDEX('包络曲线数据'!$B$2:$U$742,ROW()-1,MATCH(F$1,'包络曲线数据'!$B$1:$U$1,0)),""))</x:f>
      </x:c>
      <x:c r="G509" t="str">
        <x:f>IF(G$1="","",IFERROR(INDEX('包络曲线数据'!$B$2:$U$742,ROW()-1,MATCH(G$1,'包络曲线数据'!$B$1:$U$1,0)),""))</x:f>
      </x:c>
    </x:row>
    <x:row r="510">
      <x:c r="A510" t="n">
        <x:v>50.800000000000004</x:v>
      </x:c>
      <x:c r="B510" t="str">
        <x:f>IF(B$1="","",IFERROR(INDEX('包络曲线数据'!$B$2:$U$742,ROW()-1,MATCH(B$1,'包络曲线数据'!$B$1:$U$1,0)),""))</x:f>
      </x:c>
      <x:c r="C510" t="n">
        <x:f>IF(C$1="","",IFERROR(INDEX('包络曲线数据'!$B$2:$U$742,ROW()-1,MATCH(C$1,'包络曲线数据'!$B$1:$U$1,0)),""))</x:f>
        <x:v>77.05310856870922</x:v>
      </x:c>
      <x:c r="D510" t="str">
        <x:f>IF(D$1="","",IFERROR(INDEX('包络曲线数据'!$B$2:$U$742,ROW()-1,MATCH(D$1,'包络曲线数据'!$B$1:$U$1,0)),""))</x:f>
      </x:c>
      <x:c r="E510" t="str">
        <x:f>IF(E$1="","",IFERROR(INDEX('包络曲线数据'!$B$2:$U$742,ROW()-1,MATCH(E$1,'包络曲线数据'!$B$1:$U$1,0)),""))</x:f>
      </x:c>
      <x:c r="F510" t="str">
        <x:f>IF(F$1="","",IFERROR(INDEX('包络曲线数据'!$B$2:$U$742,ROW()-1,MATCH(F$1,'包络曲线数据'!$B$1:$U$1,0)),""))</x:f>
      </x:c>
      <x:c r="G510" t="str">
        <x:f>IF(G$1="","",IFERROR(INDEX('包络曲线数据'!$B$2:$U$742,ROW()-1,MATCH(G$1,'包络曲线数据'!$B$1:$U$1,0)),""))</x:f>
      </x:c>
    </x:row>
    <x:row r="511">
      <x:c r="A511" t="n">
        <x:v>50.900000000000006</x:v>
      </x:c>
      <x:c r="B511" t="str">
        <x:f>IF(B$1="","",IFERROR(INDEX('包络曲线数据'!$B$2:$U$742,ROW()-1,MATCH(B$1,'包络曲线数据'!$B$1:$U$1,0)),""))</x:f>
      </x:c>
      <x:c r="C511" t="n">
        <x:f>IF(C$1="","",IFERROR(INDEX('包络曲线数据'!$B$2:$U$742,ROW()-1,MATCH(C$1,'包络曲线数据'!$B$1:$U$1,0)),""))</x:f>
        <x:v>77.05310856870922</x:v>
      </x:c>
      <x:c r="D511" t="str">
        <x:f>IF(D$1="","",IFERROR(INDEX('包络曲线数据'!$B$2:$U$742,ROW()-1,MATCH(D$1,'包络曲线数据'!$B$1:$U$1,0)),""))</x:f>
      </x:c>
      <x:c r="E511" t="str">
        <x:f>IF(E$1="","",IFERROR(INDEX('包络曲线数据'!$B$2:$U$742,ROW()-1,MATCH(E$1,'包络曲线数据'!$B$1:$U$1,0)),""))</x:f>
      </x:c>
      <x:c r="F511" t="str">
        <x:f>IF(F$1="","",IFERROR(INDEX('包络曲线数据'!$B$2:$U$742,ROW()-1,MATCH(F$1,'包络曲线数据'!$B$1:$U$1,0)),""))</x:f>
      </x:c>
      <x:c r="G511" t="str">
        <x:f>IF(G$1="","",IFERROR(INDEX('包络曲线数据'!$B$2:$U$742,ROW()-1,MATCH(G$1,'包络曲线数据'!$B$1:$U$1,0)),""))</x:f>
      </x:c>
    </x:row>
    <x:row r="512">
      <x:c r="A512" t="n">
        <x:v>51</x:v>
      </x:c>
      <x:c r="B512" t="str">
        <x:f>IF(B$1="","",IFERROR(INDEX('包络曲线数据'!$B$2:$U$742,ROW()-1,MATCH(B$1,'包络曲线数据'!$B$1:$U$1,0)),""))</x:f>
      </x:c>
      <x:c r="C512" t="n">
        <x:f>IF(C$1="","",IFERROR(INDEX('包络曲线数据'!$B$2:$U$742,ROW()-1,MATCH(C$1,'包络曲线数据'!$B$1:$U$1,0)),""))</x:f>
        <x:v>75.75053706703847</x:v>
      </x:c>
      <x:c r="D512" t="str">
        <x:f>IF(D$1="","",IFERROR(INDEX('包络曲线数据'!$B$2:$U$742,ROW()-1,MATCH(D$1,'包络曲线数据'!$B$1:$U$1,0)),""))</x:f>
      </x:c>
      <x:c r="E512" t="str">
        <x:f>IF(E$1="","",IFERROR(INDEX('包络曲线数据'!$B$2:$U$742,ROW()-1,MATCH(E$1,'包络曲线数据'!$B$1:$U$1,0)),""))</x:f>
      </x:c>
      <x:c r="F512" t="str">
        <x:f>IF(F$1="","",IFERROR(INDEX('包络曲线数据'!$B$2:$U$742,ROW()-1,MATCH(F$1,'包络曲线数据'!$B$1:$U$1,0)),""))</x:f>
      </x:c>
      <x:c r="G512" t="str">
        <x:f>IF(G$1="","",IFERROR(INDEX('包络曲线数据'!$B$2:$U$742,ROW()-1,MATCH(G$1,'包络曲线数据'!$B$1:$U$1,0)),""))</x:f>
      </x:c>
    </x:row>
    <x:row r="513">
      <x:c r="A513" t="n">
        <x:v>51.1</x:v>
      </x:c>
      <x:c r="B513" t="str">
        <x:f>IF(B$1="","",IFERROR(INDEX('包络曲线数据'!$B$2:$U$742,ROW()-1,MATCH(B$1,'包络曲线数据'!$B$1:$U$1,0)),""))</x:f>
      </x:c>
      <x:c r="C513" t="n">
        <x:f>IF(C$1="","",IFERROR(INDEX('包络曲线数据'!$B$2:$U$742,ROW()-1,MATCH(C$1,'包络曲线数据'!$B$1:$U$1,0)),""))</x:f>
        <x:v>76.56459940028407</x:v>
      </x:c>
      <x:c r="D513" t="str">
        <x:f>IF(D$1="","",IFERROR(INDEX('包络曲线数据'!$B$2:$U$742,ROW()-1,MATCH(D$1,'包络曲线数据'!$B$1:$U$1,0)),""))</x:f>
      </x:c>
      <x:c r="E513" t="str">
        <x:f>IF(E$1="","",IFERROR(INDEX('包络曲线数据'!$B$2:$U$742,ROW()-1,MATCH(E$1,'包络曲线数据'!$B$1:$U$1,0)),""))</x:f>
      </x:c>
      <x:c r="F513" t="str">
        <x:f>IF(F$1="","",IFERROR(INDEX('包络曲线数据'!$B$2:$U$742,ROW()-1,MATCH(F$1,'包络曲线数据'!$B$1:$U$1,0)),""))</x:f>
      </x:c>
      <x:c r="G513" t="str">
        <x:f>IF(G$1="","",IFERROR(INDEX('包络曲线数据'!$B$2:$U$742,ROW()-1,MATCH(G$1,'包络曲线数据'!$B$1:$U$1,0)),""))</x:f>
      </x:c>
    </x:row>
    <x:row r="514">
      <x:c r="A514" t="n">
        <x:v>51.2</x:v>
      </x:c>
      <x:c r="B514" t="str">
        <x:f>IF(B$1="","",IFERROR(INDEX('包络曲线数据'!$B$2:$U$742,ROW()-1,MATCH(B$1,'包络曲线数据'!$B$1:$U$1,0)),""))</x:f>
      </x:c>
      <x:c r="C514" t="n">
        <x:f>IF(C$1="","",IFERROR(INDEX('包络曲线数据'!$B$2:$U$742,ROW()-1,MATCH(C$1,'包络曲线数据'!$B$1:$U$1,0)),""))</x:f>
        <x:v>76.56459940028407</x:v>
      </x:c>
      <x:c r="D514" t="str">
        <x:f>IF(D$1="","",IFERROR(INDEX('包络曲线数据'!$B$2:$U$742,ROW()-1,MATCH(D$1,'包络曲线数据'!$B$1:$U$1,0)),""))</x:f>
      </x:c>
      <x:c r="E514" t="str">
        <x:f>IF(E$1="","",IFERROR(INDEX('包络曲线数据'!$B$2:$U$742,ROW()-1,MATCH(E$1,'包络曲线数据'!$B$1:$U$1,0)),""))</x:f>
      </x:c>
      <x:c r="F514" t="str">
        <x:f>IF(F$1="","",IFERROR(INDEX('包络曲线数据'!$B$2:$U$742,ROW()-1,MATCH(F$1,'包络曲线数据'!$B$1:$U$1,0)),""))</x:f>
      </x:c>
      <x:c r="G514" t="str">
        <x:f>IF(G$1="","",IFERROR(INDEX('包络曲线数据'!$B$2:$U$742,ROW()-1,MATCH(G$1,'包络曲线数据'!$B$1:$U$1,0)),""))</x:f>
      </x:c>
    </x:row>
    <x:row r="515">
      <x:c r="A515" t="n">
        <x:v>51.300000000000004</x:v>
      </x:c>
      <x:c r="B515" t="str">
        <x:f>IF(B$1="","",IFERROR(INDEX('包络曲线数据'!$B$2:$U$742,ROW()-1,MATCH(B$1,'包络曲线数据'!$B$1:$U$1,0)),""))</x:f>
      </x:c>
      <x:c r="C515" t="n">
        <x:f>IF(C$1="","",IFERROR(INDEX('包络曲线数据'!$B$2:$U$742,ROW()-1,MATCH(C$1,'包络曲线数据'!$B$1:$U$1,0)),""))</x:f>
        <x:v>72.8851884722174</x:v>
      </x:c>
      <x:c r="D515" t="str">
        <x:f>IF(D$1="","",IFERROR(INDEX('包络曲线数据'!$B$2:$U$742,ROW()-1,MATCH(D$1,'包络曲线数据'!$B$1:$U$1,0)),""))</x:f>
      </x:c>
      <x:c r="E515" t="str">
        <x:f>IF(E$1="","",IFERROR(INDEX('包络曲线数据'!$B$2:$U$742,ROW()-1,MATCH(E$1,'包络曲线数据'!$B$1:$U$1,0)),""))</x:f>
      </x:c>
      <x:c r="F515" t="str">
        <x:f>IF(F$1="","",IFERROR(INDEX('包络曲线数据'!$B$2:$U$742,ROW()-1,MATCH(F$1,'包络曲线数据'!$B$1:$U$1,0)),""))</x:f>
      </x:c>
      <x:c r="G515" t="str">
        <x:f>IF(G$1="","",IFERROR(INDEX('包络曲线数据'!$B$2:$U$742,ROW()-1,MATCH(G$1,'包络曲线数据'!$B$1:$U$1,0)),""))</x:f>
      </x:c>
    </x:row>
    <x:row r="516">
      <x:c r="A516" t="n">
        <x:v>51.400000000000006</x:v>
      </x:c>
      <x:c r="B516" t="str">
        <x:f>IF(B$1="","",IFERROR(INDEX('包络曲线数据'!$B$2:$U$742,ROW()-1,MATCH(B$1,'包络曲线数据'!$B$1:$U$1,0)),""))</x:f>
      </x:c>
      <x:c r="C516" t="n">
        <x:f>IF(C$1="","",IFERROR(INDEX('包络曲线数据'!$B$2:$U$742,ROW()-1,MATCH(C$1,'包络曲线数据'!$B$1:$U$1,0)),""))</x:f>
        <x:v>68.80028774656314</x:v>
      </x:c>
      <x:c r="D516" t="str">
        <x:f>IF(D$1="","",IFERROR(INDEX('包络曲线数据'!$B$2:$U$742,ROW()-1,MATCH(D$1,'包络曲线数据'!$B$1:$U$1,0)),""))</x:f>
      </x:c>
      <x:c r="E516" t="str">
        <x:f>IF(E$1="","",IFERROR(INDEX('包络曲线数据'!$B$2:$U$742,ROW()-1,MATCH(E$1,'包络曲线数据'!$B$1:$U$1,0)),""))</x:f>
      </x:c>
      <x:c r="F516" t="str">
        <x:f>IF(F$1="","",IFERROR(INDEX('包络曲线数据'!$B$2:$U$742,ROW()-1,MATCH(F$1,'包络曲线数据'!$B$1:$U$1,0)),""))</x:f>
      </x:c>
      <x:c r="G516" t="str">
        <x:f>IF(G$1="","",IFERROR(INDEX('包络曲线数据'!$B$2:$U$742,ROW()-1,MATCH(G$1,'包络曲线数据'!$B$1:$U$1,0)),""))</x:f>
      </x:c>
    </x:row>
    <x:row r="517">
      <x:c r="A517" t="n">
        <x:v>51.5</x:v>
      </x:c>
      <x:c r="B517" t="str">
        <x:f>IF(B$1="","",IFERROR(INDEX('包络曲线数据'!$B$2:$U$742,ROW()-1,MATCH(B$1,'包络曲线数据'!$B$1:$U$1,0)),""))</x:f>
      </x:c>
      <x:c r="C517" t="n">
        <x:f>IF(C$1="","",IFERROR(INDEX('包络曲线数据'!$B$2:$U$742,ROW()-1,MATCH(C$1,'包络曲线数据'!$B$1:$U$1,0)),""))</x:f>
        <x:v>73.89821183890031</x:v>
      </x:c>
      <x:c r="D517" t="str">
        <x:f>IF(D$1="","",IFERROR(INDEX('包络曲线数据'!$B$2:$U$742,ROW()-1,MATCH(D$1,'包络曲线数据'!$B$1:$U$1,0)),""))</x:f>
      </x:c>
      <x:c r="E517" t="str">
        <x:f>IF(E$1="","",IFERROR(INDEX('包络曲线数据'!$B$2:$U$742,ROW()-1,MATCH(E$1,'包络曲线数据'!$B$1:$U$1,0)),""))</x:f>
      </x:c>
      <x:c r="F517" t="str">
        <x:f>IF(F$1="","",IFERROR(INDEX('包络曲线数据'!$B$2:$U$742,ROW()-1,MATCH(F$1,'包络曲线数据'!$B$1:$U$1,0)),""))</x:f>
      </x:c>
      <x:c r="G517" t="str">
        <x:f>IF(G$1="","",IFERROR(INDEX('包络曲线数据'!$B$2:$U$742,ROW()-1,MATCH(G$1,'包络曲线数据'!$B$1:$U$1,0)),""))</x:f>
      </x:c>
    </x:row>
    <x:row r="518">
      <x:c r="A518" t="n">
        <x:v>51.6</x:v>
      </x:c>
      <x:c r="B518" t="str">
        <x:f>IF(B$1="","",IFERROR(INDEX('包络曲线数据'!$B$2:$U$742,ROW()-1,MATCH(B$1,'包络曲线数据'!$B$1:$U$1,0)),""))</x:f>
      </x:c>
      <x:c r="C518" t="n">
        <x:f>IF(C$1="","",IFERROR(INDEX('包络曲线数据'!$B$2:$U$742,ROW()-1,MATCH(C$1,'包络曲线数据'!$B$1:$U$1,0)),""))</x:f>
        <x:v>82.85125305475447</x:v>
      </x:c>
      <x:c r="D518" t="str">
        <x:f>IF(D$1="","",IFERROR(INDEX('包络曲线数据'!$B$2:$U$742,ROW()-1,MATCH(D$1,'包络曲线数据'!$B$1:$U$1,0)),""))</x:f>
      </x:c>
      <x:c r="E518" t="str">
        <x:f>IF(E$1="","",IFERROR(INDEX('包络曲线数据'!$B$2:$U$742,ROW()-1,MATCH(E$1,'包络曲线数据'!$B$1:$U$1,0)),""))</x:f>
      </x:c>
      <x:c r="F518" t="str">
        <x:f>IF(F$1="","",IFERROR(INDEX('包络曲线数据'!$B$2:$U$742,ROW()-1,MATCH(F$1,'包络曲线数据'!$B$1:$U$1,0)),""))</x:f>
      </x:c>
      <x:c r="G518" t="str">
        <x:f>IF(G$1="","",IFERROR(INDEX('包络曲线数据'!$B$2:$U$742,ROW()-1,MATCH(G$1,'包络曲线数据'!$B$1:$U$1,0)),""))</x:f>
      </x:c>
    </x:row>
    <x:row r="519">
      <x:c r="A519" t="n">
        <x:v>51.7</x:v>
      </x:c>
      <x:c r="B519" t="str">
        <x:f>IF(B$1="","",IFERROR(INDEX('包络曲线数据'!$B$2:$U$742,ROW()-1,MATCH(B$1,'包络曲线数据'!$B$1:$U$1,0)),""))</x:f>
      </x:c>
      <x:c r="C519" t="n">
        <x:f>IF(C$1="","",IFERROR(INDEX('包络曲线数据'!$B$2:$U$742,ROW()-1,MATCH(C$1,'包络曲线数据'!$B$1:$U$1,0)),""))</x:f>
        <x:v>82.85125305475447</x:v>
      </x:c>
      <x:c r="D519" t="str">
        <x:f>IF(D$1="","",IFERROR(INDEX('包络曲线数据'!$B$2:$U$742,ROW()-1,MATCH(D$1,'包络曲线数据'!$B$1:$U$1,0)),""))</x:f>
      </x:c>
      <x:c r="E519" t="str">
        <x:f>IF(E$1="","",IFERROR(INDEX('包络曲线数据'!$B$2:$U$742,ROW()-1,MATCH(E$1,'包络曲线数据'!$B$1:$U$1,0)),""))</x:f>
      </x:c>
      <x:c r="F519" t="str">
        <x:f>IF(F$1="","",IFERROR(INDEX('包络曲线数据'!$B$2:$U$742,ROW()-1,MATCH(F$1,'包络曲线数据'!$B$1:$U$1,0)),""))</x:f>
      </x:c>
      <x:c r="G519" t="str">
        <x:f>IF(G$1="","",IFERROR(INDEX('包络曲线数据'!$B$2:$U$742,ROW()-1,MATCH(G$1,'包络曲线数据'!$B$1:$U$1,0)),""))</x:f>
      </x:c>
    </x:row>
    <x:row r="520">
      <x:c r="A520" t="n">
        <x:v>51.800000000000004</x:v>
      </x:c>
      <x:c r="B520" t="str">
        <x:f>IF(B$1="","",IFERROR(INDEX('包络曲线数据'!$B$2:$U$742,ROW()-1,MATCH(B$1,'包络曲线数据'!$B$1:$U$1,0)),""))</x:f>
      </x:c>
      <x:c r="C520" t="n">
        <x:f>IF(C$1="","",IFERROR(INDEX('包络曲线数据'!$B$2:$U$742,ROW()-1,MATCH(C$1,'包络曲线数据'!$B$1:$U$1,0)),""))</x:f>
        <x:v>73.338524556739</x:v>
      </x:c>
      <x:c r="D520" t="str">
        <x:f>IF(D$1="","",IFERROR(INDEX('包络曲线数据'!$B$2:$U$742,ROW()-1,MATCH(D$1,'包络曲线数据'!$B$1:$U$1,0)),""))</x:f>
      </x:c>
      <x:c r="E520" t="str">
        <x:f>IF(E$1="","",IFERROR(INDEX('包络曲线数据'!$B$2:$U$742,ROW()-1,MATCH(E$1,'包络曲线数据'!$B$1:$U$1,0)),""))</x:f>
      </x:c>
      <x:c r="F520" t="str">
        <x:f>IF(F$1="","",IFERROR(INDEX('包络曲线数据'!$B$2:$U$742,ROW()-1,MATCH(F$1,'包络曲线数据'!$B$1:$U$1,0)),""))</x:f>
      </x:c>
      <x:c r="G520" t="str">
        <x:f>IF(G$1="","",IFERROR(INDEX('包络曲线数据'!$B$2:$U$742,ROW()-1,MATCH(G$1,'包络曲线数据'!$B$1:$U$1,0)),""))</x:f>
      </x:c>
    </x:row>
    <x:row r="521">
      <x:c r="A521" t="n">
        <x:v>51.900000000000006</x:v>
      </x:c>
      <x:c r="B521" t="str">
        <x:f>IF(B$1="","",IFERROR(INDEX('包络曲线数据'!$B$2:$U$742,ROW()-1,MATCH(B$1,'包络曲线数据'!$B$1:$U$1,0)),""))</x:f>
      </x:c>
      <x:c r="C521" t="n">
        <x:f>IF(C$1="","",IFERROR(INDEX('包络曲线数据'!$B$2:$U$742,ROW()-1,MATCH(C$1,'包络曲线数据'!$B$1:$U$1,0)),""))</x:f>
        <x:v>59.56490684098908</x:v>
      </x:c>
      <x:c r="D521" t="str">
        <x:f>IF(D$1="","",IFERROR(INDEX('包络曲线数据'!$B$2:$U$742,ROW()-1,MATCH(D$1,'包络曲线数据'!$B$1:$U$1,0)),""))</x:f>
      </x:c>
      <x:c r="E521" t="str">
        <x:f>IF(E$1="","",IFERROR(INDEX('包络曲线数据'!$B$2:$U$742,ROW()-1,MATCH(E$1,'包络曲线数据'!$B$1:$U$1,0)),""))</x:f>
      </x:c>
      <x:c r="F521" t="str">
        <x:f>IF(F$1="","",IFERROR(INDEX('包络曲线数据'!$B$2:$U$742,ROW()-1,MATCH(F$1,'包络曲线数据'!$B$1:$U$1,0)),""))</x:f>
      </x:c>
      <x:c r="G521" t="str">
        <x:f>IF(G$1="","",IFERROR(INDEX('包络曲线数据'!$B$2:$U$742,ROW()-1,MATCH(G$1,'包络曲线数据'!$B$1:$U$1,0)),""))</x:f>
      </x:c>
    </x:row>
    <x:row r="522">
      <x:c r="A522" t="n">
        <x:v>52</x:v>
      </x:c>
      <x:c r="B522" t="str">
        <x:f>IF(B$1="","",IFERROR(INDEX('包络曲线数据'!$B$2:$U$742,ROW()-1,MATCH(B$1,'包络曲线数据'!$B$1:$U$1,0)),""))</x:f>
      </x:c>
      <x:c r="C522" t="n">
        <x:f>IF(C$1="","",IFERROR(INDEX('包络曲线数据'!$B$2:$U$742,ROW()-1,MATCH(C$1,'包络曲线数据'!$B$1:$U$1,0)),""))</x:f>
        <x:v>62.46891944938936</x:v>
      </x:c>
      <x:c r="D522" t="str">
        <x:f>IF(D$1="","",IFERROR(INDEX('包络曲线数据'!$B$2:$U$742,ROW()-1,MATCH(D$1,'包络曲线数据'!$B$1:$U$1,0)),""))</x:f>
      </x:c>
      <x:c r="E522" t="str">
        <x:f>IF(E$1="","",IFERROR(INDEX('包络曲线数据'!$B$2:$U$742,ROW()-1,MATCH(E$1,'包络曲线数据'!$B$1:$U$1,0)),""))</x:f>
      </x:c>
      <x:c r="F522" t="str">
        <x:f>IF(F$1="","",IFERROR(INDEX('包络曲线数据'!$B$2:$U$742,ROW()-1,MATCH(F$1,'包络曲线数据'!$B$1:$U$1,0)),""))</x:f>
      </x:c>
      <x:c r="G522" t="str">
        <x:f>IF(G$1="","",IFERROR(INDEX('包络曲线数据'!$B$2:$U$742,ROW()-1,MATCH(G$1,'包络曲线数据'!$B$1:$U$1,0)),""))</x:f>
      </x:c>
    </x:row>
    <x:row r="523">
      <x:c r="A523" t="n">
        <x:v>52.1</x:v>
      </x:c>
      <x:c r="B523" t="str">
        <x:f>IF(B$1="","",IFERROR(INDEX('包络曲线数据'!$B$2:$U$742,ROW()-1,MATCH(B$1,'包络曲线数据'!$B$1:$U$1,0)),""))</x:f>
      </x:c>
      <x:c r="C523" t="n">
        <x:f>IF(C$1="","",IFERROR(INDEX('包络曲线数据'!$B$2:$U$742,ROW()-1,MATCH(C$1,'包络曲线数据'!$B$1:$U$1,0)),""))</x:f>
        <x:v>65.37293205778985</x:v>
      </x:c>
      <x:c r="D523" t="str">
        <x:f>IF(D$1="","",IFERROR(INDEX('包络曲线数据'!$B$2:$U$742,ROW()-1,MATCH(D$1,'包络曲线数据'!$B$1:$U$1,0)),""))</x:f>
      </x:c>
      <x:c r="E523" t="str">
        <x:f>IF(E$1="","",IFERROR(INDEX('包络曲线数据'!$B$2:$U$742,ROW()-1,MATCH(E$1,'包络曲线数据'!$B$1:$U$1,0)),""))</x:f>
      </x:c>
      <x:c r="F523" t="str">
        <x:f>IF(F$1="","",IFERROR(INDEX('包络曲线数据'!$B$2:$U$742,ROW()-1,MATCH(F$1,'包络曲线数据'!$B$1:$U$1,0)),""))</x:f>
      </x:c>
      <x:c r="G523" t="str">
        <x:f>IF(G$1="","",IFERROR(INDEX('包络曲线数据'!$B$2:$U$742,ROW()-1,MATCH(G$1,'包络曲线数据'!$B$1:$U$1,0)),""))</x:f>
      </x:c>
    </x:row>
    <x:row r="524">
      <x:c r="A524" t="n">
        <x:v>52.2</x:v>
      </x:c>
      <x:c r="B524" t="str">
        <x:f>IF(B$1="","",IFERROR(INDEX('包络曲线数据'!$B$2:$U$742,ROW()-1,MATCH(B$1,'包络曲线数据'!$B$1:$U$1,0)),""))</x:f>
      </x:c>
      <x:c r="C524" t="n">
        <x:f>IF(C$1="","",IFERROR(INDEX('包络曲线数据'!$B$2:$U$742,ROW()-1,MATCH(C$1,'包络曲线数据'!$B$1:$U$1,0)),""))</x:f>
        <x:v>68.27694466619035</x:v>
      </x:c>
      <x:c r="D524" t="str">
        <x:f>IF(D$1="","",IFERROR(INDEX('包络曲线数据'!$B$2:$U$742,ROW()-1,MATCH(D$1,'包络曲线数据'!$B$1:$U$1,0)),""))</x:f>
      </x:c>
      <x:c r="E524" t="str">
        <x:f>IF(E$1="","",IFERROR(INDEX('包络曲线数据'!$B$2:$U$742,ROW()-1,MATCH(E$1,'包络曲线数据'!$B$1:$U$1,0)),""))</x:f>
      </x:c>
      <x:c r="F524" t="str">
        <x:f>IF(F$1="","",IFERROR(INDEX('包络曲线数据'!$B$2:$U$742,ROW()-1,MATCH(F$1,'包络曲线数据'!$B$1:$U$1,0)),""))</x:f>
      </x:c>
      <x:c r="G524" t="str">
        <x:f>IF(G$1="","",IFERROR(INDEX('包络曲线数据'!$B$2:$U$742,ROW()-1,MATCH(G$1,'包络曲线数据'!$B$1:$U$1,0)),""))</x:f>
      </x:c>
    </x:row>
    <x:row r="525">
      <x:c r="A525" t="n">
        <x:v>52.300000000000004</x:v>
      </x:c>
      <x:c r="B525" t="str">
        <x:f>IF(B$1="","",IFERROR(INDEX('包络曲线数据'!$B$2:$U$742,ROW()-1,MATCH(B$1,'包络曲线数据'!$B$1:$U$1,0)),""))</x:f>
      </x:c>
      <x:c r="C525" t="n">
        <x:f>IF(C$1="","",IFERROR(INDEX('包络曲线数据'!$B$2:$U$742,ROW()-1,MATCH(C$1,'包络曲线数据'!$B$1:$U$1,0)),""))</x:f>
        <x:v>69.4385497095505</x:v>
      </x:c>
      <x:c r="D525" t="str">
        <x:f>IF(D$1="","",IFERROR(INDEX('包络曲线数据'!$B$2:$U$742,ROW()-1,MATCH(D$1,'包络曲线数据'!$B$1:$U$1,0)),""))</x:f>
      </x:c>
      <x:c r="E525" t="str">
        <x:f>IF(E$1="","",IFERROR(INDEX('包络曲线数据'!$B$2:$U$742,ROW()-1,MATCH(E$1,'包络曲线数据'!$B$1:$U$1,0)),""))</x:f>
      </x:c>
      <x:c r="F525" t="str">
        <x:f>IF(F$1="","",IFERROR(INDEX('包络曲线数据'!$B$2:$U$742,ROW()-1,MATCH(F$1,'包络曲线数据'!$B$1:$U$1,0)),""))</x:f>
      </x:c>
      <x:c r="G525" t="str">
        <x:f>IF(G$1="","",IFERROR(INDEX('包络曲线数据'!$B$2:$U$742,ROW()-1,MATCH(G$1,'包络曲线数据'!$B$1:$U$1,0)),""))</x:f>
      </x:c>
    </x:row>
    <x:row r="526">
      <x:c r="A526" t="n">
        <x:v>52.400000000000006</x:v>
      </x:c>
      <x:c r="B526" t="str">
        <x:f>IF(B$1="","",IFERROR(INDEX('包络曲线数据'!$B$2:$U$742,ROW()-1,MATCH(B$1,'包络曲线数据'!$B$1:$U$1,0)),""))</x:f>
      </x:c>
      <x:c r="C526" t="n">
        <x:f>IF(C$1="","",IFERROR(INDEX('包络曲线数据'!$B$2:$U$742,ROW()-1,MATCH(C$1,'包络曲线数据'!$B$1:$U$1,0)),""))</x:f>
        <x:v>75.1435777685023</x:v>
      </x:c>
      <x:c r="D526" t="str">
        <x:f>IF(D$1="","",IFERROR(INDEX('包络曲线数据'!$B$2:$U$742,ROW()-1,MATCH(D$1,'包络曲线数据'!$B$1:$U$1,0)),""))</x:f>
      </x:c>
      <x:c r="E526" t="str">
        <x:f>IF(E$1="","",IFERROR(INDEX('包络曲线数据'!$B$2:$U$742,ROW()-1,MATCH(E$1,'包络曲线数据'!$B$1:$U$1,0)),""))</x:f>
      </x:c>
      <x:c r="F526" t="str">
        <x:f>IF(F$1="","",IFERROR(INDEX('包络曲线数据'!$B$2:$U$742,ROW()-1,MATCH(F$1,'包络曲线数据'!$B$1:$U$1,0)),""))</x:f>
      </x:c>
      <x:c r="G526" t="str">
        <x:f>IF(G$1="","",IFERROR(INDEX('包络曲线数据'!$B$2:$U$742,ROW()-1,MATCH(G$1,'包络曲线数据'!$B$1:$U$1,0)),""))</x:f>
      </x:c>
    </x:row>
    <x:row r="527">
      <x:c r="A527" t="n">
        <x:v>52.5</x:v>
      </x:c>
      <x:c r="B527" t="str">
        <x:f>IF(B$1="","",IFERROR(INDEX('包络曲线数据'!$B$2:$U$742,ROW()-1,MATCH(B$1,'包络曲线数据'!$B$1:$U$1,0)),""))</x:f>
      </x:c>
      <x:c r="C527" t="n">
        <x:f>IF(C$1="","",IFERROR(INDEX('包络曲线数据'!$B$2:$U$742,ROW()-1,MATCH(C$1,'包络曲线数据'!$B$1:$U$1,0)),""))</x:f>
        <x:v>75.1435777685023</x:v>
      </x:c>
      <x:c r="D527" t="str">
        <x:f>IF(D$1="","",IFERROR(INDEX('包络曲线数据'!$B$2:$U$742,ROW()-1,MATCH(D$1,'包络曲线数据'!$B$1:$U$1,0)),""))</x:f>
      </x:c>
      <x:c r="E527" t="str">
        <x:f>IF(E$1="","",IFERROR(INDEX('包络曲线数据'!$B$2:$U$742,ROW()-1,MATCH(E$1,'包络曲线数据'!$B$1:$U$1,0)),""))</x:f>
      </x:c>
      <x:c r="F527" t="str">
        <x:f>IF(F$1="","",IFERROR(INDEX('包络曲线数据'!$B$2:$U$742,ROW()-1,MATCH(F$1,'包络曲线数据'!$B$1:$U$1,0)),""))</x:f>
      </x:c>
      <x:c r="G527" t="str">
        <x:f>IF(G$1="","",IFERROR(INDEX('包络曲线数据'!$B$2:$U$742,ROW()-1,MATCH(G$1,'包络曲线数据'!$B$1:$U$1,0)),""))</x:f>
      </x:c>
    </x:row>
    <x:row r="528">
      <x:c r="A528" t="n">
        <x:v>52.6</x:v>
      </x:c>
      <x:c r="B528" t="str">
        <x:f>IF(B$1="","",IFERROR(INDEX('包络曲线数据'!$B$2:$U$742,ROW()-1,MATCH(B$1,'包络曲线数据'!$B$1:$U$1,0)),""))</x:f>
      </x:c>
      <x:c r="C528" t="n">
        <x:f>IF(C$1="","",IFERROR(INDEX('包络曲线数据'!$B$2:$U$742,ROW()-1,MATCH(C$1,'包络曲线数据'!$B$1:$U$1,0)),""))</x:f>
        <x:v>73.1175403417628</x:v>
      </x:c>
      <x:c r="D528" t="str">
        <x:f>IF(D$1="","",IFERROR(INDEX('包络曲线数据'!$B$2:$U$742,ROW()-1,MATCH(D$1,'包络曲线数据'!$B$1:$U$1,0)),""))</x:f>
      </x:c>
      <x:c r="E528" t="str">
        <x:f>IF(E$1="","",IFERROR(INDEX('包络曲线数据'!$B$2:$U$742,ROW()-1,MATCH(E$1,'包络曲线数据'!$B$1:$U$1,0)),""))</x:f>
      </x:c>
      <x:c r="F528" t="str">
        <x:f>IF(F$1="","",IFERROR(INDEX('包络曲线数据'!$B$2:$U$742,ROW()-1,MATCH(F$1,'包络曲线数据'!$B$1:$U$1,0)),""))</x:f>
      </x:c>
      <x:c r="G528" t="str">
        <x:f>IF(G$1="","",IFERROR(INDEX('包络曲线数据'!$B$2:$U$742,ROW()-1,MATCH(G$1,'包络曲线数据'!$B$1:$U$1,0)),""))</x:f>
      </x:c>
    </x:row>
    <x:row r="529">
      <x:c r="A529" t="n">
        <x:v>52.7</x:v>
      </x:c>
      <x:c r="B529" t="str">
        <x:f>IF(B$1="","",IFERROR(INDEX('包络曲线数据'!$B$2:$U$742,ROW()-1,MATCH(B$1,'包络曲线数据'!$B$1:$U$1,0)),""))</x:f>
      </x:c>
      <x:c r="C529" t="n">
        <x:f>IF(C$1="","",IFERROR(INDEX('包络曲线数据'!$B$2:$U$742,ROW()-1,MATCH(C$1,'包络曲线数据'!$B$1:$U$1,0)),""))</x:f>
        <x:v>66.26996384561167</x:v>
      </x:c>
      <x:c r="D529" t="str">
        <x:f>IF(D$1="","",IFERROR(INDEX('包络曲线数据'!$B$2:$U$742,ROW()-1,MATCH(D$1,'包络曲线数据'!$B$1:$U$1,0)),""))</x:f>
      </x:c>
      <x:c r="E529" t="str">
        <x:f>IF(E$1="","",IFERROR(INDEX('包络曲线数据'!$B$2:$U$742,ROW()-1,MATCH(E$1,'包络曲线数据'!$B$1:$U$1,0)),""))</x:f>
      </x:c>
      <x:c r="F529" t="str">
        <x:f>IF(F$1="","",IFERROR(INDEX('包络曲线数据'!$B$2:$U$742,ROW()-1,MATCH(F$1,'包络曲线数据'!$B$1:$U$1,0)),""))</x:f>
      </x:c>
      <x:c r="G529" t="str">
        <x:f>IF(G$1="","",IFERROR(INDEX('包络曲线数据'!$B$2:$U$742,ROW()-1,MATCH(G$1,'包络曲线数据'!$B$1:$U$1,0)),""))</x:f>
      </x:c>
    </x:row>
    <x:row r="530">
      <x:c r="A530" t="n">
        <x:v>52.800000000000004</x:v>
      </x:c>
      <x:c r="B530" t="str">
        <x:f>IF(B$1="","",IFERROR(INDEX('包络曲线数据'!$B$2:$U$742,ROW()-1,MATCH(B$1,'包络曲线数据'!$B$1:$U$1,0)),""))</x:f>
      </x:c>
      <x:c r="C530" t="n">
        <x:f>IF(C$1="","",IFERROR(INDEX('包络曲线数据'!$B$2:$U$742,ROW()-1,MATCH(C$1,'包络曲线数据'!$B$1:$U$1,0)),""))</x:f>
        <x:v>74.34435995651063</x:v>
      </x:c>
      <x:c r="D530" t="str">
        <x:f>IF(D$1="","",IFERROR(INDEX('包络曲线数据'!$B$2:$U$742,ROW()-1,MATCH(D$1,'包络曲线数据'!$B$1:$U$1,0)),""))</x:f>
      </x:c>
      <x:c r="E530" t="str">
        <x:f>IF(E$1="","",IFERROR(INDEX('包络曲线数据'!$B$2:$U$742,ROW()-1,MATCH(E$1,'包络曲线数据'!$B$1:$U$1,0)),""))</x:f>
      </x:c>
      <x:c r="F530" t="str">
        <x:f>IF(F$1="","",IFERROR(INDEX('包络曲线数据'!$B$2:$U$742,ROW()-1,MATCH(F$1,'包络曲线数据'!$B$1:$U$1,0)),""))</x:f>
      </x:c>
      <x:c r="G530" t="str">
        <x:f>IF(G$1="","",IFERROR(INDEX('包络曲线数据'!$B$2:$U$742,ROW()-1,MATCH(G$1,'包络曲线数据'!$B$1:$U$1,0)),""))</x:f>
      </x:c>
    </x:row>
    <x:row r="531">
      <x:c r="A531" t="n">
        <x:v>52.900000000000006</x:v>
      </x:c>
      <x:c r="B531" t="str">
        <x:f>IF(B$1="","",IFERROR(INDEX('包络曲线数据'!$B$2:$U$742,ROW()-1,MATCH(B$1,'包络曲线数据'!$B$1:$U$1,0)),""))</x:f>
      </x:c>
      <x:c r="C531" t="n">
        <x:f>IF(C$1="","",IFERROR(INDEX('包络曲线数据'!$B$2:$U$742,ROW()-1,MATCH(C$1,'包络曲线数据'!$B$1:$U$1,0)),""))</x:f>
        <x:v>74.89263895357566</x:v>
      </x:c>
      <x:c r="D531" t="str">
        <x:f>IF(D$1="","",IFERROR(INDEX('包络曲线数据'!$B$2:$U$742,ROW()-1,MATCH(D$1,'包络曲线数据'!$B$1:$U$1,0)),""))</x:f>
      </x:c>
      <x:c r="E531" t="str">
        <x:f>IF(E$1="","",IFERROR(INDEX('包络曲线数据'!$B$2:$U$742,ROW()-1,MATCH(E$1,'包络曲线数据'!$B$1:$U$1,0)),""))</x:f>
      </x:c>
      <x:c r="F531" t="str">
        <x:f>IF(F$1="","",IFERROR(INDEX('包络曲线数据'!$B$2:$U$742,ROW()-1,MATCH(F$1,'包络曲线数据'!$B$1:$U$1,0)),""))</x:f>
      </x:c>
      <x:c r="G531" t="str">
        <x:f>IF(G$1="","",IFERROR(INDEX('包络曲线数据'!$B$2:$U$742,ROW()-1,MATCH(G$1,'包络曲线数据'!$B$1:$U$1,0)),""))</x:f>
      </x:c>
    </x:row>
    <x:row r="532">
      <x:c r="A532" t="n">
        <x:v>53</x:v>
      </x:c>
      <x:c r="B532" t="str">
        <x:f>IF(B$1="","",IFERROR(INDEX('包络曲线数据'!$B$2:$U$742,ROW()-1,MATCH(B$1,'包络曲线数据'!$B$1:$U$1,0)),""))</x:f>
      </x:c>
      <x:c r="C532" t="n">
        <x:f>IF(C$1="","",IFERROR(INDEX('包络曲线数据'!$B$2:$U$742,ROW()-1,MATCH(C$1,'包络曲线数据'!$B$1:$U$1,0)),""))</x:f>
        <x:v>75.56037888281391</x:v>
      </x:c>
      <x:c r="D532" t="str">
        <x:f>IF(D$1="","",IFERROR(INDEX('包络曲线数据'!$B$2:$U$742,ROW()-1,MATCH(D$1,'包络曲线数据'!$B$1:$U$1,0)),""))</x:f>
      </x:c>
      <x:c r="E532" t="str">
        <x:f>IF(E$1="","",IFERROR(INDEX('包络曲线数据'!$B$2:$U$742,ROW()-1,MATCH(E$1,'包络曲线数据'!$B$1:$U$1,0)),""))</x:f>
      </x:c>
      <x:c r="F532" t="str">
        <x:f>IF(F$1="","",IFERROR(INDEX('包络曲线数据'!$B$2:$U$742,ROW()-1,MATCH(F$1,'包络曲线数据'!$B$1:$U$1,0)),""))</x:f>
      </x:c>
      <x:c r="G532" t="str">
        <x:f>IF(G$1="","",IFERROR(INDEX('包络曲线数据'!$B$2:$U$742,ROW()-1,MATCH(G$1,'包络曲线数据'!$B$1:$U$1,0)),""))</x:f>
      </x:c>
    </x:row>
    <x:row r="533">
      <x:c r="A533" t="n">
        <x:v>53.1</x:v>
      </x:c>
      <x:c r="B533" t="str">
        <x:f>IF(B$1="","",IFERROR(INDEX('包络曲线数据'!$B$2:$U$742,ROW()-1,MATCH(B$1,'包络曲线数据'!$B$1:$U$1,0)),""))</x:f>
      </x:c>
      <x:c r="C533" t="n">
        <x:f>IF(C$1="","",IFERROR(INDEX('包络曲线数据'!$B$2:$U$742,ROW()-1,MATCH(C$1,'包络曲线数据'!$B$1:$U$1,0)),""))</x:f>
        <x:v>75.70641397586989</x:v>
      </x:c>
      <x:c r="D533" t="str">
        <x:f>IF(D$1="","",IFERROR(INDEX('包络曲线数据'!$B$2:$U$742,ROW()-1,MATCH(D$1,'包络曲线数据'!$B$1:$U$1,0)),""))</x:f>
      </x:c>
      <x:c r="E533" t="str">
        <x:f>IF(E$1="","",IFERROR(INDEX('包络曲线数据'!$B$2:$U$742,ROW()-1,MATCH(E$1,'包络曲线数据'!$B$1:$U$1,0)),""))</x:f>
      </x:c>
      <x:c r="F533" t="str">
        <x:f>IF(F$1="","",IFERROR(INDEX('包络曲线数据'!$B$2:$U$742,ROW()-1,MATCH(F$1,'包络曲线数据'!$B$1:$U$1,0)),""))</x:f>
      </x:c>
      <x:c r="G533" t="str">
        <x:f>IF(G$1="","",IFERROR(INDEX('包络曲线数据'!$B$2:$U$742,ROW()-1,MATCH(G$1,'包络曲线数据'!$B$1:$U$1,0)),""))</x:f>
      </x:c>
    </x:row>
    <x:row r="534">
      <x:c r="A534" t="n">
        <x:v>53.2</x:v>
      </x:c>
      <x:c r="B534" t="str">
        <x:f>IF(B$1="","",IFERROR(INDEX('包络曲线数据'!$B$2:$U$742,ROW()-1,MATCH(B$1,'包络曲线数据'!$B$1:$U$1,0)),""))</x:f>
      </x:c>
      <x:c r="C534" t="n">
        <x:f>IF(C$1="","",IFERROR(INDEX('包络曲线数据'!$B$2:$U$742,ROW()-1,MATCH(C$1,'包络曲线数据'!$B$1:$U$1,0)),""))</x:f>
        <x:v>75.67622558614296</x:v>
      </x:c>
      <x:c r="D534" t="str">
        <x:f>IF(D$1="","",IFERROR(INDEX('包络曲线数据'!$B$2:$U$742,ROW()-1,MATCH(D$1,'包络曲线数据'!$B$1:$U$1,0)),""))</x:f>
      </x:c>
      <x:c r="E534" t="str">
        <x:f>IF(E$1="","",IFERROR(INDEX('包络曲线数据'!$B$2:$U$742,ROW()-1,MATCH(E$1,'包络曲线数据'!$B$1:$U$1,0)),""))</x:f>
      </x:c>
      <x:c r="F534" t="str">
        <x:f>IF(F$1="","",IFERROR(INDEX('包络曲线数据'!$B$2:$U$742,ROW()-1,MATCH(F$1,'包络曲线数据'!$B$1:$U$1,0)),""))</x:f>
      </x:c>
      <x:c r="G534" t="str">
        <x:f>IF(G$1="","",IFERROR(INDEX('包络曲线数据'!$B$2:$U$742,ROW()-1,MATCH(G$1,'包络曲线数据'!$B$1:$U$1,0)),""))</x:f>
      </x:c>
    </x:row>
    <x:row r="535">
      <x:c r="A535" t="n">
        <x:v>53.300000000000004</x:v>
      </x:c>
      <x:c r="B535" t="str">
        <x:f>IF(B$1="","",IFERROR(INDEX('包络曲线数据'!$B$2:$U$742,ROW()-1,MATCH(B$1,'包络曲线数据'!$B$1:$U$1,0)),""))</x:f>
      </x:c>
      <x:c r="C535" t="n">
        <x:f>IF(C$1="","",IFERROR(INDEX('包络曲线数据'!$B$2:$U$742,ROW()-1,MATCH(C$1,'包络曲线数据'!$B$1:$U$1,0)),""))</x:f>
        <x:v>77.00468021481592</x:v>
      </x:c>
      <x:c r="D535" t="str">
        <x:f>IF(D$1="","",IFERROR(INDEX('包络曲线数据'!$B$2:$U$742,ROW()-1,MATCH(D$1,'包络曲线数据'!$B$1:$U$1,0)),""))</x:f>
      </x:c>
      <x:c r="E535" t="str">
        <x:f>IF(E$1="","",IFERROR(INDEX('包络曲线数据'!$B$2:$U$742,ROW()-1,MATCH(E$1,'包络曲线数据'!$B$1:$U$1,0)),""))</x:f>
      </x:c>
      <x:c r="F535" t="str">
        <x:f>IF(F$1="","",IFERROR(INDEX('包络曲线数据'!$B$2:$U$742,ROW()-1,MATCH(F$1,'包络曲线数据'!$B$1:$U$1,0)),""))</x:f>
      </x:c>
      <x:c r="G535" t="str">
        <x:f>IF(G$1="","",IFERROR(INDEX('包络曲线数据'!$B$2:$U$742,ROW()-1,MATCH(G$1,'包络曲线数据'!$B$1:$U$1,0)),""))</x:f>
      </x:c>
    </x:row>
    <x:row r="536">
      <x:c r="A536" t="n">
        <x:v>53.400000000000006</x:v>
      </x:c>
      <x:c r="B536" t="str">
        <x:f>IF(B$1="","",IFERROR(INDEX('包络曲线数据'!$B$2:$U$742,ROW()-1,MATCH(B$1,'包络曲线数据'!$B$1:$U$1,0)),""))</x:f>
      </x:c>
      <x:c r="C536" t="n">
        <x:f>IF(C$1="","",IFERROR(INDEX('包络曲线数据'!$B$2:$U$742,ROW()-1,MATCH(C$1,'包络曲线数据'!$B$1:$U$1,0)),""))</x:f>
        <x:v>77.00468021481592</x:v>
      </x:c>
      <x:c r="D536" t="str">
        <x:f>IF(D$1="","",IFERROR(INDEX('包络曲线数据'!$B$2:$U$742,ROW()-1,MATCH(D$1,'包络曲线数据'!$B$1:$U$1,0)),""))</x:f>
      </x:c>
      <x:c r="E536" t="str">
        <x:f>IF(E$1="","",IFERROR(INDEX('包络曲线数据'!$B$2:$U$742,ROW()-1,MATCH(E$1,'包络曲线数据'!$B$1:$U$1,0)),""))</x:f>
      </x:c>
      <x:c r="F536" t="str">
        <x:f>IF(F$1="","",IFERROR(INDEX('包络曲线数据'!$B$2:$U$742,ROW()-1,MATCH(F$1,'包络曲线数据'!$B$1:$U$1,0)),""))</x:f>
      </x:c>
      <x:c r="G536" t="str">
        <x:f>IF(G$1="","",IFERROR(INDEX('包络曲线数据'!$B$2:$U$742,ROW()-1,MATCH(G$1,'包络曲线数据'!$B$1:$U$1,0)),""))</x:f>
      </x:c>
    </x:row>
    <x:row r="537">
      <x:c r="A537" t="n">
        <x:v>53.5</x:v>
      </x:c>
      <x:c r="B537" t="str">
        <x:f>IF(B$1="","",IFERROR(INDEX('包络曲线数据'!$B$2:$U$742,ROW()-1,MATCH(B$1,'包络曲线数据'!$B$1:$U$1,0)),""))</x:f>
      </x:c>
      <x:c r="C537" t="n">
        <x:f>IF(C$1="","",IFERROR(INDEX('包络曲线数据'!$B$2:$U$742,ROW()-1,MATCH(C$1,'包络曲线数据'!$B$1:$U$1,0)),""))</x:f>
        <x:v>76.7399965691661</x:v>
      </x:c>
      <x:c r="D537" t="str">
        <x:f>IF(D$1="","",IFERROR(INDEX('包络曲线数据'!$B$2:$U$742,ROW()-1,MATCH(D$1,'包络曲线数据'!$B$1:$U$1,0)),""))</x:f>
      </x:c>
      <x:c r="E537" t="str">
        <x:f>IF(E$1="","",IFERROR(INDEX('包络曲线数据'!$B$2:$U$742,ROW()-1,MATCH(E$1,'包络曲线数据'!$B$1:$U$1,0)),""))</x:f>
      </x:c>
      <x:c r="F537" t="str">
        <x:f>IF(F$1="","",IFERROR(INDEX('包络曲线数据'!$B$2:$U$742,ROW()-1,MATCH(F$1,'包络曲线数据'!$B$1:$U$1,0)),""))</x:f>
      </x:c>
      <x:c r="G537" t="str">
        <x:f>IF(G$1="","",IFERROR(INDEX('包络曲线数据'!$B$2:$U$742,ROW()-1,MATCH(G$1,'包络曲线数据'!$B$1:$U$1,0)),""))</x:f>
      </x:c>
    </x:row>
    <x:row r="538">
      <x:c r="A538" t="n">
        <x:v>53.6</x:v>
      </x:c>
      <x:c r="B538" t="str">
        <x:f>IF(B$1="","",IFERROR(INDEX('包络曲线数据'!$B$2:$U$742,ROW()-1,MATCH(B$1,'包络曲线数据'!$B$1:$U$1,0)),""))</x:f>
      </x:c>
      <x:c r="C538" t="n">
        <x:f>IF(C$1="","",IFERROR(INDEX('包络曲线数据'!$B$2:$U$742,ROW()-1,MATCH(C$1,'包络曲线数据'!$B$1:$U$1,0)),""))</x:f>
        <x:v>76.66072270367783</x:v>
      </x:c>
      <x:c r="D538" t="str">
        <x:f>IF(D$1="","",IFERROR(INDEX('包络曲线数据'!$B$2:$U$742,ROW()-1,MATCH(D$1,'包络曲线数据'!$B$1:$U$1,0)),""))</x:f>
      </x:c>
      <x:c r="E538" t="str">
        <x:f>IF(E$1="","",IFERROR(INDEX('包络曲线数据'!$B$2:$U$742,ROW()-1,MATCH(E$1,'包络曲线数据'!$B$1:$U$1,0)),""))</x:f>
      </x:c>
      <x:c r="F538" t="str">
        <x:f>IF(F$1="","",IFERROR(INDEX('包络曲线数据'!$B$2:$U$742,ROW()-1,MATCH(F$1,'包络曲线数据'!$B$1:$U$1,0)),""))</x:f>
      </x:c>
      <x:c r="G538" t="str">
        <x:f>IF(G$1="","",IFERROR(INDEX('包络曲线数据'!$B$2:$U$742,ROW()-1,MATCH(G$1,'包络曲线数据'!$B$1:$U$1,0)),""))</x:f>
      </x:c>
    </x:row>
    <x:row r="539">
      <x:c r="A539" t="n">
        <x:v>53.7</x:v>
      </x:c>
      <x:c r="B539" t="str">
        <x:f>IF(B$1="","",IFERROR(INDEX('包络曲线数据'!$B$2:$U$742,ROW()-1,MATCH(B$1,'包络曲线数据'!$B$1:$U$1,0)),""))</x:f>
      </x:c>
      <x:c r="C539" t="n">
        <x:f>IF(C$1="","",IFERROR(INDEX('包络曲线数据'!$B$2:$U$742,ROW()-1,MATCH(C$1,'包络曲线数据'!$B$1:$U$1,0)),""))</x:f>
        <x:v>76.66072270367783</x:v>
      </x:c>
      <x:c r="D539" t="str">
        <x:f>IF(D$1="","",IFERROR(INDEX('包络曲线数据'!$B$2:$U$742,ROW()-1,MATCH(D$1,'包络曲线数据'!$B$1:$U$1,0)),""))</x:f>
      </x:c>
      <x:c r="E539" t="str">
        <x:f>IF(E$1="","",IFERROR(INDEX('包络曲线数据'!$B$2:$U$742,ROW()-1,MATCH(E$1,'包络曲线数据'!$B$1:$U$1,0)),""))</x:f>
      </x:c>
      <x:c r="F539" t="str">
        <x:f>IF(F$1="","",IFERROR(INDEX('包络曲线数据'!$B$2:$U$742,ROW()-1,MATCH(F$1,'包络曲线数据'!$B$1:$U$1,0)),""))</x:f>
      </x:c>
      <x:c r="G539" t="str">
        <x:f>IF(G$1="","",IFERROR(INDEX('包络曲线数据'!$B$2:$U$742,ROW()-1,MATCH(G$1,'包络曲线数据'!$B$1:$U$1,0)),""))</x:f>
      </x:c>
    </x:row>
    <x:row r="540">
      <x:c r="A540" t="n">
        <x:v>53.800000000000004</x:v>
      </x:c>
      <x:c r="B540" t="str">
        <x:f>IF(B$1="","",IFERROR(INDEX('包络曲线数据'!$B$2:$U$742,ROW()-1,MATCH(B$1,'包络曲线数据'!$B$1:$U$1,0)),""))</x:f>
      </x:c>
      <x:c r="C540" t="n">
        <x:f>IF(C$1="","",IFERROR(INDEX('包络曲线数据'!$B$2:$U$742,ROW()-1,MATCH(C$1,'包络曲线数据'!$B$1:$U$1,0)),""))</x:f>
        <x:v>75.44085607509444</x:v>
      </x:c>
      <x:c r="D540" t="str">
        <x:f>IF(D$1="","",IFERROR(INDEX('包络曲线数据'!$B$2:$U$742,ROW()-1,MATCH(D$1,'包络曲线数据'!$B$1:$U$1,0)),""))</x:f>
      </x:c>
      <x:c r="E540" t="str">
        <x:f>IF(E$1="","",IFERROR(INDEX('包络曲线数据'!$B$2:$U$742,ROW()-1,MATCH(E$1,'包络曲线数据'!$B$1:$U$1,0)),""))</x:f>
      </x:c>
      <x:c r="F540" t="str">
        <x:f>IF(F$1="","",IFERROR(INDEX('包络曲线数据'!$B$2:$U$742,ROW()-1,MATCH(F$1,'包络曲线数据'!$B$1:$U$1,0)),""))</x:f>
      </x:c>
      <x:c r="G540" t="str">
        <x:f>IF(G$1="","",IFERROR(INDEX('包络曲线数据'!$B$2:$U$742,ROW()-1,MATCH(G$1,'包络曲线数据'!$B$1:$U$1,0)),""))</x:f>
      </x:c>
    </x:row>
    <x:row r="541">
      <x:c r="A541" t="n">
        <x:v>53.900000000000006</x:v>
      </x:c>
      <x:c r="B541" t="str">
        <x:f>IF(B$1="","",IFERROR(INDEX('包络曲线数据'!$B$2:$U$742,ROW()-1,MATCH(B$1,'包络曲线数据'!$B$1:$U$1,0)),""))</x:f>
      </x:c>
      <x:c r="C541" t="n">
        <x:f>IF(C$1="","",IFERROR(INDEX('包络曲线数据'!$B$2:$U$742,ROW()-1,MATCH(C$1,'包络曲线数据'!$B$1:$U$1,0)),""))</x:f>
        <x:v>93.0725738915998</x:v>
      </x:c>
      <x:c r="D541" t="str">
        <x:f>IF(D$1="","",IFERROR(INDEX('包络曲线数据'!$B$2:$U$742,ROW()-1,MATCH(D$1,'包络曲线数据'!$B$1:$U$1,0)),""))</x:f>
      </x:c>
      <x:c r="E541" t="str">
        <x:f>IF(E$1="","",IFERROR(INDEX('包络曲线数据'!$B$2:$U$742,ROW()-1,MATCH(E$1,'包络曲线数据'!$B$1:$U$1,0)),""))</x:f>
      </x:c>
      <x:c r="F541" t="str">
        <x:f>IF(F$1="","",IFERROR(INDEX('包络曲线数据'!$B$2:$U$742,ROW()-1,MATCH(F$1,'包络曲线数据'!$B$1:$U$1,0)),""))</x:f>
      </x:c>
      <x:c r="G541" t="str">
        <x:f>IF(G$1="","",IFERROR(INDEX('包络曲线数据'!$B$2:$U$742,ROW()-1,MATCH(G$1,'包络曲线数据'!$B$1:$U$1,0)),""))</x:f>
      </x:c>
    </x:row>
    <x:row r="542">
      <x:c r="A542" t="n">
        <x:v>54</x:v>
      </x:c>
      <x:c r="B542" t="str">
        <x:f>IF(B$1="","",IFERROR(INDEX('包络曲线数据'!$B$2:$U$742,ROW()-1,MATCH(B$1,'包络曲线数据'!$B$1:$U$1,0)),""))</x:f>
      </x:c>
      <x:c r="C542" t="n">
        <x:f>IF(C$1="","",IFERROR(INDEX('包络曲线数据'!$B$2:$U$742,ROW()-1,MATCH(C$1,'包络曲线数据'!$B$1:$U$1,0)),""))</x:f>
        <x:v>93.0725738915998</x:v>
      </x:c>
      <x:c r="D542" t="str">
        <x:f>IF(D$1="","",IFERROR(INDEX('包络曲线数据'!$B$2:$U$742,ROW()-1,MATCH(D$1,'包络曲线数据'!$B$1:$U$1,0)),""))</x:f>
      </x:c>
      <x:c r="E542" t="str">
        <x:f>IF(E$1="","",IFERROR(INDEX('包络曲线数据'!$B$2:$U$742,ROW()-1,MATCH(E$1,'包络曲线数据'!$B$1:$U$1,0)),""))</x:f>
      </x:c>
      <x:c r="F542" t="str">
        <x:f>IF(F$1="","",IFERROR(INDEX('包络曲线数据'!$B$2:$U$742,ROW()-1,MATCH(F$1,'包络曲线数据'!$B$1:$U$1,0)),""))</x:f>
      </x:c>
      <x:c r="G542" t="str">
        <x:f>IF(G$1="","",IFERROR(INDEX('包络曲线数据'!$B$2:$U$742,ROW()-1,MATCH(G$1,'包络曲线数据'!$B$1:$U$1,0)),""))</x:f>
      </x:c>
    </x:row>
    <x:row r="543">
      <x:c r="A543" t="n">
        <x:v>54.1</x:v>
      </x:c>
      <x:c r="B543" t="str">
        <x:f>IF(B$1="","",IFERROR(INDEX('包络曲线数据'!$B$2:$U$742,ROW()-1,MATCH(B$1,'包络曲线数据'!$B$1:$U$1,0)),""))</x:f>
      </x:c>
      <x:c r="C543" t="n">
        <x:f>IF(C$1="","",IFERROR(INDEX('包络曲线数据'!$B$2:$U$742,ROW()-1,MATCH(C$1,'包络曲线数据'!$B$1:$U$1,0)),""))</x:f>
        <x:v>86.8541384209511</x:v>
      </x:c>
      <x:c r="D543" t="str">
        <x:f>IF(D$1="","",IFERROR(INDEX('包络曲线数据'!$B$2:$U$742,ROW()-1,MATCH(D$1,'包络曲线数据'!$B$1:$U$1,0)),""))</x:f>
      </x:c>
      <x:c r="E543" t="str">
        <x:f>IF(E$1="","",IFERROR(INDEX('包络曲线数据'!$B$2:$U$742,ROW()-1,MATCH(E$1,'包络曲线数据'!$B$1:$U$1,0)),""))</x:f>
      </x:c>
      <x:c r="F543" t="str">
        <x:f>IF(F$1="","",IFERROR(INDEX('包络曲线数据'!$B$2:$U$742,ROW()-1,MATCH(F$1,'包络曲线数据'!$B$1:$U$1,0)),""))</x:f>
      </x:c>
      <x:c r="G543" t="str">
        <x:f>IF(G$1="","",IFERROR(INDEX('包络曲线数据'!$B$2:$U$742,ROW()-1,MATCH(G$1,'包络曲线数据'!$B$1:$U$1,0)),""))</x:f>
      </x:c>
    </x:row>
    <x:row r="544">
      <x:c r="A544" t="n">
        <x:v>54.2</x:v>
      </x:c>
      <x:c r="B544" t="str">
        <x:f>IF(B$1="","",IFERROR(INDEX('包络曲线数据'!$B$2:$U$742,ROW()-1,MATCH(B$1,'包络曲线数据'!$B$1:$U$1,0)),""))</x:f>
      </x:c>
      <x:c r="C544" t="n">
        <x:f>IF(C$1="","",IFERROR(INDEX('包络曲线数据'!$B$2:$U$742,ROW()-1,MATCH(C$1,'包络曲线数据'!$B$1:$U$1,0)),""))</x:f>
        <x:v>80.15119415234527</x:v>
      </x:c>
      <x:c r="D544" t="str">
        <x:f>IF(D$1="","",IFERROR(INDEX('包络曲线数据'!$B$2:$U$742,ROW()-1,MATCH(D$1,'包络曲线数据'!$B$1:$U$1,0)),""))</x:f>
      </x:c>
      <x:c r="E544" t="str">
        <x:f>IF(E$1="","",IFERROR(INDEX('包络曲线数据'!$B$2:$U$742,ROW()-1,MATCH(E$1,'包络曲线数据'!$B$1:$U$1,0)),""))</x:f>
      </x:c>
      <x:c r="F544" t="str">
        <x:f>IF(F$1="","",IFERROR(INDEX('包络曲线数据'!$B$2:$U$742,ROW()-1,MATCH(F$1,'包络曲线数据'!$B$1:$U$1,0)),""))</x:f>
      </x:c>
      <x:c r="G544" t="str">
        <x:f>IF(G$1="","",IFERROR(INDEX('包络曲线数据'!$B$2:$U$742,ROW()-1,MATCH(G$1,'包络曲线数据'!$B$1:$U$1,0)),""))</x:f>
      </x:c>
    </x:row>
    <x:row r="545">
      <x:c r="A545" t="n">
        <x:v>54.300000000000004</x:v>
      </x:c>
      <x:c r="B545" t="str">
        <x:f>IF(B$1="","",IFERROR(INDEX('包络曲线数据'!$B$2:$U$742,ROW()-1,MATCH(B$1,'包络曲线数据'!$B$1:$U$1,0)),""))</x:f>
      </x:c>
      <x:c r="C545" t="n">
        <x:f>IF(C$1="","",IFERROR(INDEX('包络曲线数据'!$B$2:$U$742,ROW()-1,MATCH(C$1,'包络曲线数据'!$B$1:$U$1,0)),""))</x:f>
        <x:v>77.02420286236412</x:v>
      </x:c>
      <x:c r="D545" t="str">
        <x:f>IF(D$1="","",IFERROR(INDEX('包络曲线数据'!$B$2:$U$742,ROW()-1,MATCH(D$1,'包络曲线数据'!$B$1:$U$1,0)),""))</x:f>
      </x:c>
      <x:c r="E545" t="str">
        <x:f>IF(E$1="","",IFERROR(INDEX('包络曲线数据'!$B$2:$U$742,ROW()-1,MATCH(E$1,'包络曲线数据'!$B$1:$U$1,0)),""))</x:f>
      </x:c>
      <x:c r="F545" t="str">
        <x:f>IF(F$1="","",IFERROR(INDEX('包络曲线数据'!$B$2:$U$742,ROW()-1,MATCH(F$1,'包络曲线数据'!$B$1:$U$1,0)),""))</x:f>
      </x:c>
      <x:c r="G545" t="str">
        <x:f>IF(G$1="","",IFERROR(INDEX('包络曲线数据'!$B$2:$U$742,ROW()-1,MATCH(G$1,'包络曲线数据'!$B$1:$U$1,0)),""))</x:f>
      </x:c>
    </x:row>
    <x:row r="546">
      <x:c r="A546" t="n">
        <x:v>54.400000000000006</x:v>
      </x:c>
      <x:c r="B546" t="str">
        <x:f>IF(B$1="","",IFERROR(INDEX('包络曲线数据'!$B$2:$U$742,ROW()-1,MATCH(B$1,'包络曲线数据'!$B$1:$U$1,0)),""))</x:f>
      </x:c>
      <x:c r="C546" t="n">
        <x:f>IF(C$1="","",IFERROR(INDEX('包络曲线数据'!$B$2:$U$742,ROW()-1,MATCH(C$1,'包络曲线数据'!$B$1:$U$1,0)),""))</x:f>
        <x:v>77.02420286236395</x:v>
      </x:c>
      <x:c r="D546" t="str">
        <x:f>IF(D$1="","",IFERROR(INDEX('包络曲线数据'!$B$2:$U$742,ROW()-1,MATCH(D$1,'包络曲线数据'!$B$1:$U$1,0)),""))</x:f>
      </x:c>
      <x:c r="E546" t="str">
        <x:f>IF(E$1="","",IFERROR(INDEX('包络曲线数据'!$B$2:$U$742,ROW()-1,MATCH(E$1,'包络曲线数据'!$B$1:$U$1,0)),""))</x:f>
      </x:c>
      <x:c r="F546" t="str">
        <x:f>IF(F$1="","",IFERROR(INDEX('包络曲线数据'!$B$2:$U$742,ROW()-1,MATCH(F$1,'包络曲线数据'!$B$1:$U$1,0)),""))</x:f>
      </x:c>
      <x:c r="G546" t="str">
        <x:f>IF(G$1="","",IFERROR(INDEX('包络曲线数据'!$B$2:$U$742,ROW()-1,MATCH(G$1,'包络曲线数据'!$B$1:$U$1,0)),""))</x:f>
      </x:c>
    </x:row>
    <x:row r="547">
      <x:c r="A547" t="n">
        <x:v>54.5</x:v>
      </x:c>
      <x:c r="B547" t="str">
        <x:f>IF(B$1="","",IFERROR(INDEX('包络曲线数据'!$B$2:$U$742,ROW()-1,MATCH(B$1,'包络曲线数据'!$B$1:$U$1,0)),""))</x:f>
      </x:c>
      <x:c r="C547" t="n">
        <x:f>IF(C$1="","",IFERROR(INDEX('包络曲线数据'!$B$2:$U$742,ROW()-1,MATCH(C$1,'包络曲线数据'!$B$1:$U$1,0)),""))</x:f>
        <x:v>73.14947042836053</x:v>
      </x:c>
      <x:c r="D547" t="str">
        <x:f>IF(D$1="","",IFERROR(INDEX('包络曲线数据'!$B$2:$U$742,ROW()-1,MATCH(D$1,'包络曲线数据'!$B$1:$U$1,0)),""))</x:f>
      </x:c>
      <x:c r="E547" t="str">
        <x:f>IF(E$1="","",IFERROR(INDEX('包络曲线数据'!$B$2:$U$742,ROW()-1,MATCH(E$1,'包络曲线数据'!$B$1:$U$1,0)),""))</x:f>
      </x:c>
      <x:c r="F547" t="str">
        <x:f>IF(F$1="","",IFERROR(INDEX('包络曲线数据'!$B$2:$U$742,ROW()-1,MATCH(F$1,'包络曲线数据'!$B$1:$U$1,0)),""))</x:f>
      </x:c>
      <x:c r="G547" t="str">
        <x:f>IF(G$1="","",IFERROR(INDEX('包络曲线数据'!$B$2:$U$742,ROW()-1,MATCH(G$1,'包络曲线数据'!$B$1:$U$1,0)),""))</x:f>
      </x:c>
    </x:row>
    <x:row r="548">
      <x:c r="A548" t="n">
        <x:v>54.6</x:v>
      </x:c>
      <x:c r="B548" t="str">
        <x:f>IF(B$1="","",IFERROR(INDEX('包络曲线数据'!$B$2:$U$742,ROW()-1,MATCH(B$1,'包络曲线数据'!$B$1:$U$1,0)),""))</x:f>
      </x:c>
      <x:c r="C548" t="n">
        <x:f>IF(C$1="","",IFERROR(INDEX('包络曲线数据'!$B$2:$U$742,ROW()-1,MATCH(C$1,'包络曲线数据'!$B$1:$U$1,0)),""))</x:f>
        <x:v>72.73137178836477</x:v>
      </x:c>
      <x:c r="D548" t="str">
        <x:f>IF(D$1="","",IFERROR(INDEX('包络曲线数据'!$B$2:$U$742,ROW()-1,MATCH(D$1,'包络曲线数据'!$B$1:$U$1,0)),""))</x:f>
      </x:c>
      <x:c r="E548" t="str">
        <x:f>IF(E$1="","",IFERROR(INDEX('包络曲线数据'!$B$2:$U$742,ROW()-1,MATCH(E$1,'包络曲线数据'!$B$1:$U$1,0)),""))</x:f>
      </x:c>
      <x:c r="F548" t="str">
        <x:f>IF(F$1="","",IFERROR(INDEX('包络曲线数据'!$B$2:$U$742,ROW()-1,MATCH(F$1,'包络曲线数据'!$B$1:$U$1,0)),""))</x:f>
      </x:c>
      <x:c r="G548" t="str">
        <x:f>IF(G$1="","",IFERROR(INDEX('包络曲线数据'!$B$2:$U$742,ROW()-1,MATCH(G$1,'包络曲线数据'!$B$1:$U$1,0)),""))</x:f>
      </x:c>
    </x:row>
    <x:row r="549">
      <x:c r="A549" t="n">
        <x:v>54.7</x:v>
      </x:c>
      <x:c r="B549" t="str">
        <x:f>IF(B$1="","",IFERROR(INDEX('包络曲线数据'!$B$2:$U$742,ROW()-1,MATCH(B$1,'包络曲线数据'!$B$1:$U$1,0)),""))</x:f>
      </x:c>
      <x:c r="C549" t="n">
        <x:f>IF(C$1="","",IFERROR(INDEX('包络曲线数据'!$B$2:$U$742,ROW()-1,MATCH(C$1,'包络曲线数据'!$B$1:$U$1,0)),""))</x:f>
        <x:v>75.88888294696426</x:v>
      </x:c>
      <x:c r="D549" t="str">
        <x:f>IF(D$1="","",IFERROR(INDEX('包络曲线数据'!$B$2:$U$742,ROW()-1,MATCH(D$1,'包络曲线数据'!$B$1:$U$1,0)),""))</x:f>
      </x:c>
      <x:c r="E549" t="str">
        <x:f>IF(E$1="","",IFERROR(INDEX('包络曲线数据'!$B$2:$U$742,ROW()-1,MATCH(E$1,'包络曲线数据'!$B$1:$U$1,0)),""))</x:f>
      </x:c>
      <x:c r="F549" t="str">
        <x:f>IF(F$1="","",IFERROR(INDEX('包络曲线数据'!$B$2:$U$742,ROW()-1,MATCH(F$1,'包络曲线数据'!$B$1:$U$1,0)),""))</x:f>
      </x:c>
      <x:c r="G549" t="str">
        <x:f>IF(G$1="","",IFERROR(INDEX('包络曲线数据'!$B$2:$U$742,ROW()-1,MATCH(G$1,'包络曲线数据'!$B$1:$U$1,0)),""))</x:f>
      </x:c>
    </x:row>
    <x:row r="550">
      <x:c r="A550" t="n">
        <x:v>54.800000000000004</x:v>
      </x:c>
      <x:c r="B550" t="str">
        <x:f>IF(B$1="","",IFERROR(INDEX('包络曲线数据'!$B$2:$U$742,ROW()-1,MATCH(B$1,'包络曲线数据'!$B$1:$U$1,0)),""))</x:f>
      </x:c>
      <x:c r="C550" t="n">
        <x:f>IF(C$1="","",IFERROR(INDEX('包络曲线数据'!$B$2:$U$742,ROW()-1,MATCH(C$1,'包络曲线数据'!$B$1:$U$1,0)),""))</x:f>
        <x:v>77.92849245128403</x:v>
      </x:c>
      <x:c r="D550" t="str">
        <x:f>IF(D$1="","",IFERROR(INDEX('包络曲线数据'!$B$2:$U$742,ROW()-1,MATCH(D$1,'包络曲线数据'!$B$1:$U$1,0)),""))</x:f>
      </x:c>
      <x:c r="E550" t="str">
        <x:f>IF(E$1="","",IFERROR(INDEX('包络曲线数据'!$B$2:$U$742,ROW()-1,MATCH(E$1,'包络曲线数据'!$B$1:$U$1,0)),""))</x:f>
      </x:c>
      <x:c r="F550" t="str">
        <x:f>IF(F$1="","",IFERROR(INDEX('包络曲线数据'!$B$2:$U$742,ROW()-1,MATCH(F$1,'包络曲线数据'!$B$1:$U$1,0)),""))</x:f>
      </x:c>
      <x:c r="G550" t="str">
        <x:f>IF(G$1="","",IFERROR(INDEX('包络曲线数据'!$B$2:$U$742,ROW()-1,MATCH(G$1,'包络曲线数据'!$B$1:$U$1,0)),""))</x:f>
      </x:c>
    </x:row>
    <x:row r="551">
      <x:c r="A551" t="n">
        <x:v>54.900000000000006</x:v>
      </x:c>
      <x:c r="B551" t="str">
        <x:f>IF(B$1="","",IFERROR(INDEX('包络曲线数据'!$B$2:$U$742,ROW()-1,MATCH(B$1,'包络曲线数据'!$B$1:$U$1,0)),""))</x:f>
      </x:c>
      <x:c r="C551" t="n">
        <x:f>IF(C$1="","",IFERROR(INDEX('包络曲线数据'!$B$2:$U$742,ROW()-1,MATCH(C$1,'包络曲线数据'!$B$1:$U$1,0)),""))</x:f>
        <x:v>77.9284924512832</x:v>
      </x:c>
      <x:c r="D551" t="str">
        <x:f>IF(D$1="","",IFERROR(INDEX('包络曲线数据'!$B$2:$U$742,ROW()-1,MATCH(D$1,'包络曲线数据'!$B$1:$U$1,0)),""))</x:f>
      </x:c>
      <x:c r="E551" t="str">
        <x:f>IF(E$1="","",IFERROR(INDEX('包络曲线数据'!$B$2:$U$742,ROW()-1,MATCH(E$1,'包络曲线数据'!$B$1:$U$1,0)),""))</x:f>
      </x:c>
      <x:c r="F551" t="str">
        <x:f>IF(F$1="","",IFERROR(INDEX('包络曲线数据'!$B$2:$U$742,ROW()-1,MATCH(F$1,'包络曲线数据'!$B$1:$U$1,0)),""))</x:f>
      </x:c>
      <x:c r="G551" t="str">
        <x:f>IF(G$1="","",IFERROR(INDEX('包络曲线数据'!$B$2:$U$742,ROW()-1,MATCH(G$1,'包络曲线数据'!$B$1:$U$1,0)),""))</x:f>
      </x:c>
    </x:row>
    <x:row r="552">
      <x:c r="A552" t="n">
        <x:v>55</x:v>
      </x:c>
      <x:c r="B552" t="str">
        <x:f>IF(B$1="","",IFERROR(INDEX('包络曲线数据'!$B$2:$U$742,ROW()-1,MATCH(B$1,'包络曲线数据'!$B$1:$U$1,0)),""))</x:f>
      </x:c>
      <x:c r="C552" t="n">
        <x:f>IF(C$1="","",IFERROR(INDEX('包络曲线数据'!$B$2:$U$742,ROW()-1,MATCH(C$1,'包络曲线数据'!$B$1:$U$1,0)),""))</x:f>
        <x:v>50</x:v>
      </x:c>
      <x:c r="D552" t="str">
        <x:f>IF(D$1="","",IFERROR(INDEX('包络曲线数据'!$B$2:$U$742,ROW()-1,MATCH(D$1,'包络曲线数据'!$B$1:$U$1,0)),""))</x:f>
      </x:c>
      <x:c r="E552" t="str">
        <x:f>IF(E$1="","",IFERROR(INDEX('包络曲线数据'!$B$2:$U$742,ROW()-1,MATCH(E$1,'包络曲线数据'!$B$1:$U$1,0)),""))</x:f>
      </x:c>
      <x:c r="F552" t="str">
        <x:f>IF(F$1="","",IFERROR(INDEX('包络曲线数据'!$B$2:$U$742,ROW()-1,MATCH(F$1,'包络曲线数据'!$B$1:$U$1,0)),""))</x:f>
      </x:c>
      <x:c r="G552" t="str">
        <x:f>IF(G$1="","",IFERROR(INDEX('包络曲线数据'!$B$2:$U$742,ROW()-1,MATCH(G$1,'包络曲线数据'!$B$1:$U$1,0)),""))</x:f>
      </x:c>
    </x:row>
    <x:row r="553">
      <x:c r="A553" t="n">
        <x:v>55.1</x:v>
      </x:c>
      <x:c r="B553" t="str">
        <x:f>IF(B$1="","",IFERROR(INDEX('包络曲线数据'!$B$2:$U$742,ROW()-1,MATCH(B$1,'包络曲线数据'!$B$1:$U$1,0)),""))</x:f>
      </x:c>
      <x:c r="C553" t="n">
        <x:f>IF(C$1="","",IFERROR(INDEX('包络曲线数据'!$B$2:$U$742,ROW()-1,MATCH(C$1,'包络曲线数据'!$B$1:$U$1,0)),""))</x:f>
        <x:v>70.46665513178701</x:v>
      </x:c>
      <x:c r="D553" t="str">
        <x:f>IF(D$1="","",IFERROR(INDEX('包络曲线数据'!$B$2:$U$742,ROW()-1,MATCH(D$1,'包络曲线数据'!$B$1:$U$1,0)),""))</x:f>
      </x:c>
      <x:c r="E553" t="str">
        <x:f>IF(E$1="","",IFERROR(INDEX('包络曲线数据'!$B$2:$U$742,ROW()-1,MATCH(E$1,'包络曲线数据'!$B$1:$U$1,0)),""))</x:f>
      </x:c>
      <x:c r="F553" t="str">
        <x:f>IF(F$1="","",IFERROR(INDEX('包络曲线数据'!$B$2:$U$742,ROW()-1,MATCH(F$1,'包络曲线数据'!$B$1:$U$1,0)),""))</x:f>
      </x:c>
      <x:c r="G553" t="str">
        <x:f>IF(G$1="","",IFERROR(INDEX('包络曲线数据'!$B$2:$U$742,ROW()-1,MATCH(G$1,'包络曲线数据'!$B$1:$U$1,0)),""))</x:f>
      </x:c>
    </x:row>
    <x:row r="554">
      <x:c r="A554" t="n">
        <x:v>55.2</x:v>
      </x:c>
      <x:c r="B554" t="str">
        <x:f>IF(B$1="","",IFERROR(INDEX('包络曲线数据'!$B$2:$U$742,ROW()-1,MATCH(B$1,'包络曲线数据'!$B$1:$U$1,0)),""))</x:f>
      </x:c>
      <x:c r="C554" t="n">
        <x:f>IF(C$1="","",IFERROR(INDEX('包络曲线数据'!$B$2:$U$742,ROW()-1,MATCH(C$1,'包络曲线数据'!$B$1:$U$1,0)),""))</x:f>
        <x:v>72.13803399590424</x:v>
      </x:c>
      <x:c r="D554" t="str">
        <x:f>IF(D$1="","",IFERROR(INDEX('包络曲线数据'!$B$2:$U$742,ROW()-1,MATCH(D$1,'包络曲线数据'!$B$1:$U$1,0)),""))</x:f>
      </x:c>
      <x:c r="E554" t="str">
        <x:f>IF(E$1="","",IFERROR(INDEX('包络曲线数据'!$B$2:$U$742,ROW()-1,MATCH(E$1,'包络曲线数据'!$B$1:$U$1,0)),""))</x:f>
      </x:c>
      <x:c r="F554" t="str">
        <x:f>IF(F$1="","",IFERROR(INDEX('包络曲线数据'!$B$2:$U$742,ROW()-1,MATCH(F$1,'包络曲线数据'!$B$1:$U$1,0)),""))</x:f>
      </x:c>
      <x:c r="G554" t="str">
        <x:f>IF(G$1="","",IFERROR(INDEX('包络曲线数据'!$B$2:$U$742,ROW()-1,MATCH(G$1,'包络曲线数据'!$B$1:$U$1,0)),""))</x:f>
      </x:c>
    </x:row>
    <x:row r="555">
      <x:c r="A555" t="n">
        <x:v>55.300000000000004</x:v>
      </x:c>
      <x:c r="B555" t="str">
        <x:f>IF(B$1="","",IFERROR(INDEX('包络曲线数据'!$B$2:$U$742,ROW()-1,MATCH(B$1,'包络曲线数据'!$B$1:$U$1,0)),""))</x:f>
      </x:c>
      <x:c r="C555" t="n">
        <x:f>IF(C$1="","",IFERROR(INDEX('包络曲线数据'!$B$2:$U$742,ROW()-1,MATCH(C$1,'包络曲线数据'!$B$1:$U$1,0)),""))</x:f>
        <x:v>75.27580402903598</x:v>
      </x:c>
      <x:c r="D555" t="str">
        <x:f>IF(D$1="","",IFERROR(INDEX('包络曲线数据'!$B$2:$U$742,ROW()-1,MATCH(D$1,'包络曲线数据'!$B$1:$U$1,0)),""))</x:f>
      </x:c>
      <x:c r="E555" t="str">
        <x:f>IF(E$1="","",IFERROR(INDEX('包络曲线数据'!$B$2:$U$742,ROW()-1,MATCH(E$1,'包络曲线数据'!$B$1:$U$1,0)),""))</x:f>
      </x:c>
      <x:c r="F555" t="str">
        <x:f>IF(F$1="","",IFERROR(INDEX('包络曲线数据'!$B$2:$U$742,ROW()-1,MATCH(F$1,'包络曲线数据'!$B$1:$U$1,0)),""))</x:f>
      </x:c>
      <x:c r="G555" t="str">
        <x:f>IF(G$1="","",IFERROR(INDEX('包络曲线数据'!$B$2:$U$742,ROW()-1,MATCH(G$1,'包络曲线数据'!$B$1:$U$1,0)),""))</x:f>
      </x:c>
    </x:row>
    <x:row r="556">
      <x:c r="A556" t="n">
        <x:v>55.400000000000006</x:v>
      </x:c>
      <x:c r="B556" t="str">
        <x:f>IF(B$1="","",IFERROR(INDEX('包络曲线数据'!$B$2:$U$742,ROW()-1,MATCH(B$1,'包络曲线数据'!$B$1:$U$1,0)),""))</x:f>
      </x:c>
      <x:c r="C556" t="n">
        <x:f>IF(C$1="","",IFERROR(INDEX('包络曲线数据'!$B$2:$U$742,ROW()-1,MATCH(C$1,'包络曲线数据'!$B$1:$U$1,0)),""))</x:f>
        <x:v>75.27580402903574</x:v>
      </x:c>
      <x:c r="D556" t="str">
        <x:f>IF(D$1="","",IFERROR(INDEX('包络曲线数据'!$B$2:$U$742,ROW()-1,MATCH(D$1,'包络曲线数据'!$B$1:$U$1,0)),""))</x:f>
      </x:c>
      <x:c r="E556" t="str">
        <x:f>IF(E$1="","",IFERROR(INDEX('包络曲线数据'!$B$2:$U$742,ROW()-1,MATCH(E$1,'包络曲线数据'!$B$1:$U$1,0)),""))</x:f>
      </x:c>
      <x:c r="F556" t="str">
        <x:f>IF(F$1="","",IFERROR(INDEX('包络曲线数据'!$B$2:$U$742,ROW()-1,MATCH(F$1,'包络曲线数据'!$B$1:$U$1,0)),""))</x:f>
      </x:c>
      <x:c r="G556" t="str">
        <x:f>IF(G$1="","",IFERROR(INDEX('包络曲线数据'!$B$2:$U$742,ROW()-1,MATCH(G$1,'包络曲线数据'!$B$1:$U$1,0)),""))</x:f>
      </x:c>
    </x:row>
    <x:row r="557">
      <x:c r="A557" t="n">
        <x:v>55.5</x:v>
      </x:c>
      <x:c r="B557" t="str">
        <x:f>IF(B$1="","",IFERROR(INDEX('包络曲线数据'!$B$2:$U$742,ROW()-1,MATCH(B$1,'包络曲线数据'!$B$1:$U$1,0)),""))</x:f>
      </x:c>
      <x:c r="C557" t="n">
        <x:f>IF(C$1="","",IFERROR(INDEX('包络曲线数据'!$B$2:$U$742,ROW()-1,MATCH(C$1,'包络曲线数据'!$B$1:$U$1,0)),""))</x:f>
        <x:v>74.75094649562914</x:v>
      </x:c>
      <x:c r="D557" t="str">
        <x:f>IF(D$1="","",IFERROR(INDEX('包络曲线数据'!$B$2:$U$742,ROW()-1,MATCH(D$1,'包络曲线数据'!$B$1:$U$1,0)),""))</x:f>
      </x:c>
      <x:c r="E557" t="str">
        <x:f>IF(E$1="","",IFERROR(INDEX('包络曲线数据'!$B$2:$U$742,ROW()-1,MATCH(E$1,'包络曲线数据'!$B$1:$U$1,0)),""))</x:f>
      </x:c>
      <x:c r="F557" t="str">
        <x:f>IF(F$1="","",IFERROR(INDEX('包络曲线数据'!$B$2:$U$742,ROW()-1,MATCH(F$1,'包络曲线数据'!$B$1:$U$1,0)),""))</x:f>
      </x:c>
      <x:c r="G557" t="str">
        <x:f>IF(G$1="","",IFERROR(INDEX('包络曲线数据'!$B$2:$U$742,ROW()-1,MATCH(G$1,'包络曲线数据'!$B$1:$U$1,0)),""))</x:f>
      </x:c>
    </x:row>
    <x:row r="558">
      <x:c r="A558" t="n">
        <x:v>55.6</x:v>
      </x:c>
      <x:c r="B558" t="str">
        <x:f>IF(B$1="","",IFERROR(INDEX('包络曲线数据'!$B$2:$U$742,ROW()-1,MATCH(B$1,'包络曲线数据'!$B$1:$U$1,0)),""))</x:f>
      </x:c>
      <x:c r="C558" t="n">
        <x:f>IF(C$1="","",IFERROR(INDEX('包络曲线数据'!$B$2:$U$742,ROW()-1,MATCH(C$1,'包络曲线数据'!$B$1:$U$1,0)),""))</x:f>
        <x:v>74.75094649562914</x:v>
      </x:c>
      <x:c r="D558" t="str">
        <x:f>IF(D$1="","",IFERROR(INDEX('包络曲线数据'!$B$2:$U$742,ROW()-1,MATCH(D$1,'包络曲线数据'!$B$1:$U$1,0)),""))</x:f>
      </x:c>
      <x:c r="E558" t="str">
        <x:f>IF(E$1="","",IFERROR(INDEX('包络曲线数据'!$B$2:$U$742,ROW()-1,MATCH(E$1,'包络曲线数据'!$B$1:$U$1,0)),""))</x:f>
      </x:c>
      <x:c r="F558" t="str">
        <x:f>IF(F$1="","",IFERROR(INDEX('包络曲线数据'!$B$2:$U$742,ROW()-1,MATCH(F$1,'包络曲线数据'!$B$1:$U$1,0)),""))</x:f>
      </x:c>
      <x:c r="G558" t="str">
        <x:f>IF(G$1="","",IFERROR(INDEX('包络曲线数据'!$B$2:$U$742,ROW()-1,MATCH(G$1,'包络曲线数据'!$B$1:$U$1,0)),""))</x:f>
      </x:c>
    </x:row>
    <x:row r="559">
      <x:c r="A559" t="n">
        <x:v>55.7</x:v>
      </x:c>
      <x:c r="B559" t="str">
        <x:f>IF(B$1="","",IFERROR(INDEX('包络曲线数据'!$B$2:$U$742,ROW()-1,MATCH(B$1,'包络曲线数据'!$B$1:$U$1,0)),""))</x:f>
      </x:c>
      <x:c r="C559" t="n">
        <x:f>IF(C$1="","",IFERROR(INDEX('包络曲线数据'!$B$2:$U$742,ROW()-1,MATCH(C$1,'包络曲线数据'!$B$1:$U$1,0)),""))</x:f>
        <x:v>75.68555251384839</x:v>
      </x:c>
      <x:c r="D559" t="str">
        <x:f>IF(D$1="","",IFERROR(INDEX('包络曲线数据'!$B$2:$U$742,ROW()-1,MATCH(D$1,'包络曲线数据'!$B$1:$U$1,0)),""))</x:f>
      </x:c>
      <x:c r="E559" t="str">
        <x:f>IF(E$1="","",IFERROR(INDEX('包络曲线数据'!$B$2:$U$742,ROW()-1,MATCH(E$1,'包络曲线数据'!$B$1:$U$1,0)),""))</x:f>
      </x:c>
      <x:c r="F559" t="str">
        <x:f>IF(F$1="","",IFERROR(INDEX('包络曲线数据'!$B$2:$U$742,ROW()-1,MATCH(F$1,'包络曲线数据'!$B$1:$U$1,0)),""))</x:f>
      </x:c>
      <x:c r="G559" t="str">
        <x:f>IF(G$1="","",IFERROR(INDEX('包络曲线数据'!$B$2:$U$742,ROW()-1,MATCH(G$1,'包络曲线数据'!$B$1:$U$1,0)),""))</x:f>
      </x:c>
    </x:row>
    <x:row r="560">
      <x:c r="A560" t="n">
        <x:v>55.800000000000004</x:v>
      </x:c>
      <x:c r="B560" t="str">
        <x:f>IF(B$1="","",IFERROR(INDEX('包络曲线数据'!$B$2:$U$742,ROW()-1,MATCH(B$1,'包络曲线数据'!$B$1:$U$1,0)),""))</x:f>
      </x:c>
      <x:c r="C560" t="n">
        <x:f>IF(C$1="","",IFERROR(INDEX('包络曲线数据'!$B$2:$U$742,ROW()-1,MATCH(C$1,'包络曲线数据'!$B$1:$U$1,0)),""))</x:f>
        <x:v>76.56504309790638</x:v>
      </x:c>
      <x:c r="D560" t="str">
        <x:f>IF(D$1="","",IFERROR(INDEX('包络曲线数据'!$B$2:$U$742,ROW()-1,MATCH(D$1,'包络曲线数据'!$B$1:$U$1,0)),""))</x:f>
      </x:c>
      <x:c r="E560" t="str">
        <x:f>IF(E$1="","",IFERROR(INDEX('包络曲线数据'!$B$2:$U$742,ROW()-1,MATCH(E$1,'包络曲线数据'!$B$1:$U$1,0)),""))</x:f>
      </x:c>
      <x:c r="F560" t="str">
        <x:f>IF(F$1="","",IFERROR(INDEX('包络曲线数据'!$B$2:$U$742,ROW()-1,MATCH(F$1,'包络曲线数据'!$B$1:$U$1,0)),""))</x:f>
      </x:c>
      <x:c r="G560" t="str">
        <x:f>IF(G$1="","",IFERROR(INDEX('包络曲线数据'!$B$2:$U$742,ROW()-1,MATCH(G$1,'包络曲线数据'!$B$1:$U$1,0)),""))</x:f>
      </x:c>
    </x:row>
    <x:row r="561">
      <x:c r="A561" t="n">
        <x:v>55.900000000000006</x:v>
      </x:c>
      <x:c r="B561" t="str">
        <x:f>IF(B$1="","",IFERROR(INDEX('包络曲线数据'!$B$2:$U$742,ROW()-1,MATCH(B$1,'包络曲线数据'!$B$1:$U$1,0)),""))</x:f>
      </x:c>
      <x:c r="C561" t="n">
        <x:f>IF(C$1="","",IFERROR(INDEX('包络曲线数据'!$B$2:$U$742,ROW()-1,MATCH(C$1,'包络曲线数据'!$B$1:$U$1,0)),""))</x:f>
        <x:v>77.2849749704551</x:v>
      </x:c>
      <x:c r="D561" t="str">
        <x:f>IF(D$1="","",IFERROR(INDEX('包络曲线数据'!$B$2:$U$742,ROW()-1,MATCH(D$1,'包络曲线数据'!$B$1:$U$1,0)),""))</x:f>
      </x:c>
      <x:c r="E561" t="str">
        <x:f>IF(E$1="","",IFERROR(INDEX('包络曲线数据'!$B$2:$U$742,ROW()-1,MATCH(E$1,'包络曲线数据'!$B$1:$U$1,0)),""))</x:f>
      </x:c>
      <x:c r="F561" t="str">
        <x:f>IF(F$1="","",IFERROR(INDEX('包络曲线数据'!$B$2:$U$742,ROW()-1,MATCH(F$1,'包络曲线数据'!$B$1:$U$1,0)),""))</x:f>
      </x:c>
      <x:c r="G561" t="str">
        <x:f>IF(G$1="","",IFERROR(INDEX('包络曲线数据'!$B$2:$U$742,ROW()-1,MATCH(G$1,'包络曲线数据'!$B$1:$U$1,0)),""))</x:f>
      </x:c>
    </x:row>
    <x:row r="562">
      <x:c r="A562" t="n">
        <x:v>56</x:v>
      </x:c>
      <x:c r="B562" t="str">
        <x:f>IF(B$1="","",IFERROR(INDEX('包络曲线数据'!$B$2:$U$742,ROW()-1,MATCH(B$1,'包络曲线数据'!$B$1:$U$1,0)),""))</x:f>
      </x:c>
      <x:c r="C562" t="n">
        <x:f>IF(C$1="","",IFERROR(INDEX('包络曲线数据'!$B$2:$U$742,ROW()-1,MATCH(C$1,'包络曲线数据'!$B$1:$U$1,0)),""))</x:f>
        <x:v>77.2849749704551</x:v>
      </x:c>
      <x:c r="D562" t="str">
        <x:f>IF(D$1="","",IFERROR(INDEX('包络曲线数据'!$B$2:$U$742,ROW()-1,MATCH(D$1,'包络曲线数据'!$B$1:$U$1,0)),""))</x:f>
      </x:c>
      <x:c r="E562" t="str">
        <x:f>IF(E$1="","",IFERROR(INDEX('包络曲线数据'!$B$2:$U$742,ROW()-1,MATCH(E$1,'包络曲线数据'!$B$1:$U$1,0)),""))</x:f>
      </x:c>
      <x:c r="F562" t="str">
        <x:f>IF(F$1="","",IFERROR(INDEX('包络曲线数据'!$B$2:$U$742,ROW()-1,MATCH(F$1,'包络曲线数据'!$B$1:$U$1,0)),""))</x:f>
      </x:c>
      <x:c r="G562" t="str">
        <x:f>IF(G$1="","",IFERROR(INDEX('包络曲线数据'!$B$2:$U$742,ROW()-1,MATCH(G$1,'包络曲线数据'!$B$1:$U$1,0)),""))</x:f>
      </x:c>
    </x:row>
    <x:row r="563">
      <x:c r="A563" t="n">
        <x:v>56.1</x:v>
      </x:c>
      <x:c r="B563" t="str">
        <x:f>IF(B$1="","",IFERROR(INDEX('包络曲线数据'!$B$2:$U$742,ROW()-1,MATCH(B$1,'包络曲线数据'!$B$1:$U$1,0)),""))</x:f>
      </x:c>
      <x:c r="C563" t="n">
        <x:f>IF(C$1="","",IFERROR(INDEX('包络曲线数据'!$B$2:$U$742,ROW()-1,MATCH(C$1,'包络曲线数据'!$B$1:$U$1,0)),""))</x:f>
        <x:v>76.18173972325897</x:v>
      </x:c>
      <x:c r="D563" t="str">
        <x:f>IF(D$1="","",IFERROR(INDEX('包络曲线数据'!$B$2:$U$742,ROW()-1,MATCH(D$1,'包络曲线数据'!$B$1:$U$1,0)),""))</x:f>
      </x:c>
      <x:c r="E563" t="str">
        <x:f>IF(E$1="","",IFERROR(INDEX('包络曲线数据'!$B$2:$U$742,ROW()-1,MATCH(E$1,'包络曲线数据'!$B$1:$U$1,0)),""))</x:f>
      </x:c>
      <x:c r="F563" t="str">
        <x:f>IF(F$1="","",IFERROR(INDEX('包络曲线数据'!$B$2:$U$742,ROW()-1,MATCH(F$1,'包络曲线数据'!$B$1:$U$1,0)),""))</x:f>
      </x:c>
      <x:c r="G563" t="str">
        <x:f>IF(G$1="","",IFERROR(INDEX('包络曲线数据'!$B$2:$U$742,ROW()-1,MATCH(G$1,'包络曲线数据'!$B$1:$U$1,0)),""))</x:f>
      </x:c>
    </x:row>
    <x:row r="564">
      <x:c r="A564" t="n">
        <x:v>56.2</x:v>
      </x:c>
      <x:c r="B564" t="str">
        <x:f>IF(B$1="","",IFERROR(INDEX('包络曲线数据'!$B$2:$U$742,ROW()-1,MATCH(B$1,'包络曲线数据'!$B$1:$U$1,0)),""))</x:f>
      </x:c>
      <x:c r="C564" t="n">
        <x:f>IF(C$1="","",IFERROR(INDEX('包络曲线数据'!$B$2:$U$742,ROW()-1,MATCH(C$1,'包络曲线数据'!$B$1:$U$1,0)),""))</x:f>
        <x:v>85.17921154994255</x:v>
      </x:c>
      <x:c r="D564" t="str">
        <x:f>IF(D$1="","",IFERROR(INDEX('包络曲线数据'!$B$2:$U$742,ROW()-1,MATCH(D$1,'包络曲线数据'!$B$1:$U$1,0)),""))</x:f>
      </x:c>
      <x:c r="E564" t="str">
        <x:f>IF(E$1="","",IFERROR(INDEX('包络曲线数据'!$B$2:$U$742,ROW()-1,MATCH(E$1,'包络曲线数据'!$B$1:$U$1,0)),""))</x:f>
      </x:c>
      <x:c r="F564" t="str">
        <x:f>IF(F$1="","",IFERROR(INDEX('包络曲线数据'!$B$2:$U$742,ROW()-1,MATCH(F$1,'包络曲线数据'!$B$1:$U$1,0)),""))</x:f>
      </x:c>
      <x:c r="G564" t="str">
        <x:f>IF(G$1="","",IFERROR(INDEX('包络曲线数据'!$B$2:$U$742,ROW()-1,MATCH(G$1,'包络曲线数据'!$B$1:$U$1,0)),""))</x:f>
      </x:c>
    </x:row>
    <x:row r="565">
      <x:c r="A565" t="n">
        <x:v>56.300000000000004</x:v>
      </x:c>
      <x:c r="B565" t="str">
        <x:f>IF(B$1="","",IFERROR(INDEX('包络曲线数据'!$B$2:$U$742,ROW()-1,MATCH(B$1,'包络曲线数据'!$B$1:$U$1,0)),""))</x:f>
      </x:c>
      <x:c r="C565" t="n">
        <x:f>IF(C$1="","",IFERROR(INDEX('包络曲线数据'!$B$2:$U$742,ROW()-1,MATCH(C$1,'包络曲线数据'!$B$1:$U$1,0)),""))</x:f>
        <x:v>85.17921154994255</x:v>
      </x:c>
      <x:c r="D565" t="str">
        <x:f>IF(D$1="","",IFERROR(INDEX('包络曲线数据'!$B$2:$U$742,ROW()-1,MATCH(D$1,'包络曲线数据'!$B$1:$U$1,0)),""))</x:f>
      </x:c>
      <x:c r="E565" t="str">
        <x:f>IF(E$1="","",IFERROR(INDEX('包络曲线数据'!$B$2:$U$742,ROW()-1,MATCH(E$1,'包络曲线数据'!$B$1:$U$1,0)),""))</x:f>
      </x:c>
      <x:c r="F565" t="str">
        <x:f>IF(F$1="","",IFERROR(INDEX('包络曲线数据'!$B$2:$U$742,ROW()-1,MATCH(F$1,'包络曲线数据'!$B$1:$U$1,0)),""))</x:f>
      </x:c>
      <x:c r="G565" t="str">
        <x:f>IF(G$1="","",IFERROR(INDEX('包络曲线数据'!$B$2:$U$742,ROW()-1,MATCH(G$1,'包络曲线数据'!$B$1:$U$1,0)),""))</x:f>
      </x:c>
    </x:row>
    <x:row r="566">
      <x:c r="A566" t="n">
        <x:v>56.400000000000006</x:v>
      </x:c>
      <x:c r="B566" t="str">
        <x:f>IF(B$1="","",IFERROR(INDEX('包络曲线数据'!$B$2:$U$742,ROW()-1,MATCH(B$1,'包络曲线数据'!$B$1:$U$1,0)),""))</x:f>
      </x:c>
      <x:c r="C566" t="n">
        <x:f>IF(C$1="","",IFERROR(INDEX('包络曲线数据'!$B$2:$U$742,ROW()-1,MATCH(C$1,'包络曲线数据'!$B$1:$U$1,0)),""))</x:f>
        <x:v>82.61253148490938</x:v>
      </x:c>
      <x:c r="D566" t="str">
        <x:f>IF(D$1="","",IFERROR(INDEX('包络曲线数据'!$B$2:$U$742,ROW()-1,MATCH(D$1,'包络曲线数据'!$B$1:$U$1,0)),""))</x:f>
      </x:c>
      <x:c r="E566" t="str">
        <x:f>IF(E$1="","",IFERROR(INDEX('包络曲线数据'!$B$2:$U$742,ROW()-1,MATCH(E$1,'包络曲线数据'!$B$1:$U$1,0)),""))</x:f>
      </x:c>
      <x:c r="F566" t="str">
        <x:f>IF(F$1="","",IFERROR(INDEX('包络曲线数据'!$B$2:$U$742,ROW()-1,MATCH(F$1,'包络曲线数据'!$B$1:$U$1,0)),""))</x:f>
      </x:c>
      <x:c r="G566" t="str">
        <x:f>IF(G$1="","",IFERROR(INDEX('包络曲线数据'!$B$2:$U$742,ROW()-1,MATCH(G$1,'包络曲线数据'!$B$1:$U$1,0)),""))</x:f>
      </x:c>
    </x:row>
    <x:row r="567">
      <x:c r="A567" t="n">
        <x:v>56.5</x:v>
      </x:c>
      <x:c r="B567" t="str">
        <x:f>IF(B$1="","",IFERROR(INDEX('包络曲线数据'!$B$2:$U$742,ROW()-1,MATCH(B$1,'包络曲线数据'!$B$1:$U$1,0)),""))</x:f>
      </x:c>
      <x:c r="C567" t="n">
        <x:f>IF(C$1="","",IFERROR(INDEX('包络曲线数据'!$B$2:$U$742,ROW()-1,MATCH(C$1,'包络曲线数据'!$B$1:$U$1,0)),""))</x:f>
        <x:v>74.37472798543212</x:v>
      </x:c>
      <x:c r="D567" t="str">
        <x:f>IF(D$1="","",IFERROR(INDEX('包络曲线数据'!$B$2:$U$742,ROW()-1,MATCH(D$1,'包络曲线数据'!$B$1:$U$1,0)),""))</x:f>
      </x:c>
      <x:c r="E567" t="str">
        <x:f>IF(E$1="","",IFERROR(INDEX('包络曲线数据'!$B$2:$U$742,ROW()-1,MATCH(E$1,'包络曲线数据'!$B$1:$U$1,0)),""))</x:f>
      </x:c>
      <x:c r="F567" t="str">
        <x:f>IF(F$1="","",IFERROR(INDEX('包络曲线数据'!$B$2:$U$742,ROW()-1,MATCH(F$1,'包络曲线数据'!$B$1:$U$1,0)),""))</x:f>
      </x:c>
      <x:c r="G567" t="str">
        <x:f>IF(G$1="","",IFERROR(INDEX('包络曲线数据'!$B$2:$U$742,ROW()-1,MATCH(G$1,'包络曲线数据'!$B$1:$U$1,0)),""))</x:f>
      </x:c>
    </x:row>
    <x:row r="568">
      <x:c r="A568" t="n">
        <x:v>56.6</x:v>
      </x:c>
      <x:c r="B568" t="str">
        <x:f>IF(B$1="","",IFERROR(INDEX('包络曲线数据'!$B$2:$U$742,ROW()-1,MATCH(B$1,'包络曲线数据'!$B$1:$U$1,0)),""))</x:f>
      </x:c>
      <x:c r="C568" t="n">
        <x:f>IF(C$1="","",IFERROR(INDEX('包络曲线数据'!$B$2:$U$742,ROW()-1,MATCH(C$1,'包络曲线数据'!$B$1:$U$1,0)),""))</x:f>
        <x:v>69.6211797720551</x:v>
      </x:c>
      <x:c r="D568" t="str">
        <x:f>IF(D$1="","",IFERROR(INDEX('包络曲线数据'!$B$2:$U$742,ROW()-1,MATCH(D$1,'包络曲线数据'!$B$1:$U$1,0)),""))</x:f>
      </x:c>
      <x:c r="E568" t="str">
        <x:f>IF(E$1="","",IFERROR(INDEX('包络曲线数据'!$B$2:$U$742,ROW()-1,MATCH(E$1,'包络曲线数据'!$B$1:$U$1,0)),""))</x:f>
      </x:c>
      <x:c r="F568" t="str">
        <x:f>IF(F$1="","",IFERROR(INDEX('包络曲线数据'!$B$2:$U$742,ROW()-1,MATCH(F$1,'包络曲线数据'!$B$1:$U$1,0)),""))</x:f>
      </x:c>
      <x:c r="G568" t="str">
        <x:f>IF(G$1="","",IFERROR(INDEX('包络曲线数据'!$B$2:$U$742,ROW()-1,MATCH(G$1,'包络曲线数据'!$B$1:$U$1,0)),""))</x:f>
      </x:c>
    </x:row>
    <x:row r="569">
      <x:c r="A569" t="n">
        <x:v>56.7</x:v>
      </x:c>
      <x:c r="B569" t="str">
        <x:f>IF(B$1="","",IFERROR(INDEX('包络曲线数据'!$B$2:$U$742,ROW()-1,MATCH(B$1,'包络曲线数据'!$B$1:$U$1,0)),""))</x:f>
      </x:c>
      <x:c r="C569" t="str">
        <x:f>IF(C$1="","",IFERROR(INDEX('包络曲线数据'!$B$2:$U$742,ROW()-1,MATCH(C$1,'包络曲线数据'!$B$1:$U$1,0)),""))</x:f>
      </x:c>
      <x:c r="D569" t="str">
        <x:f>IF(D$1="","",IFERROR(INDEX('包络曲线数据'!$B$2:$U$742,ROW()-1,MATCH(D$1,'包络曲线数据'!$B$1:$U$1,0)),""))</x:f>
      </x:c>
      <x:c r="E569" t="str">
        <x:f>IF(E$1="","",IFERROR(INDEX('包络曲线数据'!$B$2:$U$742,ROW()-1,MATCH(E$1,'包络曲线数据'!$B$1:$U$1,0)),""))</x:f>
      </x:c>
      <x:c r="F569" t="str">
        <x:f>IF(F$1="","",IFERROR(INDEX('包络曲线数据'!$B$2:$U$742,ROW()-1,MATCH(F$1,'包络曲线数据'!$B$1:$U$1,0)),""))</x:f>
      </x:c>
      <x:c r="G569" t="str">
        <x:f>IF(G$1="","",IFERROR(INDEX('包络曲线数据'!$B$2:$U$742,ROW()-1,MATCH(G$1,'包络曲线数据'!$B$1:$U$1,0)),""))</x:f>
      </x:c>
    </x:row>
    <x:row r="570">
      <x:c r="A570" t="n">
        <x:v>56.800000000000004</x:v>
      </x:c>
      <x:c r="B570" t="str">
        <x:f>IF(B$1="","",IFERROR(INDEX('包络曲线数据'!$B$2:$U$742,ROW()-1,MATCH(B$1,'包络曲线数据'!$B$1:$U$1,0)),""))</x:f>
      </x:c>
      <x:c r="C570" t="str">
        <x:f>IF(C$1="","",IFERROR(INDEX('包络曲线数据'!$B$2:$U$742,ROW()-1,MATCH(C$1,'包络曲线数据'!$B$1:$U$1,0)),""))</x:f>
      </x:c>
      <x:c r="D570" t="str">
        <x:f>IF(D$1="","",IFERROR(INDEX('包络曲线数据'!$B$2:$U$742,ROW()-1,MATCH(D$1,'包络曲线数据'!$B$1:$U$1,0)),""))</x:f>
      </x:c>
      <x:c r="E570" t="str">
        <x:f>IF(E$1="","",IFERROR(INDEX('包络曲线数据'!$B$2:$U$742,ROW()-1,MATCH(E$1,'包络曲线数据'!$B$1:$U$1,0)),""))</x:f>
      </x:c>
      <x:c r="F570" t="str">
        <x:f>IF(F$1="","",IFERROR(INDEX('包络曲线数据'!$B$2:$U$742,ROW()-1,MATCH(F$1,'包络曲线数据'!$B$1:$U$1,0)),""))</x:f>
      </x:c>
      <x:c r="G570" t="str">
        <x:f>IF(G$1="","",IFERROR(INDEX('包络曲线数据'!$B$2:$U$742,ROW()-1,MATCH(G$1,'包络曲线数据'!$B$1:$U$1,0)),""))</x:f>
      </x:c>
    </x:row>
    <x:row r="571">
      <x:c r="A571" t="n">
        <x:v>56.900000000000006</x:v>
      </x:c>
      <x:c r="B571" t="str">
        <x:f>IF(B$1="","",IFERROR(INDEX('包络曲线数据'!$B$2:$U$742,ROW()-1,MATCH(B$1,'包络曲线数据'!$B$1:$U$1,0)),""))</x:f>
      </x:c>
      <x:c r="C571" t="str">
        <x:f>IF(C$1="","",IFERROR(INDEX('包络曲线数据'!$B$2:$U$742,ROW()-1,MATCH(C$1,'包络曲线数据'!$B$1:$U$1,0)),""))</x:f>
      </x:c>
      <x:c r="D571" t="str">
        <x:f>IF(D$1="","",IFERROR(INDEX('包络曲线数据'!$B$2:$U$742,ROW()-1,MATCH(D$1,'包络曲线数据'!$B$1:$U$1,0)),""))</x:f>
      </x:c>
      <x:c r="E571" t="str">
        <x:f>IF(E$1="","",IFERROR(INDEX('包络曲线数据'!$B$2:$U$742,ROW()-1,MATCH(E$1,'包络曲线数据'!$B$1:$U$1,0)),""))</x:f>
      </x:c>
      <x:c r="F571" t="str">
        <x:f>IF(F$1="","",IFERROR(INDEX('包络曲线数据'!$B$2:$U$742,ROW()-1,MATCH(F$1,'包络曲线数据'!$B$1:$U$1,0)),""))</x:f>
      </x:c>
      <x:c r="G571" t="str">
        <x:f>IF(G$1="","",IFERROR(INDEX('包络曲线数据'!$B$2:$U$742,ROW()-1,MATCH(G$1,'包络曲线数据'!$B$1:$U$1,0)),""))</x:f>
      </x:c>
    </x:row>
    <x:row r="572">
      <x:c r="A572" t="n">
        <x:v>57</x:v>
      </x:c>
      <x:c r="B572" t="str">
        <x:f>IF(B$1="","",IFERROR(INDEX('包络曲线数据'!$B$2:$U$742,ROW()-1,MATCH(B$1,'包络曲线数据'!$B$1:$U$1,0)),""))</x:f>
      </x:c>
      <x:c r="C572" t="str">
        <x:f>IF(C$1="","",IFERROR(INDEX('包络曲线数据'!$B$2:$U$742,ROW()-1,MATCH(C$1,'包络曲线数据'!$B$1:$U$1,0)),""))</x:f>
      </x:c>
      <x:c r="D572" t="str">
        <x:f>IF(D$1="","",IFERROR(INDEX('包络曲线数据'!$B$2:$U$742,ROW()-1,MATCH(D$1,'包络曲线数据'!$B$1:$U$1,0)),""))</x:f>
      </x:c>
      <x:c r="E572" t="str">
        <x:f>IF(E$1="","",IFERROR(INDEX('包络曲线数据'!$B$2:$U$742,ROW()-1,MATCH(E$1,'包络曲线数据'!$B$1:$U$1,0)),""))</x:f>
      </x:c>
      <x:c r="F572" t="str">
        <x:f>IF(F$1="","",IFERROR(INDEX('包络曲线数据'!$B$2:$U$742,ROW()-1,MATCH(F$1,'包络曲线数据'!$B$1:$U$1,0)),""))</x:f>
      </x:c>
      <x:c r="G572" t="str">
        <x:f>IF(G$1="","",IFERROR(INDEX('包络曲线数据'!$B$2:$U$742,ROW()-1,MATCH(G$1,'包络曲线数据'!$B$1:$U$1,0)),""))</x:f>
      </x:c>
    </x:row>
    <x:row r="573">
      <x:c r="A573" t="n">
        <x:v>57.1</x:v>
      </x:c>
      <x:c r="B573" t="str">
        <x:f>IF(B$1="","",IFERROR(INDEX('包络曲线数据'!$B$2:$U$742,ROW()-1,MATCH(B$1,'包络曲线数据'!$B$1:$U$1,0)),""))</x:f>
      </x:c>
      <x:c r="C573" t="str">
        <x:f>IF(C$1="","",IFERROR(INDEX('包络曲线数据'!$B$2:$U$742,ROW()-1,MATCH(C$1,'包络曲线数据'!$B$1:$U$1,0)),""))</x:f>
      </x:c>
      <x:c r="D573" t="str">
        <x:f>IF(D$1="","",IFERROR(INDEX('包络曲线数据'!$B$2:$U$742,ROW()-1,MATCH(D$1,'包络曲线数据'!$B$1:$U$1,0)),""))</x:f>
      </x:c>
      <x:c r="E573" t="str">
        <x:f>IF(E$1="","",IFERROR(INDEX('包络曲线数据'!$B$2:$U$742,ROW()-1,MATCH(E$1,'包络曲线数据'!$B$1:$U$1,0)),""))</x:f>
      </x:c>
      <x:c r="F573" t="str">
        <x:f>IF(F$1="","",IFERROR(INDEX('包络曲线数据'!$B$2:$U$742,ROW()-1,MATCH(F$1,'包络曲线数据'!$B$1:$U$1,0)),""))</x:f>
      </x:c>
      <x:c r="G573" t="str">
        <x:f>IF(G$1="","",IFERROR(INDEX('包络曲线数据'!$B$2:$U$742,ROW()-1,MATCH(G$1,'包络曲线数据'!$B$1:$U$1,0)),""))</x:f>
      </x:c>
    </x:row>
    <x:row r="574">
      <x:c r="A574" t="n">
        <x:v>57.2</x:v>
      </x:c>
      <x:c r="B574" t="str">
        <x:f>IF(B$1="","",IFERROR(INDEX('包络曲线数据'!$B$2:$U$742,ROW()-1,MATCH(B$1,'包络曲线数据'!$B$1:$U$1,0)),""))</x:f>
      </x:c>
      <x:c r="C574" t="str">
        <x:f>IF(C$1="","",IFERROR(INDEX('包络曲线数据'!$B$2:$U$742,ROW()-1,MATCH(C$1,'包络曲线数据'!$B$1:$U$1,0)),""))</x:f>
      </x:c>
      <x:c r="D574" t="str">
        <x:f>IF(D$1="","",IFERROR(INDEX('包络曲线数据'!$B$2:$U$742,ROW()-1,MATCH(D$1,'包络曲线数据'!$B$1:$U$1,0)),""))</x:f>
      </x:c>
      <x:c r="E574" t="str">
        <x:f>IF(E$1="","",IFERROR(INDEX('包络曲线数据'!$B$2:$U$742,ROW()-1,MATCH(E$1,'包络曲线数据'!$B$1:$U$1,0)),""))</x:f>
      </x:c>
      <x:c r="F574" t="str">
        <x:f>IF(F$1="","",IFERROR(INDEX('包络曲线数据'!$B$2:$U$742,ROW()-1,MATCH(F$1,'包络曲线数据'!$B$1:$U$1,0)),""))</x:f>
      </x:c>
      <x:c r="G574" t="str">
        <x:f>IF(G$1="","",IFERROR(INDEX('包络曲线数据'!$B$2:$U$742,ROW()-1,MATCH(G$1,'包络曲线数据'!$B$1:$U$1,0)),""))</x:f>
      </x:c>
    </x:row>
    <x:row r="575">
      <x:c r="A575" t="n">
        <x:v>57.300000000000004</x:v>
      </x:c>
      <x:c r="B575" t="str">
        <x:f>IF(B$1="","",IFERROR(INDEX('包络曲线数据'!$B$2:$U$742,ROW()-1,MATCH(B$1,'包络曲线数据'!$B$1:$U$1,0)),""))</x:f>
      </x:c>
      <x:c r="C575" t="str">
        <x:f>IF(C$1="","",IFERROR(INDEX('包络曲线数据'!$B$2:$U$742,ROW()-1,MATCH(C$1,'包络曲线数据'!$B$1:$U$1,0)),""))</x:f>
      </x:c>
      <x:c r="D575" t="str">
        <x:f>IF(D$1="","",IFERROR(INDEX('包络曲线数据'!$B$2:$U$742,ROW()-1,MATCH(D$1,'包络曲线数据'!$B$1:$U$1,0)),""))</x:f>
      </x:c>
      <x:c r="E575" t="str">
        <x:f>IF(E$1="","",IFERROR(INDEX('包络曲线数据'!$B$2:$U$742,ROW()-1,MATCH(E$1,'包络曲线数据'!$B$1:$U$1,0)),""))</x:f>
      </x:c>
      <x:c r="F575" t="str">
        <x:f>IF(F$1="","",IFERROR(INDEX('包络曲线数据'!$B$2:$U$742,ROW()-1,MATCH(F$1,'包络曲线数据'!$B$1:$U$1,0)),""))</x:f>
      </x:c>
      <x:c r="G575" t="str">
        <x:f>IF(G$1="","",IFERROR(INDEX('包络曲线数据'!$B$2:$U$742,ROW()-1,MATCH(G$1,'包络曲线数据'!$B$1:$U$1,0)),""))</x:f>
      </x:c>
    </x:row>
    <x:row r="576">
      <x:c r="A576" t="n">
        <x:v>57.400000000000006</x:v>
      </x:c>
      <x:c r="B576" t="str">
        <x:f>IF(B$1="","",IFERROR(INDEX('包络曲线数据'!$B$2:$U$742,ROW()-1,MATCH(B$1,'包络曲线数据'!$B$1:$U$1,0)),""))</x:f>
      </x:c>
      <x:c r="C576" t="str">
        <x:f>IF(C$1="","",IFERROR(INDEX('包络曲线数据'!$B$2:$U$742,ROW()-1,MATCH(C$1,'包络曲线数据'!$B$1:$U$1,0)),""))</x:f>
      </x:c>
      <x:c r="D576" t="str">
        <x:f>IF(D$1="","",IFERROR(INDEX('包络曲线数据'!$B$2:$U$742,ROW()-1,MATCH(D$1,'包络曲线数据'!$B$1:$U$1,0)),""))</x:f>
      </x:c>
      <x:c r="E576" t="str">
        <x:f>IF(E$1="","",IFERROR(INDEX('包络曲线数据'!$B$2:$U$742,ROW()-1,MATCH(E$1,'包络曲线数据'!$B$1:$U$1,0)),""))</x:f>
      </x:c>
      <x:c r="F576" t="str">
        <x:f>IF(F$1="","",IFERROR(INDEX('包络曲线数据'!$B$2:$U$742,ROW()-1,MATCH(F$1,'包络曲线数据'!$B$1:$U$1,0)),""))</x:f>
      </x:c>
      <x:c r="G576" t="str">
        <x:f>IF(G$1="","",IFERROR(INDEX('包络曲线数据'!$B$2:$U$742,ROW()-1,MATCH(G$1,'包络曲线数据'!$B$1:$U$1,0)),""))</x:f>
      </x:c>
    </x:row>
    <x:row r="577">
      <x:c r="A577" t="n">
        <x:v>57.5</x:v>
      </x:c>
      <x:c r="B577" t="str">
        <x:f>IF(B$1="","",IFERROR(INDEX('包络曲线数据'!$B$2:$U$742,ROW()-1,MATCH(B$1,'包络曲线数据'!$B$1:$U$1,0)),""))</x:f>
      </x:c>
      <x:c r="C577" t="str">
        <x:f>IF(C$1="","",IFERROR(INDEX('包络曲线数据'!$B$2:$U$742,ROW()-1,MATCH(C$1,'包络曲线数据'!$B$1:$U$1,0)),""))</x:f>
      </x:c>
      <x:c r="D577" t="str">
        <x:f>IF(D$1="","",IFERROR(INDEX('包络曲线数据'!$B$2:$U$742,ROW()-1,MATCH(D$1,'包络曲线数据'!$B$1:$U$1,0)),""))</x:f>
      </x:c>
      <x:c r="E577" t="str">
        <x:f>IF(E$1="","",IFERROR(INDEX('包络曲线数据'!$B$2:$U$742,ROW()-1,MATCH(E$1,'包络曲线数据'!$B$1:$U$1,0)),""))</x:f>
      </x:c>
      <x:c r="F577" t="str">
        <x:f>IF(F$1="","",IFERROR(INDEX('包络曲线数据'!$B$2:$U$742,ROW()-1,MATCH(F$1,'包络曲线数据'!$B$1:$U$1,0)),""))</x:f>
      </x:c>
      <x:c r="G577" t="str">
        <x:f>IF(G$1="","",IFERROR(INDEX('包络曲线数据'!$B$2:$U$742,ROW()-1,MATCH(G$1,'包络曲线数据'!$B$1:$U$1,0)),""))</x:f>
      </x:c>
    </x:row>
    <x:row r="578">
      <x:c r="A578" t="n">
        <x:v>57.6</x:v>
      </x:c>
      <x:c r="B578" t="str">
        <x:f>IF(B$1="","",IFERROR(INDEX('包络曲线数据'!$B$2:$U$742,ROW()-1,MATCH(B$1,'包络曲线数据'!$B$1:$U$1,0)),""))</x:f>
      </x:c>
      <x:c r="C578" t="str">
        <x:f>IF(C$1="","",IFERROR(INDEX('包络曲线数据'!$B$2:$U$742,ROW()-1,MATCH(C$1,'包络曲线数据'!$B$1:$U$1,0)),""))</x:f>
      </x:c>
      <x:c r="D578" t="str">
        <x:f>IF(D$1="","",IFERROR(INDEX('包络曲线数据'!$B$2:$U$742,ROW()-1,MATCH(D$1,'包络曲线数据'!$B$1:$U$1,0)),""))</x:f>
      </x:c>
      <x:c r="E578" t="str">
        <x:f>IF(E$1="","",IFERROR(INDEX('包络曲线数据'!$B$2:$U$742,ROW()-1,MATCH(E$1,'包络曲线数据'!$B$1:$U$1,0)),""))</x:f>
      </x:c>
      <x:c r="F578" t="str">
        <x:f>IF(F$1="","",IFERROR(INDEX('包络曲线数据'!$B$2:$U$742,ROW()-1,MATCH(F$1,'包络曲线数据'!$B$1:$U$1,0)),""))</x:f>
      </x:c>
      <x:c r="G578" t="str">
        <x:f>IF(G$1="","",IFERROR(INDEX('包络曲线数据'!$B$2:$U$742,ROW()-1,MATCH(G$1,'包络曲线数据'!$B$1:$U$1,0)),""))</x:f>
      </x:c>
    </x:row>
    <x:row r="579">
      <x:c r="A579" t="n">
        <x:v>57.7</x:v>
      </x:c>
      <x:c r="B579" t="str">
        <x:f>IF(B$1="","",IFERROR(INDEX('包络曲线数据'!$B$2:$U$742,ROW()-1,MATCH(B$1,'包络曲线数据'!$B$1:$U$1,0)),""))</x:f>
      </x:c>
      <x:c r="C579" t="str">
        <x:f>IF(C$1="","",IFERROR(INDEX('包络曲线数据'!$B$2:$U$742,ROW()-1,MATCH(C$1,'包络曲线数据'!$B$1:$U$1,0)),""))</x:f>
      </x:c>
      <x:c r="D579" t="str">
        <x:f>IF(D$1="","",IFERROR(INDEX('包络曲线数据'!$B$2:$U$742,ROW()-1,MATCH(D$1,'包络曲线数据'!$B$1:$U$1,0)),""))</x:f>
      </x:c>
      <x:c r="E579" t="str">
        <x:f>IF(E$1="","",IFERROR(INDEX('包络曲线数据'!$B$2:$U$742,ROW()-1,MATCH(E$1,'包络曲线数据'!$B$1:$U$1,0)),""))</x:f>
      </x:c>
      <x:c r="F579" t="str">
        <x:f>IF(F$1="","",IFERROR(INDEX('包络曲线数据'!$B$2:$U$742,ROW()-1,MATCH(F$1,'包络曲线数据'!$B$1:$U$1,0)),""))</x:f>
      </x:c>
      <x:c r="G579" t="str">
        <x:f>IF(G$1="","",IFERROR(INDEX('包络曲线数据'!$B$2:$U$742,ROW()-1,MATCH(G$1,'包络曲线数据'!$B$1:$U$1,0)),""))</x:f>
      </x:c>
    </x:row>
    <x:row r="580">
      <x:c r="A580" t="n">
        <x:v>57.800000000000004</x:v>
      </x:c>
      <x:c r="B580" t="str">
        <x:f>IF(B$1="","",IFERROR(INDEX('包络曲线数据'!$B$2:$U$742,ROW()-1,MATCH(B$1,'包络曲线数据'!$B$1:$U$1,0)),""))</x:f>
      </x:c>
      <x:c r="C580" t="str">
        <x:f>IF(C$1="","",IFERROR(INDEX('包络曲线数据'!$B$2:$U$742,ROW()-1,MATCH(C$1,'包络曲线数据'!$B$1:$U$1,0)),""))</x:f>
      </x:c>
      <x:c r="D580" t="str">
        <x:f>IF(D$1="","",IFERROR(INDEX('包络曲线数据'!$B$2:$U$742,ROW()-1,MATCH(D$1,'包络曲线数据'!$B$1:$U$1,0)),""))</x:f>
      </x:c>
      <x:c r="E580" t="str">
        <x:f>IF(E$1="","",IFERROR(INDEX('包络曲线数据'!$B$2:$U$742,ROW()-1,MATCH(E$1,'包络曲线数据'!$B$1:$U$1,0)),""))</x:f>
      </x:c>
      <x:c r="F580" t="str">
        <x:f>IF(F$1="","",IFERROR(INDEX('包络曲线数据'!$B$2:$U$742,ROW()-1,MATCH(F$1,'包络曲线数据'!$B$1:$U$1,0)),""))</x:f>
      </x:c>
      <x:c r="G580" t="str">
        <x:f>IF(G$1="","",IFERROR(INDEX('包络曲线数据'!$B$2:$U$742,ROW()-1,MATCH(G$1,'包络曲线数据'!$B$1:$U$1,0)),""))</x:f>
      </x:c>
    </x:row>
    <x:row r="581">
      <x:c r="A581" t="n">
        <x:v>57.900000000000006</x:v>
      </x:c>
      <x:c r="B581" t="str">
        <x:f>IF(B$1="","",IFERROR(INDEX('包络曲线数据'!$B$2:$U$742,ROW()-1,MATCH(B$1,'包络曲线数据'!$B$1:$U$1,0)),""))</x:f>
      </x:c>
      <x:c r="C581" t="str">
        <x:f>IF(C$1="","",IFERROR(INDEX('包络曲线数据'!$B$2:$U$742,ROW()-1,MATCH(C$1,'包络曲线数据'!$B$1:$U$1,0)),""))</x:f>
      </x:c>
      <x:c r="D581" t="str">
        <x:f>IF(D$1="","",IFERROR(INDEX('包络曲线数据'!$B$2:$U$742,ROW()-1,MATCH(D$1,'包络曲线数据'!$B$1:$U$1,0)),""))</x:f>
      </x:c>
      <x:c r="E581" t="str">
        <x:f>IF(E$1="","",IFERROR(INDEX('包络曲线数据'!$B$2:$U$742,ROW()-1,MATCH(E$1,'包络曲线数据'!$B$1:$U$1,0)),""))</x:f>
      </x:c>
      <x:c r="F581" t="str">
        <x:f>IF(F$1="","",IFERROR(INDEX('包络曲线数据'!$B$2:$U$742,ROW()-1,MATCH(F$1,'包络曲线数据'!$B$1:$U$1,0)),""))</x:f>
      </x:c>
      <x:c r="G581" t="str">
        <x:f>IF(G$1="","",IFERROR(INDEX('包络曲线数据'!$B$2:$U$742,ROW()-1,MATCH(G$1,'包络曲线数据'!$B$1:$U$1,0)),""))</x:f>
      </x:c>
    </x:row>
    <x:row r="582">
      <x:c r="A582" t="n">
        <x:v>58</x:v>
      </x:c>
      <x:c r="B582" t="str">
        <x:f>IF(B$1="","",IFERROR(INDEX('包络曲线数据'!$B$2:$U$742,ROW()-1,MATCH(B$1,'包络曲线数据'!$B$1:$U$1,0)),""))</x:f>
      </x:c>
      <x:c r="C582" t="str">
        <x:f>IF(C$1="","",IFERROR(INDEX('包络曲线数据'!$B$2:$U$742,ROW()-1,MATCH(C$1,'包络曲线数据'!$B$1:$U$1,0)),""))</x:f>
      </x:c>
      <x:c r="D582" t="str">
        <x:f>IF(D$1="","",IFERROR(INDEX('包络曲线数据'!$B$2:$U$742,ROW()-1,MATCH(D$1,'包络曲线数据'!$B$1:$U$1,0)),""))</x:f>
      </x:c>
      <x:c r="E582" t="str">
        <x:f>IF(E$1="","",IFERROR(INDEX('包络曲线数据'!$B$2:$U$742,ROW()-1,MATCH(E$1,'包络曲线数据'!$B$1:$U$1,0)),""))</x:f>
      </x:c>
      <x:c r="F582" t="str">
        <x:f>IF(F$1="","",IFERROR(INDEX('包络曲线数据'!$B$2:$U$742,ROW()-1,MATCH(F$1,'包络曲线数据'!$B$1:$U$1,0)),""))</x:f>
      </x:c>
      <x:c r="G582" t="str">
        <x:f>IF(G$1="","",IFERROR(INDEX('包络曲线数据'!$B$2:$U$742,ROW()-1,MATCH(G$1,'包络曲线数据'!$B$1:$U$1,0)),""))</x:f>
      </x:c>
    </x:row>
    <x:row r="583">
      <x:c r="A583" t="n">
        <x:v>58.1</x:v>
      </x:c>
      <x:c r="B583" t="str">
        <x:f>IF(B$1="","",IFERROR(INDEX('包络曲线数据'!$B$2:$U$742,ROW()-1,MATCH(B$1,'包络曲线数据'!$B$1:$U$1,0)),""))</x:f>
      </x:c>
      <x:c r="C583" t="str">
        <x:f>IF(C$1="","",IFERROR(INDEX('包络曲线数据'!$B$2:$U$742,ROW()-1,MATCH(C$1,'包络曲线数据'!$B$1:$U$1,0)),""))</x:f>
      </x:c>
      <x:c r="D583" t="str">
        <x:f>IF(D$1="","",IFERROR(INDEX('包络曲线数据'!$B$2:$U$742,ROW()-1,MATCH(D$1,'包络曲线数据'!$B$1:$U$1,0)),""))</x:f>
      </x:c>
      <x:c r="E583" t="str">
        <x:f>IF(E$1="","",IFERROR(INDEX('包络曲线数据'!$B$2:$U$742,ROW()-1,MATCH(E$1,'包络曲线数据'!$B$1:$U$1,0)),""))</x:f>
      </x:c>
      <x:c r="F583" t="str">
        <x:f>IF(F$1="","",IFERROR(INDEX('包络曲线数据'!$B$2:$U$742,ROW()-1,MATCH(F$1,'包络曲线数据'!$B$1:$U$1,0)),""))</x:f>
      </x:c>
      <x:c r="G583" t="str">
        <x:f>IF(G$1="","",IFERROR(INDEX('包络曲线数据'!$B$2:$U$742,ROW()-1,MATCH(G$1,'包络曲线数据'!$B$1:$U$1,0)),""))</x:f>
      </x:c>
    </x:row>
    <x:row r="584">
      <x:c r="A584" t="n">
        <x:v>58.2</x:v>
      </x:c>
      <x:c r="B584" t="str">
        <x:f>IF(B$1="","",IFERROR(INDEX('包络曲线数据'!$B$2:$U$742,ROW()-1,MATCH(B$1,'包络曲线数据'!$B$1:$U$1,0)),""))</x:f>
      </x:c>
      <x:c r="C584" t="str">
        <x:f>IF(C$1="","",IFERROR(INDEX('包络曲线数据'!$B$2:$U$742,ROW()-1,MATCH(C$1,'包络曲线数据'!$B$1:$U$1,0)),""))</x:f>
      </x:c>
      <x:c r="D584" t="str">
        <x:f>IF(D$1="","",IFERROR(INDEX('包络曲线数据'!$B$2:$U$742,ROW()-1,MATCH(D$1,'包络曲线数据'!$B$1:$U$1,0)),""))</x:f>
      </x:c>
      <x:c r="E584" t="str">
        <x:f>IF(E$1="","",IFERROR(INDEX('包络曲线数据'!$B$2:$U$742,ROW()-1,MATCH(E$1,'包络曲线数据'!$B$1:$U$1,0)),""))</x:f>
      </x:c>
      <x:c r="F584" t="str">
        <x:f>IF(F$1="","",IFERROR(INDEX('包络曲线数据'!$B$2:$U$742,ROW()-1,MATCH(F$1,'包络曲线数据'!$B$1:$U$1,0)),""))</x:f>
      </x:c>
      <x:c r="G584" t="str">
        <x:f>IF(G$1="","",IFERROR(INDEX('包络曲线数据'!$B$2:$U$742,ROW()-1,MATCH(G$1,'包络曲线数据'!$B$1:$U$1,0)),""))</x:f>
      </x:c>
    </x:row>
    <x:row r="585">
      <x:c r="A585" t="n">
        <x:v>58.300000000000004</x:v>
      </x:c>
      <x:c r="B585" t="str">
        <x:f>IF(B$1="","",IFERROR(INDEX('包络曲线数据'!$B$2:$U$742,ROW()-1,MATCH(B$1,'包络曲线数据'!$B$1:$U$1,0)),""))</x:f>
      </x:c>
      <x:c r="C585" t="str">
        <x:f>IF(C$1="","",IFERROR(INDEX('包络曲线数据'!$B$2:$U$742,ROW()-1,MATCH(C$1,'包络曲线数据'!$B$1:$U$1,0)),""))</x:f>
      </x:c>
      <x:c r="D585" t="str">
        <x:f>IF(D$1="","",IFERROR(INDEX('包络曲线数据'!$B$2:$U$742,ROW()-1,MATCH(D$1,'包络曲线数据'!$B$1:$U$1,0)),""))</x:f>
      </x:c>
      <x:c r="E585" t="str">
        <x:f>IF(E$1="","",IFERROR(INDEX('包络曲线数据'!$B$2:$U$742,ROW()-1,MATCH(E$1,'包络曲线数据'!$B$1:$U$1,0)),""))</x:f>
      </x:c>
      <x:c r="F585" t="str">
        <x:f>IF(F$1="","",IFERROR(INDEX('包络曲线数据'!$B$2:$U$742,ROW()-1,MATCH(F$1,'包络曲线数据'!$B$1:$U$1,0)),""))</x:f>
      </x:c>
      <x:c r="G585" t="str">
        <x:f>IF(G$1="","",IFERROR(INDEX('包络曲线数据'!$B$2:$U$742,ROW()-1,MATCH(G$1,'包络曲线数据'!$B$1:$U$1,0)),""))</x:f>
      </x:c>
    </x:row>
    <x:row r="586">
      <x:c r="A586" t="n">
        <x:v>58.400000000000006</x:v>
      </x:c>
      <x:c r="B586" t="str">
        <x:f>IF(B$1="","",IFERROR(INDEX('包络曲线数据'!$B$2:$U$742,ROW()-1,MATCH(B$1,'包络曲线数据'!$B$1:$U$1,0)),""))</x:f>
      </x:c>
      <x:c r="C586" t="str">
        <x:f>IF(C$1="","",IFERROR(INDEX('包络曲线数据'!$B$2:$U$742,ROW()-1,MATCH(C$1,'包络曲线数据'!$B$1:$U$1,0)),""))</x:f>
      </x:c>
      <x:c r="D586" t="str">
        <x:f>IF(D$1="","",IFERROR(INDEX('包络曲线数据'!$B$2:$U$742,ROW()-1,MATCH(D$1,'包络曲线数据'!$B$1:$U$1,0)),""))</x:f>
      </x:c>
      <x:c r="E586" t="str">
        <x:f>IF(E$1="","",IFERROR(INDEX('包络曲线数据'!$B$2:$U$742,ROW()-1,MATCH(E$1,'包络曲线数据'!$B$1:$U$1,0)),""))</x:f>
      </x:c>
      <x:c r="F586" t="str">
        <x:f>IF(F$1="","",IFERROR(INDEX('包络曲线数据'!$B$2:$U$742,ROW()-1,MATCH(F$1,'包络曲线数据'!$B$1:$U$1,0)),""))</x:f>
      </x:c>
      <x:c r="G586" t="str">
        <x:f>IF(G$1="","",IFERROR(INDEX('包络曲线数据'!$B$2:$U$742,ROW()-1,MATCH(G$1,'包络曲线数据'!$B$1:$U$1,0)),""))</x:f>
      </x:c>
    </x:row>
    <x:row r="587">
      <x:c r="A587" t="n">
        <x:v>58.5</x:v>
      </x:c>
      <x:c r="B587" t="str">
        <x:f>IF(B$1="","",IFERROR(INDEX('包络曲线数据'!$B$2:$U$742,ROW()-1,MATCH(B$1,'包络曲线数据'!$B$1:$U$1,0)),""))</x:f>
      </x:c>
      <x:c r="C587" t="str">
        <x:f>IF(C$1="","",IFERROR(INDEX('包络曲线数据'!$B$2:$U$742,ROW()-1,MATCH(C$1,'包络曲线数据'!$B$1:$U$1,0)),""))</x:f>
      </x:c>
      <x:c r="D587" t="str">
        <x:f>IF(D$1="","",IFERROR(INDEX('包络曲线数据'!$B$2:$U$742,ROW()-1,MATCH(D$1,'包络曲线数据'!$B$1:$U$1,0)),""))</x:f>
      </x:c>
      <x:c r="E587" t="str">
        <x:f>IF(E$1="","",IFERROR(INDEX('包络曲线数据'!$B$2:$U$742,ROW()-1,MATCH(E$1,'包络曲线数据'!$B$1:$U$1,0)),""))</x:f>
      </x:c>
      <x:c r="F587" t="str">
        <x:f>IF(F$1="","",IFERROR(INDEX('包络曲线数据'!$B$2:$U$742,ROW()-1,MATCH(F$1,'包络曲线数据'!$B$1:$U$1,0)),""))</x:f>
      </x:c>
      <x:c r="G587" t="str">
        <x:f>IF(G$1="","",IFERROR(INDEX('包络曲线数据'!$B$2:$U$742,ROW()-1,MATCH(G$1,'包络曲线数据'!$B$1:$U$1,0)),""))</x:f>
      </x:c>
    </x:row>
    <x:row r="588">
      <x:c r="A588" t="n">
        <x:v>58.6</x:v>
      </x:c>
      <x:c r="B588" t="str">
        <x:f>IF(B$1="","",IFERROR(INDEX('包络曲线数据'!$B$2:$U$742,ROW()-1,MATCH(B$1,'包络曲线数据'!$B$1:$U$1,0)),""))</x:f>
      </x:c>
      <x:c r="C588" t="str">
        <x:f>IF(C$1="","",IFERROR(INDEX('包络曲线数据'!$B$2:$U$742,ROW()-1,MATCH(C$1,'包络曲线数据'!$B$1:$U$1,0)),""))</x:f>
      </x:c>
      <x:c r="D588" t="str">
        <x:f>IF(D$1="","",IFERROR(INDEX('包络曲线数据'!$B$2:$U$742,ROW()-1,MATCH(D$1,'包络曲线数据'!$B$1:$U$1,0)),""))</x:f>
      </x:c>
      <x:c r="E588" t="str">
        <x:f>IF(E$1="","",IFERROR(INDEX('包络曲线数据'!$B$2:$U$742,ROW()-1,MATCH(E$1,'包络曲线数据'!$B$1:$U$1,0)),""))</x:f>
      </x:c>
      <x:c r="F588" t="str">
        <x:f>IF(F$1="","",IFERROR(INDEX('包络曲线数据'!$B$2:$U$742,ROW()-1,MATCH(F$1,'包络曲线数据'!$B$1:$U$1,0)),""))</x:f>
      </x:c>
      <x:c r="G588" t="str">
        <x:f>IF(G$1="","",IFERROR(INDEX('包络曲线数据'!$B$2:$U$742,ROW()-1,MATCH(G$1,'包络曲线数据'!$B$1:$U$1,0)),""))</x:f>
      </x:c>
    </x:row>
    <x:row r="589">
      <x:c r="A589" t="n">
        <x:v>58.7</x:v>
      </x:c>
      <x:c r="B589" t="str">
        <x:f>IF(B$1="","",IFERROR(INDEX('包络曲线数据'!$B$2:$U$742,ROW()-1,MATCH(B$1,'包络曲线数据'!$B$1:$U$1,0)),""))</x:f>
      </x:c>
      <x:c r="C589" t="str">
        <x:f>IF(C$1="","",IFERROR(INDEX('包络曲线数据'!$B$2:$U$742,ROW()-1,MATCH(C$1,'包络曲线数据'!$B$1:$U$1,0)),""))</x:f>
      </x:c>
      <x:c r="D589" t="str">
        <x:f>IF(D$1="","",IFERROR(INDEX('包络曲线数据'!$B$2:$U$742,ROW()-1,MATCH(D$1,'包络曲线数据'!$B$1:$U$1,0)),""))</x:f>
      </x:c>
      <x:c r="E589" t="str">
        <x:f>IF(E$1="","",IFERROR(INDEX('包络曲线数据'!$B$2:$U$742,ROW()-1,MATCH(E$1,'包络曲线数据'!$B$1:$U$1,0)),""))</x:f>
      </x:c>
      <x:c r="F589" t="str">
        <x:f>IF(F$1="","",IFERROR(INDEX('包络曲线数据'!$B$2:$U$742,ROW()-1,MATCH(F$1,'包络曲线数据'!$B$1:$U$1,0)),""))</x:f>
      </x:c>
      <x:c r="G589" t="str">
        <x:f>IF(G$1="","",IFERROR(INDEX('包络曲线数据'!$B$2:$U$742,ROW()-1,MATCH(G$1,'包络曲线数据'!$B$1:$U$1,0)),""))</x:f>
      </x:c>
    </x:row>
    <x:row r="590">
      <x:c r="A590" t="n">
        <x:v>58.800000000000004</x:v>
      </x:c>
      <x:c r="B590" t="str">
        <x:f>IF(B$1="","",IFERROR(INDEX('包络曲线数据'!$B$2:$U$742,ROW()-1,MATCH(B$1,'包络曲线数据'!$B$1:$U$1,0)),""))</x:f>
      </x:c>
      <x:c r="C590" t="str">
        <x:f>IF(C$1="","",IFERROR(INDEX('包络曲线数据'!$B$2:$U$742,ROW()-1,MATCH(C$1,'包络曲线数据'!$B$1:$U$1,0)),""))</x:f>
      </x:c>
      <x:c r="D590" t="str">
        <x:f>IF(D$1="","",IFERROR(INDEX('包络曲线数据'!$B$2:$U$742,ROW()-1,MATCH(D$1,'包络曲线数据'!$B$1:$U$1,0)),""))</x:f>
      </x:c>
      <x:c r="E590" t="str">
        <x:f>IF(E$1="","",IFERROR(INDEX('包络曲线数据'!$B$2:$U$742,ROW()-1,MATCH(E$1,'包络曲线数据'!$B$1:$U$1,0)),""))</x:f>
      </x:c>
      <x:c r="F590" t="str">
        <x:f>IF(F$1="","",IFERROR(INDEX('包络曲线数据'!$B$2:$U$742,ROW()-1,MATCH(F$1,'包络曲线数据'!$B$1:$U$1,0)),""))</x:f>
      </x:c>
      <x:c r="G590" t="str">
        <x:f>IF(G$1="","",IFERROR(INDEX('包络曲线数据'!$B$2:$U$742,ROW()-1,MATCH(G$1,'包络曲线数据'!$B$1:$U$1,0)),""))</x:f>
      </x:c>
    </x:row>
    <x:row r="591">
      <x:c r="A591" t="n">
        <x:v>58.900000000000006</x:v>
      </x:c>
      <x:c r="B591" t="str">
        <x:f>IF(B$1="","",IFERROR(INDEX('包络曲线数据'!$B$2:$U$742,ROW()-1,MATCH(B$1,'包络曲线数据'!$B$1:$U$1,0)),""))</x:f>
      </x:c>
      <x:c r="C591" t="str">
        <x:f>IF(C$1="","",IFERROR(INDEX('包络曲线数据'!$B$2:$U$742,ROW()-1,MATCH(C$1,'包络曲线数据'!$B$1:$U$1,0)),""))</x:f>
      </x:c>
      <x:c r="D591" t="str">
        <x:f>IF(D$1="","",IFERROR(INDEX('包络曲线数据'!$B$2:$U$742,ROW()-1,MATCH(D$1,'包络曲线数据'!$B$1:$U$1,0)),""))</x:f>
      </x:c>
      <x:c r="E591" t="str">
        <x:f>IF(E$1="","",IFERROR(INDEX('包络曲线数据'!$B$2:$U$742,ROW()-1,MATCH(E$1,'包络曲线数据'!$B$1:$U$1,0)),""))</x:f>
      </x:c>
      <x:c r="F591" t="str">
        <x:f>IF(F$1="","",IFERROR(INDEX('包络曲线数据'!$B$2:$U$742,ROW()-1,MATCH(F$1,'包络曲线数据'!$B$1:$U$1,0)),""))</x:f>
      </x:c>
      <x:c r="G591" t="str">
        <x:f>IF(G$1="","",IFERROR(INDEX('包络曲线数据'!$B$2:$U$742,ROW()-1,MATCH(G$1,'包络曲线数据'!$B$1:$U$1,0)),""))</x:f>
      </x:c>
    </x:row>
    <x:row r="592">
      <x:c r="A592" t="n">
        <x:v>59</x:v>
      </x:c>
      <x:c r="B592" t="str">
        <x:f>IF(B$1="","",IFERROR(INDEX('包络曲线数据'!$B$2:$U$742,ROW()-1,MATCH(B$1,'包络曲线数据'!$B$1:$U$1,0)),""))</x:f>
      </x:c>
      <x:c r="C592" t="str">
        <x:f>IF(C$1="","",IFERROR(INDEX('包络曲线数据'!$B$2:$U$742,ROW()-1,MATCH(C$1,'包络曲线数据'!$B$1:$U$1,0)),""))</x:f>
      </x:c>
      <x:c r="D592" t="str">
        <x:f>IF(D$1="","",IFERROR(INDEX('包络曲线数据'!$B$2:$U$742,ROW()-1,MATCH(D$1,'包络曲线数据'!$B$1:$U$1,0)),""))</x:f>
      </x:c>
      <x:c r="E592" t="str">
        <x:f>IF(E$1="","",IFERROR(INDEX('包络曲线数据'!$B$2:$U$742,ROW()-1,MATCH(E$1,'包络曲线数据'!$B$1:$U$1,0)),""))</x:f>
      </x:c>
      <x:c r="F592" t="str">
        <x:f>IF(F$1="","",IFERROR(INDEX('包络曲线数据'!$B$2:$U$742,ROW()-1,MATCH(F$1,'包络曲线数据'!$B$1:$U$1,0)),""))</x:f>
      </x:c>
      <x:c r="G592" t="str">
        <x:f>IF(G$1="","",IFERROR(INDEX('包络曲线数据'!$B$2:$U$742,ROW()-1,MATCH(G$1,'包络曲线数据'!$B$1:$U$1,0)),""))</x:f>
      </x:c>
    </x:row>
    <x:row r="593">
      <x:c r="A593" t="n">
        <x:v>59.1</x:v>
      </x:c>
      <x:c r="B593" t="str">
        <x:f>IF(B$1="","",IFERROR(INDEX('包络曲线数据'!$B$2:$U$742,ROW()-1,MATCH(B$1,'包络曲线数据'!$B$1:$U$1,0)),""))</x:f>
      </x:c>
      <x:c r="C593" t="str">
        <x:f>IF(C$1="","",IFERROR(INDEX('包络曲线数据'!$B$2:$U$742,ROW()-1,MATCH(C$1,'包络曲线数据'!$B$1:$U$1,0)),""))</x:f>
      </x:c>
      <x:c r="D593" t="str">
        <x:f>IF(D$1="","",IFERROR(INDEX('包络曲线数据'!$B$2:$U$742,ROW()-1,MATCH(D$1,'包络曲线数据'!$B$1:$U$1,0)),""))</x:f>
      </x:c>
      <x:c r="E593" t="str">
        <x:f>IF(E$1="","",IFERROR(INDEX('包络曲线数据'!$B$2:$U$742,ROW()-1,MATCH(E$1,'包络曲线数据'!$B$1:$U$1,0)),""))</x:f>
      </x:c>
      <x:c r="F593" t="str">
        <x:f>IF(F$1="","",IFERROR(INDEX('包络曲线数据'!$B$2:$U$742,ROW()-1,MATCH(F$1,'包络曲线数据'!$B$1:$U$1,0)),""))</x:f>
      </x:c>
      <x:c r="G593" t="str">
        <x:f>IF(G$1="","",IFERROR(INDEX('包络曲线数据'!$B$2:$U$742,ROW()-1,MATCH(G$1,'包络曲线数据'!$B$1:$U$1,0)),""))</x:f>
      </x:c>
    </x:row>
    <x:row r="594">
      <x:c r="A594" t="n">
        <x:v>59.2</x:v>
      </x:c>
      <x:c r="B594" t="str">
        <x:f>IF(B$1="","",IFERROR(INDEX('包络曲线数据'!$B$2:$U$742,ROW()-1,MATCH(B$1,'包络曲线数据'!$B$1:$U$1,0)),""))</x:f>
      </x:c>
      <x:c r="C594" t="str">
        <x:f>IF(C$1="","",IFERROR(INDEX('包络曲线数据'!$B$2:$U$742,ROW()-1,MATCH(C$1,'包络曲线数据'!$B$1:$U$1,0)),""))</x:f>
      </x:c>
      <x:c r="D594" t="str">
        <x:f>IF(D$1="","",IFERROR(INDEX('包络曲线数据'!$B$2:$U$742,ROW()-1,MATCH(D$1,'包络曲线数据'!$B$1:$U$1,0)),""))</x:f>
      </x:c>
      <x:c r="E594" t="str">
        <x:f>IF(E$1="","",IFERROR(INDEX('包络曲线数据'!$B$2:$U$742,ROW()-1,MATCH(E$1,'包络曲线数据'!$B$1:$U$1,0)),""))</x:f>
      </x:c>
      <x:c r="F594" t="str">
        <x:f>IF(F$1="","",IFERROR(INDEX('包络曲线数据'!$B$2:$U$742,ROW()-1,MATCH(F$1,'包络曲线数据'!$B$1:$U$1,0)),""))</x:f>
      </x:c>
      <x:c r="G594" t="str">
        <x:f>IF(G$1="","",IFERROR(INDEX('包络曲线数据'!$B$2:$U$742,ROW()-1,MATCH(G$1,'包络曲线数据'!$B$1:$U$1,0)),""))</x:f>
      </x:c>
    </x:row>
    <x:row r="595">
      <x:c r="A595" t="n">
        <x:v>59.300000000000004</x:v>
      </x:c>
      <x:c r="B595" t="str">
        <x:f>IF(B$1="","",IFERROR(INDEX('包络曲线数据'!$B$2:$U$742,ROW()-1,MATCH(B$1,'包络曲线数据'!$B$1:$U$1,0)),""))</x:f>
      </x:c>
      <x:c r="C595" t="str">
        <x:f>IF(C$1="","",IFERROR(INDEX('包络曲线数据'!$B$2:$U$742,ROW()-1,MATCH(C$1,'包络曲线数据'!$B$1:$U$1,0)),""))</x:f>
      </x:c>
      <x:c r="D595" t="str">
        <x:f>IF(D$1="","",IFERROR(INDEX('包络曲线数据'!$B$2:$U$742,ROW()-1,MATCH(D$1,'包络曲线数据'!$B$1:$U$1,0)),""))</x:f>
      </x:c>
      <x:c r="E595" t="str">
        <x:f>IF(E$1="","",IFERROR(INDEX('包络曲线数据'!$B$2:$U$742,ROW()-1,MATCH(E$1,'包络曲线数据'!$B$1:$U$1,0)),""))</x:f>
      </x:c>
      <x:c r="F595" t="str">
        <x:f>IF(F$1="","",IFERROR(INDEX('包络曲线数据'!$B$2:$U$742,ROW()-1,MATCH(F$1,'包络曲线数据'!$B$1:$U$1,0)),""))</x:f>
      </x:c>
      <x:c r="G595" t="str">
        <x:f>IF(G$1="","",IFERROR(INDEX('包络曲线数据'!$B$2:$U$742,ROW()-1,MATCH(G$1,'包络曲线数据'!$B$1:$U$1,0)),""))</x:f>
      </x:c>
    </x:row>
    <x:row r="596">
      <x:c r="A596" t="n">
        <x:v>59.400000000000006</x:v>
      </x:c>
      <x:c r="B596" t="str">
        <x:f>IF(B$1="","",IFERROR(INDEX('包络曲线数据'!$B$2:$U$742,ROW()-1,MATCH(B$1,'包络曲线数据'!$B$1:$U$1,0)),""))</x:f>
      </x:c>
      <x:c r="C596" t="str">
        <x:f>IF(C$1="","",IFERROR(INDEX('包络曲线数据'!$B$2:$U$742,ROW()-1,MATCH(C$1,'包络曲线数据'!$B$1:$U$1,0)),""))</x:f>
      </x:c>
      <x:c r="D596" t="str">
        <x:f>IF(D$1="","",IFERROR(INDEX('包络曲线数据'!$B$2:$U$742,ROW()-1,MATCH(D$1,'包络曲线数据'!$B$1:$U$1,0)),""))</x:f>
      </x:c>
      <x:c r="E596" t="str">
        <x:f>IF(E$1="","",IFERROR(INDEX('包络曲线数据'!$B$2:$U$742,ROW()-1,MATCH(E$1,'包络曲线数据'!$B$1:$U$1,0)),""))</x:f>
      </x:c>
      <x:c r="F596" t="str">
        <x:f>IF(F$1="","",IFERROR(INDEX('包络曲线数据'!$B$2:$U$742,ROW()-1,MATCH(F$1,'包络曲线数据'!$B$1:$U$1,0)),""))</x:f>
      </x:c>
      <x:c r="G596" t="str">
        <x:f>IF(G$1="","",IFERROR(INDEX('包络曲线数据'!$B$2:$U$742,ROW()-1,MATCH(G$1,'包络曲线数据'!$B$1:$U$1,0)),""))</x:f>
      </x:c>
    </x:row>
    <x:row r="597">
      <x:c r="A597" t="n">
        <x:v>59.5</x:v>
      </x:c>
      <x:c r="B597" t="str">
        <x:f>IF(B$1="","",IFERROR(INDEX('包络曲线数据'!$B$2:$U$742,ROW()-1,MATCH(B$1,'包络曲线数据'!$B$1:$U$1,0)),""))</x:f>
      </x:c>
      <x:c r="C597" t="str">
        <x:f>IF(C$1="","",IFERROR(INDEX('包络曲线数据'!$B$2:$U$742,ROW()-1,MATCH(C$1,'包络曲线数据'!$B$1:$U$1,0)),""))</x:f>
      </x:c>
      <x:c r="D597" t="str">
        <x:f>IF(D$1="","",IFERROR(INDEX('包络曲线数据'!$B$2:$U$742,ROW()-1,MATCH(D$1,'包络曲线数据'!$B$1:$U$1,0)),""))</x:f>
      </x:c>
      <x:c r="E597" t="str">
        <x:f>IF(E$1="","",IFERROR(INDEX('包络曲线数据'!$B$2:$U$742,ROW()-1,MATCH(E$1,'包络曲线数据'!$B$1:$U$1,0)),""))</x:f>
      </x:c>
      <x:c r="F597" t="str">
        <x:f>IF(F$1="","",IFERROR(INDEX('包络曲线数据'!$B$2:$U$742,ROW()-1,MATCH(F$1,'包络曲线数据'!$B$1:$U$1,0)),""))</x:f>
      </x:c>
      <x:c r="G597" t="str">
        <x:f>IF(G$1="","",IFERROR(INDEX('包络曲线数据'!$B$2:$U$742,ROW()-1,MATCH(G$1,'包络曲线数据'!$B$1:$U$1,0)),""))</x:f>
      </x:c>
    </x:row>
    <x:row r="598">
      <x:c r="A598" t="n">
        <x:v>59.6</x:v>
      </x:c>
      <x:c r="B598" t="str">
        <x:f>IF(B$1="","",IFERROR(INDEX('包络曲线数据'!$B$2:$U$742,ROW()-1,MATCH(B$1,'包络曲线数据'!$B$1:$U$1,0)),""))</x:f>
      </x:c>
      <x:c r="C598" t="str">
        <x:f>IF(C$1="","",IFERROR(INDEX('包络曲线数据'!$B$2:$U$742,ROW()-1,MATCH(C$1,'包络曲线数据'!$B$1:$U$1,0)),""))</x:f>
      </x:c>
      <x:c r="D598" t="str">
        <x:f>IF(D$1="","",IFERROR(INDEX('包络曲线数据'!$B$2:$U$742,ROW()-1,MATCH(D$1,'包络曲线数据'!$B$1:$U$1,0)),""))</x:f>
      </x:c>
      <x:c r="E598" t="str">
        <x:f>IF(E$1="","",IFERROR(INDEX('包络曲线数据'!$B$2:$U$742,ROW()-1,MATCH(E$1,'包络曲线数据'!$B$1:$U$1,0)),""))</x:f>
      </x:c>
      <x:c r="F598" t="str">
        <x:f>IF(F$1="","",IFERROR(INDEX('包络曲线数据'!$B$2:$U$742,ROW()-1,MATCH(F$1,'包络曲线数据'!$B$1:$U$1,0)),""))</x:f>
      </x:c>
      <x:c r="G598" t="str">
        <x:f>IF(G$1="","",IFERROR(INDEX('包络曲线数据'!$B$2:$U$742,ROW()-1,MATCH(G$1,'包络曲线数据'!$B$1:$U$1,0)),""))</x:f>
      </x:c>
    </x:row>
    <x:row r="599">
      <x:c r="A599" t="n">
        <x:v>59.7</x:v>
      </x:c>
      <x:c r="B599" t="str">
        <x:f>IF(B$1="","",IFERROR(INDEX('包络曲线数据'!$B$2:$U$742,ROW()-1,MATCH(B$1,'包络曲线数据'!$B$1:$U$1,0)),""))</x:f>
      </x:c>
      <x:c r="C599" t="str">
        <x:f>IF(C$1="","",IFERROR(INDEX('包络曲线数据'!$B$2:$U$742,ROW()-1,MATCH(C$1,'包络曲线数据'!$B$1:$U$1,0)),""))</x:f>
      </x:c>
      <x:c r="D599" t="str">
        <x:f>IF(D$1="","",IFERROR(INDEX('包络曲线数据'!$B$2:$U$742,ROW()-1,MATCH(D$1,'包络曲线数据'!$B$1:$U$1,0)),""))</x:f>
      </x:c>
      <x:c r="E599" t="str">
        <x:f>IF(E$1="","",IFERROR(INDEX('包络曲线数据'!$B$2:$U$742,ROW()-1,MATCH(E$1,'包络曲线数据'!$B$1:$U$1,0)),""))</x:f>
      </x:c>
      <x:c r="F599" t="str">
        <x:f>IF(F$1="","",IFERROR(INDEX('包络曲线数据'!$B$2:$U$742,ROW()-1,MATCH(F$1,'包络曲线数据'!$B$1:$U$1,0)),""))</x:f>
      </x:c>
      <x:c r="G599" t="str">
        <x:f>IF(G$1="","",IFERROR(INDEX('包络曲线数据'!$B$2:$U$742,ROW()-1,MATCH(G$1,'包络曲线数据'!$B$1:$U$1,0)),""))</x:f>
      </x:c>
    </x:row>
    <x:row r="600">
      <x:c r="A600" t="n">
        <x:v>59.800000000000004</x:v>
      </x:c>
      <x:c r="B600" t="str">
        <x:f>IF(B$1="","",IFERROR(INDEX('包络曲线数据'!$B$2:$U$742,ROW()-1,MATCH(B$1,'包络曲线数据'!$B$1:$U$1,0)),""))</x:f>
      </x:c>
      <x:c r="C600" t="str">
        <x:f>IF(C$1="","",IFERROR(INDEX('包络曲线数据'!$B$2:$U$742,ROW()-1,MATCH(C$1,'包络曲线数据'!$B$1:$U$1,0)),""))</x:f>
      </x:c>
      <x:c r="D600" t="str">
        <x:f>IF(D$1="","",IFERROR(INDEX('包络曲线数据'!$B$2:$U$742,ROW()-1,MATCH(D$1,'包络曲线数据'!$B$1:$U$1,0)),""))</x:f>
      </x:c>
      <x:c r="E600" t="str">
        <x:f>IF(E$1="","",IFERROR(INDEX('包络曲线数据'!$B$2:$U$742,ROW()-1,MATCH(E$1,'包络曲线数据'!$B$1:$U$1,0)),""))</x:f>
      </x:c>
      <x:c r="F600" t="str">
        <x:f>IF(F$1="","",IFERROR(INDEX('包络曲线数据'!$B$2:$U$742,ROW()-1,MATCH(F$1,'包络曲线数据'!$B$1:$U$1,0)),""))</x:f>
      </x:c>
      <x:c r="G600" t="str">
        <x:f>IF(G$1="","",IFERROR(INDEX('包络曲线数据'!$B$2:$U$742,ROW()-1,MATCH(G$1,'包络曲线数据'!$B$1:$U$1,0)),""))</x:f>
      </x:c>
    </x:row>
    <x:row r="601">
      <x:c r="A601" t="n">
        <x:v>59.900000000000006</x:v>
      </x:c>
      <x:c r="B601" t="str">
        <x:f>IF(B$1="","",IFERROR(INDEX('包络曲线数据'!$B$2:$U$742,ROW()-1,MATCH(B$1,'包络曲线数据'!$B$1:$U$1,0)),""))</x:f>
      </x:c>
      <x:c r="C601" t="str">
        <x:f>IF(C$1="","",IFERROR(INDEX('包络曲线数据'!$B$2:$U$742,ROW()-1,MATCH(C$1,'包络曲线数据'!$B$1:$U$1,0)),""))</x:f>
      </x:c>
      <x:c r="D601" t="str">
        <x:f>IF(D$1="","",IFERROR(INDEX('包络曲线数据'!$B$2:$U$742,ROW()-1,MATCH(D$1,'包络曲线数据'!$B$1:$U$1,0)),""))</x:f>
      </x:c>
      <x:c r="E601" t="str">
        <x:f>IF(E$1="","",IFERROR(INDEX('包络曲线数据'!$B$2:$U$742,ROW()-1,MATCH(E$1,'包络曲线数据'!$B$1:$U$1,0)),""))</x:f>
      </x:c>
      <x:c r="F601" t="str">
        <x:f>IF(F$1="","",IFERROR(INDEX('包络曲线数据'!$B$2:$U$742,ROW()-1,MATCH(F$1,'包络曲线数据'!$B$1:$U$1,0)),""))</x:f>
      </x:c>
      <x:c r="G601" t="str">
        <x:f>IF(G$1="","",IFERROR(INDEX('包络曲线数据'!$B$2:$U$742,ROW()-1,MATCH(G$1,'包络曲线数据'!$B$1:$U$1,0)),""))</x:f>
      </x:c>
    </x:row>
    <x:row r="602">
      <x:c r="A602" t="n">
        <x:v>60</x:v>
      </x:c>
      <x:c r="B602" t="str">
        <x:f>IF(B$1="","",IFERROR(INDEX('包络曲线数据'!$B$2:$U$742,ROW()-1,MATCH(B$1,'包络曲线数据'!$B$1:$U$1,0)),""))</x:f>
      </x:c>
      <x:c r="C602" t="str">
        <x:f>IF(C$1="","",IFERROR(INDEX('包络曲线数据'!$B$2:$U$742,ROW()-1,MATCH(C$1,'包络曲线数据'!$B$1:$U$1,0)),""))</x:f>
      </x:c>
      <x:c r="D602" t="str">
        <x:f>IF(D$1="","",IFERROR(INDEX('包络曲线数据'!$B$2:$U$742,ROW()-1,MATCH(D$1,'包络曲线数据'!$B$1:$U$1,0)),""))</x:f>
      </x:c>
      <x:c r="E602" t="str">
        <x:f>IF(E$1="","",IFERROR(INDEX('包络曲线数据'!$B$2:$U$742,ROW()-1,MATCH(E$1,'包络曲线数据'!$B$1:$U$1,0)),""))</x:f>
      </x:c>
      <x:c r="F602" t="str">
        <x:f>IF(F$1="","",IFERROR(INDEX('包络曲线数据'!$B$2:$U$742,ROW()-1,MATCH(F$1,'包络曲线数据'!$B$1:$U$1,0)),""))</x:f>
      </x:c>
      <x:c r="G602" t="str">
        <x:f>IF(G$1="","",IFERROR(INDEX('包络曲线数据'!$B$2:$U$742,ROW()-1,MATCH(G$1,'包络曲线数据'!$B$1:$U$1,0)),""))</x:f>
      </x:c>
    </x:row>
    <x:row r="603">
      <x:c r="A603" t="n">
        <x:v>60.1</x:v>
      </x:c>
      <x:c r="B603" t="str">
        <x:f>IF(B$1="","",IFERROR(INDEX('包络曲线数据'!$B$2:$U$742,ROW()-1,MATCH(B$1,'包络曲线数据'!$B$1:$U$1,0)),""))</x:f>
      </x:c>
      <x:c r="C603" t="str">
        <x:f>IF(C$1="","",IFERROR(INDEX('包络曲线数据'!$B$2:$U$742,ROW()-1,MATCH(C$1,'包络曲线数据'!$B$1:$U$1,0)),""))</x:f>
      </x:c>
      <x:c r="D603" t="str">
        <x:f>IF(D$1="","",IFERROR(INDEX('包络曲线数据'!$B$2:$U$742,ROW()-1,MATCH(D$1,'包络曲线数据'!$B$1:$U$1,0)),""))</x:f>
      </x:c>
      <x:c r="E603" t="str">
        <x:f>IF(E$1="","",IFERROR(INDEX('包络曲线数据'!$B$2:$U$742,ROW()-1,MATCH(E$1,'包络曲线数据'!$B$1:$U$1,0)),""))</x:f>
      </x:c>
      <x:c r="F603" t="str">
        <x:f>IF(F$1="","",IFERROR(INDEX('包络曲线数据'!$B$2:$U$742,ROW()-1,MATCH(F$1,'包络曲线数据'!$B$1:$U$1,0)),""))</x:f>
      </x:c>
      <x:c r="G603" t="str">
        <x:f>IF(G$1="","",IFERROR(INDEX('包络曲线数据'!$B$2:$U$742,ROW()-1,MATCH(G$1,'包络曲线数据'!$B$1:$U$1,0)),""))</x:f>
      </x:c>
    </x:row>
    <x:row r="604">
      <x:c r="A604" t="n">
        <x:v>60.2</x:v>
      </x:c>
      <x:c r="B604" t="str">
        <x:f>IF(B$1="","",IFERROR(INDEX('包络曲线数据'!$B$2:$U$742,ROW()-1,MATCH(B$1,'包络曲线数据'!$B$1:$U$1,0)),""))</x:f>
      </x:c>
      <x:c r="C604" t="str">
        <x:f>IF(C$1="","",IFERROR(INDEX('包络曲线数据'!$B$2:$U$742,ROW()-1,MATCH(C$1,'包络曲线数据'!$B$1:$U$1,0)),""))</x:f>
      </x:c>
      <x:c r="D604" t="str">
        <x:f>IF(D$1="","",IFERROR(INDEX('包络曲线数据'!$B$2:$U$742,ROW()-1,MATCH(D$1,'包络曲线数据'!$B$1:$U$1,0)),""))</x:f>
      </x:c>
      <x:c r="E604" t="str">
        <x:f>IF(E$1="","",IFERROR(INDEX('包络曲线数据'!$B$2:$U$742,ROW()-1,MATCH(E$1,'包络曲线数据'!$B$1:$U$1,0)),""))</x:f>
      </x:c>
      <x:c r="F604" t="str">
        <x:f>IF(F$1="","",IFERROR(INDEX('包络曲线数据'!$B$2:$U$742,ROW()-1,MATCH(F$1,'包络曲线数据'!$B$1:$U$1,0)),""))</x:f>
      </x:c>
      <x:c r="G604" t="str">
        <x:f>IF(G$1="","",IFERROR(INDEX('包络曲线数据'!$B$2:$U$742,ROW()-1,MATCH(G$1,'包络曲线数据'!$B$1:$U$1,0)),""))</x:f>
      </x:c>
    </x:row>
    <x:row r="605">
      <x:c r="A605" t="n">
        <x:v>60.300000000000004</x:v>
      </x:c>
      <x:c r="B605" t="str">
        <x:f>IF(B$1="","",IFERROR(INDEX('包络曲线数据'!$B$2:$U$742,ROW()-1,MATCH(B$1,'包络曲线数据'!$B$1:$U$1,0)),""))</x:f>
      </x:c>
      <x:c r="C605" t="str">
        <x:f>IF(C$1="","",IFERROR(INDEX('包络曲线数据'!$B$2:$U$742,ROW()-1,MATCH(C$1,'包络曲线数据'!$B$1:$U$1,0)),""))</x:f>
      </x:c>
      <x:c r="D605" t="str">
        <x:f>IF(D$1="","",IFERROR(INDEX('包络曲线数据'!$B$2:$U$742,ROW()-1,MATCH(D$1,'包络曲线数据'!$B$1:$U$1,0)),""))</x:f>
      </x:c>
      <x:c r="E605" t="str">
        <x:f>IF(E$1="","",IFERROR(INDEX('包络曲线数据'!$B$2:$U$742,ROW()-1,MATCH(E$1,'包络曲线数据'!$B$1:$U$1,0)),""))</x:f>
      </x:c>
      <x:c r="F605" t="str">
        <x:f>IF(F$1="","",IFERROR(INDEX('包络曲线数据'!$B$2:$U$742,ROW()-1,MATCH(F$1,'包络曲线数据'!$B$1:$U$1,0)),""))</x:f>
      </x:c>
      <x:c r="G605" t="str">
        <x:f>IF(G$1="","",IFERROR(INDEX('包络曲线数据'!$B$2:$U$742,ROW()-1,MATCH(G$1,'包络曲线数据'!$B$1:$U$1,0)),""))</x:f>
      </x:c>
    </x:row>
    <x:row r="606">
      <x:c r="A606" t="n">
        <x:v>60.400000000000006</x:v>
      </x:c>
      <x:c r="B606" t="str">
        <x:f>IF(B$1="","",IFERROR(INDEX('包络曲线数据'!$B$2:$U$742,ROW()-1,MATCH(B$1,'包络曲线数据'!$B$1:$U$1,0)),""))</x:f>
      </x:c>
      <x:c r="C606" t="str">
        <x:f>IF(C$1="","",IFERROR(INDEX('包络曲线数据'!$B$2:$U$742,ROW()-1,MATCH(C$1,'包络曲线数据'!$B$1:$U$1,0)),""))</x:f>
      </x:c>
      <x:c r="D606" t="str">
        <x:f>IF(D$1="","",IFERROR(INDEX('包络曲线数据'!$B$2:$U$742,ROW()-1,MATCH(D$1,'包络曲线数据'!$B$1:$U$1,0)),""))</x:f>
      </x:c>
      <x:c r="E606" t="str">
        <x:f>IF(E$1="","",IFERROR(INDEX('包络曲线数据'!$B$2:$U$742,ROW()-1,MATCH(E$1,'包络曲线数据'!$B$1:$U$1,0)),""))</x:f>
      </x:c>
      <x:c r="F606" t="str">
        <x:f>IF(F$1="","",IFERROR(INDEX('包络曲线数据'!$B$2:$U$742,ROW()-1,MATCH(F$1,'包络曲线数据'!$B$1:$U$1,0)),""))</x:f>
      </x:c>
      <x:c r="G606" t="str">
        <x:f>IF(G$1="","",IFERROR(INDEX('包络曲线数据'!$B$2:$U$742,ROW()-1,MATCH(G$1,'包络曲线数据'!$B$1:$U$1,0)),""))</x:f>
      </x:c>
    </x:row>
    <x:row r="607">
      <x:c r="A607" t="n">
        <x:v>60.5</x:v>
      </x:c>
      <x:c r="B607" t="str">
        <x:f>IF(B$1="","",IFERROR(INDEX('包络曲线数据'!$B$2:$U$742,ROW()-1,MATCH(B$1,'包络曲线数据'!$B$1:$U$1,0)),""))</x:f>
      </x:c>
      <x:c r="C607" t="str">
        <x:f>IF(C$1="","",IFERROR(INDEX('包络曲线数据'!$B$2:$U$742,ROW()-1,MATCH(C$1,'包络曲线数据'!$B$1:$U$1,0)),""))</x:f>
      </x:c>
      <x:c r="D607" t="str">
        <x:f>IF(D$1="","",IFERROR(INDEX('包络曲线数据'!$B$2:$U$742,ROW()-1,MATCH(D$1,'包络曲线数据'!$B$1:$U$1,0)),""))</x:f>
      </x:c>
      <x:c r="E607" t="str">
        <x:f>IF(E$1="","",IFERROR(INDEX('包络曲线数据'!$B$2:$U$742,ROW()-1,MATCH(E$1,'包络曲线数据'!$B$1:$U$1,0)),""))</x:f>
      </x:c>
      <x:c r="F607" t="str">
        <x:f>IF(F$1="","",IFERROR(INDEX('包络曲线数据'!$B$2:$U$742,ROW()-1,MATCH(F$1,'包络曲线数据'!$B$1:$U$1,0)),""))</x:f>
      </x:c>
      <x:c r="G607" t="str">
        <x:f>IF(G$1="","",IFERROR(INDEX('包络曲线数据'!$B$2:$U$742,ROW()-1,MATCH(G$1,'包络曲线数据'!$B$1:$U$1,0)),""))</x:f>
      </x:c>
    </x:row>
    <x:row r="608">
      <x:c r="A608" t="n">
        <x:v>60.6</x:v>
      </x:c>
      <x:c r="B608" t="str">
        <x:f>IF(B$1="","",IFERROR(INDEX('包络曲线数据'!$B$2:$U$742,ROW()-1,MATCH(B$1,'包络曲线数据'!$B$1:$U$1,0)),""))</x:f>
      </x:c>
      <x:c r="C608" t="str">
        <x:f>IF(C$1="","",IFERROR(INDEX('包络曲线数据'!$B$2:$U$742,ROW()-1,MATCH(C$1,'包络曲线数据'!$B$1:$U$1,0)),""))</x:f>
      </x:c>
      <x:c r="D608" t="str">
        <x:f>IF(D$1="","",IFERROR(INDEX('包络曲线数据'!$B$2:$U$742,ROW()-1,MATCH(D$1,'包络曲线数据'!$B$1:$U$1,0)),""))</x:f>
      </x:c>
      <x:c r="E608" t="str">
        <x:f>IF(E$1="","",IFERROR(INDEX('包络曲线数据'!$B$2:$U$742,ROW()-1,MATCH(E$1,'包络曲线数据'!$B$1:$U$1,0)),""))</x:f>
      </x:c>
      <x:c r="F608" t="str">
        <x:f>IF(F$1="","",IFERROR(INDEX('包络曲线数据'!$B$2:$U$742,ROW()-1,MATCH(F$1,'包络曲线数据'!$B$1:$U$1,0)),""))</x:f>
      </x:c>
      <x:c r="G608" t="str">
        <x:f>IF(G$1="","",IFERROR(INDEX('包络曲线数据'!$B$2:$U$742,ROW()-1,MATCH(G$1,'包络曲线数据'!$B$1:$U$1,0)),""))</x:f>
      </x:c>
    </x:row>
    <x:row r="609">
      <x:c r="A609" t="n">
        <x:v>60.7</x:v>
      </x:c>
      <x:c r="B609" t="str">
        <x:f>IF(B$1="","",IFERROR(INDEX('包络曲线数据'!$B$2:$U$742,ROW()-1,MATCH(B$1,'包络曲线数据'!$B$1:$U$1,0)),""))</x:f>
      </x:c>
      <x:c r="C609" t="str">
        <x:f>IF(C$1="","",IFERROR(INDEX('包络曲线数据'!$B$2:$U$742,ROW()-1,MATCH(C$1,'包络曲线数据'!$B$1:$U$1,0)),""))</x:f>
      </x:c>
      <x:c r="D609" t="str">
        <x:f>IF(D$1="","",IFERROR(INDEX('包络曲线数据'!$B$2:$U$742,ROW()-1,MATCH(D$1,'包络曲线数据'!$B$1:$U$1,0)),""))</x:f>
      </x:c>
      <x:c r="E609" t="str">
        <x:f>IF(E$1="","",IFERROR(INDEX('包络曲线数据'!$B$2:$U$742,ROW()-1,MATCH(E$1,'包络曲线数据'!$B$1:$U$1,0)),""))</x:f>
      </x:c>
      <x:c r="F609" t="str">
        <x:f>IF(F$1="","",IFERROR(INDEX('包络曲线数据'!$B$2:$U$742,ROW()-1,MATCH(F$1,'包络曲线数据'!$B$1:$U$1,0)),""))</x:f>
      </x:c>
      <x:c r="G609" t="str">
        <x:f>IF(G$1="","",IFERROR(INDEX('包络曲线数据'!$B$2:$U$742,ROW()-1,MATCH(G$1,'包络曲线数据'!$B$1:$U$1,0)),""))</x:f>
      </x:c>
    </x:row>
    <x:row r="610">
      <x:c r="A610" t="n">
        <x:v>60.800000000000004</x:v>
      </x:c>
      <x:c r="B610" t="str">
        <x:f>IF(B$1="","",IFERROR(INDEX('包络曲线数据'!$B$2:$U$742,ROW()-1,MATCH(B$1,'包络曲线数据'!$B$1:$U$1,0)),""))</x:f>
      </x:c>
      <x:c r="C610" t="str">
        <x:f>IF(C$1="","",IFERROR(INDEX('包络曲线数据'!$B$2:$U$742,ROW()-1,MATCH(C$1,'包络曲线数据'!$B$1:$U$1,0)),""))</x:f>
      </x:c>
      <x:c r="D610" t="str">
        <x:f>IF(D$1="","",IFERROR(INDEX('包络曲线数据'!$B$2:$U$742,ROW()-1,MATCH(D$1,'包络曲线数据'!$B$1:$U$1,0)),""))</x:f>
      </x:c>
      <x:c r="E610" t="str">
        <x:f>IF(E$1="","",IFERROR(INDEX('包络曲线数据'!$B$2:$U$742,ROW()-1,MATCH(E$1,'包络曲线数据'!$B$1:$U$1,0)),""))</x:f>
      </x:c>
      <x:c r="F610" t="str">
        <x:f>IF(F$1="","",IFERROR(INDEX('包络曲线数据'!$B$2:$U$742,ROW()-1,MATCH(F$1,'包络曲线数据'!$B$1:$U$1,0)),""))</x:f>
      </x:c>
      <x:c r="G610" t="str">
        <x:f>IF(G$1="","",IFERROR(INDEX('包络曲线数据'!$B$2:$U$742,ROW()-1,MATCH(G$1,'包络曲线数据'!$B$1:$U$1,0)),""))</x:f>
      </x:c>
    </x:row>
    <x:row r="611">
      <x:c r="A611" t="n">
        <x:v>60.900000000000006</x:v>
      </x:c>
      <x:c r="B611" t="str">
        <x:f>IF(B$1="","",IFERROR(INDEX('包络曲线数据'!$B$2:$U$742,ROW()-1,MATCH(B$1,'包络曲线数据'!$B$1:$U$1,0)),""))</x:f>
      </x:c>
      <x:c r="C611" t="str">
        <x:f>IF(C$1="","",IFERROR(INDEX('包络曲线数据'!$B$2:$U$742,ROW()-1,MATCH(C$1,'包络曲线数据'!$B$1:$U$1,0)),""))</x:f>
      </x:c>
      <x:c r="D611" t="str">
        <x:f>IF(D$1="","",IFERROR(INDEX('包络曲线数据'!$B$2:$U$742,ROW()-1,MATCH(D$1,'包络曲线数据'!$B$1:$U$1,0)),""))</x:f>
      </x:c>
      <x:c r="E611" t="str">
        <x:f>IF(E$1="","",IFERROR(INDEX('包络曲线数据'!$B$2:$U$742,ROW()-1,MATCH(E$1,'包络曲线数据'!$B$1:$U$1,0)),""))</x:f>
      </x:c>
      <x:c r="F611" t="str">
        <x:f>IF(F$1="","",IFERROR(INDEX('包络曲线数据'!$B$2:$U$742,ROW()-1,MATCH(F$1,'包络曲线数据'!$B$1:$U$1,0)),""))</x:f>
      </x:c>
      <x:c r="G611" t="str">
        <x:f>IF(G$1="","",IFERROR(INDEX('包络曲线数据'!$B$2:$U$742,ROW()-1,MATCH(G$1,'包络曲线数据'!$B$1:$U$1,0)),""))</x:f>
      </x:c>
    </x:row>
    <x:row r="612">
      <x:c r="A612" t="n">
        <x:v>61</x:v>
      </x:c>
      <x:c r="B612" t="str">
        <x:f>IF(B$1="","",IFERROR(INDEX('包络曲线数据'!$B$2:$U$742,ROW()-1,MATCH(B$1,'包络曲线数据'!$B$1:$U$1,0)),""))</x:f>
      </x:c>
      <x:c r="C612" t="str">
        <x:f>IF(C$1="","",IFERROR(INDEX('包络曲线数据'!$B$2:$U$742,ROW()-1,MATCH(C$1,'包络曲线数据'!$B$1:$U$1,0)),""))</x:f>
      </x:c>
      <x:c r="D612" t="str">
        <x:f>IF(D$1="","",IFERROR(INDEX('包络曲线数据'!$B$2:$U$742,ROW()-1,MATCH(D$1,'包络曲线数据'!$B$1:$U$1,0)),""))</x:f>
      </x:c>
      <x:c r="E612" t="str">
        <x:f>IF(E$1="","",IFERROR(INDEX('包络曲线数据'!$B$2:$U$742,ROW()-1,MATCH(E$1,'包络曲线数据'!$B$1:$U$1,0)),""))</x:f>
      </x:c>
      <x:c r="F612" t="str">
        <x:f>IF(F$1="","",IFERROR(INDEX('包络曲线数据'!$B$2:$U$742,ROW()-1,MATCH(F$1,'包络曲线数据'!$B$1:$U$1,0)),""))</x:f>
      </x:c>
      <x:c r="G612" t="str">
        <x:f>IF(G$1="","",IFERROR(INDEX('包络曲线数据'!$B$2:$U$742,ROW()-1,MATCH(G$1,'包络曲线数据'!$B$1:$U$1,0)),""))</x:f>
      </x:c>
    </x:row>
    <x:row r="613">
      <x:c r="A613" t="n">
        <x:v>61.1</x:v>
      </x:c>
      <x:c r="B613" t="str">
        <x:f>IF(B$1="","",IFERROR(INDEX('包络曲线数据'!$B$2:$U$742,ROW()-1,MATCH(B$1,'包络曲线数据'!$B$1:$U$1,0)),""))</x:f>
      </x:c>
      <x:c r="C613" t="str">
        <x:f>IF(C$1="","",IFERROR(INDEX('包络曲线数据'!$B$2:$U$742,ROW()-1,MATCH(C$1,'包络曲线数据'!$B$1:$U$1,0)),""))</x:f>
      </x:c>
      <x:c r="D613" t="str">
        <x:f>IF(D$1="","",IFERROR(INDEX('包络曲线数据'!$B$2:$U$742,ROW()-1,MATCH(D$1,'包络曲线数据'!$B$1:$U$1,0)),""))</x:f>
      </x:c>
      <x:c r="E613" t="str">
        <x:f>IF(E$1="","",IFERROR(INDEX('包络曲线数据'!$B$2:$U$742,ROW()-1,MATCH(E$1,'包络曲线数据'!$B$1:$U$1,0)),""))</x:f>
      </x:c>
      <x:c r="F613" t="str">
        <x:f>IF(F$1="","",IFERROR(INDEX('包络曲线数据'!$B$2:$U$742,ROW()-1,MATCH(F$1,'包络曲线数据'!$B$1:$U$1,0)),""))</x:f>
      </x:c>
      <x:c r="G613" t="str">
        <x:f>IF(G$1="","",IFERROR(INDEX('包络曲线数据'!$B$2:$U$742,ROW()-1,MATCH(G$1,'包络曲线数据'!$B$1:$U$1,0)),""))</x:f>
      </x:c>
    </x:row>
    <x:row r="614">
      <x:c r="A614" t="n">
        <x:v>61.2</x:v>
      </x:c>
      <x:c r="B614" t="str">
        <x:f>IF(B$1="","",IFERROR(INDEX('包络曲线数据'!$B$2:$U$742,ROW()-1,MATCH(B$1,'包络曲线数据'!$B$1:$U$1,0)),""))</x:f>
      </x:c>
      <x:c r="C614" t="str">
        <x:f>IF(C$1="","",IFERROR(INDEX('包络曲线数据'!$B$2:$U$742,ROW()-1,MATCH(C$1,'包络曲线数据'!$B$1:$U$1,0)),""))</x:f>
      </x:c>
      <x:c r="D614" t="str">
        <x:f>IF(D$1="","",IFERROR(INDEX('包络曲线数据'!$B$2:$U$742,ROW()-1,MATCH(D$1,'包络曲线数据'!$B$1:$U$1,0)),""))</x:f>
      </x:c>
      <x:c r="E614" t="str">
        <x:f>IF(E$1="","",IFERROR(INDEX('包络曲线数据'!$B$2:$U$742,ROW()-1,MATCH(E$1,'包络曲线数据'!$B$1:$U$1,0)),""))</x:f>
      </x:c>
      <x:c r="F614" t="str">
        <x:f>IF(F$1="","",IFERROR(INDEX('包络曲线数据'!$B$2:$U$742,ROW()-1,MATCH(F$1,'包络曲线数据'!$B$1:$U$1,0)),""))</x:f>
      </x:c>
      <x:c r="G614" t="str">
        <x:f>IF(G$1="","",IFERROR(INDEX('包络曲线数据'!$B$2:$U$742,ROW()-1,MATCH(G$1,'包络曲线数据'!$B$1:$U$1,0)),""))</x:f>
      </x:c>
    </x:row>
    <x:row r="615">
      <x:c r="A615" t="n">
        <x:v>61.300000000000004</x:v>
      </x:c>
      <x:c r="B615" t="str">
        <x:f>IF(B$1="","",IFERROR(INDEX('包络曲线数据'!$B$2:$U$742,ROW()-1,MATCH(B$1,'包络曲线数据'!$B$1:$U$1,0)),""))</x:f>
      </x:c>
      <x:c r="C615" t="str">
        <x:f>IF(C$1="","",IFERROR(INDEX('包络曲线数据'!$B$2:$U$742,ROW()-1,MATCH(C$1,'包络曲线数据'!$B$1:$U$1,0)),""))</x:f>
      </x:c>
      <x:c r="D615" t="str">
        <x:f>IF(D$1="","",IFERROR(INDEX('包络曲线数据'!$B$2:$U$742,ROW()-1,MATCH(D$1,'包络曲线数据'!$B$1:$U$1,0)),""))</x:f>
      </x:c>
      <x:c r="E615" t="str">
        <x:f>IF(E$1="","",IFERROR(INDEX('包络曲线数据'!$B$2:$U$742,ROW()-1,MATCH(E$1,'包络曲线数据'!$B$1:$U$1,0)),""))</x:f>
      </x:c>
      <x:c r="F615" t="str">
        <x:f>IF(F$1="","",IFERROR(INDEX('包络曲线数据'!$B$2:$U$742,ROW()-1,MATCH(F$1,'包络曲线数据'!$B$1:$U$1,0)),""))</x:f>
      </x:c>
      <x:c r="G615" t="str">
        <x:f>IF(G$1="","",IFERROR(INDEX('包络曲线数据'!$B$2:$U$742,ROW()-1,MATCH(G$1,'包络曲线数据'!$B$1:$U$1,0)),""))</x:f>
      </x:c>
    </x:row>
    <x:row r="616">
      <x:c r="A616" t="n">
        <x:v>61.400000000000006</x:v>
      </x:c>
      <x:c r="B616" t="str">
        <x:f>IF(B$1="","",IFERROR(INDEX('包络曲线数据'!$B$2:$U$742,ROW()-1,MATCH(B$1,'包络曲线数据'!$B$1:$U$1,0)),""))</x:f>
      </x:c>
      <x:c r="C616" t="str">
        <x:f>IF(C$1="","",IFERROR(INDEX('包络曲线数据'!$B$2:$U$742,ROW()-1,MATCH(C$1,'包络曲线数据'!$B$1:$U$1,0)),""))</x:f>
      </x:c>
      <x:c r="D616" t="str">
        <x:f>IF(D$1="","",IFERROR(INDEX('包络曲线数据'!$B$2:$U$742,ROW()-1,MATCH(D$1,'包络曲线数据'!$B$1:$U$1,0)),""))</x:f>
      </x:c>
      <x:c r="E616" t="str">
        <x:f>IF(E$1="","",IFERROR(INDEX('包络曲线数据'!$B$2:$U$742,ROW()-1,MATCH(E$1,'包络曲线数据'!$B$1:$U$1,0)),""))</x:f>
      </x:c>
      <x:c r="F616" t="str">
        <x:f>IF(F$1="","",IFERROR(INDEX('包络曲线数据'!$B$2:$U$742,ROW()-1,MATCH(F$1,'包络曲线数据'!$B$1:$U$1,0)),""))</x:f>
      </x:c>
      <x:c r="G616" t="str">
        <x:f>IF(G$1="","",IFERROR(INDEX('包络曲线数据'!$B$2:$U$742,ROW()-1,MATCH(G$1,'包络曲线数据'!$B$1:$U$1,0)),""))</x:f>
      </x:c>
    </x:row>
    <x:row r="617">
      <x:c r="A617" t="n">
        <x:v>61.5</x:v>
      </x:c>
      <x:c r="B617" t="str">
        <x:f>IF(B$1="","",IFERROR(INDEX('包络曲线数据'!$B$2:$U$742,ROW()-1,MATCH(B$1,'包络曲线数据'!$B$1:$U$1,0)),""))</x:f>
      </x:c>
      <x:c r="C617" t="str">
        <x:f>IF(C$1="","",IFERROR(INDEX('包络曲线数据'!$B$2:$U$742,ROW()-1,MATCH(C$1,'包络曲线数据'!$B$1:$U$1,0)),""))</x:f>
      </x:c>
      <x:c r="D617" t="str">
        <x:f>IF(D$1="","",IFERROR(INDEX('包络曲线数据'!$B$2:$U$742,ROW()-1,MATCH(D$1,'包络曲线数据'!$B$1:$U$1,0)),""))</x:f>
      </x:c>
      <x:c r="E617" t="str">
        <x:f>IF(E$1="","",IFERROR(INDEX('包络曲线数据'!$B$2:$U$742,ROW()-1,MATCH(E$1,'包络曲线数据'!$B$1:$U$1,0)),""))</x:f>
      </x:c>
      <x:c r="F617" t="str">
        <x:f>IF(F$1="","",IFERROR(INDEX('包络曲线数据'!$B$2:$U$742,ROW()-1,MATCH(F$1,'包络曲线数据'!$B$1:$U$1,0)),""))</x:f>
      </x:c>
      <x:c r="G617" t="str">
        <x:f>IF(G$1="","",IFERROR(INDEX('包络曲线数据'!$B$2:$U$742,ROW()-1,MATCH(G$1,'包络曲线数据'!$B$1:$U$1,0)),""))</x:f>
      </x:c>
    </x:row>
    <x:row r="618">
      <x:c r="A618" t="n">
        <x:v>61.6</x:v>
      </x:c>
      <x:c r="B618" t="str">
        <x:f>IF(B$1="","",IFERROR(INDEX('包络曲线数据'!$B$2:$U$742,ROW()-1,MATCH(B$1,'包络曲线数据'!$B$1:$U$1,0)),""))</x:f>
      </x:c>
      <x:c r="C618" t="str">
        <x:f>IF(C$1="","",IFERROR(INDEX('包络曲线数据'!$B$2:$U$742,ROW()-1,MATCH(C$1,'包络曲线数据'!$B$1:$U$1,0)),""))</x:f>
      </x:c>
      <x:c r="D618" t="str">
        <x:f>IF(D$1="","",IFERROR(INDEX('包络曲线数据'!$B$2:$U$742,ROW()-1,MATCH(D$1,'包络曲线数据'!$B$1:$U$1,0)),""))</x:f>
      </x:c>
      <x:c r="E618" t="str">
        <x:f>IF(E$1="","",IFERROR(INDEX('包络曲线数据'!$B$2:$U$742,ROW()-1,MATCH(E$1,'包络曲线数据'!$B$1:$U$1,0)),""))</x:f>
      </x:c>
      <x:c r="F618" t="str">
        <x:f>IF(F$1="","",IFERROR(INDEX('包络曲线数据'!$B$2:$U$742,ROW()-1,MATCH(F$1,'包络曲线数据'!$B$1:$U$1,0)),""))</x:f>
      </x:c>
      <x:c r="G618" t="str">
        <x:f>IF(G$1="","",IFERROR(INDEX('包络曲线数据'!$B$2:$U$742,ROW()-1,MATCH(G$1,'包络曲线数据'!$B$1:$U$1,0)),""))</x:f>
      </x:c>
    </x:row>
    <x:row r="619">
      <x:c r="A619" t="n">
        <x:v>61.7</x:v>
      </x:c>
      <x:c r="B619" t="str">
        <x:f>IF(B$1="","",IFERROR(INDEX('包络曲线数据'!$B$2:$U$742,ROW()-1,MATCH(B$1,'包络曲线数据'!$B$1:$U$1,0)),""))</x:f>
      </x:c>
      <x:c r="C619" t="str">
        <x:f>IF(C$1="","",IFERROR(INDEX('包络曲线数据'!$B$2:$U$742,ROW()-1,MATCH(C$1,'包络曲线数据'!$B$1:$U$1,0)),""))</x:f>
      </x:c>
      <x:c r="D619" t="str">
        <x:f>IF(D$1="","",IFERROR(INDEX('包络曲线数据'!$B$2:$U$742,ROW()-1,MATCH(D$1,'包络曲线数据'!$B$1:$U$1,0)),""))</x:f>
      </x:c>
      <x:c r="E619" t="str">
        <x:f>IF(E$1="","",IFERROR(INDEX('包络曲线数据'!$B$2:$U$742,ROW()-1,MATCH(E$1,'包络曲线数据'!$B$1:$U$1,0)),""))</x:f>
      </x:c>
      <x:c r="F619" t="str">
        <x:f>IF(F$1="","",IFERROR(INDEX('包络曲线数据'!$B$2:$U$742,ROW()-1,MATCH(F$1,'包络曲线数据'!$B$1:$U$1,0)),""))</x:f>
      </x:c>
      <x:c r="G619" t="str">
        <x:f>IF(G$1="","",IFERROR(INDEX('包络曲线数据'!$B$2:$U$742,ROW()-1,MATCH(G$1,'包络曲线数据'!$B$1:$U$1,0)),""))</x:f>
      </x:c>
    </x:row>
    <x:row r="620">
      <x:c r="A620" t="n">
        <x:v>61.800000000000004</x:v>
      </x:c>
      <x:c r="B620" t="str">
        <x:f>IF(B$1="","",IFERROR(INDEX('包络曲线数据'!$B$2:$U$742,ROW()-1,MATCH(B$1,'包络曲线数据'!$B$1:$U$1,0)),""))</x:f>
      </x:c>
      <x:c r="C620" t="str">
        <x:f>IF(C$1="","",IFERROR(INDEX('包络曲线数据'!$B$2:$U$742,ROW()-1,MATCH(C$1,'包络曲线数据'!$B$1:$U$1,0)),""))</x:f>
      </x:c>
      <x:c r="D620" t="str">
        <x:f>IF(D$1="","",IFERROR(INDEX('包络曲线数据'!$B$2:$U$742,ROW()-1,MATCH(D$1,'包络曲线数据'!$B$1:$U$1,0)),""))</x:f>
      </x:c>
      <x:c r="E620" t="str">
        <x:f>IF(E$1="","",IFERROR(INDEX('包络曲线数据'!$B$2:$U$742,ROW()-1,MATCH(E$1,'包络曲线数据'!$B$1:$U$1,0)),""))</x:f>
      </x:c>
      <x:c r="F620" t="str">
        <x:f>IF(F$1="","",IFERROR(INDEX('包络曲线数据'!$B$2:$U$742,ROW()-1,MATCH(F$1,'包络曲线数据'!$B$1:$U$1,0)),""))</x:f>
      </x:c>
      <x:c r="G620" t="str">
        <x:f>IF(G$1="","",IFERROR(INDEX('包络曲线数据'!$B$2:$U$742,ROW()-1,MATCH(G$1,'包络曲线数据'!$B$1:$U$1,0)),""))</x:f>
      </x:c>
    </x:row>
    <x:row r="621">
      <x:c r="A621" t="n">
        <x:v>61.900000000000006</x:v>
      </x:c>
      <x:c r="B621" t="str">
        <x:f>IF(B$1="","",IFERROR(INDEX('包络曲线数据'!$B$2:$U$742,ROW()-1,MATCH(B$1,'包络曲线数据'!$B$1:$U$1,0)),""))</x:f>
      </x:c>
      <x:c r="C621" t="str">
        <x:f>IF(C$1="","",IFERROR(INDEX('包络曲线数据'!$B$2:$U$742,ROW()-1,MATCH(C$1,'包络曲线数据'!$B$1:$U$1,0)),""))</x:f>
      </x:c>
      <x:c r="D621" t="str">
        <x:f>IF(D$1="","",IFERROR(INDEX('包络曲线数据'!$B$2:$U$742,ROW()-1,MATCH(D$1,'包络曲线数据'!$B$1:$U$1,0)),""))</x:f>
      </x:c>
      <x:c r="E621" t="str">
        <x:f>IF(E$1="","",IFERROR(INDEX('包络曲线数据'!$B$2:$U$742,ROW()-1,MATCH(E$1,'包络曲线数据'!$B$1:$U$1,0)),""))</x:f>
      </x:c>
      <x:c r="F621" t="str">
        <x:f>IF(F$1="","",IFERROR(INDEX('包络曲线数据'!$B$2:$U$742,ROW()-1,MATCH(F$1,'包络曲线数据'!$B$1:$U$1,0)),""))</x:f>
      </x:c>
      <x:c r="G621" t="str">
        <x:f>IF(G$1="","",IFERROR(INDEX('包络曲线数据'!$B$2:$U$742,ROW()-1,MATCH(G$1,'包络曲线数据'!$B$1:$U$1,0)),""))</x:f>
      </x:c>
    </x:row>
    <x:row r="622">
      <x:c r="A622" t="n">
        <x:v>62</x:v>
      </x:c>
      <x:c r="B622" t="str">
        <x:f>IF(B$1="","",IFERROR(INDEX('包络曲线数据'!$B$2:$U$742,ROW()-1,MATCH(B$1,'包络曲线数据'!$B$1:$U$1,0)),""))</x:f>
      </x:c>
      <x:c r="C622" t="str">
        <x:f>IF(C$1="","",IFERROR(INDEX('包络曲线数据'!$B$2:$U$742,ROW()-1,MATCH(C$1,'包络曲线数据'!$B$1:$U$1,0)),""))</x:f>
      </x:c>
      <x:c r="D622" t="str">
        <x:f>IF(D$1="","",IFERROR(INDEX('包络曲线数据'!$B$2:$U$742,ROW()-1,MATCH(D$1,'包络曲线数据'!$B$1:$U$1,0)),""))</x:f>
      </x:c>
      <x:c r="E622" t="str">
        <x:f>IF(E$1="","",IFERROR(INDEX('包络曲线数据'!$B$2:$U$742,ROW()-1,MATCH(E$1,'包络曲线数据'!$B$1:$U$1,0)),""))</x:f>
      </x:c>
      <x:c r="F622" t="str">
        <x:f>IF(F$1="","",IFERROR(INDEX('包络曲线数据'!$B$2:$U$742,ROW()-1,MATCH(F$1,'包络曲线数据'!$B$1:$U$1,0)),""))</x:f>
      </x:c>
      <x:c r="G622" t="str">
        <x:f>IF(G$1="","",IFERROR(INDEX('包络曲线数据'!$B$2:$U$742,ROW()-1,MATCH(G$1,'包络曲线数据'!$B$1:$U$1,0)),""))</x:f>
      </x:c>
    </x:row>
    <x:row r="623">
      <x:c r="A623" t="n">
        <x:v>62.1</x:v>
      </x:c>
      <x:c r="B623" t="str">
        <x:f>IF(B$1="","",IFERROR(INDEX('包络曲线数据'!$B$2:$U$742,ROW()-1,MATCH(B$1,'包络曲线数据'!$B$1:$U$1,0)),""))</x:f>
      </x:c>
      <x:c r="C623" t="str">
        <x:f>IF(C$1="","",IFERROR(INDEX('包络曲线数据'!$B$2:$U$742,ROW()-1,MATCH(C$1,'包络曲线数据'!$B$1:$U$1,0)),""))</x:f>
      </x:c>
      <x:c r="D623" t="str">
        <x:f>IF(D$1="","",IFERROR(INDEX('包络曲线数据'!$B$2:$U$742,ROW()-1,MATCH(D$1,'包络曲线数据'!$B$1:$U$1,0)),""))</x:f>
      </x:c>
      <x:c r="E623" t="str">
        <x:f>IF(E$1="","",IFERROR(INDEX('包络曲线数据'!$B$2:$U$742,ROW()-1,MATCH(E$1,'包络曲线数据'!$B$1:$U$1,0)),""))</x:f>
      </x:c>
      <x:c r="F623" t="str">
        <x:f>IF(F$1="","",IFERROR(INDEX('包络曲线数据'!$B$2:$U$742,ROW()-1,MATCH(F$1,'包络曲线数据'!$B$1:$U$1,0)),""))</x:f>
      </x:c>
      <x:c r="G623" t="str">
        <x:f>IF(G$1="","",IFERROR(INDEX('包络曲线数据'!$B$2:$U$742,ROW()-1,MATCH(G$1,'包络曲线数据'!$B$1:$U$1,0)),""))</x:f>
      </x:c>
    </x:row>
    <x:row r="624">
      <x:c r="A624" t="n">
        <x:v>62.2</x:v>
      </x:c>
      <x:c r="B624" t="str">
        <x:f>IF(B$1="","",IFERROR(INDEX('包络曲线数据'!$B$2:$U$742,ROW()-1,MATCH(B$1,'包络曲线数据'!$B$1:$U$1,0)),""))</x:f>
      </x:c>
      <x:c r="C624" t="str">
        <x:f>IF(C$1="","",IFERROR(INDEX('包络曲线数据'!$B$2:$U$742,ROW()-1,MATCH(C$1,'包络曲线数据'!$B$1:$U$1,0)),""))</x:f>
      </x:c>
      <x:c r="D624" t="str">
        <x:f>IF(D$1="","",IFERROR(INDEX('包络曲线数据'!$B$2:$U$742,ROW()-1,MATCH(D$1,'包络曲线数据'!$B$1:$U$1,0)),""))</x:f>
      </x:c>
      <x:c r="E624" t="str">
        <x:f>IF(E$1="","",IFERROR(INDEX('包络曲线数据'!$B$2:$U$742,ROW()-1,MATCH(E$1,'包络曲线数据'!$B$1:$U$1,0)),""))</x:f>
      </x:c>
      <x:c r="F624" t="str">
        <x:f>IF(F$1="","",IFERROR(INDEX('包络曲线数据'!$B$2:$U$742,ROW()-1,MATCH(F$1,'包络曲线数据'!$B$1:$U$1,0)),""))</x:f>
      </x:c>
      <x:c r="G624" t="str">
        <x:f>IF(G$1="","",IFERROR(INDEX('包络曲线数据'!$B$2:$U$742,ROW()-1,MATCH(G$1,'包络曲线数据'!$B$1:$U$1,0)),""))</x:f>
      </x:c>
    </x:row>
    <x:row r="625">
      <x:c r="A625" t="n">
        <x:v>62.300000000000004</x:v>
      </x:c>
      <x:c r="B625" t="str">
        <x:f>IF(B$1="","",IFERROR(INDEX('包络曲线数据'!$B$2:$U$742,ROW()-1,MATCH(B$1,'包络曲线数据'!$B$1:$U$1,0)),""))</x:f>
      </x:c>
      <x:c r="C625" t="str">
        <x:f>IF(C$1="","",IFERROR(INDEX('包络曲线数据'!$B$2:$U$742,ROW()-1,MATCH(C$1,'包络曲线数据'!$B$1:$U$1,0)),""))</x:f>
      </x:c>
      <x:c r="D625" t="str">
        <x:f>IF(D$1="","",IFERROR(INDEX('包络曲线数据'!$B$2:$U$742,ROW()-1,MATCH(D$1,'包络曲线数据'!$B$1:$U$1,0)),""))</x:f>
      </x:c>
      <x:c r="E625" t="str">
        <x:f>IF(E$1="","",IFERROR(INDEX('包络曲线数据'!$B$2:$U$742,ROW()-1,MATCH(E$1,'包络曲线数据'!$B$1:$U$1,0)),""))</x:f>
      </x:c>
      <x:c r="F625" t="str">
        <x:f>IF(F$1="","",IFERROR(INDEX('包络曲线数据'!$B$2:$U$742,ROW()-1,MATCH(F$1,'包络曲线数据'!$B$1:$U$1,0)),""))</x:f>
      </x:c>
      <x:c r="G625" t="str">
        <x:f>IF(G$1="","",IFERROR(INDEX('包络曲线数据'!$B$2:$U$742,ROW()-1,MATCH(G$1,'包络曲线数据'!$B$1:$U$1,0)),""))</x:f>
      </x:c>
    </x:row>
    <x:row r="626">
      <x:c r="A626" t="n">
        <x:v>62.400000000000006</x:v>
      </x:c>
      <x:c r="B626" t="str">
        <x:f>IF(B$1="","",IFERROR(INDEX('包络曲线数据'!$B$2:$U$742,ROW()-1,MATCH(B$1,'包络曲线数据'!$B$1:$U$1,0)),""))</x:f>
      </x:c>
      <x:c r="C626" t="str">
        <x:f>IF(C$1="","",IFERROR(INDEX('包络曲线数据'!$B$2:$U$742,ROW()-1,MATCH(C$1,'包络曲线数据'!$B$1:$U$1,0)),""))</x:f>
      </x:c>
      <x:c r="D626" t="str">
        <x:f>IF(D$1="","",IFERROR(INDEX('包络曲线数据'!$B$2:$U$742,ROW()-1,MATCH(D$1,'包络曲线数据'!$B$1:$U$1,0)),""))</x:f>
      </x:c>
      <x:c r="E626" t="str">
        <x:f>IF(E$1="","",IFERROR(INDEX('包络曲线数据'!$B$2:$U$742,ROW()-1,MATCH(E$1,'包络曲线数据'!$B$1:$U$1,0)),""))</x:f>
      </x:c>
      <x:c r="F626" t="str">
        <x:f>IF(F$1="","",IFERROR(INDEX('包络曲线数据'!$B$2:$U$742,ROW()-1,MATCH(F$1,'包络曲线数据'!$B$1:$U$1,0)),""))</x:f>
      </x:c>
      <x:c r="G626" t="str">
        <x:f>IF(G$1="","",IFERROR(INDEX('包络曲线数据'!$B$2:$U$742,ROW()-1,MATCH(G$1,'包络曲线数据'!$B$1:$U$1,0)),""))</x:f>
      </x:c>
    </x:row>
    <x:row r="627">
      <x:c r="A627" t="n">
        <x:v>62.5</x:v>
      </x:c>
      <x:c r="B627" t="str">
        <x:f>IF(B$1="","",IFERROR(INDEX('包络曲线数据'!$B$2:$U$742,ROW()-1,MATCH(B$1,'包络曲线数据'!$B$1:$U$1,0)),""))</x:f>
      </x:c>
      <x:c r="C627" t="str">
        <x:f>IF(C$1="","",IFERROR(INDEX('包络曲线数据'!$B$2:$U$742,ROW()-1,MATCH(C$1,'包络曲线数据'!$B$1:$U$1,0)),""))</x:f>
      </x:c>
      <x:c r="D627" t="str">
        <x:f>IF(D$1="","",IFERROR(INDEX('包络曲线数据'!$B$2:$U$742,ROW()-1,MATCH(D$1,'包络曲线数据'!$B$1:$U$1,0)),""))</x:f>
      </x:c>
      <x:c r="E627" t="str">
        <x:f>IF(E$1="","",IFERROR(INDEX('包络曲线数据'!$B$2:$U$742,ROW()-1,MATCH(E$1,'包络曲线数据'!$B$1:$U$1,0)),""))</x:f>
      </x:c>
      <x:c r="F627" t="str">
        <x:f>IF(F$1="","",IFERROR(INDEX('包络曲线数据'!$B$2:$U$742,ROW()-1,MATCH(F$1,'包络曲线数据'!$B$1:$U$1,0)),""))</x:f>
      </x:c>
      <x:c r="G627" t="str">
        <x:f>IF(G$1="","",IFERROR(INDEX('包络曲线数据'!$B$2:$U$742,ROW()-1,MATCH(G$1,'包络曲线数据'!$B$1:$U$1,0)),""))</x:f>
      </x:c>
    </x:row>
    <x:row r="628">
      <x:c r="A628" t="n">
        <x:v>62.6</x:v>
      </x:c>
      <x:c r="B628" t="str">
        <x:f>IF(B$1="","",IFERROR(INDEX('包络曲线数据'!$B$2:$U$742,ROW()-1,MATCH(B$1,'包络曲线数据'!$B$1:$U$1,0)),""))</x:f>
      </x:c>
      <x:c r="C628" t="str">
        <x:f>IF(C$1="","",IFERROR(INDEX('包络曲线数据'!$B$2:$U$742,ROW()-1,MATCH(C$1,'包络曲线数据'!$B$1:$U$1,0)),""))</x:f>
      </x:c>
      <x:c r="D628" t="str">
        <x:f>IF(D$1="","",IFERROR(INDEX('包络曲线数据'!$B$2:$U$742,ROW()-1,MATCH(D$1,'包络曲线数据'!$B$1:$U$1,0)),""))</x:f>
      </x:c>
      <x:c r="E628" t="str">
        <x:f>IF(E$1="","",IFERROR(INDEX('包络曲线数据'!$B$2:$U$742,ROW()-1,MATCH(E$1,'包络曲线数据'!$B$1:$U$1,0)),""))</x:f>
      </x:c>
      <x:c r="F628" t="str">
        <x:f>IF(F$1="","",IFERROR(INDEX('包络曲线数据'!$B$2:$U$742,ROW()-1,MATCH(F$1,'包络曲线数据'!$B$1:$U$1,0)),""))</x:f>
      </x:c>
      <x:c r="G628" t="str">
        <x:f>IF(G$1="","",IFERROR(INDEX('包络曲线数据'!$B$2:$U$742,ROW()-1,MATCH(G$1,'包络曲线数据'!$B$1:$U$1,0)),""))</x:f>
      </x:c>
    </x:row>
    <x:row r="629">
      <x:c r="A629" t="n">
        <x:v>62.7</x:v>
      </x:c>
      <x:c r="B629" t="str">
        <x:f>IF(B$1="","",IFERROR(INDEX('包络曲线数据'!$B$2:$U$742,ROW()-1,MATCH(B$1,'包络曲线数据'!$B$1:$U$1,0)),""))</x:f>
      </x:c>
      <x:c r="C629" t="str">
        <x:f>IF(C$1="","",IFERROR(INDEX('包络曲线数据'!$B$2:$U$742,ROW()-1,MATCH(C$1,'包络曲线数据'!$B$1:$U$1,0)),""))</x:f>
      </x:c>
      <x:c r="D629" t="str">
        <x:f>IF(D$1="","",IFERROR(INDEX('包络曲线数据'!$B$2:$U$742,ROW()-1,MATCH(D$1,'包络曲线数据'!$B$1:$U$1,0)),""))</x:f>
      </x:c>
      <x:c r="E629" t="str">
        <x:f>IF(E$1="","",IFERROR(INDEX('包络曲线数据'!$B$2:$U$742,ROW()-1,MATCH(E$1,'包络曲线数据'!$B$1:$U$1,0)),""))</x:f>
      </x:c>
      <x:c r="F629" t="str">
        <x:f>IF(F$1="","",IFERROR(INDEX('包络曲线数据'!$B$2:$U$742,ROW()-1,MATCH(F$1,'包络曲线数据'!$B$1:$U$1,0)),""))</x:f>
      </x:c>
      <x:c r="G629" t="str">
        <x:f>IF(G$1="","",IFERROR(INDEX('包络曲线数据'!$B$2:$U$742,ROW()-1,MATCH(G$1,'包络曲线数据'!$B$1:$U$1,0)),""))</x:f>
      </x:c>
    </x:row>
    <x:row r="630">
      <x:c r="A630" t="n">
        <x:v>62.800000000000004</x:v>
      </x:c>
      <x:c r="B630" t="str">
        <x:f>IF(B$1="","",IFERROR(INDEX('包络曲线数据'!$B$2:$U$742,ROW()-1,MATCH(B$1,'包络曲线数据'!$B$1:$U$1,0)),""))</x:f>
      </x:c>
      <x:c r="C630" t="str">
        <x:f>IF(C$1="","",IFERROR(INDEX('包络曲线数据'!$B$2:$U$742,ROW()-1,MATCH(C$1,'包络曲线数据'!$B$1:$U$1,0)),""))</x:f>
      </x:c>
      <x:c r="D630" t="str">
        <x:f>IF(D$1="","",IFERROR(INDEX('包络曲线数据'!$B$2:$U$742,ROW()-1,MATCH(D$1,'包络曲线数据'!$B$1:$U$1,0)),""))</x:f>
      </x:c>
      <x:c r="E630" t="str">
        <x:f>IF(E$1="","",IFERROR(INDEX('包络曲线数据'!$B$2:$U$742,ROW()-1,MATCH(E$1,'包络曲线数据'!$B$1:$U$1,0)),""))</x:f>
      </x:c>
      <x:c r="F630" t="str">
        <x:f>IF(F$1="","",IFERROR(INDEX('包络曲线数据'!$B$2:$U$742,ROW()-1,MATCH(F$1,'包络曲线数据'!$B$1:$U$1,0)),""))</x:f>
      </x:c>
      <x:c r="G630" t="str">
        <x:f>IF(G$1="","",IFERROR(INDEX('包络曲线数据'!$B$2:$U$742,ROW()-1,MATCH(G$1,'包络曲线数据'!$B$1:$U$1,0)),""))</x:f>
      </x:c>
    </x:row>
    <x:row r="631">
      <x:c r="A631" t="n">
        <x:v>62.900000000000006</x:v>
      </x:c>
      <x:c r="B631" t="str">
        <x:f>IF(B$1="","",IFERROR(INDEX('包络曲线数据'!$B$2:$U$742,ROW()-1,MATCH(B$1,'包络曲线数据'!$B$1:$U$1,0)),""))</x:f>
      </x:c>
      <x:c r="C631" t="str">
        <x:f>IF(C$1="","",IFERROR(INDEX('包络曲线数据'!$B$2:$U$742,ROW()-1,MATCH(C$1,'包络曲线数据'!$B$1:$U$1,0)),""))</x:f>
      </x:c>
      <x:c r="D631" t="str">
        <x:f>IF(D$1="","",IFERROR(INDEX('包络曲线数据'!$B$2:$U$742,ROW()-1,MATCH(D$1,'包络曲线数据'!$B$1:$U$1,0)),""))</x:f>
      </x:c>
      <x:c r="E631" t="str">
        <x:f>IF(E$1="","",IFERROR(INDEX('包络曲线数据'!$B$2:$U$742,ROW()-1,MATCH(E$1,'包络曲线数据'!$B$1:$U$1,0)),""))</x:f>
      </x:c>
      <x:c r="F631" t="str">
        <x:f>IF(F$1="","",IFERROR(INDEX('包络曲线数据'!$B$2:$U$742,ROW()-1,MATCH(F$1,'包络曲线数据'!$B$1:$U$1,0)),""))</x:f>
      </x:c>
      <x:c r="G631" t="str">
        <x:f>IF(G$1="","",IFERROR(INDEX('包络曲线数据'!$B$2:$U$742,ROW()-1,MATCH(G$1,'包络曲线数据'!$B$1:$U$1,0)),""))</x:f>
      </x:c>
    </x:row>
    <x:row r="632">
      <x:c r="A632" t="n">
        <x:v>63</x:v>
      </x:c>
      <x:c r="B632" t="str">
        <x:f>IF(B$1="","",IFERROR(INDEX('包络曲线数据'!$B$2:$U$742,ROW()-1,MATCH(B$1,'包络曲线数据'!$B$1:$U$1,0)),""))</x:f>
      </x:c>
      <x:c r="C632" t="str">
        <x:f>IF(C$1="","",IFERROR(INDEX('包络曲线数据'!$B$2:$U$742,ROW()-1,MATCH(C$1,'包络曲线数据'!$B$1:$U$1,0)),""))</x:f>
      </x:c>
      <x:c r="D632" t="str">
        <x:f>IF(D$1="","",IFERROR(INDEX('包络曲线数据'!$B$2:$U$742,ROW()-1,MATCH(D$1,'包络曲线数据'!$B$1:$U$1,0)),""))</x:f>
      </x:c>
      <x:c r="E632" t="str">
        <x:f>IF(E$1="","",IFERROR(INDEX('包络曲线数据'!$B$2:$U$742,ROW()-1,MATCH(E$1,'包络曲线数据'!$B$1:$U$1,0)),""))</x:f>
      </x:c>
      <x:c r="F632" t="str">
        <x:f>IF(F$1="","",IFERROR(INDEX('包络曲线数据'!$B$2:$U$742,ROW()-1,MATCH(F$1,'包络曲线数据'!$B$1:$U$1,0)),""))</x:f>
      </x:c>
      <x:c r="G632" t="str">
        <x:f>IF(G$1="","",IFERROR(INDEX('包络曲线数据'!$B$2:$U$742,ROW()-1,MATCH(G$1,'包络曲线数据'!$B$1:$U$1,0)),""))</x:f>
      </x:c>
    </x:row>
    <x:row r="633">
      <x:c r="A633" t="n">
        <x:v>63.1</x:v>
      </x:c>
      <x:c r="B633" t="str">
        <x:f>IF(B$1="","",IFERROR(INDEX('包络曲线数据'!$B$2:$U$742,ROW()-1,MATCH(B$1,'包络曲线数据'!$B$1:$U$1,0)),""))</x:f>
      </x:c>
      <x:c r="C633" t="str">
        <x:f>IF(C$1="","",IFERROR(INDEX('包络曲线数据'!$B$2:$U$742,ROW()-1,MATCH(C$1,'包络曲线数据'!$B$1:$U$1,0)),""))</x:f>
      </x:c>
      <x:c r="D633" t="str">
        <x:f>IF(D$1="","",IFERROR(INDEX('包络曲线数据'!$B$2:$U$742,ROW()-1,MATCH(D$1,'包络曲线数据'!$B$1:$U$1,0)),""))</x:f>
      </x:c>
      <x:c r="E633" t="str">
        <x:f>IF(E$1="","",IFERROR(INDEX('包络曲线数据'!$B$2:$U$742,ROW()-1,MATCH(E$1,'包络曲线数据'!$B$1:$U$1,0)),""))</x:f>
      </x:c>
      <x:c r="F633" t="str">
        <x:f>IF(F$1="","",IFERROR(INDEX('包络曲线数据'!$B$2:$U$742,ROW()-1,MATCH(F$1,'包络曲线数据'!$B$1:$U$1,0)),""))</x:f>
      </x:c>
      <x:c r="G633" t="str">
        <x:f>IF(G$1="","",IFERROR(INDEX('包络曲线数据'!$B$2:$U$742,ROW()-1,MATCH(G$1,'包络曲线数据'!$B$1:$U$1,0)),""))</x:f>
      </x:c>
    </x:row>
    <x:row r="634">
      <x:c r="A634" t="n">
        <x:v>63.2</x:v>
      </x:c>
      <x:c r="B634" t="str">
        <x:f>IF(B$1="","",IFERROR(INDEX('包络曲线数据'!$B$2:$U$742,ROW()-1,MATCH(B$1,'包络曲线数据'!$B$1:$U$1,0)),""))</x:f>
      </x:c>
      <x:c r="C634" t="str">
        <x:f>IF(C$1="","",IFERROR(INDEX('包络曲线数据'!$B$2:$U$742,ROW()-1,MATCH(C$1,'包络曲线数据'!$B$1:$U$1,0)),""))</x:f>
      </x:c>
      <x:c r="D634" t="str">
        <x:f>IF(D$1="","",IFERROR(INDEX('包络曲线数据'!$B$2:$U$742,ROW()-1,MATCH(D$1,'包络曲线数据'!$B$1:$U$1,0)),""))</x:f>
      </x:c>
      <x:c r="E634" t="str">
        <x:f>IF(E$1="","",IFERROR(INDEX('包络曲线数据'!$B$2:$U$742,ROW()-1,MATCH(E$1,'包络曲线数据'!$B$1:$U$1,0)),""))</x:f>
      </x:c>
      <x:c r="F634" t="str">
        <x:f>IF(F$1="","",IFERROR(INDEX('包络曲线数据'!$B$2:$U$742,ROW()-1,MATCH(F$1,'包络曲线数据'!$B$1:$U$1,0)),""))</x:f>
      </x:c>
      <x:c r="G634" t="str">
        <x:f>IF(G$1="","",IFERROR(INDEX('包络曲线数据'!$B$2:$U$742,ROW()-1,MATCH(G$1,'包络曲线数据'!$B$1:$U$1,0)),""))</x:f>
      </x:c>
    </x:row>
    <x:row r="635">
      <x:c r="A635" t="n">
        <x:v>63.300000000000004</x:v>
      </x:c>
      <x:c r="B635" t="str">
        <x:f>IF(B$1="","",IFERROR(INDEX('包络曲线数据'!$B$2:$U$742,ROW()-1,MATCH(B$1,'包络曲线数据'!$B$1:$U$1,0)),""))</x:f>
      </x:c>
      <x:c r="C635" t="str">
        <x:f>IF(C$1="","",IFERROR(INDEX('包络曲线数据'!$B$2:$U$742,ROW()-1,MATCH(C$1,'包络曲线数据'!$B$1:$U$1,0)),""))</x:f>
      </x:c>
      <x:c r="D635" t="str">
        <x:f>IF(D$1="","",IFERROR(INDEX('包络曲线数据'!$B$2:$U$742,ROW()-1,MATCH(D$1,'包络曲线数据'!$B$1:$U$1,0)),""))</x:f>
      </x:c>
      <x:c r="E635" t="str">
        <x:f>IF(E$1="","",IFERROR(INDEX('包络曲线数据'!$B$2:$U$742,ROW()-1,MATCH(E$1,'包络曲线数据'!$B$1:$U$1,0)),""))</x:f>
      </x:c>
      <x:c r="F635" t="str">
        <x:f>IF(F$1="","",IFERROR(INDEX('包络曲线数据'!$B$2:$U$742,ROW()-1,MATCH(F$1,'包络曲线数据'!$B$1:$U$1,0)),""))</x:f>
      </x:c>
      <x:c r="G635" t="str">
        <x:f>IF(G$1="","",IFERROR(INDEX('包络曲线数据'!$B$2:$U$742,ROW()-1,MATCH(G$1,'包络曲线数据'!$B$1:$U$1,0)),""))</x:f>
      </x:c>
    </x:row>
    <x:row r="636">
      <x:c r="A636" t="n">
        <x:v>63.400000000000006</x:v>
      </x:c>
      <x:c r="B636" t="str">
        <x:f>IF(B$1="","",IFERROR(INDEX('包络曲线数据'!$B$2:$U$742,ROW()-1,MATCH(B$1,'包络曲线数据'!$B$1:$U$1,0)),""))</x:f>
      </x:c>
      <x:c r="C636" t="str">
        <x:f>IF(C$1="","",IFERROR(INDEX('包络曲线数据'!$B$2:$U$742,ROW()-1,MATCH(C$1,'包络曲线数据'!$B$1:$U$1,0)),""))</x:f>
      </x:c>
      <x:c r="D636" t="str">
        <x:f>IF(D$1="","",IFERROR(INDEX('包络曲线数据'!$B$2:$U$742,ROW()-1,MATCH(D$1,'包络曲线数据'!$B$1:$U$1,0)),""))</x:f>
      </x:c>
      <x:c r="E636" t="str">
        <x:f>IF(E$1="","",IFERROR(INDEX('包络曲线数据'!$B$2:$U$742,ROW()-1,MATCH(E$1,'包络曲线数据'!$B$1:$U$1,0)),""))</x:f>
      </x:c>
      <x:c r="F636" t="str">
        <x:f>IF(F$1="","",IFERROR(INDEX('包络曲线数据'!$B$2:$U$742,ROW()-1,MATCH(F$1,'包络曲线数据'!$B$1:$U$1,0)),""))</x:f>
      </x:c>
      <x:c r="G636" t="str">
        <x:f>IF(G$1="","",IFERROR(INDEX('包络曲线数据'!$B$2:$U$742,ROW()-1,MATCH(G$1,'包络曲线数据'!$B$1:$U$1,0)),""))</x:f>
      </x:c>
    </x:row>
    <x:row r="637">
      <x:c r="A637" t="n">
        <x:v>63.5</x:v>
      </x:c>
      <x:c r="B637" t="str">
        <x:f>IF(B$1="","",IFERROR(INDEX('包络曲线数据'!$B$2:$U$742,ROW()-1,MATCH(B$1,'包络曲线数据'!$B$1:$U$1,0)),""))</x:f>
      </x:c>
      <x:c r="C637" t="str">
        <x:f>IF(C$1="","",IFERROR(INDEX('包络曲线数据'!$B$2:$U$742,ROW()-1,MATCH(C$1,'包络曲线数据'!$B$1:$U$1,0)),""))</x:f>
      </x:c>
      <x:c r="D637" t="str">
        <x:f>IF(D$1="","",IFERROR(INDEX('包络曲线数据'!$B$2:$U$742,ROW()-1,MATCH(D$1,'包络曲线数据'!$B$1:$U$1,0)),""))</x:f>
      </x:c>
      <x:c r="E637" t="str">
        <x:f>IF(E$1="","",IFERROR(INDEX('包络曲线数据'!$B$2:$U$742,ROW()-1,MATCH(E$1,'包络曲线数据'!$B$1:$U$1,0)),""))</x:f>
      </x:c>
      <x:c r="F637" t="str">
        <x:f>IF(F$1="","",IFERROR(INDEX('包络曲线数据'!$B$2:$U$742,ROW()-1,MATCH(F$1,'包络曲线数据'!$B$1:$U$1,0)),""))</x:f>
      </x:c>
      <x:c r="G637" t="str">
        <x:f>IF(G$1="","",IFERROR(INDEX('包络曲线数据'!$B$2:$U$742,ROW()-1,MATCH(G$1,'包络曲线数据'!$B$1:$U$1,0)),""))</x:f>
      </x:c>
    </x:row>
    <x:row r="638">
      <x:c r="A638" t="n">
        <x:v>63.6</x:v>
      </x:c>
      <x:c r="B638" t="str">
        <x:f>IF(B$1="","",IFERROR(INDEX('包络曲线数据'!$B$2:$U$742,ROW()-1,MATCH(B$1,'包络曲线数据'!$B$1:$U$1,0)),""))</x:f>
      </x:c>
      <x:c r="C638" t="str">
        <x:f>IF(C$1="","",IFERROR(INDEX('包络曲线数据'!$B$2:$U$742,ROW()-1,MATCH(C$1,'包络曲线数据'!$B$1:$U$1,0)),""))</x:f>
      </x:c>
      <x:c r="D638" t="str">
        <x:f>IF(D$1="","",IFERROR(INDEX('包络曲线数据'!$B$2:$U$742,ROW()-1,MATCH(D$1,'包络曲线数据'!$B$1:$U$1,0)),""))</x:f>
      </x:c>
      <x:c r="E638" t="str">
        <x:f>IF(E$1="","",IFERROR(INDEX('包络曲线数据'!$B$2:$U$742,ROW()-1,MATCH(E$1,'包络曲线数据'!$B$1:$U$1,0)),""))</x:f>
      </x:c>
      <x:c r="F638" t="str">
        <x:f>IF(F$1="","",IFERROR(INDEX('包络曲线数据'!$B$2:$U$742,ROW()-1,MATCH(F$1,'包络曲线数据'!$B$1:$U$1,0)),""))</x:f>
      </x:c>
      <x:c r="G638" t="str">
        <x:f>IF(G$1="","",IFERROR(INDEX('包络曲线数据'!$B$2:$U$742,ROW()-1,MATCH(G$1,'包络曲线数据'!$B$1:$U$1,0)),""))</x:f>
      </x:c>
    </x:row>
    <x:row r="639">
      <x:c r="A639" t="n">
        <x:v>63.7</x:v>
      </x:c>
      <x:c r="B639" t="str">
        <x:f>IF(B$1="","",IFERROR(INDEX('包络曲线数据'!$B$2:$U$742,ROW()-1,MATCH(B$1,'包络曲线数据'!$B$1:$U$1,0)),""))</x:f>
      </x:c>
      <x:c r="C639" t="str">
        <x:f>IF(C$1="","",IFERROR(INDEX('包络曲线数据'!$B$2:$U$742,ROW()-1,MATCH(C$1,'包络曲线数据'!$B$1:$U$1,0)),""))</x:f>
      </x:c>
      <x:c r="D639" t="str">
        <x:f>IF(D$1="","",IFERROR(INDEX('包络曲线数据'!$B$2:$U$742,ROW()-1,MATCH(D$1,'包络曲线数据'!$B$1:$U$1,0)),""))</x:f>
      </x:c>
      <x:c r="E639" t="str">
        <x:f>IF(E$1="","",IFERROR(INDEX('包络曲线数据'!$B$2:$U$742,ROW()-1,MATCH(E$1,'包络曲线数据'!$B$1:$U$1,0)),""))</x:f>
      </x:c>
      <x:c r="F639" t="str">
        <x:f>IF(F$1="","",IFERROR(INDEX('包络曲线数据'!$B$2:$U$742,ROW()-1,MATCH(F$1,'包络曲线数据'!$B$1:$U$1,0)),""))</x:f>
      </x:c>
      <x:c r="G639" t="str">
        <x:f>IF(G$1="","",IFERROR(INDEX('包络曲线数据'!$B$2:$U$742,ROW()-1,MATCH(G$1,'包络曲线数据'!$B$1:$U$1,0)),""))</x:f>
      </x:c>
    </x:row>
    <x:row r="640">
      <x:c r="A640" t="n">
        <x:v>63.800000000000004</x:v>
      </x:c>
      <x:c r="B640" t="str">
        <x:f>IF(B$1="","",IFERROR(INDEX('包络曲线数据'!$B$2:$U$742,ROW()-1,MATCH(B$1,'包络曲线数据'!$B$1:$U$1,0)),""))</x:f>
      </x:c>
      <x:c r="C640" t="str">
        <x:f>IF(C$1="","",IFERROR(INDEX('包络曲线数据'!$B$2:$U$742,ROW()-1,MATCH(C$1,'包络曲线数据'!$B$1:$U$1,0)),""))</x:f>
      </x:c>
      <x:c r="D640" t="str">
        <x:f>IF(D$1="","",IFERROR(INDEX('包络曲线数据'!$B$2:$U$742,ROW()-1,MATCH(D$1,'包络曲线数据'!$B$1:$U$1,0)),""))</x:f>
      </x:c>
      <x:c r="E640" t="str">
        <x:f>IF(E$1="","",IFERROR(INDEX('包络曲线数据'!$B$2:$U$742,ROW()-1,MATCH(E$1,'包络曲线数据'!$B$1:$U$1,0)),""))</x:f>
      </x:c>
      <x:c r="F640" t="str">
        <x:f>IF(F$1="","",IFERROR(INDEX('包络曲线数据'!$B$2:$U$742,ROW()-1,MATCH(F$1,'包络曲线数据'!$B$1:$U$1,0)),""))</x:f>
      </x:c>
      <x:c r="G640" t="str">
        <x:f>IF(G$1="","",IFERROR(INDEX('包络曲线数据'!$B$2:$U$742,ROW()-1,MATCH(G$1,'包络曲线数据'!$B$1:$U$1,0)),""))</x:f>
      </x:c>
    </x:row>
    <x:row r="641">
      <x:c r="A641" t="n">
        <x:v>63.900000000000006</x:v>
      </x:c>
      <x:c r="B641" t="str">
        <x:f>IF(B$1="","",IFERROR(INDEX('包络曲线数据'!$B$2:$U$742,ROW()-1,MATCH(B$1,'包络曲线数据'!$B$1:$U$1,0)),""))</x:f>
      </x:c>
      <x:c r="C641" t="str">
        <x:f>IF(C$1="","",IFERROR(INDEX('包络曲线数据'!$B$2:$U$742,ROW()-1,MATCH(C$1,'包络曲线数据'!$B$1:$U$1,0)),""))</x:f>
      </x:c>
      <x:c r="D641" t="str">
        <x:f>IF(D$1="","",IFERROR(INDEX('包络曲线数据'!$B$2:$U$742,ROW()-1,MATCH(D$1,'包络曲线数据'!$B$1:$U$1,0)),""))</x:f>
      </x:c>
      <x:c r="E641" t="str">
        <x:f>IF(E$1="","",IFERROR(INDEX('包络曲线数据'!$B$2:$U$742,ROW()-1,MATCH(E$1,'包络曲线数据'!$B$1:$U$1,0)),""))</x:f>
      </x:c>
      <x:c r="F641" t="str">
        <x:f>IF(F$1="","",IFERROR(INDEX('包络曲线数据'!$B$2:$U$742,ROW()-1,MATCH(F$1,'包络曲线数据'!$B$1:$U$1,0)),""))</x:f>
      </x:c>
      <x:c r="G641" t="str">
        <x:f>IF(G$1="","",IFERROR(INDEX('包络曲线数据'!$B$2:$U$742,ROW()-1,MATCH(G$1,'包络曲线数据'!$B$1:$U$1,0)),""))</x:f>
      </x:c>
    </x:row>
    <x:row r="642">
      <x:c r="A642" t="n">
        <x:v>64</x:v>
      </x:c>
      <x:c r="B642" t="str">
        <x:f>IF(B$1="","",IFERROR(INDEX('包络曲线数据'!$B$2:$U$742,ROW()-1,MATCH(B$1,'包络曲线数据'!$B$1:$U$1,0)),""))</x:f>
      </x:c>
      <x:c r="C642" t="str">
        <x:f>IF(C$1="","",IFERROR(INDEX('包络曲线数据'!$B$2:$U$742,ROW()-1,MATCH(C$1,'包络曲线数据'!$B$1:$U$1,0)),""))</x:f>
      </x:c>
      <x:c r="D642" t="str">
        <x:f>IF(D$1="","",IFERROR(INDEX('包络曲线数据'!$B$2:$U$742,ROW()-1,MATCH(D$1,'包络曲线数据'!$B$1:$U$1,0)),""))</x:f>
      </x:c>
      <x:c r="E642" t="str">
        <x:f>IF(E$1="","",IFERROR(INDEX('包络曲线数据'!$B$2:$U$742,ROW()-1,MATCH(E$1,'包络曲线数据'!$B$1:$U$1,0)),""))</x:f>
      </x:c>
      <x:c r="F642" t="str">
        <x:f>IF(F$1="","",IFERROR(INDEX('包络曲线数据'!$B$2:$U$742,ROW()-1,MATCH(F$1,'包络曲线数据'!$B$1:$U$1,0)),""))</x:f>
      </x:c>
      <x:c r="G642" t="str">
        <x:f>IF(G$1="","",IFERROR(INDEX('包络曲线数据'!$B$2:$U$742,ROW()-1,MATCH(G$1,'包络曲线数据'!$B$1:$U$1,0)),""))</x:f>
      </x:c>
    </x:row>
    <x:row r="643">
      <x:c r="A643" t="n">
        <x:v>64.10000000000001</x:v>
      </x:c>
      <x:c r="B643" t="str">
        <x:f>IF(B$1="","",IFERROR(INDEX('包络曲线数据'!$B$2:$U$742,ROW()-1,MATCH(B$1,'包络曲线数据'!$B$1:$U$1,0)),""))</x:f>
      </x:c>
      <x:c r="C643" t="str">
        <x:f>IF(C$1="","",IFERROR(INDEX('包络曲线数据'!$B$2:$U$742,ROW()-1,MATCH(C$1,'包络曲线数据'!$B$1:$U$1,0)),""))</x:f>
      </x:c>
      <x:c r="D643" t="str">
        <x:f>IF(D$1="","",IFERROR(INDEX('包络曲线数据'!$B$2:$U$742,ROW()-1,MATCH(D$1,'包络曲线数据'!$B$1:$U$1,0)),""))</x:f>
      </x:c>
      <x:c r="E643" t="str">
        <x:f>IF(E$1="","",IFERROR(INDEX('包络曲线数据'!$B$2:$U$742,ROW()-1,MATCH(E$1,'包络曲线数据'!$B$1:$U$1,0)),""))</x:f>
      </x:c>
      <x:c r="F643" t="str">
        <x:f>IF(F$1="","",IFERROR(INDEX('包络曲线数据'!$B$2:$U$742,ROW()-1,MATCH(F$1,'包络曲线数据'!$B$1:$U$1,0)),""))</x:f>
      </x:c>
      <x:c r="G643" t="str">
        <x:f>IF(G$1="","",IFERROR(INDEX('包络曲线数据'!$B$2:$U$742,ROW()-1,MATCH(G$1,'包络曲线数据'!$B$1:$U$1,0)),""))</x:f>
      </x:c>
    </x:row>
    <x:row r="644">
      <x:c r="A644" t="n">
        <x:v>64.2</x:v>
      </x:c>
      <x:c r="B644" t="str">
        <x:f>IF(B$1="","",IFERROR(INDEX('包络曲线数据'!$B$2:$U$742,ROW()-1,MATCH(B$1,'包络曲线数据'!$B$1:$U$1,0)),""))</x:f>
      </x:c>
      <x:c r="C644" t="str">
        <x:f>IF(C$1="","",IFERROR(INDEX('包络曲线数据'!$B$2:$U$742,ROW()-1,MATCH(C$1,'包络曲线数据'!$B$1:$U$1,0)),""))</x:f>
      </x:c>
      <x:c r="D644" t="str">
        <x:f>IF(D$1="","",IFERROR(INDEX('包络曲线数据'!$B$2:$U$742,ROW()-1,MATCH(D$1,'包络曲线数据'!$B$1:$U$1,0)),""))</x:f>
      </x:c>
      <x:c r="E644" t="str">
        <x:f>IF(E$1="","",IFERROR(INDEX('包络曲线数据'!$B$2:$U$742,ROW()-1,MATCH(E$1,'包络曲线数据'!$B$1:$U$1,0)),""))</x:f>
      </x:c>
      <x:c r="F644" t="str">
        <x:f>IF(F$1="","",IFERROR(INDEX('包络曲线数据'!$B$2:$U$742,ROW()-1,MATCH(F$1,'包络曲线数据'!$B$1:$U$1,0)),""))</x:f>
      </x:c>
      <x:c r="G644" t="str">
        <x:f>IF(G$1="","",IFERROR(INDEX('包络曲线数据'!$B$2:$U$742,ROW()-1,MATCH(G$1,'包络曲线数据'!$B$1:$U$1,0)),""))</x:f>
      </x:c>
    </x:row>
    <x:row r="645">
      <x:c r="A645" t="n">
        <x:v>64.3</x:v>
      </x:c>
      <x:c r="B645" t="str">
        <x:f>IF(B$1="","",IFERROR(INDEX('包络曲线数据'!$B$2:$U$742,ROW()-1,MATCH(B$1,'包络曲线数据'!$B$1:$U$1,0)),""))</x:f>
      </x:c>
      <x:c r="C645" t="str">
        <x:f>IF(C$1="","",IFERROR(INDEX('包络曲线数据'!$B$2:$U$742,ROW()-1,MATCH(C$1,'包络曲线数据'!$B$1:$U$1,0)),""))</x:f>
      </x:c>
      <x:c r="D645" t="str">
        <x:f>IF(D$1="","",IFERROR(INDEX('包络曲线数据'!$B$2:$U$742,ROW()-1,MATCH(D$1,'包络曲线数据'!$B$1:$U$1,0)),""))</x:f>
      </x:c>
      <x:c r="E645" t="str">
        <x:f>IF(E$1="","",IFERROR(INDEX('包络曲线数据'!$B$2:$U$742,ROW()-1,MATCH(E$1,'包络曲线数据'!$B$1:$U$1,0)),""))</x:f>
      </x:c>
      <x:c r="F645" t="str">
        <x:f>IF(F$1="","",IFERROR(INDEX('包络曲线数据'!$B$2:$U$742,ROW()-1,MATCH(F$1,'包络曲线数据'!$B$1:$U$1,0)),""))</x:f>
      </x:c>
      <x:c r="G645" t="str">
        <x:f>IF(G$1="","",IFERROR(INDEX('包络曲线数据'!$B$2:$U$742,ROW()-1,MATCH(G$1,'包络曲线数据'!$B$1:$U$1,0)),""))</x:f>
      </x:c>
    </x:row>
    <x:row r="646">
      <x:c r="A646" t="n">
        <x:v>64.4</x:v>
      </x:c>
      <x:c r="B646" t="str">
        <x:f>IF(B$1="","",IFERROR(INDEX('包络曲线数据'!$B$2:$U$742,ROW()-1,MATCH(B$1,'包络曲线数据'!$B$1:$U$1,0)),""))</x:f>
      </x:c>
      <x:c r="C646" t="str">
        <x:f>IF(C$1="","",IFERROR(INDEX('包络曲线数据'!$B$2:$U$742,ROW()-1,MATCH(C$1,'包络曲线数据'!$B$1:$U$1,0)),""))</x:f>
      </x:c>
      <x:c r="D646" t="str">
        <x:f>IF(D$1="","",IFERROR(INDEX('包络曲线数据'!$B$2:$U$742,ROW()-1,MATCH(D$1,'包络曲线数据'!$B$1:$U$1,0)),""))</x:f>
      </x:c>
      <x:c r="E646" t="str">
        <x:f>IF(E$1="","",IFERROR(INDEX('包络曲线数据'!$B$2:$U$742,ROW()-1,MATCH(E$1,'包络曲线数据'!$B$1:$U$1,0)),""))</x:f>
      </x:c>
      <x:c r="F646" t="str">
        <x:f>IF(F$1="","",IFERROR(INDEX('包络曲线数据'!$B$2:$U$742,ROW()-1,MATCH(F$1,'包络曲线数据'!$B$1:$U$1,0)),""))</x:f>
      </x:c>
      <x:c r="G646" t="str">
        <x:f>IF(G$1="","",IFERROR(INDEX('包络曲线数据'!$B$2:$U$742,ROW()-1,MATCH(G$1,'包络曲线数据'!$B$1:$U$1,0)),""))</x:f>
      </x:c>
    </x:row>
    <x:row r="647">
      <x:c r="A647" t="n">
        <x:v>64.5</x:v>
      </x:c>
      <x:c r="B647" t="str">
        <x:f>IF(B$1="","",IFERROR(INDEX('包络曲线数据'!$B$2:$U$742,ROW()-1,MATCH(B$1,'包络曲线数据'!$B$1:$U$1,0)),""))</x:f>
      </x:c>
      <x:c r="C647" t="str">
        <x:f>IF(C$1="","",IFERROR(INDEX('包络曲线数据'!$B$2:$U$742,ROW()-1,MATCH(C$1,'包络曲线数据'!$B$1:$U$1,0)),""))</x:f>
      </x:c>
      <x:c r="D647" t="str">
        <x:f>IF(D$1="","",IFERROR(INDEX('包络曲线数据'!$B$2:$U$742,ROW()-1,MATCH(D$1,'包络曲线数据'!$B$1:$U$1,0)),""))</x:f>
      </x:c>
      <x:c r="E647" t="str">
        <x:f>IF(E$1="","",IFERROR(INDEX('包络曲线数据'!$B$2:$U$742,ROW()-1,MATCH(E$1,'包络曲线数据'!$B$1:$U$1,0)),""))</x:f>
      </x:c>
      <x:c r="F647" t="str">
        <x:f>IF(F$1="","",IFERROR(INDEX('包络曲线数据'!$B$2:$U$742,ROW()-1,MATCH(F$1,'包络曲线数据'!$B$1:$U$1,0)),""))</x:f>
      </x:c>
      <x:c r="G647" t="str">
        <x:f>IF(G$1="","",IFERROR(INDEX('包络曲线数据'!$B$2:$U$742,ROW()-1,MATCH(G$1,'包络曲线数据'!$B$1:$U$1,0)),""))</x:f>
      </x:c>
    </x:row>
    <x:row r="648">
      <x:c r="A648" t="n">
        <x:v>64.60000000000001</x:v>
      </x:c>
      <x:c r="B648" t="str">
        <x:f>IF(B$1="","",IFERROR(INDEX('包络曲线数据'!$B$2:$U$742,ROW()-1,MATCH(B$1,'包络曲线数据'!$B$1:$U$1,0)),""))</x:f>
      </x:c>
      <x:c r="C648" t="str">
        <x:f>IF(C$1="","",IFERROR(INDEX('包络曲线数据'!$B$2:$U$742,ROW()-1,MATCH(C$1,'包络曲线数据'!$B$1:$U$1,0)),""))</x:f>
      </x:c>
      <x:c r="D648" t="str">
        <x:f>IF(D$1="","",IFERROR(INDEX('包络曲线数据'!$B$2:$U$742,ROW()-1,MATCH(D$1,'包络曲线数据'!$B$1:$U$1,0)),""))</x:f>
      </x:c>
      <x:c r="E648" t="str">
        <x:f>IF(E$1="","",IFERROR(INDEX('包络曲线数据'!$B$2:$U$742,ROW()-1,MATCH(E$1,'包络曲线数据'!$B$1:$U$1,0)),""))</x:f>
      </x:c>
      <x:c r="F648" t="str">
        <x:f>IF(F$1="","",IFERROR(INDEX('包络曲线数据'!$B$2:$U$742,ROW()-1,MATCH(F$1,'包络曲线数据'!$B$1:$U$1,0)),""))</x:f>
      </x:c>
      <x:c r="G648" t="str">
        <x:f>IF(G$1="","",IFERROR(INDEX('包络曲线数据'!$B$2:$U$742,ROW()-1,MATCH(G$1,'包络曲线数据'!$B$1:$U$1,0)),""))</x:f>
      </x:c>
    </x:row>
    <x:row r="649">
      <x:c r="A649" t="n">
        <x:v>64.7</x:v>
      </x:c>
      <x:c r="B649" t="str">
        <x:f>IF(B$1="","",IFERROR(INDEX('包络曲线数据'!$B$2:$U$742,ROW()-1,MATCH(B$1,'包络曲线数据'!$B$1:$U$1,0)),""))</x:f>
      </x:c>
      <x:c r="C649" t="str">
        <x:f>IF(C$1="","",IFERROR(INDEX('包络曲线数据'!$B$2:$U$742,ROW()-1,MATCH(C$1,'包络曲线数据'!$B$1:$U$1,0)),""))</x:f>
      </x:c>
      <x:c r="D649" t="str">
        <x:f>IF(D$1="","",IFERROR(INDEX('包络曲线数据'!$B$2:$U$742,ROW()-1,MATCH(D$1,'包络曲线数据'!$B$1:$U$1,0)),""))</x:f>
      </x:c>
      <x:c r="E649" t="str">
        <x:f>IF(E$1="","",IFERROR(INDEX('包络曲线数据'!$B$2:$U$742,ROW()-1,MATCH(E$1,'包络曲线数据'!$B$1:$U$1,0)),""))</x:f>
      </x:c>
      <x:c r="F649" t="str">
        <x:f>IF(F$1="","",IFERROR(INDEX('包络曲线数据'!$B$2:$U$742,ROW()-1,MATCH(F$1,'包络曲线数据'!$B$1:$U$1,0)),""))</x:f>
      </x:c>
      <x:c r="G649" t="str">
        <x:f>IF(G$1="","",IFERROR(INDEX('包络曲线数据'!$B$2:$U$742,ROW()-1,MATCH(G$1,'包络曲线数据'!$B$1:$U$1,0)),""))</x:f>
      </x:c>
    </x:row>
    <x:row r="650">
      <x:c r="A650" t="n">
        <x:v>64.8</x:v>
      </x:c>
      <x:c r="B650" t="str">
        <x:f>IF(B$1="","",IFERROR(INDEX('包络曲线数据'!$B$2:$U$742,ROW()-1,MATCH(B$1,'包络曲线数据'!$B$1:$U$1,0)),""))</x:f>
      </x:c>
      <x:c r="C650" t="str">
        <x:f>IF(C$1="","",IFERROR(INDEX('包络曲线数据'!$B$2:$U$742,ROW()-1,MATCH(C$1,'包络曲线数据'!$B$1:$U$1,0)),""))</x:f>
      </x:c>
      <x:c r="D650" t="str">
        <x:f>IF(D$1="","",IFERROR(INDEX('包络曲线数据'!$B$2:$U$742,ROW()-1,MATCH(D$1,'包络曲线数据'!$B$1:$U$1,0)),""))</x:f>
      </x:c>
      <x:c r="E650" t="str">
        <x:f>IF(E$1="","",IFERROR(INDEX('包络曲线数据'!$B$2:$U$742,ROW()-1,MATCH(E$1,'包络曲线数据'!$B$1:$U$1,0)),""))</x:f>
      </x:c>
      <x:c r="F650" t="str">
        <x:f>IF(F$1="","",IFERROR(INDEX('包络曲线数据'!$B$2:$U$742,ROW()-1,MATCH(F$1,'包络曲线数据'!$B$1:$U$1,0)),""))</x:f>
      </x:c>
      <x:c r="G650" t="str">
        <x:f>IF(G$1="","",IFERROR(INDEX('包络曲线数据'!$B$2:$U$742,ROW()-1,MATCH(G$1,'包络曲线数据'!$B$1:$U$1,0)),""))</x:f>
      </x:c>
    </x:row>
    <x:row r="651">
      <x:c r="A651" t="n">
        <x:v>64.9</x:v>
      </x:c>
      <x:c r="B651" t="str">
        <x:f>IF(B$1="","",IFERROR(INDEX('包络曲线数据'!$B$2:$U$742,ROW()-1,MATCH(B$1,'包络曲线数据'!$B$1:$U$1,0)),""))</x:f>
      </x:c>
      <x:c r="C651" t="str">
        <x:f>IF(C$1="","",IFERROR(INDEX('包络曲线数据'!$B$2:$U$742,ROW()-1,MATCH(C$1,'包络曲线数据'!$B$1:$U$1,0)),""))</x:f>
      </x:c>
      <x:c r="D651" t="str">
        <x:f>IF(D$1="","",IFERROR(INDEX('包络曲线数据'!$B$2:$U$742,ROW()-1,MATCH(D$1,'包络曲线数据'!$B$1:$U$1,0)),""))</x:f>
      </x:c>
      <x:c r="E651" t="str">
        <x:f>IF(E$1="","",IFERROR(INDEX('包络曲线数据'!$B$2:$U$742,ROW()-1,MATCH(E$1,'包络曲线数据'!$B$1:$U$1,0)),""))</x:f>
      </x:c>
      <x:c r="F651" t="str">
        <x:f>IF(F$1="","",IFERROR(INDEX('包络曲线数据'!$B$2:$U$742,ROW()-1,MATCH(F$1,'包络曲线数据'!$B$1:$U$1,0)),""))</x:f>
      </x:c>
      <x:c r="G651" t="str">
        <x:f>IF(G$1="","",IFERROR(INDEX('包络曲线数据'!$B$2:$U$742,ROW()-1,MATCH(G$1,'包络曲线数据'!$B$1:$U$1,0)),""))</x:f>
      </x:c>
    </x:row>
    <x:row r="652">
      <x:c r="A652" t="n">
        <x:v>65</x:v>
      </x:c>
      <x:c r="B652" t="str">
        <x:f>IF(B$1="","",IFERROR(INDEX('包络曲线数据'!$B$2:$U$742,ROW()-1,MATCH(B$1,'包络曲线数据'!$B$1:$U$1,0)),""))</x:f>
      </x:c>
      <x:c r="C652" t="str">
        <x:f>IF(C$1="","",IFERROR(INDEX('包络曲线数据'!$B$2:$U$742,ROW()-1,MATCH(C$1,'包络曲线数据'!$B$1:$U$1,0)),""))</x:f>
      </x:c>
      <x:c r="D652" t="str">
        <x:f>IF(D$1="","",IFERROR(INDEX('包络曲线数据'!$B$2:$U$742,ROW()-1,MATCH(D$1,'包络曲线数据'!$B$1:$U$1,0)),""))</x:f>
      </x:c>
      <x:c r="E652" t="str">
        <x:f>IF(E$1="","",IFERROR(INDEX('包络曲线数据'!$B$2:$U$742,ROW()-1,MATCH(E$1,'包络曲线数据'!$B$1:$U$1,0)),""))</x:f>
      </x:c>
      <x:c r="F652" t="str">
        <x:f>IF(F$1="","",IFERROR(INDEX('包络曲线数据'!$B$2:$U$742,ROW()-1,MATCH(F$1,'包络曲线数据'!$B$1:$U$1,0)),""))</x:f>
      </x:c>
      <x:c r="G652" t="str">
        <x:f>IF(G$1="","",IFERROR(INDEX('包络曲线数据'!$B$2:$U$742,ROW()-1,MATCH(G$1,'包络曲线数据'!$B$1:$U$1,0)),""))</x:f>
      </x:c>
    </x:row>
    <x:row r="653">
      <x:c r="A653" t="n">
        <x:v>65.10000000000001</x:v>
      </x:c>
      <x:c r="B653" t="str">
        <x:f>IF(B$1="","",IFERROR(INDEX('包络曲线数据'!$B$2:$U$742,ROW()-1,MATCH(B$1,'包络曲线数据'!$B$1:$U$1,0)),""))</x:f>
      </x:c>
      <x:c r="C653" t="str">
        <x:f>IF(C$1="","",IFERROR(INDEX('包络曲线数据'!$B$2:$U$742,ROW()-1,MATCH(C$1,'包络曲线数据'!$B$1:$U$1,0)),""))</x:f>
      </x:c>
      <x:c r="D653" t="str">
        <x:f>IF(D$1="","",IFERROR(INDEX('包络曲线数据'!$B$2:$U$742,ROW()-1,MATCH(D$1,'包络曲线数据'!$B$1:$U$1,0)),""))</x:f>
      </x:c>
      <x:c r="E653" t="str">
        <x:f>IF(E$1="","",IFERROR(INDEX('包络曲线数据'!$B$2:$U$742,ROW()-1,MATCH(E$1,'包络曲线数据'!$B$1:$U$1,0)),""))</x:f>
      </x:c>
      <x:c r="F653" t="str">
        <x:f>IF(F$1="","",IFERROR(INDEX('包络曲线数据'!$B$2:$U$742,ROW()-1,MATCH(F$1,'包络曲线数据'!$B$1:$U$1,0)),""))</x:f>
      </x:c>
      <x:c r="G653" t="str">
        <x:f>IF(G$1="","",IFERROR(INDEX('包络曲线数据'!$B$2:$U$742,ROW()-1,MATCH(G$1,'包络曲线数据'!$B$1:$U$1,0)),""))</x:f>
      </x:c>
    </x:row>
    <x:row r="654">
      <x:c r="A654" t="n">
        <x:v>65.2</x:v>
      </x:c>
      <x:c r="B654" t="str">
        <x:f>IF(B$1="","",IFERROR(INDEX('包络曲线数据'!$B$2:$U$742,ROW()-1,MATCH(B$1,'包络曲线数据'!$B$1:$U$1,0)),""))</x:f>
      </x:c>
      <x:c r="C654" t="str">
        <x:f>IF(C$1="","",IFERROR(INDEX('包络曲线数据'!$B$2:$U$742,ROW()-1,MATCH(C$1,'包络曲线数据'!$B$1:$U$1,0)),""))</x:f>
      </x:c>
      <x:c r="D654" t="str">
        <x:f>IF(D$1="","",IFERROR(INDEX('包络曲线数据'!$B$2:$U$742,ROW()-1,MATCH(D$1,'包络曲线数据'!$B$1:$U$1,0)),""))</x:f>
      </x:c>
      <x:c r="E654" t="str">
        <x:f>IF(E$1="","",IFERROR(INDEX('包络曲线数据'!$B$2:$U$742,ROW()-1,MATCH(E$1,'包络曲线数据'!$B$1:$U$1,0)),""))</x:f>
      </x:c>
      <x:c r="F654" t="str">
        <x:f>IF(F$1="","",IFERROR(INDEX('包络曲线数据'!$B$2:$U$742,ROW()-1,MATCH(F$1,'包络曲线数据'!$B$1:$U$1,0)),""))</x:f>
      </x:c>
      <x:c r="G654" t="str">
        <x:f>IF(G$1="","",IFERROR(INDEX('包络曲线数据'!$B$2:$U$742,ROW()-1,MATCH(G$1,'包络曲线数据'!$B$1:$U$1,0)),""))</x:f>
      </x:c>
    </x:row>
    <x:row r="655">
      <x:c r="A655" t="n">
        <x:v>65.3</x:v>
      </x:c>
      <x:c r="B655" t="str">
        <x:f>IF(B$1="","",IFERROR(INDEX('包络曲线数据'!$B$2:$U$742,ROW()-1,MATCH(B$1,'包络曲线数据'!$B$1:$U$1,0)),""))</x:f>
      </x:c>
      <x:c r="C655" t="str">
        <x:f>IF(C$1="","",IFERROR(INDEX('包络曲线数据'!$B$2:$U$742,ROW()-1,MATCH(C$1,'包络曲线数据'!$B$1:$U$1,0)),""))</x:f>
      </x:c>
      <x:c r="D655" t="str">
        <x:f>IF(D$1="","",IFERROR(INDEX('包络曲线数据'!$B$2:$U$742,ROW()-1,MATCH(D$1,'包络曲线数据'!$B$1:$U$1,0)),""))</x:f>
      </x:c>
      <x:c r="E655" t="str">
        <x:f>IF(E$1="","",IFERROR(INDEX('包络曲线数据'!$B$2:$U$742,ROW()-1,MATCH(E$1,'包络曲线数据'!$B$1:$U$1,0)),""))</x:f>
      </x:c>
      <x:c r="F655" t="str">
        <x:f>IF(F$1="","",IFERROR(INDEX('包络曲线数据'!$B$2:$U$742,ROW()-1,MATCH(F$1,'包络曲线数据'!$B$1:$U$1,0)),""))</x:f>
      </x:c>
      <x:c r="G655" t="str">
        <x:f>IF(G$1="","",IFERROR(INDEX('包络曲线数据'!$B$2:$U$742,ROW()-1,MATCH(G$1,'包络曲线数据'!$B$1:$U$1,0)),""))</x:f>
      </x:c>
    </x:row>
    <x:row r="656">
      <x:c r="A656" t="n">
        <x:v>65.4</x:v>
      </x:c>
      <x:c r="B656" t="str">
        <x:f>IF(B$1="","",IFERROR(INDEX('包络曲线数据'!$B$2:$U$742,ROW()-1,MATCH(B$1,'包络曲线数据'!$B$1:$U$1,0)),""))</x:f>
      </x:c>
      <x:c r="C656" t="str">
        <x:f>IF(C$1="","",IFERROR(INDEX('包络曲线数据'!$B$2:$U$742,ROW()-1,MATCH(C$1,'包络曲线数据'!$B$1:$U$1,0)),""))</x:f>
      </x:c>
      <x:c r="D656" t="str">
        <x:f>IF(D$1="","",IFERROR(INDEX('包络曲线数据'!$B$2:$U$742,ROW()-1,MATCH(D$1,'包络曲线数据'!$B$1:$U$1,0)),""))</x:f>
      </x:c>
      <x:c r="E656" t="str">
        <x:f>IF(E$1="","",IFERROR(INDEX('包络曲线数据'!$B$2:$U$742,ROW()-1,MATCH(E$1,'包络曲线数据'!$B$1:$U$1,0)),""))</x:f>
      </x:c>
      <x:c r="F656" t="str">
        <x:f>IF(F$1="","",IFERROR(INDEX('包络曲线数据'!$B$2:$U$742,ROW()-1,MATCH(F$1,'包络曲线数据'!$B$1:$U$1,0)),""))</x:f>
      </x:c>
      <x:c r="G656" t="str">
        <x:f>IF(G$1="","",IFERROR(INDEX('包络曲线数据'!$B$2:$U$742,ROW()-1,MATCH(G$1,'包络曲线数据'!$B$1:$U$1,0)),""))</x:f>
      </x:c>
    </x:row>
    <x:row r="657">
      <x:c r="A657" t="n">
        <x:v>65.5</x:v>
      </x:c>
      <x:c r="B657" t="str">
        <x:f>IF(B$1="","",IFERROR(INDEX('包络曲线数据'!$B$2:$U$742,ROW()-1,MATCH(B$1,'包络曲线数据'!$B$1:$U$1,0)),""))</x:f>
      </x:c>
      <x:c r="C657" t="str">
        <x:f>IF(C$1="","",IFERROR(INDEX('包络曲线数据'!$B$2:$U$742,ROW()-1,MATCH(C$1,'包络曲线数据'!$B$1:$U$1,0)),""))</x:f>
      </x:c>
      <x:c r="D657" t="str">
        <x:f>IF(D$1="","",IFERROR(INDEX('包络曲线数据'!$B$2:$U$742,ROW()-1,MATCH(D$1,'包络曲线数据'!$B$1:$U$1,0)),""))</x:f>
      </x:c>
      <x:c r="E657" t="str">
        <x:f>IF(E$1="","",IFERROR(INDEX('包络曲线数据'!$B$2:$U$742,ROW()-1,MATCH(E$1,'包络曲线数据'!$B$1:$U$1,0)),""))</x:f>
      </x:c>
      <x:c r="F657" t="str">
        <x:f>IF(F$1="","",IFERROR(INDEX('包络曲线数据'!$B$2:$U$742,ROW()-1,MATCH(F$1,'包络曲线数据'!$B$1:$U$1,0)),""))</x:f>
      </x:c>
      <x:c r="G657" t="str">
        <x:f>IF(G$1="","",IFERROR(INDEX('包络曲线数据'!$B$2:$U$742,ROW()-1,MATCH(G$1,'包络曲线数据'!$B$1:$U$1,0)),""))</x:f>
      </x:c>
    </x:row>
    <x:row r="658">
      <x:c r="A658" t="n">
        <x:v>65.60000000000001</x:v>
      </x:c>
      <x:c r="B658" t="str">
        <x:f>IF(B$1="","",IFERROR(INDEX('包络曲线数据'!$B$2:$U$742,ROW()-1,MATCH(B$1,'包络曲线数据'!$B$1:$U$1,0)),""))</x:f>
      </x:c>
      <x:c r="C658" t="str">
        <x:f>IF(C$1="","",IFERROR(INDEX('包络曲线数据'!$B$2:$U$742,ROW()-1,MATCH(C$1,'包络曲线数据'!$B$1:$U$1,0)),""))</x:f>
      </x:c>
      <x:c r="D658" t="str">
        <x:f>IF(D$1="","",IFERROR(INDEX('包络曲线数据'!$B$2:$U$742,ROW()-1,MATCH(D$1,'包络曲线数据'!$B$1:$U$1,0)),""))</x:f>
      </x:c>
      <x:c r="E658" t="str">
        <x:f>IF(E$1="","",IFERROR(INDEX('包络曲线数据'!$B$2:$U$742,ROW()-1,MATCH(E$1,'包络曲线数据'!$B$1:$U$1,0)),""))</x:f>
      </x:c>
      <x:c r="F658" t="str">
        <x:f>IF(F$1="","",IFERROR(INDEX('包络曲线数据'!$B$2:$U$742,ROW()-1,MATCH(F$1,'包络曲线数据'!$B$1:$U$1,0)),""))</x:f>
      </x:c>
      <x:c r="G658" t="str">
        <x:f>IF(G$1="","",IFERROR(INDEX('包络曲线数据'!$B$2:$U$742,ROW()-1,MATCH(G$1,'包络曲线数据'!$B$1:$U$1,0)),""))</x:f>
      </x:c>
    </x:row>
    <x:row r="659">
      <x:c r="A659" t="n">
        <x:v>65.7</x:v>
      </x:c>
      <x:c r="B659" t="str">
        <x:f>IF(B$1="","",IFERROR(INDEX('包络曲线数据'!$B$2:$U$742,ROW()-1,MATCH(B$1,'包络曲线数据'!$B$1:$U$1,0)),""))</x:f>
      </x:c>
      <x:c r="C659" t="str">
        <x:f>IF(C$1="","",IFERROR(INDEX('包络曲线数据'!$B$2:$U$742,ROW()-1,MATCH(C$1,'包络曲线数据'!$B$1:$U$1,0)),""))</x:f>
      </x:c>
      <x:c r="D659" t="str">
        <x:f>IF(D$1="","",IFERROR(INDEX('包络曲线数据'!$B$2:$U$742,ROW()-1,MATCH(D$1,'包络曲线数据'!$B$1:$U$1,0)),""))</x:f>
      </x:c>
      <x:c r="E659" t="str">
        <x:f>IF(E$1="","",IFERROR(INDEX('包络曲线数据'!$B$2:$U$742,ROW()-1,MATCH(E$1,'包络曲线数据'!$B$1:$U$1,0)),""))</x:f>
      </x:c>
      <x:c r="F659" t="str">
        <x:f>IF(F$1="","",IFERROR(INDEX('包络曲线数据'!$B$2:$U$742,ROW()-1,MATCH(F$1,'包络曲线数据'!$B$1:$U$1,0)),""))</x:f>
      </x:c>
      <x:c r="G659" t="str">
        <x:f>IF(G$1="","",IFERROR(INDEX('包络曲线数据'!$B$2:$U$742,ROW()-1,MATCH(G$1,'包络曲线数据'!$B$1:$U$1,0)),""))</x:f>
      </x:c>
    </x:row>
    <x:row r="660">
      <x:c r="A660" t="n">
        <x:v>65.8</x:v>
      </x:c>
      <x:c r="B660" t="str">
        <x:f>IF(B$1="","",IFERROR(INDEX('包络曲线数据'!$B$2:$U$742,ROW()-1,MATCH(B$1,'包络曲线数据'!$B$1:$U$1,0)),""))</x:f>
      </x:c>
      <x:c r="C660" t="str">
        <x:f>IF(C$1="","",IFERROR(INDEX('包络曲线数据'!$B$2:$U$742,ROW()-1,MATCH(C$1,'包络曲线数据'!$B$1:$U$1,0)),""))</x:f>
      </x:c>
      <x:c r="D660" t="str">
        <x:f>IF(D$1="","",IFERROR(INDEX('包络曲线数据'!$B$2:$U$742,ROW()-1,MATCH(D$1,'包络曲线数据'!$B$1:$U$1,0)),""))</x:f>
      </x:c>
      <x:c r="E660" t="str">
        <x:f>IF(E$1="","",IFERROR(INDEX('包络曲线数据'!$B$2:$U$742,ROW()-1,MATCH(E$1,'包络曲线数据'!$B$1:$U$1,0)),""))</x:f>
      </x:c>
      <x:c r="F660" t="str">
        <x:f>IF(F$1="","",IFERROR(INDEX('包络曲线数据'!$B$2:$U$742,ROW()-1,MATCH(F$1,'包络曲线数据'!$B$1:$U$1,0)),""))</x:f>
      </x:c>
      <x:c r="G660" t="str">
        <x:f>IF(G$1="","",IFERROR(INDEX('包络曲线数据'!$B$2:$U$742,ROW()-1,MATCH(G$1,'包络曲线数据'!$B$1:$U$1,0)),""))</x:f>
      </x:c>
    </x:row>
    <x:row r="661">
      <x:c r="A661" t="n">
        <x:v>65.9</x:v>
      </x:c>
      <x:c r="B661" t="str">
        <x:f>IF(B$1="","",IFERROR(INDEX('包络曲线数据'!$B$2:$U$742,ROW()-1,MATCH(B$1,'包络曲线数据'!$B$1:$U$1,0)),""))</x:f>
      </x:c>
      <x:c r="C661" t="str">
        <x:f>IF(C$1="","",IFERROR(INDEX('包络曲线数据'!$B$2:$U$742,ROW()-1,MATCH(C$1,'包络曲线数据'!$B$1:$U$1,0)),""))</x:f>
      </x:c>
      <x:c r="D661" t="str">
        <x:f>IF(D$1="","",IFERROR(INDEX('包络曲线数据'!$B$2:$U$742,ROW()-1,MATCH(D$1,'包络曲线数据'!$B$1:$U$1,0)),""))</x:f>
      </x:c>
      <x:c r="E661" t="str">
        <x:f>IF(E$1="","",IFERROR(INDEX('包络曲线数据'!$B$2:$U$742,ROW()-1,MATCH(E$1,'包络曲线数据'!$B$1:$U$1,0)),""))</x:f>
      </x:c>
      <x:c r="F661" t="str">
        <x:f>IF(F$1="","",IFERROR(INDEX('包络曲线数据'!$B$2:$U$742,ROW()-1,MATCH(F$1,'包络曲线数据'!$B$1:$U$1,0)),""))</x:f>
      </x:c>
      <x:c r="G661" t="str">
        <x:f>IF(G$1="","",IFERROR(INDEX('包络曲线数据'!$B$2:$U$742,ROW()-1,MATCH(G$1,'包络曲线数据'!$B$1:$U$1,0)),""))</x:f>
      </x:c>
    </x:row>
    <x:row r="662">
      <x:c r="A662" t="n">
        <x:v>66</x:v>
      </x:c>
      <x:c r="B662" t="str">
        <x:f>IF(B$1="","",IFERROR(INDEX('包络曲线数据'!$B$2:$U$742,ROW()-1,MATCH(B$1,'包络曲线数据'!$B$1:$U$1,0)),""))</x:f>
      </x:c>
      <x:c r="C662" t="str">
        <x:f>IF(C$1="","",IFERROR(INDEX('包络曲线数据'!$B$2:$U$742,ROW()-1,MATCH(C$1,'包络曲线数据'!$B$1:$U$1,0)),""))</x:f>
      </x:c>
      <x:c r="D662" t="str">
        <x:f>IF(D$1="","",IFERROR(INDEX('包络曲线数据'!$B$2:$U$742,ROW()-1,MATCH(D$1,'包络曲线数据'!$B$1:$U$1,0)),""))</x:f>
      </x:c>
      <x:c r="E662" t="str">
        <x:f>IF(E$1="","",IFERROR(INDEX('包络曲线数据'!$B$2:$U$742,ROW()-1,MATCH(E$1,'包络曲线数据'!$B$1:$U$1,0)),""))</x:f>
      </x:c>
      <x:c r="F662" t="str">
        <x:f>IF(F$1="","",IFERROR(INDEX('包络曲线数据'!$B$2:$U$742,ROW()-1,MATCH(F$1,'包络曲线数据'!$B$1:$U$1,0)),""))</x:f>
      </x:c>
      <x:c r="G662" t="str">
        <x:f>IF(G$1="","",IFERROR(INDEX('包络曲线数据'!$B$2:$U$742,ROW()-1,MATCH(G$1,'包络曲线数据'!$B$1:$U$1,0)),""))</x:f>
      </x:c>
    </x:row>
    <x:row r="663">
      <x:c r="A663" t="n">
        <x:v>66.10000000000001</x:v>
      </x:c>
      <x:c r="B663" t="str">
        <x:f>IF(B$1="","",IFERROR(INDEX('包络曲线数据'!$B$2:$U$742,ROW()-1,MATCH(B$1,'包络曲线数据'!$B$1:$U$1,0)),""))</x:f>
      </x:c>
      <x:c r="C663" t="str">
        <x:f>IF(C$1="","",IFERROR(INDEX('包络曲线数据'!$B$2:$U$742,ROW()-1,MATCH(C$1,'包络曲线数据'!$B$1:$U$1,0)),""))</x:f>
      </x:c>
      <x:c r="D663" t="str">
        <x:f>IF(D$1="","",IFERROR(INDEX('包络曲线数据'!$B$2:$U$742,ROW()-1,MATCH(D$1,'包络曲线数据'!$B$1:$U$1,0)),""))</x:f>
      </x:c>
      <x:c r="E663" t="str">
        <x:f>IF(E$1="","",IFERROR(INDEX('包络曲线数据'!$B$2:$U$742,ROW()-1,MATCH(E$1,'包络曲线数据'!$B$1:$U$1,0)),""))</x:f>
      </x:c>
      <x:c r="F663" t="str">
        <x:f>IF(F$1="","",IFERROR(INDEX('包络曲线数据'!$B$2:$U$742,ROW()-1,MATCH(F$1,'包络曲线数据'!$B$1:$U$1,0)),""))</x:f>
      </x:c>
      <x:c r="G663" t="str">
        <x:f>IF(G$1="","",IFERROR(INDEX('包络曲线数据'!$B$2:$U$742,ROW()-1,MATCH(G$1,'包络曲线数据'!$B$1:$U$1,0)),""))</x:f>
      </x:c>
    </x:row>
    <x:row r="664">
      <x:c r="A664" t="n">
        <x:v>66.2</x:v>
      </x:c>
      <x:c r="B664" t="str">
        <x:f>IF(B$1="","",IFERROR(INDEX('包络曲线数据'!$B$2:$U$742,ROW()-1,MATCH(B$1,'包络曲线数据'!$B$1:$U$1,0)),""))</x:f>
      </x:c>
      <x:c r="C664" t="str">
        <x:f>IF(C$1="","",IFERROR(INDEX('包络曲线数据'!$B$2:$U$742,ROW()-1,MATCH(C$1,'包络曲线数据'!$B$1:$U$1,0)),""))</x:f>
      </x:c>
      <x:c r="D664" t="str">
        <x:f>IF(D$1="","",IFERROR(INDEX('包络曲线数据'!$B$2:$U$742,ROW()-1,MATCH(D$1,'包络曲线数据'!$B$1:$U$1,0)),""))</x:f>
      </x:c>
      <x:c r="E664" t="str">
        <x:f>IF(E$1="","",IFERROR(INDEX('包络曲线数据'!$B$2:$U$742,ROW()-1,MATCH(E$1,'包络曲线数据'!$B$1:$U$1,0)),""))</x:f>
      </x:c>
      <x:c r="F664" t="str">
        <x:f>IF(F$1="","",IFERROR(INDEX('包络曲线数据'!$B$2:$U$742,ROW()-1,MATCH(F$1,'包络曲线数据'!$B$1:$U$1,0)),""))</x:f>
      </x:c>
      <x:c r="G664" t="str">
        <x:f>IF(G$1="","",IFERROR(INDEX('包络曲线数据'!$B$2:$U$742,ROW()-1,MATCH(G$1,'包络曲线数据'!$B$1:$U$1,0)),""))</x:f>
      </x:c>
    </x:row>
    <x:row r="665">
      <x:c r="A665" t="n">
        <x:v>66.3</x:v>
      </x:c>
      <x:c r="B665" t="str">
        <x:f>IF(B$1="","",IFERROR(INDEX('包络曲线数据'!$B$2:$U$742,ROW()-1,MATCH(B$1,'包络曲线数据'!$B$1:$U$1,0)),""))</x:f>
      </x:c>
      <x:c r="C665" t="str">
        <x:f>IF(C$1="","",IFERROR(INDEX('包络曲线数据'!$B$2:$U$742,ROW()-1,MATCH(C$1,'包络曲线数据'!$B$1:$U$1,0)),""))</x:f>
      </x:c>
      <x:c r="D665" t="str">
        <x:f>IF(D$1="","",IFERROR(INDEX('包络曲线数据'!$B$2:$U$742,ROW()-1,MATCH(D$1,'包络曲线数据'!$B$1:$U$1,0)),""))</x:f>
      </x:c>
      <x:c r="E665" t="str">
        <x:f>IF(E$1="","",IFERROR(INDEX('包络曲线数据'!$B$2:$U$742,ROW()-1,MATCH(E$1,'包络曲线数据'!$B$1:$U$1,0)),""))</x:f>
      </x:c>
      <x:c r="F665" t="str">
        <x:f>IF(F$1="","",IFERROR(INDEX('包络曲线数据'!$B$2:$U$742,ROW()-1,MATCH(F$1,'包络曲线数据'!$B$1:$U$1,0)),""))</x:f>
      </x:c>
      <x:c r="G665" t="str">
        <x:f>IF(G$1="","",IFERROR(INDEX('包络曲线数据'!$B$2:$U$742,ROW()-1,MATCH(G$1,'包络曲线数据'!$B$1:$U$1,0)),""))</x:f>
      </x:c>
    </x:row>
    <x:row r="666">
      <x:c r="A666" t="n">
        <x:v>66.4</x:v>
      </x:c>
      <x:c r="B666" t="str">
        <x:f>IF(B$1="","",IFERROR(INDEX('包络曲线数据'!$B$2:$U$742,ROW()-1,MATCH(B$1,'包络曲线数据'!$B$1:$U$1,0)),""))</x:f>
      </x:c>
      <x:c r="C666" t="str">
        <x:f>IF(C$1="","",IFERROR(INDEX('包络曲线数据'!$B$2:$U$742,ROW()-1,MATCH(C$1,'包络曲线数据'!$B$1:$U$1,0)),""))</x:f>
      </x:c>
      <x:c r="D666" t="str">
        <x:f>IF(D$1="","",IFERROR(INDEX('包络曲线数据'!$B$2:$U$742,ROW()-1,MATCH(D$1,'包络曲线数据'!$B$1:$U$1,0)),""))</x:f>
      </x:c>
      <x:c r="E666" t="str">
        <x:f>IF(E$1="","",IFERROR(INDEX('包络曲线数据'!$B$2:$U$742,ROW()-1,MATCH(E$1,'包络曲线数据'!$B$1:$U$1,0)),""))</x:f>
      </x:c>
      <x:c r="F666" t="str">
        <x:f>IF(F$1="","",IFERROR(INDEX('包络曲线数据'!$B$2:$U$742,ROW()-1,MATCH(F$1,'包络曲线数据'!$B$1:$U$1,0)),""))</x:f>
      </x:c>
      <x:c r="G666" t="str">
        <x:f>IF(G$1="","",IFERROR(INDEX('包络曲线数据'!$B$2:$U$742,ROW()-1,MATCH(G$1,'包络曲线数据'!$B$1:$U$1,0)),""))</x:f>
      </x:c>
    </x:row>
    <x:row r="667">
      <x:c r="A667" t="n">
        <x:v>66.5</x:v>
      </x:c>
      <x:c r="B667" t="str">
        <x:f>IF(B$1="","",IFERROR(INDEX('包络曲线数据'!$B$2:$U$742,ROW()-1,MATCH(B$1,'包络曲线数据'!$B$1:$U$1,0)),""))</x:f>
      </x:c>
      <x:c r="C667" t="str">
        <x:f>IF(C$1="","",IFERROR(INDEX('包络曲线数据'!$B$2:$U$742,ROW()-1,MATCH(C$1,'包络曲线数据'!$B$1:$U$1,0)),""))</x:f>
      </x:c>
      <x:c r="D667" t="str">
        <x:f>IF(D$1="","",IFERROR(INDEX('包络曲线数据'!$B$2:$U$742,ROW()-1,MATCH(D$1,'包络曲线数据'!$B$1:$U$1,0)),""))</x:f>
      </x:c>
      <x:c r="E667" t="str">
        <x:f>IF(E$1="","",IFERROR(INDEX('包络曲线数据'!$B$2:$U$742,ROW()-1,MATCH(E$1,'包络曲线数据'!$B$1:$U$1,0)),""))</x:f>
      </x:c>
      <x:c r="F667" t="str">
        <x:f>IF(F$1="","",IFERROR(INDEX('包络曲线数据'!$B$2:$U$742,ROW()-1,MATCH(F$1,'包络曲线数据'!$B$1:$U$1,0)),""))</x:f>
      </x:c>
      <x:c r="G667" t="str">
        <x:f>IF(G$1="","",IFERROR(INDEX('包络曲线数据'!$B$2:$U$742,ROW()-1,MATCH(G$1,'包络曲线数据'!$B$1:$U$1,0)),""))</x:f>
      </x:c>
    </x:row>
    <x:row r="668">
      <x:c r="A668" t="n">
        <x:v>66.60000000000001</x:v>
      </x:c>
      <x:c r="B668" t="str">
        <x:f>IF(B$1="","",IFERROR(INDEX('包络曲线数据'!$B$2:$U$742,ROW()-1,MATCH(B$1,'包络曲线数据'!$B$1:$U$1,0)),""))</x:f>
      </x:c>
      <x:c r="C668" t="str">
        <x:f>IF(C$1="","",IFERROR(INDEX('包络曲线数据'!$B$2:$U$742,ROW()-1,MATCH(C$1,'包络曲线数据'!$B$1:$U$1,0)),""))</x:f>
      </x:c>
      <x:c r="D668" t="str">
        <x:f>IF(D$1="","",IFERROR(INDEX('包络曲线数据'!$B$2:$U$742,ROW()-1,MATCH(D$1,'包络曲线数据'!$B$1:$U$1,0)),""))</x:f>
      </x:c>
      <x:c r="E668" t="str">
        <x:f>IF(E$1="","",IFERROR(INDEX('包络曲线数据'!$B$2:$U$742,ROW()-1,MATCH(E$1,'包络曲线数据'!$B$1:$U$1,0)),""))</x:f>
      </x:c>
      <x:c r="F668" t="str">
        <x:f>IF(F$1="","",IFERROR(INDEX('包络曲线数据'!$B$2:$U$742,ROW()-1,MATCH(F$1,'包络曲线数据'!$B$1:$U$1,0)),""))</x:f>
      </x:c>
      <x:c r="G668" t="str">
        <x:f>IF(G$1="","",IFERROR(INDEX('包络曲线数据'!$B$2:$U$742,ROW()-1,MATCH(G$1,'包络曲线数据'!$B$1:$U$1,0)),""))</x:f>
      </x:c>
    </x:row>
    <x:row r="669">
      <x:c r="A669" t="n">
        <x:v>66.7</x:v>
      </x:c>
      <x:c r="B669" t="str">
        <x:f>IF(B$1="","",IFERROR(INDEX('包络曲线数据'!$B$2:$U$742,ROW()-1,MATCH(B$1,'包络曲线数据'!$B$1:$U$1,0)),""))</x:f>
      </x:c>
      <x:c r="C669" t="str">
        <x:f>IF(C$1="","",IFERROR(INDEX('包络曲线数据'!$B$2:$U$742,ROW()-1,MATCH(C$1,'包络曲线数据'!$B$1:$U$1,0)),""))</x:f>
      </x:c>
      <x:c r="D669" t="str">
        <x:f>IF(D$1="","",IFERROR(INDEX('包络曲线数据'!$B$2:$U$742,ROW()-1,MATCH(D$1,'包络曲线数据'!$B$1:$U$1,0)),""))</x:f>
      </x:c>
      <x:c r="E669" t="str">
        <x:f>IF(E$1="","",IFERROR(INDEX('包络曲线数据'!$B$2:$U$742,ROW()-1,MATCH(E$1,'包络曲线数据'!$B$1:$U$1,0)),""))</x:f>
      </x:c>
      <x:c r="F669" t="str">
        <x:f>IF(F$1="","",IFERROR(INDEX('包络曲线数据'!$B$2:$U$742,ROW()-1,MATCH(F$1,'包络曲线数据'!$B$1:$U$1,0)),""))</x:f>
      </x:c>
      <x:c r="G669" t="str">
        <x:f>IF(G$1="","",IFERROR(INDEX('包络曲线数据'!$B$2:$U$742,ROW()-1,MATCH(G$1,'包络曲线数据'!$B$1:$U$1,0)),""))</x:f>
      </x:c>
    </x:row>
    <x:row r="670">
      <x:c r="A670" t="n">
        <x:v>66.8</x:v>
      </x:c>
      <x:c r="B670" t="str">
        <x:f>IF(B$1="","",IFERROR(INDEX('包络曲线数据'!$B$2:$U$742,ROW()-1,MATCH(B$1,'包络曲线数据'!$B$1:$U$1,0)),""))</x:f>
      </x:c>
      <x:c r="C670" t="str">
        <x:f>IF(C$1="","",IFERROR(INDEX('包络曲线数据'!$B$2:$U$742,ROW()-1,MATCH(C$1,'包络曲线数据'!$B$1:$U$1,0)),""))</x:f>
      </x:c>
      <x:c r="D670" t="str">
        <x:f>IF(D$1="","",IFERROR(INDEX('包络曲线数据'!$B$2:$U$742,ROW()-1,MATCH(D$1,'包络曲线数据'!$B$1:$U$1,0)),""))</x:f>
      </x:c>
      <x:c r="E670" t="str">
        <x:f>IF(E$1="","",IFERROR(INDEX('包络曲线数据'!$B$2:$U$742,ROW()-1,MATCH(E$1,'包络曲线数据'!$B$1:$U$1,0)),""))</x:f>
      </x:c>
      <x:c r="F670" t="str">
        <x:f>IF(F$1="","",IFERROR(INDEX('包络曲线数据'!$B$2:$U$742,ROW()-1,MATCH(F$1,'包络曲线数据'!$B$1:$U$1,0)),""))</x:f>
      </x:c>
      <x:c r="G670" t="str">
        <x:f>IF(G$1="","",IFERROR(INDEX('包络曲线数据'!$B$2:$U$742,ROW()-1,MATCH(G$1,'包络曲线数据'!$B$1:$U$1,0)),""))</x:f>
      </x:c>
    </x:row>
    <x:row r="671">
      <x:c r="A671" t="n">
        <x:v>66.9</x:v>
      </x:c>
      <x:c r="B671" t="str">
        <x:f>IF(B$1="","",IFERROR(INDEX('包络曲线数据'!$B$2:$U$742,ROW()-1,MATCH(B$1,'包络曲线数据'!$B$1:$U$1,0)),""))</x:f>
      </x:c>
      <x:c r="C671" t="str">
        <x:f>IF(C$1="","",IFERROR(INDEX('包络曲线数据'!$B$2:$U$742,ROW()-1,MATCH(C$1,'包络曲线数据'!$B$1:$U$1,0)),""))</x:f>
      </x:c>
      <x:c r="D671" t="str">
        <x:f>IF(D$1="","",IFERROR(INDEX('包络曲线数据'!$B$2:$U$742,ROW()-1,MATCH(D$1,'包络曲线数据'!$B$1:$U$1,0)),""))</x:f>
      </x:c>
      <x:c r="E671" t="str">
        <x:f>IF(E$1="","",IFERROR(INDEX('包络曲线数据'!$B$2:$U$742,ROW()-1,MATCH(E$1,'包络曲线数据'!$B$1:$U$1,0)),""))</x:f>
      </x:c>
      <x:c r="F671" t="str">
        <x:f>IF(F$1="","",IFERROR(INDEX('包络曲线数据'!$B$2:$U$742,ROW()-1,MATCH(F$1,'包络曲线数据'!$B$1:$U$1,0)),""))</x:f>
      </x:c>
      <x:c r="G671" t="str">
        <x:f>IF(G$1="","",IFERROR(INDEX('包络曲线数据'!$B$2:$U$742,ROW()-1,MATCH(G$1,'包络曲线数据'!$B$1:$U$1,0)),""))</x:f>
      </x:c>
    </x:row>
    <x:row r="672">
      <x:c r="A672" t="n">
        <x:v>67</x:v>
      </x:c>
      <x:c r="B672" t="str">
        <x:f>IF(B$1="","",IFERROR(INDEX('包络曲线数据'!$B$2:$U$742,ROW()-1,MATCH(B$1,'包络曲线数据'!$B$1:$U$1,0)),""))</x:f>
      </x:c>
      <x:c r="C672" t="str">
        <x:f>IF(C$1="","",IFERROR(INDEX('包络曲线数据'!$B$2:$U$742,ROW()-1,MATCH(C$1,'包络曲线数据'!$B$1:$U$1,0)),""))</x:f>
      </x:c>
      <x:c r="D672" t="str">
        <x:f>IF(D$1="","",IFERROR(INDEX('包络曲线数据'!$B$2:$U$742,ROW()-1,MATCH(D$1,'包络曲线数据'!$B$1:$U$1,0)),""))</x:f>
      </x:c>
      <x:c r="E672" t="str">
        <x:f>IF(E$1="","",IFERROR(INDEX('包络曲线数据'!$B$2:$U$742,ROW()-1,MATCH(E$1,'包络曲线数据'!$B$1:$U$1,0)),""))</x:f>
      </x:c>
      <x:c r="F672" t="str">
        <x:f>IF(F$1="","",IFERROR(INDEX('包络曲线数据'!$B$2:$U$742,ROW()-1,MATCH(F$1,'包络曲线数据'!$B$1:$U$1,0)),""))</x:f>
      </x:c>
      <x:c r="G672" t="str">
        <x:f>IF(G$1="","",IFERROR(INDEX('包络曲线数据'!$B$2:$U$742,ROW()-1,MATCH(G$1,'包络曲线数据'!$B$1:$U$1,0)),""))</x:f>
      </x:c>
    </x:row>
    <x:row r="673">
      <x:c r="A673" t="n">
        <x:v>67.10000000000001</x:v>
      </x:c>
      <x:c r="B673" t="str">
        <x:f>IF(B$1="","",IFERROR(INDEX('包络曲线数据'!$B$2:$U$742,ROW()-1,MATCH(B$1,'包络曲线数据'!$B$1:$U$1,0)),""))</x:f>
      </x:c>
      <x:c r="C673" t="str">
        <x:f>IF(C$1="","",IFERROR(INDEX('包络曲线数据'!$B$2:$U$742,ROW()-1,MATCH(C$1,'包络曲线数据'!$B$1:$U$1,0)),""))</x:f>
      </x:c>
      <x:c r="D673" t="str">
        <x:f>IF(D$1="","",IFERROR(INDEX('包络曲线数据'!$B$2:$U$742,ROW()-1,MATCH(D$1,'包络曲线数据'!$B$1:$U$1,0)),""))</x:f>
      </x:c>
      <x:c r="E673" t="str">
        <x:f>IF(E$1="","",IFERROR(INDEX('包络曲线数据'!$B$2:$U$742,ROW()-1,MATCH(E$1,'包络曲线数据'!$B$1:$U$1,0)),""))</x:f>
      </x:c>
      <x:c r="F673" t="str">
        <x:f>IF(F$1="","",IFERROR(INDEX('包络曲线数据'!$B$2:$U$742,ROW()-1,MATCH(F$1,'包络曲线数据'!$B$1:$U$1,0)),""))</x:f>
      </x:c>
      <x:c r="G673" t="str">
        <x:f>IF(G$1="","",IFERROR(INDEX('包络曲线数据'!$B$2:$U$742,ROW()-1,MATCH(G$1,'包络曲线数据'!$B$1:$U$1,0)),""))</x:f>
      </x:c>
    </x:row>
    <x:row r="674">
      <x:c r="A674" t="n">
        <x:v>67.2</x:v>
      </x:c>
      <x:c r="B674" t="str">
        <x:f>IF(B$1="","",IFERROR(INDEX('包络曲线数据'!$B$2:$U$742,ROW()-1,MATCH(B$1,'包络曲线数据'!$B$1:$U$1,0)),""))</x:f>
      </x:c>
      <x:c r="C674" t="str">
        <x:f>IF(C$1="","",IFERROR(INDEX('包络曲线数据'!$B$2:$U$742,ROW()-1,MATCH(C$1,'包络曲线数据'!$B$1:$U$1,0)),""))</x:f>
      </x:c>
      <x:c r="D674" t="str">
        <x:f>IF(D$1="","",IFERROR(INDEX('包络曲线数据'!$B$2:$U$742,ROW()-1,MATCH(D$1,'包络曲线数据'!$B$1:$U$1,0)),""))</x:f>
      </x:c>
      <x:c r="E674" t="str">
        <x:f>IF(E$1="","",IFERROR(INDEX('包络曲线数据'!$B$2:$U$742,ROW()-1,MATCH(E$1,'包络曲线数据'!$B$1:$U$1,0)),""))</x:f>
      </x:c>
      <x:c r="F674" t="str">
        <x:f>IF(F$1="","",IFERROR(INDEX('包络曲线数据'!$B$2:$U$742,ROW()-1,MATCH(F$1,'包络曲线数据'!$B$1:$U$1,0)),""))</x:f>
      </x:c>
      <x:c r="G674" t="str">
        <x:f>IF(G$1="","",IFERROR(INDEX('包络曲线数据'!$B$2:$U$742,ROW()-1,MATCH(G$1,'包络曲线数据'!$B$1:$U$1,0)),""))</x:f>
      </x:c>
    </x:row>
    <x:row r="675">
      <x:c r="A675" t="n">
        <x:v>67.3</x:v>
      </x:c>
      <x:c r="B675" t="str">
        <x:f>IF(B$1="","",IFERROR(INDEX('包络曲线数据'!$B$2:$U$742,ROW()-1,MATCH(B$1,'包络曲线数据'!$B$1:$U$1,0)),""))</x:f>
      </x:c>
      <x:c r="C675" t="str">
        <x:f>IF(C$1="","",IFERROR(INDEX('包络曲线数据'!$B$2:$U$742,ROW()-1,MATCH(C$1,'包络曲线数据'!$B$1:$U$1,0)),""))</x:f>
      </x:c>
      <x:c r="D675" t="str">
        <x:f>IF(D$1="","",IFERROR(INDEX('包络曲线数据'!$B$2:$U$742,ROW()-1,MATCH(D$1,'包络曲线数据'!$B$1:$U$1,0)),""))</x:f>
      </x:c>
      <x:c r="E675" t="str">
        <x:f>IF(E$1="","",IFERROR(INDEX('包络曲线数据'!$B$2:$U$742,ROW()-1,MATCH(E$1,'包络曲线数据'!$B$1:$U$1,0)),""))</x:f>
      </x:c>
      <x:c r="F675" t="str">
        <x:f>IF(F$1="","",IFERROR(INDEX('包络曲线数据'!$B$2:$U$742,ROW()-1,MATCH(F$1,'包络曲线数据'!$B$1:$U$1,0)),""))</x:f>
      </x:c>
      <x:c r="G675" t="str">
        <x:f>IF(G$1="","",IFERROR(INDEX('包络曲线数据'!$B$2:$U$742,ROW()-1,MATCH(G$1,'包络曲线数据'!$B$1:$U$1,0)),""))</x:f>
      </x:c>
    </x:row>
    <x:row r="676">
      <x:c r="A676" t="n">
        <x:v>67.4</x:v>
      </x:c>
      <x:c r="B676" t="str">
        <x:f>IF(B$1="","",IFERROR(INDEX('包络曲线数据'!$B$2:$U$742,ROW()-1,MATCH(B$1,'包络曲线数据'!$B$1:$U$1,0)),""))</x:f>
      </x:c>
      <x:c r="C676" t="str">
        <x:f>IF(C$1="","",IFERROR(INDEX('包络曲线数据'!$B$2:$U$742,ROW()-1,MATCH(C$1,'包络曲线数据'!$B$1:$U$1,0)),""))</x:f>
      </x:c>
      <x:c r="D676" t="str">
        <x:f>IF(D$1="","",IFERROR(INDEX('包络曲线数据'!$B$2:$U$742,ROW()-1,MATCH(D$1,'包络曲线数据'!$B$1:$U$1,0)),""))</x:f>
      </x:c>
      <x:c r="E676" t="str">
        <x:f>IF(E$1="","",IFERROR(INDEX('包络曲线数据'!$B$2:$U$742,ROW()-1,MATCH(E$1,'包络曲线数据'!$B$1:$U$1,0)),""))</x:f>
      </x:c>
      <x:c r="F676" t="str">
        <x:f>IF(F$1="","",IFERROR(INDEX('包络曲线数据'!$B$2:$U$742,ROW()-1,MATCH(F$1,'包络曲线数据'!$B$1:$U$1,0)),""))</x:f>
      </x:c>
      <x:c r="G676" t="str">
        <x:f>IF(G$1="","",IFERROR(INDEX('包络曲线数据'!$B$2:$U$742,ROW()-1,MATCH(G$1,'包络曲线数据'!$B$1:$U$1,0)),""))</x:f>
      </x:c>
    </x:row>
    <x:row r="677">
      <x:c r="A677" t="n">
        <x:v>67.5</x:v>
      </x:c>
      <x:c r="B677" t="str">
        <x:f>IF(B$1="","",IFERROR(INDEX('包络曲线数据'!$B$2:$U$742,ROW()-1,MATCH(B$1,'包络曲线数据'!$B$1:$U$1,0)),""))</x:f>
      </x:c>
      <x:c r="C677" t="str">
        <x:f>IF(C$1="","",IFERROR(INDEX('包络曲线数据'!$B$2:$U$742,ROW()-1,MATCH(C$1,'包络曲线数据'!$B$1:$U$1,0)),""))</x:f>
      </x:c>
      <x:c r="D677" t="str">
        <x:f>IF(D$1="","",IFERROR(INDEX('包络曲线数据'!$B$2:$U$742,ROW()-1,MATCH(D$1,'包络曲线数据'!$B$1:$U$1,0)),""))</x:f>
      </x:c>
      <x:c r="E677" t="str">
        <x:f>IF(E$1="","",IFERROR(INDEX('包络曲线数据'!$B$2:$U$742,ROW()-1,MATCH(E$1,'包络曲线数据'!$B$1:$U$1,0)),""))</x:f>
      </x:c>
      <x:c r="F677" t="str">
        <x:f>IF(F$1="","",IFERROR(INDEX('包络曲线数据'!$B$2:$U$742,ROW()-1,MATCH(F$1,'包络曲线数据'!$B$1:$U$1,0)),""))</x:f>
      </x:c>
      <x:c r="G677" t="str">
        <x:f>IF(G$1="","",IFERROR(INDEX('包络曲线数据'!$B$2:$U$742,ROW()-1,MATCH(G$1,'包络曲线数据'!$B$1:$U$1,0)),""))</x:f>
      </x:c>
    </x:row>
    <x:row r="678">
      <x:c r="A678" t="n">
        <x:v>67.60000000000001</x:v>
      </x:c>
      <x:c r="B678" t="str">
        <x:f>IF(B$1="","",IFERROR(INDEX('包络曲线数据'!$B$2:$U$742,ROW()-1,MATCH(B$1,'包络曲线数据'!$B$1:$U$1,0)),""))</x:f>
      </x:c>
      <x:c r="C678" t="str">
        <x:f>IF(C$1="","",IFERROR(INDEX('包络曲线数据'!$B$2:$U$742,ROW()-1,MATCH(C$1,'包络曲线数据'!$B$1:$U$1,0)),""))</x:f>
      </x:c>
      <x:c r="D678" t="str">
        <x:f>IF(D$1="","",IFERROR(INDEX('包络曲线数据'!$B$2:$U$742,ROW()-1,MATCH(D$1,'包络曲线数据'!$B$1:$U$1,0)),""))</x:f>
      </x:c>
      <x:c r="E678" t="str">
        <x:f>IF(E$1="","",IFERROR(INDEX('包络曲线数据'!$B$2:$U$742,ROW()-1,MATCH(E$1,'包络曲线数据'!$B$1:$U$1,0)),""))</x:f>
      </x:c>
      <x:c r="F678" t="str">
        <x:f>IF(F$1="","",IFERROR(INDEX('包络曲线数据'!$B$2:$U$742,ROW()-1,MATCH(F$1,'包络曲线数据'!$B$1:$U$1,0)),""))</x:f>
      </x:c>
      <x:c r="G678" t="str">
        <x:f>IF(G$1="","",IFERROR(INDEX('包络曲线数据'!$B$2:$U$742,ROW()-1,MATCH(G$1,'包络曲线数据'!$B$1:$U$1,0)),""))</x:f>
      </x:c>
    </x:row>
    <x:row r="679">
      <x:c r="A679" t="n">
        <x:v>67.7</x:v>
      </x:c>
      <x:c r="B679" t="str">
        <x:f>IF(B$1="","",IFERROR(INDEX('包络曲线数据'!$B$2:$U$742,ROW()-1,MATCH(B$1,'包络曲线数据'!$B$1:$U$1,0)),""))</x:f>
      </x:c>
      <x:c r="C679" t="str">
        <x:f>IF(C$1="","",IFERROR(INDEX('包络曲线数据'!$B$2:$U$742,ROW()-1,MATCH(C$1,'包络曲线数据'!$B$1:$U$1,0)),""))</x:f>
      </x:c>
      <x:c r="D679" t="str">
        <x:f>IF(D$1="","",IFERROR(INDEX('包络曲线数据'!$B$2:$U$742,ROW()-1,MATCH(D$1,'包络曲线数据'!$B$1:$U$1,0)),""))</x:f>
      </x:c>
      <x:c r="E679" t="str">
        <x:f>IF(E$1="","",IFERROR(INDEX('包络曲线数据'!$B$2:$U$742,ROW()-1,MATCH(E$1,'包络曲线数据'!$B$1:$U$1,0)),""))</x:f>
      </x:c>
      <x:c r="F679" t="str">
        <x:f>IF(F$1="","",IFERROR(INDEX('包络曲线数据'!$B$2:$U$742,ROW()-1,MATCH(F$1,'包络曲线数据'!$B$1:$U$1,0)),""))</x:f>
      </x:c>
      <x:c r="G679" t="str">
        <x:f>IF(G$1="","",IFERROR(INDEX('包络曲线数据'!$B$2:$U$742,ROW()-1,MATCH(G$1,'包络曲线数据'!$B$1:$U$1,0)),""))</x:f>
      </x:c>
    </x:row>
    <x:row r="680">
      <x:c r="A680" t="n">
        <x:v>67.8</x:v>
      </x:c>
      <x:c r="B680" t="str">
        <x:f>IF(B$1="","",IFERROR(INDEX('包络曲线数据'!$B$2:$U$742,ROW()-1,MATCH(B$1,'包络曲线数据'!$B$1:$U$1,0)),""))</x:f>
      </x:c>
      <x:c r="C680" t="str">
        <x:f>IF(C$1="","",IFERROR(INDEX('包络曲线数据'!$B$2:$U$742,ROW()-1,MATCH(C$1,'包络曲线数据'!$B$1:$U$1,0)),""))</x:f>
      </x:c>
      <x:c r="D680" t="str">
        <x:f>IF(D$1="","",IFERROR(INDEX('包络曲线数据'!$B$2:$U$742,ROW()-1,MATCH(D$1,'包络曲线数据'!$B$1:$U$1,0)),""))</x:f>
      </x:c>
      <x:c r="E680" t="str">
        <x:f>IF(E$1="","",IFERROR(INDEX('包络曲线数据'!$B$2:$U$742,ROW()-1,MATCH(E$1,'包络曲线数据'!$B$1:$U$1,0)),""))</x:f>
      </x:c>
      <x:c r="F680" t="str">
        <x:f>IF(F$1="","",IFERROR(INDEX('包络曲线数据'!$B$2:$U$742,ROW()-1,MATCH(F$1,'包络曲线数据'!$B$1:$U$1,0)),""))</x:f>
      </x:c>
      <x:c r="G680" t="str">
        <x:f>IF(G$1="","",IFERROR(INDEX('包络曲线数据'!$B$2:$U$742,ROW()-1,MATCH(G$1,'包络曲线数据'!$B$1:$U$1,0)),""))</x:f>
      </x:c>
    </x:row>
    <x:row r="681">
      <x:c r="A681" t="n">
        <x:v>67.9</x:v>
      </x:c>
      <x:c r="B681" t="str">
        <x:f>IF(B$1="","",IFERROR(INDEX('包络曲线数据'!$B$2:$U$742,ROW()-1,MATCH(B$1,'包络曲线数据'!$B$1:$U$1,0)),""))</x:f>
      </x:c>
      <x:c r="C681" t="str">
        <x:f>IF(C$1="","",IFERROR(INDEX('包络曲线数据'!$B$2:$U$742,ROW()-1,MATCH(C$1,'包络曲线数据'!$B$1:$U$1,0)),""))</x:f>
      </x:c>
      <x:c r="D681" t="str">
        <x:f>IF(D$1="","",IFERROR(INDEX('包络曲线数据'!$B$2:$U$742,ROW()-1,MATCH(D$1,'包络曲线数据'!$B$1:$U$1,0)),""))</x:f>
      </x:c>
      <x:c r="E681" t="str">
        <x:f>IF(E$1="","",IFERROR(INDEX('包络曲线数据'!$B$2:$U$742,ROW()-1,MATCH(E$1,'包络曲线数据'!$B$1:$U$1,0)),""))</x:f>
      </x:c>
      <x:c r="F681" t="str">
        <x:f>IF(F$1="","",IFERROR(INDEX('包络曲线数据'!$B$2:$U$742,ROW()-1,MATCH(F$1,'包络曲线数据'!$B$1:$U$1,0)),""))</x:f>
      </x:c>
      <x:c r="G681" t="str">
        <x:f>IF(G$1="","",IFERROR(INDEX('包络曲线数据'!$B$2:$U$742,ROW()-1,MATCH(G$1,'包络曲线数据'!$B$1:$U$1,0)),""))</x:f>
      </x:c>
    </x:row>
    <x:row r="682">
      <x:c r="A682" t="n">
        <x:v>68</x:v>
      </x:c>
      <x:c r="B682" t="str">
        <x:f>IF(B$1="","",IFERROR(INDEX('包络曲线数据'!$B$2:$U$742,ROW()-1,MATCH(B$1,'包络曲线数据'!$B$1:$U$1,0)),""))</x:f>
      </x:c>
      <x:c r="C682" t="str">
        <x:f>IF(C$1="","",IFERROR(INDEX('包络曲线数据'!$B$2:$U$742,ROW()-1,MATCH(C$1,'包络曲线数据'!$B$1:$U$1,0)),""))</x:f>
      </x:c>
      <x:c r="D682" t="str">
        <x:f>IF(D$1="","",IFERROR(INDEX('包络曲线数据'!$B$2:$U$742,ROW()-1,MATCH(D$1,'包络曲线数据'!$B$1:$U$1,0)),""))</x:f>
      </x:c>
      <x:c r="E682" t="str">
        <x:f>IF(E$1="","",IFERROR(INDEX('包络曲线数据'!$B$2:$U$742,ROW()-1,MATCH(E$1,'包络曲线数据'!$B$1:$U$1,0)),""))</x:f>
      </x:c>
      <x:c r="F682" t="str">
        <x:f>IF(F$1="","",IFERROR(INDEX('包络曲线数据'!$B$2:$U$742,ROW()-1,MATCH(F$1,'包络曲线数据'!$B$1:$U$1,0)),""))</x:f>
      </x:c>
      <x:c r="G682" t="str">
        <x:f>IF(G$1="","",IFERROR(INDEX('包络曲线数据'!$B$2:$U$742,ROW()-1,MATCH(G$1,'包络曲线数据'!$B$1:$U$1,0)),""))</x:f>
      </x:c>
    </x:row>
    <x:row r="683">
      <x:c r="A683" t="n">
        <x:v>68.10000000000001</x:v>
      </x:c>
      <x:c r="B683" t="str">
        <x:f>IF(B$1="","",IFERROR(INDEX('包络曲线数据'!$B$2:$U$742,ROW()-1,MATCH(B$1,'包络曲线数据'!$B$1:$U$1,0)),""))</x:f>
      </x:c>
      <x:c r="C683" t="str">
        <x:f>IF(C$1="","",IFERROR(INDEX('包络曲线数据'!$B$2:$U$742,ROW()-1,MATCH(C$1,'包络曲线数据'!$B$1:$U$1,0)),""))</x:f>
      </x:c>
      <x:c r="D683" t="str">
        <x:f>IF(D$1="","",IFERROR(INDEX('包络曲线数据'!$B$2:$U$742,ROW()-1,MATCH(D$1,'包络曲线数据'!$B$1:$U$1,0)),""))</x:f>
      </x:c>
      <x:c r="E683" t="str">
        <x:f>IF(E$1="","",IFERROR(INDEX('包络曲线数据'!$B$2:$U$742,ROW()-1,MATCH(E$1,'包络曲线数据'!$B$1:$U$1,0)),""))</x:f>
      </x:c>
      <x:c r="F683" t="str">
        <x:f>IF(F$1="","",IFERROR(INDEX('包络曲线数据'!$B$2:$U$742,ROW()-1,MATCH(F$1,'包络曲线数据'!$B$1:$U$1,0)),""))</x:f>
      </x:c>
      <x:c r="G683" t="str">
        <x:f>IF(G$1="","",IFERROR(INDEX('包络曲线数据'!$B$2:$U$742,ROW()-1,MATCH(G$1,'包络曲线数据'!$B$1:$U$1,0)),""))</x:f>
      </x:c>
    </x:row>
    <x:row r="684">
      <x:c r="A684" t="n">
        <x:v>68.2</x:v>
      </x:c>
      <x:c r="B684" t="str">
        <x:f>IF(B$1="","",IFERROR(INDEX('包络曲线数据'!$B$2:$U$742,ROW()-1,MATCH(B$1,'包络曲线数据'!$B$1:$U$1,0)),""))</x:f>
      </x:c>
      <x:c r="C684" t="str">
        <x:f>IF(C$1="","",IFERROR(INDEX('包络曲线数据'!$B$2:$U$742,ROW()-1,MATCH(C$1,'包络曲线数据'!$B$1:$U$1,0)),""))</x:f>
      </x:c>
      <x:c r="D684" t="str">
        <x:f>IF(D$1="","",IFERROR(INDEX('包络曲线数据'!$B$2:$U$742,ROW()-1,MATCH(D$1,'包络曲线数据'!$B$1:$U$1,0)),""))</x:f>
      </x:c>
      <x:c r="E684" t="str">
        <x:f>IF(E$1="","",IFERROR(INDEX('包络曲线数据'!$B$2:$U$742,ROW()-1,MATCH(E$1,'包络曲线数据'!$B$1:$U$1,0)),""))</x:f>
      </x:c>
      <x:c r="F684" t="str">
        <x:f>IF(F$1="","",IFERROR(INDEX('包络曲线数据'!$B$2:$U$742,ROW()-1,MATCH(F$1,'包络曲线数据'!$B$1:$U$1,0)),""))</x:f>
      </x:c>
      <x:c r="G684" t="str">
        <x:f>IF(G$1="","",IFERROR(INDEX('包络曲线数据'!$B$2:$U$742,ROW()-1,MATCH(G$1,'包络曲线数据'!$B$1:$U$1,0)),""))</x:f>
      </x:c>
    </x:row>
    <x:row r="685">
      <x:c r="A685" t="n">
        <x:v>68.3</x:v>
      </x:c>
      <x:c r="B685" t="str">
        <x:f>IF(B$1="","",IFERROR(INDEX('包络曲线数据'!$B$2:$U$742,ROW()-1,MATCH(B$1,'包络曲线数据'!$B$1:$U$1,0)),""))</x:f>
      </x:c>
      <x:c r="C685" t="str">
        <x:f>IF(C$1="","",IFERROR(INDEX('包络曲线数据'!$B$2:$U$742,ROW()-1,MATCH(C$1,'包络曲线数据'!$B$1:$U$1,0)),""))</x:f>
      </x:c>
      <x:c r="D685" t="str">
        <x:f>IF(D$1="","",IFERROR(INDEX('包络曲线数据'!$B$2:$U$742,ROW()-1,MATCH(D$1,'包络曲线数据'!$B$1:$U$1,0)),""))</x:f>
      </x:c>
      <x:c r="E685" t="str">
        <x:f>IF(E$1="","",IFERROR(INDEX('包络曲线数据'!$B$2:$U$742,ROW()-1,MATCH(E$1,'包络曲线数据'!$B$1:$U$1,0)),""))</x:f>
      </x:c>
      <x:c r="F685" t="str">
        <x:f>IF(F$1="","",IFERROR(INDEX('包络曲线数据'!$B$2:$U$742,ROW()-1,MATCH(F$1,'包络曲线数据'!$B$1:$U$1,0)),""))</x:f>
      </x:c>
      <x:c r="G685" t="str">
        <x:f>IF(G$1="","",IFERROR(INDEX('包络曲线数据'!$B$2:$U$742,ROW()-1,MATCH(G$1,'包络曲线数据'!$B$1:$U$1,0)),""))</x:f>
      </x:c>
    </x:row>
    <x:row r="686">
      <x:c r="A686" t="n">
        <x:v>68.4</x:v>
      </x:c>
      <x:c r="B686" t="str">
        <x:f>IF(B$1="","",IFERROR(INDEX('包络曲线数据'!$B$2:$U$742,ROW()-1,MATCH(B$1,'包络曲线数据'!$B$1:$U$1,0)),""))</x:f>
      </x:c>
      <x:c r="C686" t="str">
        <x:f>IF(C$1="","",IFERROR(INDEX('包络曲线数据'!$B$2:$U$742,ROW()-1,MATCH(C$1,'包络曲线数据'!$B$1:$U$1,0)),""))</x:f>
      </x:c>
      <x:c r="D686" t="str">
        <x:f>IF(D$1="","",IFERROR(INDEX('包络曲线数据'!$B$2:$U$742,ROW()-1,MATCH(D$1,'包络曲线数据'!$B$1:$U$1,0)),""))</x:f>
      </x:c>
      <x:c r="E686" t="str">
        <x:f>IF(E$1="","",IFERROR(INDEX('包络曲线数据'!$B$2:$U$742,ROW()-1,MATCH(E$1,'包络曲线数据'!$B$1:$U$1,0)),""))</x:f>
      </x:c>
      <x:c r="F686" t="str">
        <x:f>IF(F$1="","",IFERROR(INDEX('包络曲线数据'!$B$2:$U$742,ROW()-1,MATCH(F$1,'包络曲线数据'!$B$1:$U$1,0)),""))</x:f>
      </x:c>
      <x:c r="G686" t="str">
        <x:f>IF(G$1="","",IFERROR(INDEX('包络曲线数据'!$B$2:$U$742,ROW()-1,MATCH(G$1,'包络曲线数据'!$B$1:$U$1,0)),""))</x:f>
      </x:c>
    </x:row>
    <x:row r="687">
      <x:c r="A687" t="n">
        <x:v>68.5</x:v>
      </x:c>
      <x:c r="B687" t="str">
        <x:f>IF(B$1="","",IFERROR(INDEX('包络曲线数据'!$B$2:$U$742,ROW()-1,MATCH(B$1,'包络曲线数据'!$B$1:$U$1,0)),""))</x:f>
      </x:c>
      <x:c r="C687" t="str">
        <x:f>IF(C$1="","",IFERROR(INDEX('包络曲线数据'!$B$2:$U$742,ROW()-1,MATCH(C$1,'包络曲线数据'!$B$1:$U$1,0)),""))</x:f>
      </x:c>
      <x:c r="D687" t="str">
        <x:f>IF(D$1="","",IFERROR(INDEX('包络曲线数据'!$B$2:$U$742,ROW()-1,MATCH(D$1,'包络曲线数据'!$B$1:$U$1,0)),""))</x:f>
      </x:c>
      <x:c r="E687" t="str">
        <x:f>IF(E$1="","",IFERROR(INDEX('包络曲线数据'!$B$2:$U$742,ROW()-1,MATCH(E$1,'包络曲线数据'!$B$1:$U$1,0)),""))</x:f>
      </x:c>
      <x:c r="F687" t="str">
        <x:f>IF(F$1="","",IFERROR(INDEX('包络曲线数据'!$B$2:$U$742,ROW()-1,MATCH(F$1,'包络曲线数据'!$B$1:$U$1,0)),""))</x:f>
      </x:c>
      <x:c r="G687" t="str">
        <x:f>IF(G$1="","",IFERROR(INDEX('包络曲线数据'!$B$2:$U$742,ROW()-1,MATCH(G$1,'包络曲线数据'!$B$1:$U$1,0)),""))</x:f>
      </x:c>
    </x:row>
    <x:row r="688">
      <x:c r="A688" t="n">
        <x:v>68.60000000000001</x:v>
      </x:c>
      <x:c r="B688" t="str">
        <x:f>IF(B$1="","",IFERROR(INDEX('包络曲线数据'!$B$2:$U$742,ROW()-1,MATCH(B$1,'包络曲线数据'!$B$1:$U$1,0)),""))</x:f>
      </x:c>
      <x:c r="C688" t="str">
        <x:f>IF(C$1="","",IFERROR(INDEX('包络曲线数据'!$B$2:$U$742,ROW()-1,MATCH(C$1,'包络曲线数据'!$B$1:$U$1,0)),""))</x:f>
      </x:c>
      <x:c r="D688" t="str">
        <x:f>IF(D$1="","",IFERROR(INDEX('包络曲线数据'!$B$2:$U$742,ROW()-1,MATCH(D$1,'包络曲线数据'!$B$1:$U$1,0)),""))</x:f>
      </x:c>
      <x:c r="E688" t="str">
        <x:f>IF(E$1="","",IFERROR(INDEX('包络曲线数据'!$B$2:$U$742,ROW()-1,MATCH(E$1,'包络曲线数据'!$B$1:$U$1,0)),""))</x:f>
      </x:c>
      <x:c r="F688" t="str">
        <x:f>IF(F$1="","",IFERROR(INDEX('包络曲线数据'!$B$2:$U$742,ROW()-1,MATCH(F$1,'包络曲线数据'!$B$1:$U$1,0)),""))</x:f>
      </x:c>
      <x:c r="G688" t="str">
        <x:f>IF(G$1="","",IFERROR(INDEX('包络曲线数据'!$B$2:$U$742,ROW()-1,MATCH(G$1,'包络曲线数据'!$B$1:$U$1,0)),""))</x:f>
      </x:c>
    </x:row>
    <x:row r="689">
      <x:c r="A689" t="n">
        <x:v>68.7</x:v>
      </x:c>
      <x:c r="B689" t="str">
        <x:f>IF(B$1="","",IFERROR(INDEX('包络曲线数据'!$B$2:$U$742,ROW()-1,MATCH(B$1,'包络曲线数据'!$B$1:$U$1,0)),""))</x:f>
      </x:c>
      <x:c r="C689" t="str">
        <x:f>IF(C$1="","",IFERROR(INDEX('包络曲线数据'!$B$2:$U$742,ROW()-1,MATCH(C$1,'包络曲线数据'!$B$1:$U$1,0)),""))</x:f>
      </x:c>
      <x:c r="D689" t="str">
        <x:f>IF(D$1="","",IFERROR(INDEX('包络曲线数据'!$B$2:$U$742,ROW()-1,MATCH(D$1,'包络曲线数据'!$B$1:$U$1,0)),""))</x:f>
      </x:c>
      <x:c r="E689" t="str">
        <x:f>IF(E$1="","",IFERROR(INDEX('包络曲线数据'!$B$2:$U$742,ROW()-1,MATCH(E$1,'包络曲线数据'!$B$1:$U$1,0)),""))</x:f>
      </x:c>
      <x:c r="F689" t="str">
        <x:f>IF(F$1="","",IFERROR(INDEX('包络曲线数据'!$B$2:$U$742,ROW()-1,MATCH(F$1,'包络曲线数据'!$B$1:$U$1,0)),""))</x:f>
      </x:c>
      <x:c r="G689" t="str">
        <x:f>IF(G$1="","",IFERROR(INDEX('包络曲线数据'!$B$2:$U$742,ROW()-1,MATCH(G$1,'包络曲线数据'!$B$1:$U$1,0)),""))</x:f>
      </x:c>
    </x:row>
    <x:row r="690">
      <x:c r="A690" t="n">
        <x:v>68.8</x:v>
      </x:c>
      <x:c r="B690" t="str">
        <x:f>IF(B$1="","",IFERROR(INDEX('包络曲线数据'!$B$2:$U$742,ROW()-1,MATCH(B$1,'包络曲线数据'!$B$1:$U$1,0)),""))</x:f>
      </x:c>
      <x:c r="C690" t="str">
        <x:f>IF(C$1="","",IFERROR(INDEX('包络曲线数据'!$B$2:$U$742,ROW()-1,MATCH(C$1,'包络曲线数据'!$B$1:$U$1,0)),""))</x:f>
      </x:c>
      <x:c r="D690" t="str">
        <x:f>IF(D$1="","",IFERROR(INDEX('包络曲线数据'!$B$2:$U$742,ROW()-1,MATCH(D$1,'包络曲线数据'!$B$1:$U$1,0)),""))</x:f>
      </x:c>
      <x:c r="E690" t="str">
        <x:f>IF(E$1="","",IFERROR(INDEX('包络曲线数据'!$B$2:$U$742,ROW()-1,MATCH(E$1,'包络曲线数据'!$B$1:$U$1,0)),""))</x:f>
      </x:c>
      <x:c r="F690" t="str">
        <x:f>IF(F$1="","",IFERROR(INDEX('包络曲线数据'!$B$2:$U$742,ROW()-1,MATCH(F$1,'包络曲线数据'!$B$1:$U$1,0)),""))</x:f>
      </x:c>
      <x:c r="G690" t="str">
        <x:f>IF(G$1="","",IFERROR(INDEX('包络曲线数据'!$B$2:$U$742,ROW()-1,MATCH(G$1,'包络曲线数据'!$B$1:$U$1,0)),""))</x:f>
      </x:c>
    </x:row>
    <x:row r="691">
      <x:c r="A691" t="n">
        <x:v>68.9</x:v>
      </x:c>
      <x:c r="B691" t="str">
        <x:f>IF(B$1="","",IFERROR(INDEX('包络曲线数据'!$B$2:$U$742,ROW()-1,MATCH(B$1,'包络曲线数据'!$B$1:$U$1,0)),""))</x:f>
      </x:c>
      <x:c r="C691" t="str">
        <x:f>IF(C$1="","",IFERROR(INDEX('包络曲线数据'!$B$2:$U$742,ROW()-1,MATCH(C$1,'包络曲线数据'!$B$1:$U$1,0)),""))</x:f>
      </x:c>
      <x:c r="D691" t="str">
        <x:f>IF(D$1="","",IFERROR(INDEX('包络曲线数据'!$B$2:$U$742,ROW()-1,MATCH(D$1,'包络曲线数据'!$B$1:$U$1,0)),""))</x:f>
      </x:c>
      <x:c r="E691" t="str">
        <x:f>IF(E$1="","",IFERROR(INDEX('包络曲线数据'!$B$2:$U$742,ROW()-1,MATCH(E$1,'包络曲线数据'!$B$1:$U$1,0)),""))</x:f>
      </x:c>
      <x:c r="F691" t="str">
        <x:f>IF(F$1="","",IFERROR(INDEX('包络曲线数据'!$B$2:$U$742,ROW()-1,MATCH(F$1,'包络曲线数据'!$B$1:$U$1,0)),""))</x:f>
      </x:c>
      <x:c r="G691" t="str">
        <x:f>IF(G$1="","",IFERROR(INDEX('包络曲线数据'!$B$2:$U$742,ROW()-1,MATCH(G$1,'包络曲线数据'!$B$1:$U$1,0)),""))</x:f>
      </x:c>
    </x:row>
    <x:row r="692">
      <x:c r="A692" t="n">
        <x:v>69</x:v>
      </x:c>
      <x:c r="B692" t="str">
        <x:f>IF(B$1="","",IFERROR(INDEX('包络曲线数据'!$B$2:$U$742,ROW()-1,MATCH(B$1,'包络曲线数据'!$B$1:$U$1,0)),""))</x:f>
      </x:c>
      <x:c r="C692" t="str">
        <x:f>IF(C$1="","",IFERROR(INDEX('包络曲线数据'!$B$2:$U$742,ROW()-1,MATCH(C$1,'包络曲线数据'!$B$1:$U$1,0)),""))</x:f>
      </x:c>
      <x:c r="D692" t="str">
        <x:f>IF(D$1="","",IFERROR(INDEX('包络曲线数据'!$B$2:$U$742,ROW()-1,MATCH(D$1,'包络曲线数据'!$B$1:$U$1,0)),""))</x:f>
      </x:c>
      <x:c r="E692" t="str">
        <x:f>IF(E$1="","",IFERROR(INDEX('包络曲线数据'!$B$2:$U$742,ROW()-1,MATCH(E$1,'包络曲线数据'!$B$1:$U$1,0)),""))</x:f>
      </x:c>
      <x:c r="F692" t="str">
        <x:f>IF(F$1="","",IFERROR(INDEX('包络曲线数据'!$B$2:$U$742,ROW()-1,MATCH(F$1,'包络曲线数据'!$B$1:$U$1,0)),""))</x:f>
      </x:c>
      <x:c r="G692" t="str">
        <x:f>IF(G$1="","",IFERROR(INDEX('包络曲线数据'!$B$2:$U$742,ROW()-1,MATCH(G$1,'包络曲线数据'!$B$1:$U$1,0)),""))</x:f>
      </x:c>
    </x:row>
    <x:row r="693">
      <x:c r="A693" t="n">
        <x:v>69.10000000000001</x:v>
      </x:c>
      <x:c r="B693" t="str">
        <x:f>IF(B$1="","",IFERROR(INDEX('包络曲线数据'!$B$2:$U$742,ROW()-1,MATCH(B$1,'包络曲线数据'!$B$1:$U$1,0)),""))</x:f>
      </x:c>
      <x:c r="C693" t="str">
        <x:f>IF(C$1="","",IFERROR(INDEX('包络曲线数据'!$B$2:$U$742,ROW()-1,MATCH(C$1,'包络曲线数据'!$B$1:$U$1,0)),""))</x:f>
      </x:c>
      <x:c r="D693" t="str">
        <x:f>IF(D$1="","",IFERROR(INDEX('包络曲线数据'!$B$2:$U$742,ROW()-1,MATCH(D$1,'包络曲线数据'!$B$1:$U$1,0)),""))</x:f>
      </x:c>
      <x:c r="E693" t="str">
        <x:f>IF(E$1="","",IFERROR(INDEX('包络曲线数据'!$B$2:$U$742,ROW()-1,MATCH(E$1,'包络曲线数据'!$B$1:$U$1,0)),""))</x:f>
      </x:c>
      <x:c r="F693" t="str">
        <x:f>IF(F$1="","",IFERROR(INDEX('包络曲线数据'!$B$2:$U$742,ROW()-1,MATCH(F$1,'包络曲线数据'!$B$1:$U$1,0)),""))</x:f>
      </x:c>
      <x:c r="G693" t="str">
        <x:f>IF(G$1="","",IFERROR(INDEX('包络曲线数据'!$B$2:$U$742,ROW()-1,MATCH(G$1,'包络曲线数据'!$B$1:$U$1,0)),""))</x:f>
      </x:c>
    </x:row>
    <x:row r="694">
      <x:c r="A694" t="n">
        <x:v>69.2</x:v>
      </x:c>
      <x:c r="B694" t="str">
        <x:f>IF(B$1="","",IFERROR(INDEX('包络曲线数据'!$B$2:$U$742,ROW()-1,MATCH(B$1,'包络曲线数据'!$B$1:$U$1,0)),""))</x:f>
      </x:c>
      <x:c r="C694" t="str">
        <x:f>IF(C$1="","",IFERROR(INDEX('包络曲线数据'!$B$2:$U$742,ROW()-1,MATCH(C$1,'包络曲线数据'!$B$1:$U$1,0)),""))</x:f>
      </x:c>
      <x:c r="D694" t="str">
        <x:f>IF(D$1="","",IFERROR(INDEX('包络曲线数据'!$B$2:$U$742,ROW()-1,MATCH(D$1,'包络曲线数据'!$B$1:$U$1,0)),""))</x:f>
      </x:c>
      <x:c r="E694" t="str">
        <x:f>IF(E$1="","",IFERROR(INDEX('包络曲线数据'!$B$2:$U$742,ROW()-1,MATCH(E$1,'包络曲线数据'!$B$1:$U$1,0)),""))</x:f>
      </x:c>
      <x:c r="F694" t="str">
        <x:f>IF(F$1="","",IFERROR(INDEX('包络曲线数据'!$B$2:$U$742,ROW()-1,MATCH(F$1,'包络曲线数据'!$B$1:$U$1,0)),""))</x:f>
      </x:c>
      <x:c r="G694" t="str">
        <x:f>IF(G$1="","",IFERROR(INDEX('包络曲线数据'!$B$2:$U$742,ROW()-1,MATCH(G$1,'包络曲线数据'!$B$1:$U$1,0)),""))</x:f>
      </x:c>
    </x:row>
    <x:row r="695">
      <x:c r="A695" t="n">
        <x:v>69.3</x:v>
      </x:c>
      <x:c r="B695" t="str">
        <x:f>IF(B$1="","",IFERROR(INDEX('包络曲线数据'!$B$2:$U$742,ROW()-1,MATCH(B$1,'包络曲线数据'!$B$1:$U$1,0)),""))</x:f>
      </x:c>
      <x:c r="C695" t="str">
        <x:f>IF(C$1="","",IFERROR(INDEX('包络曲线数据'!$B$2:$U$742,ROW()-1,MATCH(C$1,'包络曲线数据'!$B$1:$U$1,0)),""))</x:f>
      </x:c>
      <x:c r="D695" t="str">
        <x:f>IF(D$1="","",IFERROR(INDEX('包络曲线数据'!$B$2:$U$742,ROW()-1,MATCH(D$1,'包络曲线数据'!$B$1:$U$1,0)),""))</x:f>
      </x:c>
      <x:c r="E695" t="str">
        <x:f>IF(E$1="","",IFERROR(INDEX('包络曲线数据'!$B$2:$U$742,ROW()-1,MATCH(E$1,'包络曲线数据'!$B$1:$U$1,0)),""))</x:f>
      </x:c>
      <x:c r="F695" t="str">
        <x:f>IF(F$1="","",IFERROR(INDEX('包络曲线数据'!$B$2:$U$742,ROW()-1,MATCH(F$1,'包络曲线数据'!$B$1:$U$1,0)),""))</x:f>
      </x:c>
      <x:c r="G695" t="str">
        <x:f>IF(G$1="","",IFERROR(INDEX('包络曲线数据'!$B$2:$U$742,ROW()-1,MATCH(G$1,'包络曲线数据'!$B$1:$U$1,0)),""))</x:f>
      </x:c>
    </x:row>
    <x:row r="696">
      <x:c r="A696" t="n">
        <x:v>69.4</x:v>
      </x:c>
      <x:c r="B696" t="str">
        <x:f>IF(B$1="","",IFERROR(INDEX('包络曲线数据'!$B$2:$U$742,ROW()-1,MATCH(B$1,'包络曲线数据'!$B$1:$U$1,0)),""))</x:f>
      </x:c>
      <x:c r="C696" t="str">
        <x:f>IF(C$1="","",IFERROR(INDEX('包络曲线数据'!$B$2:$U$742,ROW()-1,MATCH(C$1,'包络曲线数据'!$B$1:$U$1,0)),""))</x:f>
      </x:c>
      <x:c r="D696" t="str">
        <x:f>IF(D$1="","",IFERROR(INDEX('包络曲线数据'!$B$2:$U$742,ROW()-1,MATCH(D$1,'包络曲线数据'!$B$1:$U$1,0)),""))</x:f>
      </x:c>
      <x:c r="E696" t="str">
        <x:f>IF(E$1="","",IFERROR(INDEX('包络曲线数据'!$B$2:$U$742,ROW()-1,MATCH(E$1,'包络曲线数据'!$B$1:$U$1,0)),""))</x:f>
      </x:c>
      <x:c r="F696" t="str">
        <x:f>IF(F$1="","",IFERROR(INDEX('包络曲线数据'!$B$2:$U$742,ROW()-1,MATCH(F$1,'包络曲线数据'!$B$1:$U$1,0)),""))</x:f>
      </x:c>
      <x:c r="G696" t="str">
        <x:f>IF(G$1="","",IFERROR(INDEX('包络曲线数据'!$B$2:$U$742,ROW()-1,MATCH(G$1,'包络曲线数据'!$B$1:$U$1,0)),""))</x:f>
      </x:c>
    </x:row>
    <x:row r="697">
      <x:c r="A697" t="n">
        <x:v>69.5</x:v>
      </x:c>
      <x:c r="B697" t="str">
        <x:f>IF(B$1="","",IFERROR(INDEX('包络曲线数据'!$B$2:$U$742,ROW()-1,MATCH(B$1,'包络曲线数据'!$B$1:$U$1,0)),""))</x:f>
      </x:c>
      <x:c r="C697" t="str">
        <x:f>IF(C$1="","",IFERROR(INDEX('包络曲线数据'!$B$2:$U$742,ROW()-1,MATCH(C$1,'包络曲线数据'!$B$1:$U$1,0)),""))</x:f>
      </x:c>
      <x:c r="D697" t="str">
        <x:f>IF(D$1="","",IFERROR(INDEX('包络曲线数据'!$B$2:$U$742,ROW()-1,MATCH(D$1,'包络曲线数据'!$B$1:$U$1,0)),""))</x:f>
      </x:c>
      <x:c r="E697" t="str">
        <x:f>IF(E$1="","",IFERROR(INDEX('包络曲线数据'!$B$2:$U$742,ROW()-1,MATCH(E$1,'包络曲线数据'!$B$1:$U$1,0)),""))</x:f>
      </x:c>
      <x:c r="F697" t="str">
        <x:f>IF(F$1="","",IFERROR(INDEX('包络曲线数据'!$B$2:$U$742,ROW()-1,MATCH(F$1,'包络曲线数据'!$B$1:$U$1,0)),""))</x:f>
      </x:c>
      <x:c r="G697" t="str">
        <x:f>IF(G$1="","",IFERROR(INDEX('包络曲线数据'!$B$2:$U$742,ROW()-1,MATCH(G$1,'包络曲线数据'!$B$1:$U$1,0)),""))</x:f>
      </x:c>
    </x:row>
    <x:row r="698">
      <x:c r="A698" t="n">
        <x:v>69.60000000000001</x:v>
      </x:c>
      <x:c r="B698" t="str">
        <x:f>IF(B$1="","",IFERROR(INDEX('包络曲线数据'!$B$2:$U$742,ROW()-1,MATCH(B$1,'包络曲线数据'!$B$1:$U$1,0)),""))</x:f>
      </x:c>
      <x:c r="C698" t="str">
        <x:f>IF(C$1="","",IFERROR(INDEX('包络曲线数据'!$B$2:$U$742,ROW()-1,MATCH(C$1,'包络曲线数据'!$B$1:$U$1,0)),""))</x:f>
      </x:c>
      <x:c r="D698" t="str">
        <x:f>IF(D$1="","",IFERROR(INDEX('包络曲线数据'!$B$2:$U$742,ROW()-1,MATCH(D$1,'包络曲线数据'!$B$1:$U$1,0)),""))</x:f>
      </x:c>
      <x:c r="E698" t="str">
        <x:f>IF(E$1="","",IFERROR(INDEX('包络曲线数据'!$B$2:$U$742,ROW()-1,MATCH(E$1,'包络曲线数据'!$B$1:$U$1,0)),""))</x:f>
      </x:c>
      <x:c r="F698" t="str">
        <x:f>IF(F$1="","",IFERROR(INDEX('包络曲线数据'!$B$2:$U$742,ROW()-1,MATCH(F$1,'包络曲线数据'!$B$1:$U$1,0)),""))</x:f>
      </x:c>
      <x:c r="G698" t="str">
        <x:f>IF(G$1="","",IFERROR(INDEX('包络曲线数据'!$B$2:$U$742,ROW()-1,MATCH(G$1,'包络曲线数据'!$B$1:$U$1,0)),""))</x:f>
      </x:c>
    </x:row>
    <x:row r="699">
      <x:c r="A699" t="n">
        <x:v>69.7</x:v>
      </x:c>
      <x:c r="B699" t="str">
        <x:f>IF(B$1="","",IFERROR(INDEX('包络曲线数据'!$B$2:$U$742,ROW()-1,MATCH(B$1,'包络曲线数据'!$B$1:$U$1,0)),""))</x:f>
      </x:c>
      <x:c r="C699" t="str">
        <x:f>IF(C$1="","",IFERROR(INDEX('包络曲线数据'!$B$2:$U$742,ROW()-1,MATCH(C$1,'包络曲线数据'!$B$1:$U$1,0)),""))</x:f>
      </x:c>
      <x:c r="D699" t="str">
        <x:f>IF(D$1="","",IFERROR(INDEX('包络曲线数据'!$B$2:$U$742,ROW()-1,MATCH(D$1,'包络曲线数据'!$B$1:$U$1,0)),""))</x:f>
      </x:c>
      <x:c r="E699" t="str">
        <x:f>IF(E$1="","",IFERROR(INDEX('包络曲线数据'!$B$2:$U$742,ROW()-1,MATCH(E$1,'包络曲线数据'!$B$1:$U$1,0)),""))</x:f>
      </x:c>
      <x:c r="F699" t="str">
        <x:f>IF(F$1="","",IFERROR(INDEX('包络曲线数据'!$B$2:$U$742,ROW()-1,MATCH(F$1,'包络曲线数据'!$B$1:$U$1,0)),""))</x:f>
      </x:c>
      <x:c r="G699" t="str">
        <x:f>IF(G$1="","",IFERROR(INDEX('包络曲线数据'!$B$2:$U$742,ROW()-1,MATCH(G$1,'包络曲线数据'!$B$1:$U$1,0)),""))</x:f>
      </x:c>
    </x:row>
    <x:row r="700">
      <x:c r="A700" t="n">
        <x:v>69.8</x:v>
      </x:c>
      <x:c r="B700" t="str">
        <x:f>IF(B$1="","",IFERROR(INDEX('包络曲线数据'!$B$2:$U$742,ROW()-1,MATCH(B$1,'包络曲线数据'!$B$1:$U$1,0)),""))</x:f>
      </x:c>
      <x:c r="C700" t="str">
        <x:f>IF(C$1="","",IFERROR(INDEX('包络曲线数据'!$B$2:$U$742,ROW()-1,MATCH(C$1,'包络曲线数据'!$B$1:$U$1,0)),""))</x:f>
      </x:c>
      <x:c r="D700" t="str">
        <x:f>IF(D$1="","",IFERROR(INDEX('包络曲线数据'!$B$2:$U$742,ROW()-1,MATCH(D$1,'包络曲线数据'!$B$1:$U$1,0)),""))</x:f>
      </x:c>
      <x:c r="E700" t="str">
        <x:f>IF(E$1="","",IFERROR(INDEX('包络曲线数据'!$B$2:$U$742,ROW()-1,MATCH(E$1,'包络曲线数据'!$B$1:$U$1,0)),""))</x:f>
      </x:c>
      <x:c r="F700" t="str">
        <x:f>IF(F$1="","",IFERROR(INDEX('包络曲线数据'!$B$2:$U$742,ROW()-1,MATCH(F$1,'包络曲线数据'!$B$1:$U$1,0)),""))</x:f>
      </x:c>
      <x:c r="G700" t="str">
        <x:f>IF(G$1="","",IFERROR(INDEX('包络曲线数据'!$B$2:$U$742,ROW()-1,MATCH(G$1,'包络曲线数据'!$B$1:$U$1,0)),""))</x:f>
      </x:c>
    </x:row>
    <x:row r="701">
      <x:c r="A701" t="n">
        <x:v>69.9</x:v>
      </x:c>
      <x:c r="B701" t="str">
        <x:f>IF(B$1="","",IFERROR(INDEX('包络曲线数据'!$B$2:$U$742,ROW()-1,MATCH(B$1,'包络曲线数据'!$B$1:$U$1,0)),""))</x:f>
      </x:c>
      <x:c r="C701" t="str">
        <x:f>IF(C$1="","",IFERROR(INDEX('包络曲线数据'!$B$2:$U$742,ROW()-1,MATCH(C$1,'包络曲线数据'!$B$1:$U$1,0)),""))</x:f>
      </x:c>
      <x:c r="D701" t="str">
        <x:f>IF(D$1="","",IFERROR(INDEX('包络曲线数据'!$B$2:$U$742,ROW()-1,MATCH(D$1,'包络曲线数据'!$B$1:$U$1,0)),""))</x:f>
      </x:c>
      <x:c r="E701" t="str">
        <x:f>IF(E$1="","",IFERROR(INDEX('包络曲线数据'!$B$2:$U$742,ROW()-1,MATCH(E$1,'包络曲线数据'!$B$1:$U$1,0)),""))</x:f>
      </x:c>
      <x:c r="F701" t="str">
        <x:f>IF(F$1="","",IFERROR(INDEX('包络曲线数据'!$B$2:$U$742,ROW()-1,MATCH(F$1,'包络曲线数据'!$B$1:$U$1,0)),""))</x:f>
      </x:c>
      <x:c r="G701" t="str">
        <x:f>IF(G$1="","",IFERROR(INDEX('包络曲线数据'!$B$2:$U$742,ROW()-1,MATCH(G$1,'包络曲线数据'!$B$1:$U$1,0)),""))</x:f>
      </x:c>
    </x:row>
    <x:row r="702">
      <x:c r="A702" t="n">
        <x:v>70</x:v>
      </x:c>
      <x:c r="B702" t="str">
        <x:f>IF(B$1="","",IFERROR(INDEX('包络曲线数据'!$B$2:$U$742,ROW()-1,MATCH(B$1,'包络曲线数据'!$B$1:$U$1,0)),""))</x:f>
      </x:c>
      <x:c r="C702" t="str">
        <x:f>IF(C$1="","",IFERROR(INDEX('包络曲线数据'!$B$2:$U$742,ROW()-1,MATCH(C$1,'包络曲线数据'!$B$1:$U$1,0)),""))</x:f>
      </x:c>
      <x:c r="D702" t="str">
        <x:f>IF(D$1="","",IFERROR(INDEX('包络曲线数据'!$B$2:$U$742,ROW()-1,MATCH(D$1,'包络曲线数据'!$B$1:$U$1,0)),""))</x:f>
      </x:c>
      <x:c r="E702" t="str">
        <x:f>IF(E$1="","",IFERROR(INDEX('包络曲线数据'!$B$2:$U$742,ROW()-1,MATCH(E$1,'包络曲线数据'!$B$1:$U$1,0)),""))</x:f>
      </x:c>
      <x:c r="F702" t="str">
        <x:f>IF(F$1="","",IFERROR(INDEX('包络曲线数据'!$B$2:$U$742,ROW()-1,MATCH(F$1,'包络曲线数据'!$B$1:$U$1,0)),""))</x:f>
      </x:c>
      <x:c r="G702" t="str">
        <x:f>IF(G$1="","",IFERROR(INDEX('包络曲线数据'!$B$2:$U$742,ROW()-1,MATCH(G$1,'包络曲线数据'!$B$1:$U$1,0)),""))</x:f>
      </x:c>
    </x:row>
    <x:row r="703">
      <x:c r="A703" t="n">
        <x:v>70.10000000000001</x:v>
      </x:c>
      <x:c r="B703" t="str">
        <x:f>IF(B$1="","",IFERROR(INDEX('包络曲线数据'!$B$2:$U$742,ROW()-1,MATCH(B$1,'包络曲线数据'!$B$1:$U$1,0)),""))</x:f>
      </x:c>
      <x:c r="C703" t="str">
        <x:f>IF(C$1="","",IFERROR(INDEX('包络曲线数据'!$B$2:$U$742,ROW()-1,MATCH(C$1,'包络曲线数据'!$B$1:$U$1,0)),""))</x:f>
      </x:c>
      <x:c r="D703" t="str">
        <x:f>IF(D$1="","",IFERROR(INDEX('包络曲线数据'!$B$2:$U$742,ROW()-1,MATCH(D$1,'包络曲线数据'!$B$1:$U$1,0)),""))</x:f>
      </x:c>
      <x:c r="E703" t="str">
        <x:f>IF(E$1="","",IFERROR(INDEX('包络曲线数据'!$B$2:$U$742,ROW()-1,MATCH(E$1,'包络曲线数据'!$B$1:$U$1,0)),""))</x:f>
      </x:c>
      <x:c r="F703" t="str">
        <x:f>IF(F$1="","",IFERROR(INDEX('包络曲线数据'!$B$2:$U$742,ROW()-1,MATCH(F$1,'包络曲线数据'!$B$1:$U$1,0)),""))</x:f>
      </x:c>
      <x:c r="G703" t="str">
        <x:f>IF(G$1="","",IFERROR(INDEX('包络曲线数据'!$B$2:$U$742,ROW()-1,MATCH(G$1,'包络曲线数据'!$B$1:$U$1,0)),""))</x:f>
      </x:c>
    </x:row>
    <x:row r="704">
      <x:c r="A704" t="n">
        <x:v>70.2</x:v>
      </x:c>
      <x:c r="B704" t="str">
        <x:f>IF(B$1="","",IFERROR(INDEX('包络曲线数据'!$B$2:$U$742,ROW()-1,MATCH(B$1,'包络曲线数据'!$B$1:$U$1,0)),""))</x:f>
      </x:c>
      <x:c r="C704" t="str">
        <x:f>IF(C$1="","",IFERROR(INDEX('包络曲线数据'!$B$2:$U$742,ROW()-1,MATCH(C$1,'包络曲线数据'!$B$1:$U$1,0)),""))</x:f>
      </x:c>
      <x:c r="D704" t="str">
        <x:f>IF(D$1="","",IFERROR(INDEX('包络曲线数据'!$B$2:$U$742,ROW()-1,MATCH(D$1,'包络曲线数据'!$B$1:$U$1,0)),""))</x:f>
      </x:c>
      <x:c r="E704" t="str">
        <x:f>IF(E$1="","",IFERROR(INDEX('包络曲线数据'!$B$2:$U$742,ROW()-1,MATCH(E$1,'包络曲线数据'!$B$1:$U$1,0)),""))</x:f>
      </x:c>
      <x:c r="F704" t="str">
        <x:f>IF(F$1="","",IFERROR(INDEX('包络曲线数据'!$B$2:$U$742,ROW()-1,MATCH(F$1,'包络曲线数据'!$B$1:$U$1,0)),""))</x:f>
      </x:c>
      <x:c r="G704" t="str">
        <x:f>IF(G$1="","",IFERROR(INDEX('包络曲线数据'!$B$2:$U$742,ROW()-1,MATCH(G$1,'包络曲线数据'!$B$1:$U$1,0)),""))</x:f>
      </x:c>
    </x:row>
    <x:row r="705">
      <x:c r="A705" t="n">
        <x:v>70.3</x:v>
      </x:c>
      <x:c r="B705" t="str">
        <x:f>IF(B$1="","",IFERROR(INDEX('包络曲线数据'!$B$2:$U$742,ROW()-1,MATCH(B$1,'包络曲线数据'!$B$1:$U$1,0)),""))</x:f>
      </x:c>
      <x:c r="C705" t="str">
        <x:f>IF(C$1="","",IFERROR(INDEX('包络曲线数据'!$B$2:$U$742,ROW()-1,MATCH(C$1,'包络曲线数据'!$B$1:$U$1,0)),""))</x:f>
      </x:c>
      <x:c r="D705" t="str">
        <x:f>IF(D$1="","",IFERROR(INDEX('包络曲线数据'!$B$2:$U$742,ROW()-1,MATCH(D$1,'包络曲线数据'!$B$1:$U$1,0)),""))</x:f>
      </x:c>
      <x:c r="E705" t="str">
        <x:f>IF(E$1="","",IFERROR(INDEX('包络曲线数据'!$B$2:$U$742,ROW()-1,MATCH(E$1,'包络曲线数据'!$B$1:$U$1,0)),""))</x:f>
      </x:c>
      <x:c r="F705" t="str">
        <x:f>IF(F$1="","",IFERROR(INDEX('包络曲线数据'!$B$2:$U$742,ROW()-1,MATCH(F$1,'包络曲线数据'!$B$1:$U$1,0)),""))</x:f>
      </x:c>
      <x:c r="G705" t="str">
        <x:f>IF(G$1="","",IFERROR(INDEX('包络曲线数据'!$B$2:$U$742,ROW()-1,MATCH(G$1,'包络曲线数据'!$B$1:$U$1,0)),""))</x:f>
      </x:c>
    </x:row>
    <x:row r="706">
      <x:c r="A706" t="n">
        <x:v>70.4</x:v>
      </x:c>
      <x:c r="B706" t="str">
        <x:f>IF(B$1="","",IFERROR(INDEX('包络曲线数据'!$B$2:$U$742,ROW()-1,MATCH(B$1,'包络曲线数据'!$B$1:$U$1,0)),""))</x:f>
      </x:c>
      <x:c r="C706" t="str">
        <x:f>IF(C$1="","",IFERROR(INDEX('包络曲线数据'!$B$2:$U$742,ROW()-1,MATCH(C$1,'包络曲线数据'!$B$1:$U$1,0)),""))</x:f>
      </x:c>
      <x:c r="D706" t="str">
        <x:f>IF(D$1="","",IFERROR(INDEX('包络曲线数据'!$B$2:$U$742,ROW()-1,MATCH(D$1,'包络曲线数据'!$B$1:$U$1,0)),""))</x:f>
      </x:c>
      <x:c r="E706" t="str">
        <x:f>IF(E$1="","",IFERROR(INDEX('包络曲线数据'!$B$2:$U$742,ROW()-1,MATCH(E$1,'包络曲线数据'!$B$1:$U$1,0)),""))</x:f>
      </x:c>
      <x:c r="F706" t="str">
        <x:f>IF(F$1="","",IFERROR(INDEX('包络曲线数据'!$B$2:$U$742,ROW()-1,MATCH(F$1,'包络曲线数据'!$B$1:$U$1,0)),""))</x:f>
      </x:c>
      <x:c r="G706" t="str">
        <x:f>IF(G$1="","",IFERROR(INDEX('包络曲线数据'!$B$2:$U$742,ROW()-1,MATCH(G$1,'包络曲线数据'!$B$1:$U$1,0)),""))</x:f>
      </x:c>
    </x:row>
    <x:row r="707">
      <x:c r="A707" t="n">
        <x:v>70.5</x:v>
      </x:c>
      <x:c r="B707" t="str">
        <x:f>IF(B$1="","",IFERROR(INDEX('包络曲线数据'!$B$2:$U$742,ROW()-1,MATCH(B$1,'包络曲线数据'!$B$1:$U$1,0)),""))</x:f>
      </x:c>
      <x:c r="C707" t="str">
        <x:f>IF(C$1="","",IFERROR(INDEX('包络曲线数据'!$B$2:$U$742,ROW()-1,MATCH(C$1,'包络曲线数据'!$B$1:$U$1,0)),""))</x:f>
      </x:c>
      <x:c r="D707" t="str">
        <x:f>IF(D$1="","",IFERROR(INDEX('包络曲线数据'!$B$2:$U$742,ROW()-1,MATCH(D$1,'包络曲线数据'!$B$1:$U$1,0)),""))</x:f>
      </x:c>
      <x:c r="E707" t="str">
        <x:f>IF(E$1="","",IFERROR(INDEX('包络曲线数据'!$B$2:$U$742,ROW()-1,MATCH(E$1,'包络曲线数据'!$B$1:$U$1,0)),""))</x:f>
      </x:c>
      <x:c r="F707" t="str">
        <x:f>IF(F$1="","",IFERROR(INDEX('包络曲线数据'!$B$2:$U$742,ROW()-1,MATCH(F$1,'包络曲线数据'!$B$1:$U$1,0)),""))</x:f>
      </x:c>
      <x:c r="G707" t="str">
        <x:f>IF(G$1="","",IFERROR(INDEX('包络曲线数据'!$B$2:$U$742,ROW()-1,MATCH(G$1,'包络曲线数据'!$B$1:$U$1,0)),""))</x:f>
      </x:c>
    </x:row>
    <x:row r="708">
      <x:c r="A708" t="n">
        <x:v>70.60000000000001</x:v>
      </x:c>
      <x:c r="B708" t="str">
        <x:f>IF(B$1="","",IFERROR(INDEX('包络曲线数据'!$B$2:$U$742,ROW()-1,MATCH(B$1,'包络曲线数据'!$B$1:$U$1,0)),""))</x:f>
      </x:c>
      <x:c r="C708" t="str">
        <x:f>IF(C$1="","",IFERROR(INDEX('包络曲线数据'!$B$2:$U$742,ROW()-1,MATCH(C$1,'包络曲线数据'!$B$1:$U$1,0)),""))</x:f>
      </x:c>
      <x:c r="D708" t="str">
        <x:f>IF(D$1="","",IFERROR(INDEX('包络曲线数据'!$B$2:$U$742,ROW()-1,MATCH(D$1,'包络曲线数据'!$B$1:$U$1,0)),""))</x:f>
      </x:c>
      <x:c r="E708" t="str">
        <x:f>IF(E$1="","",IFERROR(INDEX('包络曲线数据'!$B$2:$U$742,ROW()-1,MATCH(E$1,'包络曲线数据'!$B$1:$U$1,0)),""))</x:f>
      </x:c>
      <x:c r="F708" t="str">
        <x:f>IF(F$1="","",IFERROR(INDEX('包络曲线数据'!$B$2:$U$742,ROW()-1,MATCH(F$1,'包络曲线数据'!$B$1:$U$1,0)),""))</x:f>
      </x:c>
      <x:c r="G708" t="str">
        <x:f>IF(G$1="","",IFERROR(INDEX('包络曲线数据'!$B$2:$U$742,ROW()-1,MATCH(G$1,'包络曲线数据'!$B$1:$U$1,0)),""))</x:f>
      </x:c>
    </x:row>
    <x:row r="709">
      <x:c r="A709" t="n">
        <x:v>70.7</x:v>
      </x:c>
      <x:c r="B709" t="str">
        <x:f>IF(B$1="","",IFERROR(INDEX('包络曲线数据'!$B$2:$U$742,ROW()-1,MATCH(B$1,'包络曲线数据'!$B$1:$U$1,0)),""))</x:f>
      </x:c>
      <x:c r="C709" t="str">
        <x:f>IF(C$1="","",IFERROR(INDEX('包络曲线数据'!$B$2:$U$742,ROW()-1,MATCH(C$1,'包络曲线数据'!$B$1:$U$1,0)),""))</x:f>
      </x:c>
      <x:c r="D709" t="str">
        <x:f>IF(D$1="","",IFERROR(INDEX('包络曲线数据'!$B$2:$U$742,ROW()-1,MATCH(D$1,'包络曲线数据'!$B$1:$U$1,0)),""))</x:f>
      </x:c>
      <x:c r="E709" t="str">
        <x:f>IF(E$1="","",IFERROR(INDEX('包络曲线数据'!$B$2:$U$742,ROW()-1,MATCH(E$1,'包络曲线数据'!$B$1:$U$1,0)),""))</x:f>
      </x:c>
      <x:c r="F709" t="str">
        <x:f>IF(F$1="","",IFERROR(INDEX('包络曲线数据'!$B$2:$U$742,ROW()-1,MATCH(F$1,'包络曲线数据'!$B$1:$U$1,0)),""))</x:f>
      </x:c>
      <x:c r="G709" t="str">
        <x:f>IF(G$1="","",IFERROR(INDEX('包络曲线数据'!$B$2:$U$742,ROW()-1,MATCH(G$1,'包络曲线数据'!$B$1:$U$1,0)),""))</x:f>
      </x:c>
    </x:row>
    <x:row r="710">
      <x:c r="A710" t="n">
        <x:v>70.8</x:v>
      </x:c>
      <x:c r="B710" t="str">
        <x:f>IF(B$1="","",IFERROR(INDEX('包络曲线数据'!$B$2:$U$742,ROW()-1,MATCH(B$1,'包络曲线数据'!$B$1:$U$1,0)),""))</x:f>
      </x:c>
      <x:c r="C710" t="str">
        <x:f>IF(C$1="","",IFERROR(INDEX('包络曲线数据'!$B$2:$U$742,ROW()-1,MATCH(C$1,'包络曲线数据'!$B$1:$U$1,0)),""))</x:f>
      </x:c>
      <x:c r="D710" t="str">
        <x:f>IF(D$1="","",IFERROR(INDEX('包络曲线数据'!$B$2:$U$742,ROW()-1,MATCH(D$1,'包络曲线数据'!$B$1:$U$1,0)),""))</x:f>
      </x:c>
      <x:c r="E710" t="str">
        <x:f>IF(E$1="","",IFERROR(INDEX('包络曲线数据'!$B$2:$U$742,ROW()-1,MATCH(E$1,'包络曲线数据'!$B$1:$U$1,0)),""))</x:f>
      </x:c>
      <x:c r="F710" t="str">
        <x:f>IF(F$1="","",IFERROR(INDEX('包络曲线数据'!$B$2:$U$742,ROW()-1,MATCH(F$1,'包络曲线数据'!$B$1:$U$1,0)),""))</x:f>
      </x:c>
      <x:c r="G710" t="str">
        <x:f>IF(G$1="","",IFERROR(INDEX('包络曲线数据'!$B$2:$U$742,ROW()-1,MATCH(G$1,'包络曲线数据'!$B$1:$U$1,0)),""))</x:f>
      </x:c>
    </x:row>
    <x:row r="711">
      <x:c r="A711" t="n">
        <x:v>70.9</x:v>
      </x:c>
      <x:c r="B711" t="str">
        <x:f>IF(B$1="","",IFERROR(INDEX('包络曲线数据'!$B$2:$U$742,ROW()-1,MATCH(B$1,'包络曲线数据'!$B$1:$U$1,0)),""))</x:f>
      </x:c>
      <x:c r="C711" t="str">
        <x:f>IF(C$1="","",IFERROR(INDEX('包络曲线数据'!$B$2:$U$742,ROW()-1,MATCH(C$1,'包络曲线数据'!$B$1:$U$1,0)),""))</x:f>
      </x:c>
      <x:c r="D711" t="str">
        <x:f>IF(D$1="","",IFERROR(INDEX('包络曲线数据'!$B$2:$U$742,ROW()-1,MATCH(D$1,'包络曲线数据'!$B$1:$U$1,0)),""))</x:f>
      </x:c>
      <x:c r="E711" t="str">
        <x:f>IF(E$1="","",IFERROR(INDEX('包络曲线数据'!$B$2:$U$742,ROW()-1,MATCH(E$1,'包络曲线数据'!$B$1:$U$1,0)),""))</x:f>
      </x:c>
      <x:c r="F711" t="str">
        <x:f>IF(F$1="","",IFERROR(INDEX('包络曲线数据'!$B$2:$U$742,ROW()-1,MATCH(F$1,'包络曲线数据'!$B$1:$U$1,0)),""))</x:f>
      </x:c>
      <x:c r="G711" t="str">
        <x:f>IF(G$1="","",IFERROR(INDEX('包络曲线数据'!$B$2:$U$742,ROW()-1,MATCH(G$1,'包络曲线数据'!$B$1:$U$1,0)),""))</x:f>
      </x:c>
    </x:row>
    <x:row r="712">
      <x:c r="A712" t="n">
        <x:v>71</x:v>
      </x:c>
      <x:c r="B712" t="str">
        <x:f>IF(B$1="","",IFERROR(INDEX('包络曲线数据'!$B$2:$U$742,ROW()-1,MATCH(B$1,'包络曲线数据'!$B$1:$U$1,0)),""))</x:f>
      </x:c>
      <x:c r="C712" t="str">
        <x:f>IF(C$1="","",IFERROR(INDEX('包络曲线数据'!$B$2:$U$742,ROW()-1,MATCH(C$1,'包络曲线数据'!$B$1:$U$1,0)),""))</x:f>
      </x:c>
      <x:c r="D712" t="str">
        <x:f>IF(D$1="","",IFERROR(INDEX('包络曲线数据'!$B$2:$U$742,ROW()-1,MATCH(D$1,'包络曲线数据'!$B$1:$U$1,0)),""))</x:f>
      </x:c>
      <x:c r="E712" t="str">
        <x:f>IF(E$1="","",IFERROR(INDEX('包络曲线数据'!$B$2:$U$742,ROW()-1,MATCH(E$1,'包络曲线数据'!$B$1:$U$1,0)),""))</x:f>
      </x:c>
      <x:c r="F712" t="str">
        <x:f>IF(F$1="","",IFERROR(INDEX('包络曲线数据'!$B$2:$U$742,ROW()-1,MATCH(F$1,'包络曲线数据'!$B$1:$U$1,0)),""))</x:f>
      </x:c>
      <x:c r="G712" t="str">
        <x:f>IF(G$1="","",IFERROR(INDEX('包络曲线数据'!$B$2:$U$742,ROW()-1,MATCH(G$1,'包络曲线数据'!$B$1:$U$1,0)),""))</x:f>
      </x:c>
    </x:row>
    <x:row r="713">
      <x:c r="A713" t="n">
        <x:v>71.10000000000001</x:v>
      </x:c>
      <x:c r="B713" t="str">
        <x:f>IF(B$1="","",IFERROR(INDEX('包络曲线数据'!$B$2:$U$742,ROW()-1,MATCH(B$1,'包络曲线数据'!$B$1:$U$1,0)),""))</x:f>
      </x:c>
      <x:c r="C713" t="str">
        <x:f>IF(C$1="","",IFERROR(INDEX('包络曲线数据'!$B$2:$U$742,ROW()-1,MATCH(C$1,'包络曲线数据'!$B$1:$U$1,0)),""))</x:f>
      </x:c>
      <x:c r="D713" t="str">
        <x:f>IF(D$1="","",IFERROR(INDEX('包络曲线数据'!$B$2:$U$742,ROW()-1,MATCH(D$1,'包络曲线数据'!$B$1:$U$1,0)),""))</x:f>
      </x:c>
      <x:c r="E713" t="str">
        <x:f>IF(E$1="","",IFERROR(INDEX('包络曲线数据'!$B$2:$U$742,ROW()-1,MATCH(E$1,'包络曲线数据'!$B$1:$U$1,0)),""))</x:f>
      </x:c>
      <x:c r="F713" t="str">
        <x:f>IF(F$1="","",IFERROR(INDEX('包络曲线数据'!$B$2:$U$742,ROW()-1,MATCH(F$1,'包络曲线数据'!$B$1:$U$1,0)),""))</x:f>
      </x:c>
      <x:c r="G713" t="str">
        <x:f>IF(G$1="","",IFERROR(INDEX('包络曲线数据'!$B$2:$U$742,ROW()-1,MATCH(G$1,'包络曲线数据'!$B$1:$U$1,0)),""))</x:f>
      </x:c>
    </x:row>
    <x:row r="714">
      <x:c r="A714" t="n">
        <x:v>71.2</x:v>
      </x:c>
      <x:c r="B714" t="str">
        <x:f>IF(B$1="","",IFERROR(INDEX('包络曲线数据'!$B$2:$U$742,ROW()-1,MATCH(B$1,'包络曲线数据'!$B$1:$U$1,0)),""))</x:f>
      </x:c>
      <x:c r="C714" t="str">
        <x:f>IF(C$1="","",IFERROR(INDEX('包络曲线数据'!$B$2:$U$742,ROW()-1,MATCH(C$1,'包络曲线数据'!$B$1:$U$1,0)),""))</x:f>
      </x:c>
      <x:c r="D714" t="str">
        <x:f>IF(D$1="","",IFERROR(INDEX('包络曲线数据'!$B$2:$U$742,ROW()-1,MATCH(D$1,'包络曲线数据'!$B$1:$U$1,0)),""))</x:f>
      </x:c>
      <x:c r="E714" t="str">
        <x:f>IF(E$1="","",IFERROR(INDEX('包络曲线数据'!$B$2:$U$742,ROW()-1,MATCH(E$1,'包络曲线数据'!$B$1:$U$1,0)),""))</x:f>
      </x:c>
      <x:c r="F714" t="str">
        <x:f>IF(F$1="","",IFERROR(INDEX('包络曲线数据'!$B$2:$U$742,ROW()-1,MATCH(F$1,'包络曲线数据'!$B$1:$U$1,0)),""))</x:f>
      </x:c>
      <x:c r="G714" t="str">
        <x:f>IF(G$1="","",IFERROR(INDEX('包络曲线数据'!$B$2:$U$742,ROW()-1,MATCH(G$1,'包络曲线数据'!$B$1:$U$1,0)),""))</x:f>
      </x:c>
    </x:row>
    <x:row r="715">
      <x:c r="A715" t="n">
        <x:v>71.3</x:v>
      </x:c>
      <x:c r="B715" t="str">
        <x:f>IF(B$1="","",IFERROR(INDEX('包络曲线数据'!$B$2:$U$742,ROW()-1,MATCH(B$1,'包络曲线数据'!$B$1:$U$1,0)),""))</x:f>
      </x:c>
      <x:c r="C715" t="str">
        <x:f>IF(C$1="","",IFERROR(INDEX('包络曲线数据'!$B$2:$U$742,ROW()-1,MATCH(C$1,'包络曲线数据'!$B$1:$U$1,0)),""))</x:f>
      </x:c>
      <x:c r="D715" t="str">
        <x:f>IF(D$1="","",IFERROR(INDEX('包络曲线数据'!$B$2:$U$742,ROW()-1,MATCH(D$1,'包络曲线数据'!$B$1:$U$1,0)),""))</x:f>
      </x:c>
      <x:c r="E715" t="str">
        <x:f>IF(E$1="","",IFERROR(INDEX('包络曲线数据'!$B$2:$U$742,ROW()-1,MATCH(E$1,'包络曲线数据'!$B$1:$U$1,0)),""))</x:f>
      </x:c>
      <x:c r="F715" t="str">
        <x:f>IF(F$1="","",IFERROR(INDEX('包络曲线数据'!$B$2:$U$742,ROW()-1,MATCH(F$1,'包络曲线数据'!$B$1:$U$1,0)),""))</x:f>
      </x:c>
      <x:c r="G715" t="str">
        <x:f>IF(G$1="","",IFERROR(INDEX('包络曲线数据'!$B$2:$U$742,ROW()-1,MATCH(G$1,'包络曲线数据'!$B$1:$U$1,0)),""))</x:f>
      </x:c>
    </x:row>
    <x:row r="716">
      <x:c r="A716" t="n">
        <x:v>71.4</x:v>
      </x:c>
      <x:c r="B716" t="str">
        <x:f>IF(B$1="","",IFERROR(INDEX('包络曲线数据'!$B$2:$U$742,ROW()-1,MATCH(B$1,'包络曲线数据'!$B$1:$U$1,0)),""))</x:f>
      </x:c>
      <x:c r="C716" t="str">
        <x:f>IF(C$1="","",IFERROR(INDEX('包络曲线数据'!$B$2:$U$742,ROW()-1,MATCH(C$1,'包络曲线数据'!$B$1:$U$1,0)),""))</x:f>
      </x:c>
      <x:c r="D716" t="str">
        <x:f>IF(D$1="","",IFERROR(INDEX('包络曲线数据'!$B$2:$U$742,ROW()-1,MATCH(D$1,'包络曲线数据'!$B$1:$U$1,0)),""))</x:f>
      </x:c>
      <x:c r="E716" t="str">
        <x:f>IF(E$1="","",IFERROR(INDEX('包络曲线数据'!$B$2:$U$742,ROW()-1,MATCH(E$1,'包络曲线数据'!$B$1:$U$1,0)),""))</x:f>
      </x:c>
      <x:c r="F716" t="str">
        <x:f>IF(F$1="","",IFERROR(INDEX('包络曲线数据'!$B$2:$U$742,ROW()-1,MATCH(F$1,'包络曲线数据'!$B$1:$U$1,0)),""))</x:f>
      </x:c>
      <x:c r="G716" t="str">
        <x:f>IF(G$1="","",IFERROR(INDEX('包络曲线数据'!$B$2:$U$742,ROW()-1,MATCH(G$1,'包络曲线数据'!$B$1:$U$1,0)),""))</x:f>
      </x:c>
    </x:row>
    <x:row r="717">
      <x:c r="A717" t="n">
        <x:v>71.5</x:v>
      </x:c>
      <x:c r="B717" t="str">
        <x:f>IF(B$1="","",IFERROR(INDEX('包络曲线数据'!$B$2:$U$742,ROW()-1,MATCH(B$1,'包络曲线数据'!$B$1:$U$1,0)),""))</x:f>
      </x:c>
      <x:c r="C717" t="str">
        <x:f>IF(C$1="","",IFERROR(INDEX('包络曲线数据'!$B$2:$U$742,ROW()-1,MATCH(C$1,'包络曲线数据'!$B$1:$U$1,0)),""))</x:f>
      </x:c>
      <x:c r="D717" t="str">
        <x:f>IF(D$1="","",IFERROR(INDEX('包络曲线数据'!$B$2:$U$742,ROW()-1,MATCH(D$1,'包络曲线数据'!$B$1:$U$1,0)),""))</x:f>
      </x:c>
      <x:c r="E717" t="str">
        <x:f>IF(E$1="","",IFERROR(INDEX('包络曲线数据'!$B$2:$U$742,ROW()-1,MATCH(E$1,'包络曲线数据'!$B$1:$U$1,0)),""))</x:f>
      </x:c>
      <x:c r="F717" t="str">
        <x:f>IF(F$1="","",IFERROR(INDEX('包络曲线数据'!$B$2:$U$742,ROW()-1,MATCH(F$1,'包络曲线数据'!$B$1:$U$1,0)),""))</x:f>
      </x:c>
      <x:c r="G717" t="str">
        <x:f>IF(G$1="","",IFERROR(INDEX('包络曲线数据'!$B$2:$U$742,ROW()-1,MATCH(G$1,'包络曲线数据'!$B$1:$U$1,0)),""))</x:f>
      </x:c>
    </x:row>
    <x:row r="718">
      <x:c r="A718" t="n">
        <x:v>71.60000000000001</x:v>
      </x:c>
      <x:c r="B718" t="str">
        <x:f>IF(B$1="","",IFERROR(INDEX('包络曲线数据'!$B$2:$U$742,ROW()-1,MATCH(B$1,'包络曲线数据'!$B$1:$U$1,0)),""))</x:f>
      </x:c>
      <x:c r="C718" t="str">
        <x:f>IF(C$1="","",IFERROR(INDEX('包络曲线数据'!$B$2:$U$742,ROW()-1,MATCH(C$1,'包络曲线数据'!$B$1:$U$1,0)),""))</x:f>
      </x:c>
      <x:c r="D718" t="str">
        <x:f>IF(D$1="","",IFERROR(INDEX('包络曲线数据'!$B$2:$U$742,ROW()-1,MATCH(D$1,'包络曲线数据'!$B$1:$U$1,0)),""))</x:f>
      </x:c>
      <x:c r="E718" t="str">
        <x:f>IF(E$1="","",IFERROR(INDEX('包络曲线数据'!$B$2:$U$742,ROW()-1,MATCH(E$1,'包络曲线数据'!$B$1:$U$1,0)),""))</x:f>
      </x:c>
      <x:c r="F718" t="str">
        <x:f>IF(F$1="","",IFERROR(INDEX('包络曲线数据'!$B$2:$U$742,ROW()-1,MATCH(F$1,'包络曲线数据'!$B$1:$U$1,0)),""))</x:f>
      </x:c>
      <x:c r="G718" t="str">
        <x:f>IF(G$1="","",IFERROR(INDEX('包络曲线数据'!$B$2:$U$742,ROW()-1,MATCH(G$1,'包络曲线数据'!$B$1:$U$1,0)),""))</x:f>
      </x:c>
    </x:row>
    <x:row r="719">
      <x:c r="A719" t="n">
        <x:v>71.7</x:v>
      </x:c>
      <x:c r="B719" t="str">
        <x:f>IF(B$1="","",IFERROR(INDEX('包络曲线数据'!$B$2:$U$742,ROW()-1,MATCH(B$1,'包络曲线数据'!$B$1:$U$1,0)),""))</x:f>
      </x:c>
      <x:c r="C719" t="str">
        <x:f>IF(C$1="","",IFERROR(INDEX('包络曲线数据'!$B$2:$U$742,ROW()-1,MATCH(C$1,'包络曲线数据'!$B$1:$U$1,0)),""))</x:f>
      </x:c>
      <x:c r="D719" t="str">
        <x:f>IF(D$1="","",IFERROR(INDEX('包络曲线数据'!$B$2:$U$742,ROW()-1,MATCH(D$1,'包络曲线数据'!$B$1:$U$1,0)),""))</x:f>
      </x:c>
      <x:c r="E719" t="str">
        <x:f>IF(E$1="","",IFERROR(INDEX('包络曲线数据'!$B$2:$U$742,ROW()-1,MATCH(E$1,'包络曲线数据'!$B$1:$U$1,0)),""))</x:f>
      </x:c>
      <x:c r="F719" t="str">
        <x:f>IF(F$1="","",IFERROR(INDEX('包络曲线数据'!$B$2:$U$742,ROW()-1,MATCH(F$1,'包络曲线数据'!$B$1:$U$1,0)),""))</x:f>
      </x:c>
      <x:c r="G719" t="str">
        <x:f>IF(G$1="","",IFERROR(INDEX('包络曲线数据'!$B$2:$U$742,ROW()-1,MATCH(G$1,'包络曲线数据'!$B$1:$U$1,0)),""))</x:f>
      </x:c>
    </x:row>
    <x:row r="720">
      <x:c r="A720" t="n">
        <x:v>71.8</x:v>
      </x:c>
      <x:c r="B720" t="str">
        <x:f>IF(B$1="","",IFERROR(INDEX('包络曲线数据'!$B$2:$U$742,ROW()-1,MATCH(B$1,'包络曲线数据'!$B$1:$U$1,0)),""))</x:f>
      </x:c>
      <x:c r="C720" t="str">
        <x:f>IF(C$1="","",IFERROR(INDEX('包络曲线数据'!$B$2:$U$742,ROW()-1,MATCH(C$1,'包络曲线数据'!$B$1:$U$1,0)),""))</x:f>
      </x:c>
      <x:c r="D720" t="str">
        <x:f>IF(D$1="","",IFERROR(INDEX('包络曲线数据'!$B$2:$U$742,ROW()-1,MATCH(D$1,'包络曲线数据'!$B$1:$U$1,0)),""))</x:f>
      </x:c>
      <x:c r="E720" t="str">
        <x:f>IF(E$1="","",IFERROR(INDEX('包络曲线数据'!$B$2:$U$742,ROW()-1,MATCH(E$1,'包络曲线数据'!$B$1:$U$1,0)),""))</x:f>
      </x:c>
      <x:c r="F720" t="str">
        <x:f>IF(F$1="","",IFERROR(INDEX('包络曲线数据'!$B$2:$U$742,ROW()-1,MATCH(F$1,'包络曲线数据'!$B$1:$U$1,0)),""))</x:f>
      </x:c>
      <x:c r="G720" t="str">
        <x:f>IF(G$1="","",IFERROR(INDEX('包络曲线数据'!$B$2:$U$742,ROW()-1,MATCH(G$1,'包络曲线数据'!$B$1:$U$1,0)),""))</x:f>
      </x:c>
    </x:row>
    <x:row r="721">
      <x:c r="A721" t="n">
        <x:v>71.9</x:v>
      </x:c>
      <x:c r="B721" t="str">
        <x:f>IF(B$1="","",IFERROR(INDEX('包络曲线数据'!$B$2:$U$742,ROW()-1,MATCH(B$1,'包络曲线数据'!$B$1:$U$1,0)),""))</x:f>
      </x:c>
      <x:c r="C721" t="str">
        <x:f>IF(C$1="","",IFERROR(INDEX('包络曲线数据'!$B$2:$U$742,ROW()-1,MATCH(C$1,'包络曲线数据'!$B$1:$U$1,0)),""))</x:f>
      </x:c>
      <x:c r="D721" t="str">
        <x:f>IF(D$1="","",IFERROR(INDEX('包络曲线数据'!$B$2:$U$742,ROW()-1,MATCH(D$1,'包络曲线数据'!$B$1:$U$1,0)),""))</x:f>
      </x:c>
      <x:c r="E721" t="str">
        <x:f>IF(E$1="","",IFERROR(INDEX('包络曲线数据'!$B$2:$U$742,ROW()-1,MATCH(E$1,'包络曲线数据'!$B$1:$U$1,0)),""))</x:f>
      </x:c>
      <x:c r="F721" t="str">
        <x:f>IF(F$1="","",IFERROR(INDEX('包络曲线数据'!$B$2:$U$742,ROW()-1,MATCH(F$1,'包络曲线数据'!$B$1:$U$1,0)),""))</x:f>
      </x:c>
      <x:c r="G721" t="str">
        <x:f>IF(G$1="","",IFERROR(INDEX('包络曲线数据'!$B$2:$U$742,ROW()-1,MATCH(G$1,'包络曲线数据'!$B$1:$U$1,0)),""))</x:f>
      </x:c>
    </x:row>
    <x:row r="722">
      <x:c r="A722" t="n">
        <x:v>72</x:v>
      </x:c>
      <x:c r="B722" t="str">
        <x:f>IF(B$1="","",IFERROR(INDEX('包络曲线数据'!$B$2:$U$742,ROW()-1,MATCH(B$1,'包络曲线数据'!$B$1:$U$1,0)),""))</x:f>
      </x:c>
      <x:c r="C722" t="str">
        <x:f>IF(C$1="","",IFERROR(INDEX('包络曲线数据'!$B$2:$U$742,ROW()-1,MATCH(C$1,'包络曲线数据'!$B$1:$U$1,0)),""))</x:f>
      </x:c>
      <x:c r="D722" t="str">
        <x:f>IF(D$1="","",IFERROR(INDEX('包络曲线数据'!$B$2:$U$742,ROW()-1,MATCH(D$1,'包络曲线数据'!$B$1:$U$1,0)),""))</x:f>
      </x:c>
      <x:c r="E722" t="str">
        <x:f>IF(E$1="","",IFERROR(INDEX('包络曲线数据'!$B$2:$U$742,ROW()-1,MATCH(E$1,'包络曲线数据'!$B$1:$U$1,0)),""))</x:f>
      </x:c>
      <x:c r="F722" t="str">
        <x:f>IF(F$1="","",IFERROR(INDEX('包络曲线数据'!$B$2:$U$742,ROW()-1,MATCH(F$1,'包络曲线数据'!$B$1:$U$1,0)),""))</x:f>
      </x:c>
      <x:c r="G722" t="str">
        <x:f>IF(G$1="","",IFERROR(INDEX('包络曲线数据'!$B$2:$U$742,ROW()-1,MATCH(G$1,'包络曲线数据'!$B$1:$U$1,0)),""))</x:f>
      </x:c>
    </x:row>
    <x:row r="723">
      <x:c r="A723" t="n">
        <x:v>72.10000000000001</x:v>
      </x:c>
      <x:c r="B723" t="str">
        <x:f>IF(B$1="","",IFERROR(INDEX('包络曲线数据'!$B$2:$U$742,ROW()-1,MATCH(B$1,'包络曲线数据'!$B$1:$U$1,0)),""))</x:f>
      </x:c>
      <x:c r="C723" t="str">
        <x:f>IF(C$1="","",IFERROR(INDEX('包络曲线数据'!$B$2:$U$742,ROW()-1,MATCH(C$1,'包络曲线数据'!$B$1:$U$1,0)),""))</x:f>
      </x:c>
      <x:c r="D723" t="str">
        <x:f>IF(D$1="","",IFERROR(INDEX('包络曲线数据'!$B$2:$U$742,ROW()-1,MATCH(D$1,'包络曲线数据'!$B$1:$U$1,0)),""))</x:f>
      </x:c>
      <x:c r="E723" t="str">
        <x:f>IF(E$1="","",IFERROR(INDEX('包络曲线数据'!$B$2:$U$742,ROW()-1,MATCH(E$1,'包络曲线数据'!$B$1:$U$1,0)),""))</x:f>
      </x:c>
      <x:c r="F723" t="str">
        <x:f>IF(F$1="","",IFERROR(INDEX('包络曲线数据'!$B$2:$U$742,ROW()-1,MATCH(F$1,'包络曲线数据'!$B$1:$U$1,0)),""))</x:f>
      </x:c>
      <x:c r="G723" t="str">
        <x:f>IF(G$1="","",IFERROR(INDEX('包络曲线数据'!$B$2:$U$742,ROW()-1,MATCH(G$1,'包络曲线数据'!$B$1:$U$1,0)),""))</x:f>
      </x:c>
    </x:row>
    <x:row r="724">
      <x:c r="A724" t="n">
        <x:v>72.2</x:v>
      </x:c>
      <x:c r="B724" t="str">
        <x:f>IF(B$1="","",IFERROR(INDEX('包络曲线数据'!$B$2:$U$742,ROW()-1,MATCH(B$1,'包络曲线数据'!$B$1:$U$1,0)),""))</x:f>
      </x:c>
      <x:c r="C724" t="str">
        <x:f>IF(C$1="","",IFERROR(INDEX('包络曲线数据'!$B$2:$U$742,ROW()-1,MATCH(C$1,'包络曲线数据'!$B$1:$U$1,0)),""))</x:f>
      </x:c>
      <x:c r="D724" t="str">
        <x:f>IF(D$1="","",IFERROR(INDEX('包络曲线数据'!$B$2:$U$742,ROW()-1,MATCH(D$1,'包络曲线数据'!$B$1:$U$1,0)),""))</x:f>
      </x:c>
      <x:c r="E724" t="str">
        <x:f>IF(E$1="","",IFERROR(INDEX('包络曲线数据'!$B$2:$U$742,ROW()-1,MATCH(E$1,'包络曲线数据'!$B$1:$U$1,0)),""))</x:f>
      </x:c>
      <x:c r="F724" t="str">
        <x:f>IF(F$1="","",IFERROR(INDEX('包络曲线数据'!$B$2:$U$742,ROW()-1,MATCH(F$1,'包络曲线数据'!$B$1:$U$1,0)),""))</x:f>
      </x:c>
      <x:c r="G724" t="str">
        <x:f>IF(G$1="","",IFERROR(INDEX('包络曲线数据'!$B$2:$U$742,ROW()-1,MATCH(G$1,'包络曲线数据'!$B$1:$U$1,0)),""))</x:f>
      </x:c>
    </x:row>
    <x:row r="725">
      <x:c r="A725" t="n">
        <x:v>72.3</x:v>
      </x:c>
      <x:c r="B725" t="str">
        <x:f>IF(B$1="","",IFERROR(INDEX('包络曲线数据'!$B$2:$U$742,ROW()-1,MATCH(B$1,'包络曲线数据'!$B$1:$U$1,0)),""))</x:f>
      </x:c>
      <x:c r="C725" t="str">
        <x:f>IF(C$1="","",IFERROR(INDEX('包络曲线数据'!$B$2:$U$742,ROW()-1,MATCH(C$1,'包络曲线数据'!$B$1:$U$1,0)),""))</x:f>
      </x:c>
      <x:c r="D725" t="str">
        <x:f>IF(D$1="","",IFERROR(INDEX('包络曲线数据'!$B$2:$U$742,ROW()-1,MATCH(D$1,'包络曲线数据'!$B$1:$U$1,0)),""))</x:f>
      </x:c>
      <x:c r="E725" t="str">
        <x:f>IF(E$1="","",IFERROR(INDEX('包络曲线数据'!$B$2:$U$742,ROW()-1,MATCH(E$1,'包络曲线数据'!$B$1:$U$1,0)),""))</x:f>
      </x:c>
      <x:c r="F725" t="str">
        <x:f>IF(F$1="","",IFERROR(INDEX('包络曲线数据'!$B$2:$U$742,ROW()-1,MATCH(F$1,'包络曲线数据'!$B$1:$U$1,0)),""))</x:f>
      </x:c>
      <x:c r="G725" t="str">
        <x:f>IF(G$1="","",IFERROR(INDEX('包络曲线数据'!$B$2:$U$742,ROW()-1,MATCH(G$1,'包络曲线数据'!$B$1:$U$1,0)),""))</x:f>
      </x:c>
    </x:row>
    <x:row r="726">
      <x:c r="A726" t="n">
        <x:v>72.4</x:v>
      </x:c>
      <x:c r="B726" t="str">
        <x:f>IF(B$1="","",IFERROR(INDEX('包络曲线数据'!$B$2:$U$742,ROW()-1,MATCH(B$1,'包络曲线数据'!$B$1:$U$1,0)),""))</x:f>
      </x:c>
      <x:c r="C726" t="str">
        <x:f>IF(C$1="","",IFERROR(INDEX('包络曲线数据'!$B$2:$U$742,ROW()-1,MATCH(C$1,'包络曲线数据'!$B$1:$U$1,0)),""))</x:f>
      </x:c>
      <x:c r="D726" t="str">
        <x:f>IF(D$1="","",IFERROR(INDEX('包络曲线数据'!$B$2:$U$742,ROW()-1,MATCH(D$1,'包络曲线数据'!$B$1:$U$1,0)),""))</x:f>
      </x:c>
      <x:c r="E726" t="str">
        <x:f>IF(E$1="","",IFERROR(INDEX('包络曲线数据'!$B$2:$U$742,ROW()-1,MATCH(E$1,'包络曲线数据'!$B$1:$U$1,0)),""))</x:f>
      </x:c>
      <x:c r="F726" t="str">
        <x:f>IF(F$1="","",IFERROR(INDEX('包络曲线数据'!$B$2:$U$742,ROW()-1,MATCH(F$1,'包络曲线数据'!$B$1:$U$1,0)),""))</x:f>
      </x:c>
      <x:c r="G726" t="str">
        <x:f>IF(G$1="","",IFERROR(INDEX('包络曲线数据'!$B$2:$U$742,ROW()-1,MATCH(G$1,'包络曲线数据'!$B$1:$U$1,0)),""))</x:f>
      </x:c>
    </x:row>
    <x:row r="727">
      <x:c r="A727" t="n">
        <x:v>72.5</x:v>
      </x:c>
      <x:c r="B727" t="str">
        <x:f>IF(B$1="","",IFERROR(INDEX('包络曲线数据'!$B$2:$U$742,ROW()-1,MATCH(B$1,'包络曲线数据'!$B$1:$U$1,0)),""))</x:f>
      </x:c>
      <x:c r="C727" t="str">
        <x:f>IF(C$1="","",IFERROR(INDEX('包络曲线数据'!$B$2:$U$742,ROW()-1,MATCH(C$1,'包络曲线数据'!$B$1:$U$1,0)),""))</x:f>
      </x:c>
      <x:c r="D727" t="str">
        <x:f>IF(D$1="","",IFERROR(INDEX('包络曲线数据'!$B$2:$U$742,ROW()-1,MATCH(D$1,'包络曲线数据'!$B$1:$U$1,0)),""))</x:f>
      </x:c>
      <x:c r="E727" t="str">
        <x:f>IF(E$1="","",IFERROR(INDEX('包络曲线数据'!$B$2:$U$742,ROW()-1,MATCH(E$1,'包络曲线数据'!$B$1:$U$1,0)),""))</x:f>
      </x:c>
      <x:c r="F727" t="str">
        <x:f>IF(F$1="","",IFERROR(INDEX('包络曲线数据'!$B$2:$U$742,ROW()-1,MATCH(F$1,'包络曲线数据'!$B$1:$U$1,0)),""))</x:f>
      </x:c>
      <x:c r="G727" t="str">
        <x:f>IF(G$1="","",IFERROR(INDEX('包络曲线数据'!$B$2:$U$742,ROW()-1,MATCH(G$1,'包络曲线数据'!$B$1:$U$1,0)),""))</x:f>
      </x:c>
    </x:row>
    <x:row r="728">
      <x:c r="A728" t="n">
        <x:v>72.60000000000001</x:v>
      </x:c>
      <x:c r="B728" t="str">
        <x:f>IF(B$1="","",IFERROR(INDEX('包络曲线数据'!$B$2:$U$742,ROW()-1,MATCH(B$1,'包络曲线数据'!$B$1:$U$1,0)),""))</x:f>
      </x:c>
      <x:c r="C728" t="str">
        <x:f>IF(C$1="","",IFERROR(INDEX('包络曲线数据'!$B$2:$U$742,ROW()-1,MATCH(C$1,'包络曲线数据'!$B$1:$U$1,0)),""))</x:f>
      </x:c>
      <x:c r="D728" t="str">
        <x:f>IF(D$1="","",IFERROR(INDEX('包络曲线数据'!$B$2:$U$742,ROW()-1,MATCH(D$1,'包络曲线数据'!$B$1:$U$1,0)),""))</x:f>
      </x:c>
      <x:c r="E728" t="str">
        <x:f>IF(E$1="","",IFERROR(INDEX('包络曲线数据'!$B$2:$U$742,ROW()-1,MATCH(E$1,'包络曲线数据'!$B$1:$U$1,0)),""))</x:f>
      </x:c>
      <x:c r="F728" t="str">
        <x:f>IF(F$1="","",IFERROR(INDEX('包络曲线数据'!$B$2:$U$742,ROW()-1,MATCH(F$1,'包络曲线数据'!$B$1:$U$1,0)),""))</x:f>
      </x:c>
      <x:c r="G728" t="str">
        <x:f>IF(G$1="","",IFERROR(INDEX('包络曲线数据'!$B$2:$U$742,ROW()-1,MATCH(G$1,'包络曲线数据'!$B$1:$U$1,0)),""))</x:f>
      </x:c>
    </x:row>
    <x:row r="729">
      <x:c r="A729" t="n">
        <x:v>72.7</x:v>
      </x:c>
      <x:c r="B729" t="str">
        <x:f>IF(B$1="","",IFERROR(INDEX('包络曲线数据'!$B$2:$U$742,ROW()-1,MATCH(B$1,'包络曲线数据'!$B$1:$U$1,0)),""))</x:f>
      </x:c>
      <x:c r="C729" t="str">
        <x:f>IF(C$1="","",IFERROR(INDEX('包络曲线数据'!$B$2:$U$742,ROW()-1,MATCH(C$1,'包络曲线数据'!$B$1:$U$1,0)),""))</x:f>
      </x:c>
      <x:c r="D729" t="str">
        <x:f>IF(D$1="","",IFERROR(INDEX('包络曲线数据'!$B$2:$U$742,ROW()-1,MATCH(D$1,'包络曲线数据'!$B$1:$U$1,0)),""))</x:f>
      </x:c>
      <x:c r="E729" t="str">
        <x:f>IF(E$1="","",IFERROR(INDEX('包络曲线数据'!$B$2:$U$742,ROW()-1,MATCH(E$1,'包络曲线数据'!$B$1:$U$1,0)),""))</x:f>
      </x:c>
      <x:c r="F729" t="str">
        <x:f>IF(F$1="","",IFERROR(INDEX('包络曲线数据'!$B$2:$U$742,ROW()-1,MATCH(F$1,'包络曲线数据'!$B$1:$U$1,0)),""))</x:f>
      </x:c>
      <x:c r="G729" t="str">
        <x:f>IF(G$1="","",IFERROR(INDEX('包络曲线数据'!$B$2:$U$742,ROW()-1,MATCH(G$1,'包络曲线数据'!$B$1:$U$1,0)),""))</x:f>
      </x:c>
    </x:row>
    <x:row r="730">
      <x:c r="A730" t="n">
        <x:v>72.8</x:v>
      </x:c>
      <x:c r="B730" t="str">
        <x:f>IF(B$1="","",IFERROR(INDEX('包络曲线数据'!$B$2:$U$742,ROW()-1,MATCH(B$1,'包络曲线数据'!$B$1:$U$1,0)),""))</x:f>
      </x:c>
      <x:c r="C730" t="str">
        <x:f>IF(C$1="","",IFERROR(INDEX('包络曲线数据'!$B$2:$U$742,ROW()-1,MATCH(C$1,'包络曲线数据'!$B$1:$U$1,0)),""))</x:f>
      </x:c>
      <x:c r="D730" t="str">
        <x:f>IF(D$1="","",IFERROR(INDEX('包络曲线数据'!$B$2:$U$742,ROW()-1,MATCH(D$1,'包络曲线数据'!$B$1:$U$1,0)),""))</x:f>
      </x:c>
      <x:c r="E730" t="str">
        <x:f>IF(E$1="","",IFERROR(INDEX('包络曲线数据'!$B$2:$U$742,ROW()-1,MATCH(E$1,'包络曲线数据'!$B$1:$U$1,0)),""))</x:f>
      </x:c>
      <x:c r="F730" t="str">
        <x:f>IF(F$1="","",IFERROR(INDEX('包络曲线数据'!$B$2:$U$742,ROW()-1,MATCH(F$1,'包络曲线数据'!$B$1:$U$1,0)),""))</x:f>
      </x:c>
      <x:c r="G730" t="str">
        <x:f>IF(G$1="","",IFERROR(INDEX('包络曲线数据'!$B$2:$U$742,ROW()-1,MATCH(G$1,'包络曲线数据'!$B$1:$U$1,0)),""))</x:f>
      </x:c>
    </x:row>
    <x:row r="731">
      <x:c r="A731" t="n">
        <x:v>72.9</x:v>
      </x:c>
      <x:c r="B731" t="str">
        <x:f>IF(B$1="","",IFERROR(INDEX('包络曲线数据'!$B$2:$U$742,ROW()-1,MATCH(B$1,'包络曲线数据'!$B$1:$U$1,0)),""))</x:f>
      </x:c>
      <x:c r="C731" t="str">
        <x:f>IF(C$1="","",IFERROR(INDEX('包络曲线数据'!$B$2:$U$742,ROW()-1,MATCH(C$1,'包络曲线数据'!$B$1:$U$1,0)),""))</x:f>
      </x:c>
      <x:c r="D731" t="str">
        <x:f>IF(D$1="","",IFERROR(INDEX('包络曲线数据'!$B$2:$U$742,ROW()-1,MATCH(D$1,'包络曲线数据'!$B$1:$U$1,0)),""))</x:f>
      </x:c>
      <x:c r="E731" t="str">
        <x:f>IF(E$1="","",IFERROR(INDEX('包络曲线数据'!$B$2:$U$742,ROW()-1,MATCH(E$1,'包络曲线数据'!$B$1:$U$1,0)),""))</x:f>
      </x:c>
      <x:c r="F731" t="str">
        <x:f>IF(F$1="","",IFERROR(INDEX('包络曲线数据'!$B$2:$U$742,ROW()-1,MATCH(F$1,'包络曲线数据'!$B$1:$U$1,0)),""))</x:f>
      </x:c>
      <x:c r="G731" t="str">
        <x:f>IF(G$1="","",IFERROR(INDEX('包络曲线数据'!$B$2:$U$742,ROW()-1,MATCH(G$1,'包络曲线数据'!$B$1:$U$1,0)),""))</x:f>
      </x:c>
    </x:row>
    <x:row r="732">
      <x:c r="A732" t="n">
        <x:v>73</x:v>
      </x:c>
      <x:c r="B732" t="str">
        <x:f>IF(B$1="","",IFERROR(INDEX('包络曲线数据'!$B$2:$U$742,ROW()-1,MATCH(B$1,'包络曲线数据'!$B$1:$U$1,0)),""))</x:f>
      </x:c>
      <x:c r="C732" t="str">
        <x:f>IF(C$1="","",IFERROR(INDEX('包络曲线数据'!$B$2:$U$742,ROW()-1,MATCH(C$1,'包络曲线数据'!$B$1:$U$1,0)),""))</x:f>
      </x:c>
      <x:c r="D732" t="str">
        <x:f>IF(D$1="","",IFERROR(INDEX('包络曲线数据'!$B$2:$U$742,ROW()-1,MATCH(D$1,'包络曲线数据'!$B$1:$U$1,0)),""))</x:f>
      </x:c>
      <x:c r="E732" t="str">
        <x:f>IF(E$1="","",IFERROR(INDEX('包络曲线数据'!$B$2:$U$742,ROW()-1,MATCH(E$1,'包络曲线数据'!$B$1:$U$1,0)),""))</x:f>
      </x:c>
      <x:c r="F732" t="str">
        <x:f>IF(F$1="","",IFERROR(INDEX('包络曲线数据'!$B$2:$U$742,ROW()-1,MATCH(F$1,'包络曲线数据'!$B$1:$U$1,0)),""))</x:f>
      </x:c>
      <x:c r="G732" t="str">
        <x:f>IF(G$1="","",IFERROR(INDEX('包络曲线数据'!$B$2:$U$742,ROW()-1,MATCH(G$1,'包络曲线数据'!$B$1:$U$1,0)),""))</x:f>
      </x:c>
    </x:row>
    <x:row r="733">
      <x:c r="A733" t="n">
        <x:v>73.10000000000001</x:v>
      </x:c>
      <x:c r="B733" t="str">
        <x:f>IF(B$1="","",IFERROR(INDEX('包络曲线数据'!$B$2:$U$742,ROW()-1,MATCH(B$1,'包络曲线数据'!$B$1:$U$1,0)),""))</x:f>
      </x:c>
      <x:c r="C733" t="str">
        <x:f>IF(C$1="","",IFERROR(INDEX('包络曲线数据'!$B$2:$U$742,ROW()-1,MATCH(C$1,'包络曲线数据'!$B$1:$U$1,0)),""))</x:f>
      </x:c>
      <x:c r="D733" t="str">
        <x:f>IF(D$1="","",IFERROR(INDEX('包络曲线数据'!$B$2:$U$742,ROW()-1,MATCH(D$1,'包络曲线数据'!$B$1:$U$1,0)),""))</x:f>
      </x:c>
      <x:c r="E733" t="str">
        <x:f>IF(E$1="","",IFERROR(INDEX('包络曲线数据'!$B$2:$U$742,ROW()-1,MATCH(E$1,'包络曲线数据'!$B$1:$U$1,0)),""))</x:f>
      </x:c>
      <x:c r="F733" t="str">
        <x:f>IF(F$1="","",IFERROR(INDEX('包络曲线数据'!$B$2:$U$742,ROW()-1,MATCH(F$1,'包络曲线数据'!$B$1:$U$1,0)),""))</x:f>
      </x:c>
      <x:c r="G733" t="str">
        <x:f>IF(G$1="","",IFERROR(INDEX('包络曲线数据'!$B$2:$U$742,ROW()-1,MATCH(G$1,'包络曲线数据'!$B$1:$U$1,0)),""))</x:f>
      </x:c>
    </x:row>
    <x:row r="734">
      <x:c r="A734" t="n">
        <x:v>73.2</x:v>
      </x:c>
      <x:c r="B734" t="str">
        <x:f>IF(B$1="","",IFERROR(INDEX('包络曲线数据'!$B$2:$U$742,ROW()-1,MATCH(B$1,'包络曲线数据'!$B$1:$U$1,0)),""))</x:f>
      </x:c>
      <x:c r="C734" t="str">
        <x:f>IF(C$1="","",IFERROR(INDEX('包络曲线数据'!$B$2:$U$742,ROW()-1,MATCH(C$1,'包络曲线数据'!$B$1:$U$1,0)),""))</x:f>
      </x:c>
      <x:c r="D734" t="str">
        <x:f>IF(D$1="","",IFERROR(INDEX('包络曲线数据'!$B$2:$U$742,ROW()-1,MATCH(D$1,'包络曲线数据'!$B$1:$U$1,0)),""))</x:f>
      </x:c>
      <x:c r="E734" t="str">
        <x:f>IF(E$1="","",IFERROR(INDEX('包络曲线数据'!$B$2:$U$742,ROW()-1,MATCH(E$1,'包络曲线数据'!$B$1:$U$1,0)),""))</x:f>
      </x:c>
      <x:c r="F734" t="str">
        <x:f>IF(F$1="","",IFERROR(INDEX('包络曲线数据'!$B$2:$U$742,ROW()-1,MATCH(F$1,'包络曲线数据'!$B$1:$U$1,0)),""))</x:f>
      </x:c>
      <x:c r="G734" t="str">
        <x:f>IF(G$1="","",IFERROR(INDEX('包络曲线数据'!$B$2:$U$742,ROW()-1,MATCH(G$1,'包络曲线数据'!$B$1:$U$1,0)),""))</x:f>
      </x:c>
    </x:row>
    <x:row r="735">
      <x:c r="A735" t="n">
        <x:v>73.3</x:v>
      </x:c>
      <x:c r="B735" t="str">
        <x:f>IF(B$1="","",IFERROR(INDEX('包络曲线数据'!$B$2:$U$742,ROW()-1,MATCH(B$1,'包络曲线数据'!$B$1:$U$1,0)),""))</x:f>
      </x:c>
      <x:c r="C735" t="str">
        <x:f>IF(C$1="","",IFERROR(INDEX('包络曲线数据'!$B$2:$U$742,ROW()-1,MATCH(C$1,'包络曲线数据'!$B$1:$U$1,0)),""))</x:f>
      </x:c>
      <x:c r="D735" t="str">
        <x:f>IF(D$1="","",IFERROR(INDEX('包络曲线数据'!$B$2:$U$742,ROW()-1,MATCH(D$1,'包络曲线数据'!$B$1:$U$1,0)),""))</x:f>
      </x:c>
      <x:c r="E735" t="str">
        <x:f>IF(E$1="","",IFERROR(INDEX('包络曲线数据'!$B$2:$U$742,ROW()-1,MATCH(E$1,'包络曲线数据'!$B$1:$U$1,0)),""))</x:f>
      </x:c>
      <x:c r="F735" t="str">
        <x:f>IF(F$1="","",IFERROR(INDEX('包络曲线数据'!$B$2:$U$742,ROW()-1,MATCH(F$1,'包络曲线数据'!$B$1:$U$1,0)),""))</x:f>
      </x:c>
      <x:c r="G735" t="str">
        <x:f>IF(G$1="","",IFERROR(INDEX('包络曲线数据'!$B$2:$U$742,ROW()-1,MATCH(G$1,'包络曲线数据'!$B$1:$U$1,0)),""))</x:f>
      </x:c>
    </x:row>
    <x:row r="736">
      <x:c r="A736" t="n">
        <x:v>73.4</x:v>
      </x:c>
      <x:c r="B736" t="str">
        <x:f>IF(B$1="","",IFERROR(INDEX('包络曲线数据'!$B$2:$U$742,ROW()-1,MATCH(B$1,'包络曲线数据'!$B$1:$U$1,0)),""))</x:f>
      </x:c>
      <x:c r="C736" t="str">
        <x:f>IF(C$1="","",IFERROR(INDEX('包络曲线数据'!$B$2:$U$742,ROW()-1,MATCH(C$1,'包络曲线数据'!$B$1:$U$1,0)),""))</x:f>
      </x:c>
      <x:c r="D736" t="str">
        <x:f>IF(D$1="","",IFERROR(INDEX('包络曲线数据'!$B$2:$U$742,ROW()-1,MATCH(D$1,'包络曲线数据'!$B$1:$U$1,0)),""))</x:f>
      </x:c>
      <x:c r="E736" t="str">
        <x:f>IF(E$1="","",IFERROR(INDEX('包络曲线数据'!$B$2:$U$742,ROW()-1,MATCH(E$1,'包络曲线数据'!$B$1:$U$1,0)),""))</x:f>
      </x:c>
      <x:c r="F736" t="str">
        <x:f>IF(F$1="","",IFERROR(INDEX('包络曲线数据'!$B$2:$U$742,ROW()-1,MATCH(F$1,'包络曲线数据'!$B$1:$U$1,0)),""))</x:f>
      </x:c>
      <x:c r="G736" t="str">
        <x:f>IF(G$1="","",IFERROR(INDEX('包络曲线数据'!$B$2:$U$742,ROW()-1,MATCH(G$1,'包络曲线数据'!$B$1:$U$1,0)),""))</x:f>
      </x:c>
    </x:row>
    <x:row r="737">
      <x:c r="A737" t="n">
        <x:v>73.5</x:v>
      </x:c>
      <x:c r="B737" t="str">
        <x:f>IF(B$1="","",IFERROR(INDEX('包络曲线数据'!$B$2:$U$742,ROW()-1,MATCH(B$1,'包络曲线数据'!$B$1:$U$1,0)),""))</x:f>
      </x:c>
      <x:c r="C737" t="str">
        <x:f>IF(C$1="","",IFERROR(INDEX('包络曲线数据'!$B$2:$U$742,ROW()-1,MATCH(C$1,'包络曲线数据'!$B$1:$U$1,0)),""))</x:f>
      </x:c>
      <x:c r="D737" t="str">
        <x:f>IF(D$1="","",IFERROR(INDEX('包络曲线数据'!$B$2:$U$742,ROW()-1,MATCH(D$1,'包络曲线数据'!$B$1:$U$1,0)),""))</x:f>
      </x:c>
      <x:c r="E737" t="str">
        <x:f>IF(E$1="","",IFERROR(INDEX('包络曲线数据'!$B$2:$U$742,ROW()-1,MATCH(E$1,'包络曲线数据'!$B$1:$U$1,0)),""))</x:f>
      </x:c>
      <x:c r="F737" t="str">
        <x:f>IF(F$1="","",IFERROR(INDEX('包络曲线数据'!$B$2:$U$742,ROW()-1,MATCH(F$1,'包络曲线数据'!$B$1:$U$1,0)),""))</x:f>
      </x:c>
      <x:c r="G737" t="str">
        <x:f>IF(G$1="","",IFERROR(INDEX('包络曲线数据'!$B$2:$U$742,ROW()-1,MATCH(G$1,'包络曲线数据'!$B$1:$U$1,0)),""))</x:f>
      </x:c>
    </x:row>
    <x:row r="738">
      <x:c r="A738" t="n">
        <x:v>73.60000000000001</x:v>
      </x:c>
      <x:c r="B738" t="str">
        <x:f>IF(B$1="","",IFERROR(INDEX('包络曲线数据'!$B$2:$U$742,ROW()-1,MATCH(B$1,'包络曲线数据'!$B$1:$U$1,0)),""))</x:f>
      </x:c>
      <x:c r="C738" t="str">
        <x:f>IF(C$1="","",IFERROR(INDEX('包络曲线数据'!$B$2:$U$742,ROW()-1,MATCH(C$1,'包络曲线数据'!$B$1:$U$1,0)),""))</x:f>
      </x:c>
      <x:c r="D738" t="str">
        <x:f>IF(D$1="","",IFERROR(INDEX('包络曲线数据'!$B$2:$U$742,ROW()-1,MATCH(D$1,'包络曲线数据'!$B$1:$U$1,0)),""))</x:f>
      </x:c>
      <x:c r="E738" t="str">
        <x:f>IF(E$1="","",IFERROR(INDEX('包络曲线数据'!$B$2:$U$742,ROW()-1,MATCH(E$1,'包络曲线数据'!$B$1:$U$1,0)),""))</x:f>
      </x:c>
      <x:c r="F738" t="str">
        <x:f>IF(F$1="","",IFERROR(INDEX('包络曲线数据'!$B$2:$U$742,ROW()-1,MATCH(F$1,'包络曲线数据'!$B$1:$U$1,0)),""))</x:f>
      </x:c>
      <x:c r="G738" t="str">
        <x:f>IF(G$1="","",IFERROR(INDEX('包络曲线数据'!$B$2:$U$742,ROW()-1,MATCH(G$1,'包络曲线数据'!$B$1:$U$1,0)),""))</x:f>
      </x:c>
    </x:row>
    <x:row r="739">
      <x:c r="A739" t="n">
        <x:v>73.7</x:v>
      </x:c>
      <x:c r="B739" t="str">
        <x:f>IF(B$1="","",IFERROR(INDEX('包络曲线数据'!$B$2:$U$742,ROW()-1,MATCH(B$1,'包络曲线数据'!$B$1:$U$1,0)),""))</x:f>
      </x:c>
      <x:c r="C739" t="str">
        <x:f>IF(C$1="","",IFERROR(INDEX('包络曲线数据'!$B$2:$U$742,ROW()-1,MATCH(C$1,'包络曲线数据'!$B$1:$U$1,0)),""))</x:f>
      </x:c>
      <x:c r="D739" t="str">
        <x:f>IF(D$1="","",IFERROR(INDEX('包络曲线数据'!$B$2:$U$742,ROW()-1,MATCH(D$1,'包络曲线数据'!$B$1:$U$1,0)),""))</x:f>
      </x:c>
      <x:c r="E739" t="str">
        <x:f>IF(E$1="","",IFERROR(INDEX('包络曲线数据'!$B$2:$U$742,ROW()-1,MATCH(E$1,'包络曲线数据'!$B$1:$U$1,0)),""))</x:f>
      </x:c>
      <x:c r="F739" t="str">
        <x:f>IF(F$1="","",IFERROR(INDEX('包络曲线数据'!$B$2:$U$742,ROW()-1,MATCH(F$1,'包络曲线数据'!$B$1:$U$1,0)),""))</x:f>
      </x:c>
      <x:c r="G739" t="str">
        <x:f>IF(G$1="","",IFERROR(INDEX('包络曲线数据'!$B$2:$U$742,ROW()-1,MATCH(G$1,'包络曲线数据'!$B$1:$U$1,0)),""))</x:f>
      </x:c>
    </x:row>
    <x:row r="740">
      <x:c r="A740" t="n">
        <x:v>73.8</x:v>
      </x:c>
      <x:c r="B740" t="str">
        <x:f>IF(B$1="","",IFERROR(INDEX('包络曲线数据'!$B$2:$U$742,ROW()-1,MATCH(B$1,'包络曲线数据'!$B$1:$U$1,0)),""))</x:f>
      </x:c>
      <x:c r="C740" t="str">
        <x:f>IF(C$1="","",IFERROR(INDEX('包络曲线数据'!$B$2:$U$742,ROW()-1,MATCH(C$1,'包络曲线数据'!$B$1:$U$1,0)),""))</x:f>
      </x:c>
      <x:c r="D740" t="str">
        <x:f>IF(D$1="","",IFERROR(INDEX('包络曲线数据'!$B$2:$U$742,ROW()-1,MATCH(D$1,'包络曲线数据'!$B$1:$U$1,0)),""))</x:f>
      </x:c>
      <x:c r="E740" t="str">
        <x:f>IF(E$1="","",IFERROR(INDEX('包络曲线数据'!$B$2:$U$742,ROW()-1,MATCH(E$1,'包络曲线数据'!$B$1:$U$1,0)),""))</x:f>
      </x:c>
      <x:c r="F740" t="str">
        <x:f>IF(F$1="","",IFERROR(INDEX('包络曲线数据'!$B$2:$U$742,ROW()-1,MATCH(F$1,'包络曲线数据'!$B$1:$U$1,0)),""))</x:f>
      </x:c>
      <x:c r="G740" t="str">
        <x:f>IF(G$1="","",IFERROR(INDEX('包络曲线数据'!$B$2:$U$742,ROW()-1,MATCH(G$1,'包络曲线数据'!$B$1:$U$1,0)),""))</x:f>
      </x:c>
    </x:row>
    <x:row r="741">
      <x:c r="A741" t="n">
        <x:v>73.9</x:v>
      </x:c>
      <x:c r="B741" t="str">
        <x:f>IF(B$1="","",IFERROR(INDEX('包络曲线数据'!$B$2:$U$742,ROW()-1,MATCH(B$1,'包络曲线数据'!$B$1:$U$1,0)),""))</x:f>
      </x:c>
      <x:c r="C741" t="str">
        <x:f>IF(C$1="","",IFERROR(INDEX('包络曲线数据'!$B$2:$U$742,ROW()-1,MATCH(C$1,'包络曲线数据'!$B$1:$U$1,0)),""))</x:f>
      </x:c>
      <x:c r="D741" t="str">
        <x:f>IF(D$1="","",IFERROR(INDEX('包络曲线数据'!$B$2:$U$742,ROW()-1,MATCH(D$1,'包络曲线数据'!$B$1:$U$1,0)),""))</x:f>
      </x:c>
      <x:c r="E741" t="str">
        <x:f>IF(E$1="","",IFERROR(INDEX('包络曲线数据'!$B$2:$U$742,ROW()-1,MATCH(E$1,'包络曲线数据'!$B$1:$U$1,0)),""))</x:f>
      </x:c>
      <x:c r="F741" t="str">
        <x:f>IF(F$1="","",IFERROR(INDEX('包络曲线数据'!$B$2:$U$742,ROW()-1,MATCH(F$1,'包络曲线数据'!$B$1:$U$1,0)),""))</x:f>
      </x:c>
      <x:c r="G741" t="str">
        <x:f>IF(G$1="","",IFERROR(INDEX('包络曲线数据'!$B$2:$U$742,ROW()-1,MATCH(G$1,'包络曲线数据'!$B$1:$U$1,0)),""))</x:f>
      </x:c>
    </x:row>
    <x:row r="742">
      <x:c r="A742" t="n">
        <x:v>74</x:v>
      </x:c>
      <x:c r="B742" t="str">
        <x:f>IF(B$1="","",IFERROR(INDEX('包络曲线数据'!$B$2:$U$742,ROW()-1,MATCH(B$1,'包络曲线数据'!$B$1:$U$1,0)),""))</x:f>
      </x:c>
      <x:c r="C742" t="str">
        <x:f>IF(C$1="","",IFERROR(INDEX('包络曲线数据'!$B$2:$U$742,ROW()-1,MATCH(C$1,'包络曲线数据'!$B$1:$U$1,0)),""))</x:f>
      </x:c>
      <x:c r="D742" t="str">
        <x:f>IF(D$1="","",IFERROR(INDEX('包络曲线数据'!$B$2:$U$742,ROW()-1,MATCH(D$1,'包络曲线数据'!$B$1:$U$1,0)),""))</x:f>
      </x:c>
      <x:c r="E742" t="str">
        <x:f>IF(E$1="","",IFERROR(INDEX('包络曲线数据'!$B$2:$U$742,ROW()-1,MATCH(E$1,'包络曲线数据'!$B$1:$U$1,0)),""))</x:f>
      </x:c>
      <x:c r="F742" t="str">
        <x:f>IF(F$1="","",IFERROR(INDEX('包络曲线数据'!$B$2:$U$742,ROW()-1,MATCH(F$1,'包络曲线数据'!$B$1:$U$1,0)),""))</x:f>
      </x:c>
      <x:c r="G742" t="str">
        <x:f>IF(G$1="","",IFERROR(INDEX('包络曲线数据'!$B$2:$U$742,ROW()-1,MATCH(G$1,'包络曲线数据'!$B$1:$U$1,0)),""))</x:f>
      </x:c>
    </x:row>
  </x:sheetData>
  <x:pageMargins left="0.7" right="0.7" top="0.75" bottom="0.75" header="0.3" footer="0.3"/>
</x:worksheet>
</file>