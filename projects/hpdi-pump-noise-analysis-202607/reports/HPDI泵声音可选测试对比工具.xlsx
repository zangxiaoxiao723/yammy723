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2dc4c6c79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5d20b47d7ad45ed"/>
    <x:sheet xmlns:r="http://schemas.openxmlformats.org/officeDocument/2006/relationships" name="对比面板" sheetId="2" r:id="R343e6c7d9f1a495c"/>
    <x:sheet xmlns:r="http://schemas.openxmlformats.org/officeDocument/2006/relationships" name="测试索引" sheetId="3" r:id="Rb55128503c39486b"/>
    <x:sheet xmlns:r="http://schemas.openxmlformats.org/officeDocument/2006/relationships" name="包络曲线数据" sheetId="4" r:id="Rcfa7f6e99824417d"/>
    <x:sheet xmlns:r="http://schemas.openxmlformats.org/officeDocument/2006/relationships" name="代表咚声数据" sheetId="5" r:id="R5db4da2ebaa24975"/>
    <x:sheet xmlns:r="http://schemas.openxmlformats.org/officeDocument/2006/relationships" name="图表计算" sheetId="6" r:id="R221dbf19a97f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2"/>
      <x:color rgb="FF007C91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1"/>
      <x:color rgb="FFC2410C"/>
      <x:name val="Carlito"/>
    </x:font>
    <x:font>
      <x:b/>
      <x:sz val="11"/>
      <x:color rgb="FF64748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6F3F5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  <x:fill>
      <x:patternFill patternType="solid">
        <x:fgColor rgb="FFF1F5F9"/>
      </x:patternFill>
    </x:fill>
  </x:fills>
  <x:borders count="11">
    <x:border/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/>
    <x:xf numFmtId="0" fontId="3" fillId="3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2ebbc8bba4083" /><Relationship Type="http://schemas.openxmlformats.org/officeDocument/2006/relationships/theme" Target="/xl/theme/theme1.xml" Id="R14026b7e30fd43a8" /><Relationship Type="http://schemas.openxmlformats.org/officeDocument/2006/relationships/sharedStrings" Target="/xl/sharedStrings.xml" Id="R4d7c29ef00504f19" /><Relationship Type="http://schemas.openxmlformats.org/officeDocument/2006/relationships/worksheet" Target="/xl/worksheets/sheet1.xml" Id="Rd5d20b47d7ad45ed" /><Relationship Type="http://schemas.openxmlformats.org/officeDocument/2006/relationships/worksheet" Target="/xl/worksheets/sheet2.xml" Id="R343e6c7d9f1a495c" /><Relationship Type="http://schemas.openxmlformats.org/officeDocument/2006/relationships/worksheet" Target="/xl/worksheets/sheet3.xml" Id="Rb55128503c39486b" /><Relationship Type="http://schemas.openxmlformats.org/officeDocument/2006/relationships/worksheet" Target="/xl/worksheets/sheet4.xml" Id="Rcfa7f6e99824417d" /><Relationship Type="http://schemas.openxmlformats.org/officeDocument/2006/relationships/worksheet" Target="/xl/worksheets/sheet5.xml" Id="R5db4da2ebaa24975" /><Relationship Type="http://schemas.openxmlformats.org/officeDocument/2006/relationships/worksheet" Target="/xl/worksheets/sheet6.xml" Id="R221dbf19a97f46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e5502808824614" /><Relationship Type="http://schemas.openxmlformats.org/officeDocument/2006/relationships/chart" Target="/xl/drawings/charts/chart2.xml" Id="R01b274bf6de84099" /><Relationship Type="http://schemas.openxmlformats.org/officeDocument/2006/relationships/chart" Target="/xl/drawings/charts/chart3.xml" Id="Rfb0ee509ca454a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整体咚声包络对比 - 估算 dB(A)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'图表计算'!$B$1:$B$742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'图表计算'!$C$1:$C$742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'图表计算'!$D$1:$D$742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'图表计算'!$E$1:$E$742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'图表计算'!$F$1:$F$742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'图表计算'!$A$1:$A$742</c:f>
              <c:strCache>
                <c:ptCount val="0"/>
              </c:strCache>
            </c:strRef>
          </c:cat>
          <c:val>
            <c:numRef>
              <c:f>'图表计算'!$G$1:$G$742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视频时间 (s)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5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泵咚声估算 dB(A)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常见咚声 - 单次曲线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'图表计算'!$J$1:$J$39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'图表计算'!$K$1:$K$39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'图表计算'!$L$1:$L$39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'图表计算'!$M$1:$M$39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'图表计算'!$N$1:$N$39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'图表计算'!$I$1:$I$39</c:f>
              <c:strCache>
                <c:ptCount val="0"/>
              </c:strCache>
            </c:strRef>
          </c:cat>
          <c:val>
            <c:numRef>
              <c:f>'图表计算'!$O$1:$O$39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相对峰值时间 (ms)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95"/>
          <c:min val="5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估算 dB(A)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较响咚声 - 单次曲线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'图表计算'!$R$1:$R$39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'图表计算'!$S$1:$S$39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'图表计算'!$T$1:$T$39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'图表计算'!$U$1:$U$39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'图表计算'!$V$1:$V$39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'图表计算'!$Q$1:$Q$39</c:f>
              <c:strCache>
                <c:ptCount val="0"/>
              </c:strCache>
            </c:strRef>
          </c:cat>
          <c:val>
            <c:numRef>
              <c:f>'图表计算'!$W$1:$W$39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相对峰值时间 (ms)</a:t>
                </a:r>
              </a:p>
            </c:rich>
          </c:tx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95"/>
          <c:min val="5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估算 dB(A)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e5502808824614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b274bf6de84099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0ee509ca454a9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78fbceeeca549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4" customHeight="1">
      <x:c r="A1" s="4" t="str">
        <x:v>HPDI 泵声音对比工具</x:v>
      </x:c>
    </x:row>
    <x:row r="3">
      <x:c r="A3" s="6" t="str">
        <x:v>用途：选择任意测试组，自动生成整体包络、常见咚声和较响咚声对比曲线。</x:v>
      </x:c>
    </x:row>
    <x:row r="5" ht="34" customHeight="1">
      <x:c r="A5" s="15" t="str">
        <x:v>操作</x:v>
      </x:c>
      <x:c r="B5" s="15" t="str">
        <x:v>说明</x:v>
      </x:c>
    </x:row>
    <x:row r="6" ht="34" customHeight="1">
      <x:c r="A6" s="16" t="str">
        <x:v>1. 选择测试</x:v>
      </x:c>
      <x:c r="B6" s="16" t="str">
        <x:v>在“对比面板”顶部的下拉框中选择最多 6 组测试，空槽位不会显示。</x:v>
      </x:c>
    </x:row>
    <x:row r="7" ht="34" customHeight="1">
      <x:c r="A7" s="16" t="str">
        <x:v>2. 看整体包络</x:v>
      </x:c>
      <x:c r="B7" s="16" t="str">
        <x:v>判断一段测试中连续多个周期何时偏响、何时偏小。纵轴为估算 dB(A)，横轴为视频时间。</x:v>
      </x:c>
    </x:row>
    <x:row r="8" ht="34" customHeight="1">
      <x:c r="A8" s="16" t="str">
        <x:v>3. 看常见咚声</x:v>
      </x:c>
      <x:c r="B8" s="16" t="str">
        <x:v>表示大多数正常周期的典型冲击，不要求客户理解统计术语。</x:v>
      </x:c>
    </x:row>
    <x:row r="9" ht="34" customHeight="1">
      <x:c r="A9" s="16" t="str">
        <x:v>4. 看较响咚声</x:v>
      </x:c>
      <x:c r="B9" s="16" t="str">
        <x:v>表示一段测试中偏响的那部分周期，是调泵时优先压低的对象。</x:v>
      </x:c>
    </x:row>
    <x:row r="10" ht="34" customHeight="1">
      <x:c r="A10" s="16" t="str">
        <x:v>5. 追加新测试</x:v>
      </x:c>
      <x:c r="B10" s="16" t="str">
        <x:v>由分析脚本把新测试追加到“测试索引”和两个曲线数据页，原有东德基准保持不变。</x:v>
      </x:c>
    </x:row>
    <x:row r="12">
      <x:c r="A12" s="20" t="str">
        <x:v>重要：dB(A)绝对值来自手机录音与视频中分贝仪读数的工程校准，只适合趋势参考；同一录制条件下“富瑞 - 东德”的相对 dB 差值更可靠。后续无分贝仪的视频仍可比较，但必须保持同一手机、录制模式、角度和距离。</x:v>
      </x:c>
    </x:row>
  </x:sheetData>
  <x:mergeCells>
    <x:mergeCell ref="A1:H1"/>
    <x:mergeCell ref="A3:H3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HPDI 泵声音可选测试对比</x:v>
      </x:c>
    </x:row>
    <x:row r="3">
      <x:c r="A3" s="8" t="str">
        <x:v>选择测试</x:v>
      </x:c>
      <x:c r="B3" s="37" t="str">
        <x:v>DD_BASE_260707_700</x:v>
      </x:c>
      <x:c r="C3" s="37" t="str">
        <x:v>FR_INIT_260709_700</x:v>
      </x:c>
      <x:c r="D3" s="37" t="str"/>
      <x:c r="E3" s="37" t="str"/>
      <x:c r="F3" s="37" t="str"/>
      <x:c r="G3" s="37" t="str"/>
    </x:row>
    <x:row r="5">
      <x:c r="A5" s="11" t="str">
        <x:v>测试编号</x:v>
      </x:c>
      <x:c r="B5" s="22" t="str">
        <x:v>转速 rpm</x:v>
      </x:c>
      <x:c r="C5" s="22" t="str">
        <x:v>常见咚声</x:v>
      </x:c>
      <x:c r="D5" s="22" t="str">
        <x:v>较响咚声</x:v>
      </x:c>
      <x:c r="E5" s="22" t="str">
        <x:v>常见声相对东德</x:v>
      </x:c>
      <x:c r="F5" s="22" t="str">
        <x:v>较响声相对东德</x:v>
      </x:c>
      <x:c r="G5" s="22" t="str">
        <x:v>超门槛占比</x:v>
      </x:c>
      <x:c r="H5" s="12" t="str">
        <x:v>结论</x:v>
      </x:c>
    </x:row>
    <x:row r="6">
      <x:c r="A6" s="45" t="str">
        <x:f>IF(B$3="","",B$3)</x:f>
        <x:v>DD_BASE_260707_700</x:v>
      </x:c>
      <x:c r="B6" s="52" t="n">
        <x:f>IFERROR(INDEX('测试索引'!$E$2:$E$11,MATCH($A6,'测试索引'!$A$2:$A$11,0)),"")</x:f>
        <x:v>700</x:v>
      </x:c>
      <x:c r="C6" s="54" t="n">
        <x:f>IFERROR(INDEX('测试索引'!$H$2:$H$11,MATCH($A6,'测试索引'!$A$2:$A$11,0)),"")</x:f>
        <x:v>69.87918364991627</x:v>
      </x:c>
      <x:c r="D6" s="54" t="n">
        <x:f>IFERROR(INDEX('测试索引'!$I$2:$I$11,MATCH($A6,'测试索引'!$A$2:$A$11,0)),"")</x:f>
        <x:v>78.3836127175188</x:v>
      </x:c>
      <x:c r="E6" s="54" t="str">
        <x:f>IFERROR(INDEX('测试索引'!$J$2:$J$11,MATCH($A6,'测试索引'!$A$2:$A$11,0)),"")</x:f>
        <x:v>基准</x:v>
      </x:c>
      <x:c r="F6" s="54" t="str">
        <x:f>IFERROR(INDEX('测试索引'!$K$2:$K$11,MATCH($A6,'测试索引'!$A$2:$A$11,0)),"")</x:f>
        <x:v>基准</x:v>
      </x:c>
      <x:c r="G6" s="54" t="n">
        <x:f>IFERROR(INDEX('测试索引'!$N$2:$N$11,MATCH($A6,'测试索引'!$A$2:$A$11,0)),"")</x:f>
        <x:v>10</x:v>
      </x:c>
      <x:c r="H6" s="47" t="str">
        <x:f>IFERROR(INDEX('测试索引'!$O$2:$O$11,MATCH($A6,'测试索引'!$A$2:$A$11,0)),"")</x:f>
        <x:v>东德基准</x:v>
      </x:c>
    </x:row>
    <x:row r="7">
      <x:c r="A7" s="48" t="str">
        <x:f>IF(C$3="","",C$3)</x:f>
        <x:v>FR_INIT_260709_700</x:v>
      </x:c>
      <x:c r="B7" s="30" t="n">
        <x:f>IFERROR(INDEX('测试索引'!$E$2:$E$11,MATCH($A7,'测试索引'!$A$2:$A$11,0)),"")</x:f>
        <x:v>700</x:v>
      </x:c>
      <x:c r="C7" s="31" t="n">
        <x:f>IFERROR(INDEX('测试索引'!$H$2:$H$11,MATCH($A7,'测试索引'!$A$2:$A$11,0)),"")</x:f>
        <x:v>68.66649335990613</x:v>
      </x:c>
      <x:c r="D7" s="31" t="n">
        <x:f>IFERROR(INDEX('测试索引'!$I$2:$I$11,MATCH($A7,'测试索引'!$A$2:$A$11,0)),"")</x:f>
        <x:v>80.21613661249395</x:v>
      </x:c>
      <x:c r="E7" s="31" t="str">
        <x:f>IFERROR(INDEX('测试索引'!$J$2:$J$11,MATCH($A7,'测试索引'!$A$2:$A$11,0)),"")</x:f>
        <x:v>低于东德 1.2 dB</x:v>
      </x:c>
      <x:c r="F7" s="31" t="str">
        <x:f>IFERROR(INDEX('测试索引'!$K$2:$K$11,MATCH($A7,'测试索引'!$A$2:$A$11,0)),"")</x:f>
        <x:v>高于东德 1.8 dB</x:v>
      </x:c>
      <x:c r="G7" s="31" t="n">
        <x:f>IFERROR(INDEX('测试索引'!$N$2:$N$11,MATCH($A7,'测试索引'!$A$2:$A$11,0)),"")</x:f>
        <x:v>11.538461538461538</x:v>
      </x:c>
      <x:c r="H7" s="32" t="str">
        <x:f>IFERROR(INDEX('测试索引'!$O$2:$O$11,MATCH($A7,'测试索引'!$A$2:$A$11,0)),"")</x:f>
        <x:v>略差/接近</x:v>
      </x:c>
    </x:row>
    <x:row r="8">
      <x:c r="A8" s="48" t="str">
        <x:f>IF(D$3="","",D$3)</x:f>
      </x:c>
      <x:c r="B8" s="30" t="str">
        <x:f>IFERROR(INDEX('测试索引'!$E$2:$E$11,MATCH($A8,'测试索引'!$A$2:$A$11,0)),"")</x:f>
      </x:c>
      <x:c r="C8" s="31" t="str">
        <x:f>IFERROR(INDEX('测试索引'!$H$2:$H$11,MATCH($A8,'测试索引'!$A$2:$A$11,0)),"")</x:f>
      </x:c>
      <x:c r="D8" s="31" t="str">
        <x:f>IFERROR(INDEX('测试索引'!$I$2:$I$11,MATCH($A8,'测试索引'!$A$2:$A$11,0)),"")</x:f>
      </x:c>
      <x:c r="E8" s="31" t="str">
        <x:f>IFERROR(INDEX('测试索引'!$J$2:$J$11,MATCH($A8,'测试索引'!$A$2:$A$11,0)),"")</x:f>
      </x:c>
      <x:c r="F8" s="31" t="str">
        <x:f>IFERROR(INDEX('测试索引'!$K$2:$K$11,MATCH($A8,'测试索引'!$A$2:$A$11,0)),"")</x:f>
      </x:c>
      <x:c r="G8" s="31" t="str">
        <x:f>IFERROR(INDEX('测试索引'!$N$2:$N$11,MATCH($A8,'测试索引'!$A$2:$A$11,0)),"")</x:f>
      </x:c>
      <x:c r="H8" s="32" t="str">
        <x:f>IFERROR(INDEX('测试索引'!$O$2:$O$11,MATCH($A8,'测试索引'!$A$2:$A$11,0)),"")</x:f>
      </x:c>
    </x:row>
    <x:row r="9">
      <x:c r="A9" s="48" t="str">
        <x:f>IF(E$3="","",E$3)</x:f>
      </x:c>
      <x:c r="B9" s="30" t="str">
        <x:f>IFERROR(INDEX('测试索引'!$E$2:$E$11,MATCH($A9,'测试索引'!$A$2:$A$11,0)),"")</x:f>
      </x:c>
      <x:c r="C9" s="31" t="str">
        <x:f>IFERROR(INDEX('测试索引'!$H$2:$H$11,MATCH($A9,'测试索引'!$A$2:$A$11,0)),"")</x:f>
      </x:c>
      <x:c r="D9" s="31" t="str">
        <x:f>IFERROR(INDEX('测试索引'!$I$2:$I$11,MATCH($A9,'测试索引'!$A$2:$A$11,0)),"")</x:f>
      </x:c>
      <x:c r="E9" s="31" t="str">
        <x:f>IFERROR(INDEX('测试索引'!$J$2:$J$11,MATCH($A9,'测试索引'!$A$2:$A$11,0)),"")</x:f>
      </x:c>
      <x:c r="F9" s="31" t="str">
        <x:f>IFERROR(INDEX('测试索引'!$K$2:$K$11,MATCH($A9,'测试索引'!$A$2:$A$11,0)),"")</x:f>
      </x:c>
      <x:c r="G9" s="31" t="str">
        <x:f>IFERROR(INDEX('测试索引'!$N$2:$N$11,MATCH($A9,'测试索引'!$A$2:$A$11,0)),"")</x:f>
      </x:c>
      <x:c r="H9" s="32" t="str">
        <x:f>IFERROR(INDEX('测试索引'!$O$2:$O$11,MATCH($A9,'测试索引'!$A$2:$A$11,0)),"")</x:f>
      </x:c>
    </x:row>
    <x:row r="10">
      <x:c r="A10" s="48" t="str">
        <x:f>IF(F$3="","",F$3)</x:f>
      </x:c>
      <x:c r="B10" s="30" t="str">
        <x:f>IFERROR(INDEX('测试索引'!$E$2:$E$11,MATCH($A10,'测试索引'!$A$2:$A$11,0)),"")</x:f>
      </x:c>
      <x:c r="C10" s="31" t="str">
        <x:f>IFERROR(INDEX('测试索引'!$H$2:$H$11,MATCH($A10,'测试索引'!$A$2:$A$11,0)),"")</x:f>
      </x:c>
      <x:c r="D10" s="31" t="str">
        <x:f>IFERROR(INDEX('测试索引'!$I$2:$I$11,MATCH($A10,'测试索引'!$A$2:$A$11,0)),"")</x:f>
      </x:c>
      <x:c r="E10" s="31" t="str">
        <x:f>IFERROR(INDEX('测试索引'!$J$2:$J$11,MATCH($A10,'测试索引'!$A$2:$A$11,0)),"")</x:f>
      </x:c>
      <x:c r="F10" s="31" t="str">
        <x:f>IFERROR(INDEX('测试索引'!$K$2:$K$11,MATCH($A10,'测试索引'!$A$2:$A$11,0)),"")</x:f>
      </x:c>
      <x:c r="G10" s="31" t="str">
        <x:f>IFERROR(INDEX('测试索引'!$N$2:$N$11,MATCH($A10,'测试索引'!$A$2:$A$11,0)),"")</x:f>
      </x:c>
      <x:c r="H10" s="32" t="str">
        <x:f>IFERROR(INDEX('测试索引'!$O$2:$O$11,MATCH($A10,'测试索引'!$A$2:$A$11,0)),"")</x:f>
      </x:c>
    </x:row>
    <x:row r="11">
      <x:c r="A11" s="49" t="str">
        <x:f>IF(G$3="","",G$3)</x:f>
      </x:c>
      <x:c r="B11" s="53" t="str">
        <x:f>IFERROR(INDEX('测试索引'!$E$2:$E$11,MATCH($A11,'测试索引'!$A$2:$A$11,0)),"")</x:f>
      </x:c>
      <x:c r="C11" s="55" t="str">
        <x:f>IFERROR(INDEX('测试索引'!$H$2:$H$11,MATCH($A11,'测试索引'!$A$2:$A$11,0)),"")</x:f>
      </x:c>
      <x:c r="D11" s="55" t="str">
        <x:f>IFERROR(INDEX('测试索引'!$I$2:$I$11,MATCH($A11,'测试索引'!$A$2:$A$11,0)),"")</x:f>
      </x:c>
      <x:c r="E11" s="55" t="str">
        <x:f>IFERROR(INDEX('测试索引'!$J$2:$J$11,MATCH($A11,'测试索引'!$A$2:$A$11,0)),"")</x:f>
      </x:c>
      <x:c r="F11" s="55" t="str">
        <x:f>IFERROR(INDEX('测试索引'!$K$2:$K$11,MATCH($A11,'测试索引'!$A$2:$A$11,0)),"")</x:f>
      </x:c>
      <x:c r="G11" s="55" t="str">
        <x:f>IFERROR(INDEX('测试索引'!$N$2:$N$11,MATCH($A11,'测试索引'!$A$2:$A$11,0)),"")</x:f>
      </x:c>
      <x:c r="H11" s="51" t="str">
        <x:f>IFERROR(INDEX('测试索引'!$O$2:$O$11,MATCH($A11,'测试索引'!$A$2:$A$11,0)),"")</x:f>
      </x:c>
    </x:row>
    <x:row r="12">
      <x:c r="A12" s="58" t="str">
        <x:f>IF(COUNT(B6:B11)&lt;=1,"请选择至少两组测试",IF(COUNTIF(B6:B11,B6)=COUNT(B6:B11),"转速一致：可直接比较产品声音","警告：所选测试转速不一致，只能观察趋势，不能直接判断产品优劣"))</x:f>
        <x:v>转速一致：可直接比较产品声音</x:v>
      </x:c>
    </x:row>
    <x:row r="57">
      <x:c r="A57" s="20" t="str">
        <x:v>判读方法：“低于东德”表示富瑞更安静；低于东德 2 dB 以上可认为有明确优势。客户沟通时重点看“较响咚声”和超过东德较响门槛的比例。</x:v>
      </x:c>
    </x:row>
  </x:sheetData>
  <x:mergeCells>
    <x:mergeCell ref="A1:N1"/>
    <x:mergeCell ref="A12:N12"/>
    <x:mergeCell ref="A57:N59"/>
  </x:mergeCells>
  <x:dataValidations count="1">
    <x:dataValidation type="list" sqref="B3:G3">
      <x:formula1>'测试索引'!$A$2:$A$11</x:formula1>
    </x:dataValidation>
  </x:dataValidations>
  <x:pageMargins left="0.7" right="0.7" top="0.75" bottom="0.75" header="0.3" footer="0.3"/>
  <x:drawing xmlns:r="http://schemas.openxmlformats.org/officeDocument/2006/relationships" r:id="Rd78fbceeeca5498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1" hidden="0" customWidth="1"/>
    <x:col min="6" max="6" width="11" hidden="0" customWidth="1"/>
    <x:col min="7" max="7" width="11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6" hidden="0" customWidth="1"/>
    <x:col min="16" max="16" width="16" hidden="0" customWidth="1"/>
    <x:col min="17" max="17" width="55" hidden="0" customWidth="1"/>
  </x:cols>
  <x:sheetData>
    <x:row r="1">
      <x:c r="A1" s="15" t="str">
        <x:v>测试编号</x:v>
      </x:c>
      <x:c r="B1" s="15" t="str">
        <x:v>测试日期</x:v>
      </x:c>
      <x:c r="C1" s="15" t="str">
        <x:v>产品</x:v>
      </x:c>
      <x:c r="D1" s="15" t="str">
        <x:v>状态/配置</x:v>
      </x:c>
      <x:c r="E1" s="15" t="str">
        <x:v>转速 rpm</x:v>
      </x:c>
      <x:c r="F1" s="15" t="str">
        <x:v>时长 s</x:v>
      </x:c>
      <x:c r="G1" s="15" t="str">
        <x:v>咚声数</x:v>
      </x:c>
      <x:c r="H1" s="15" t="str">
        <x:v>常见咚声 估算dB(A)</x:v>
      </x:c>
      <x:c r="I1" s="15" t="str">
        <x:v>较响咚声 估算dB(A)</x:v>
      </x:c>
      <x:c r="J1" s="15" t="str">
        <x:v>常见声比较</x:v>
      </x:c>
      <x:c r="K1" s="15" t="str">
        <x:v>较响声比较</x:v>
      </x:c>
      <x:c r="L1" s="15" t="str">
        <x:v>常见差值大小 dB</x:v>
      </x:c>
      <x:c r="M1" s="15" t="str">
        <x:v>较响差值大小 dB</x:v>
      </x:c>
      <x:c r="N1" s="15" t="str">
        <x:v>超过东德较响门槛 %</x:v>
      </x:c>
      <x:c r="O1" s="15" t="str">
        <x:v>结论</x:v>
      </x:c>
      <x:c r="P1" s="15" t="str">
        <x:v>有分贝仪</x:v>
      </x:c>
      <x:c r="Q1" s="11" t="str">
        <x:v>备注</x:v>
      </x:c>
    </x:row>
    <x:row r="2">
      <x:c r="A2" s="29" t="str">
        <x:v>FR_INIT_260709_600</x:v>
      </x:c>
      <x:c r="B2" s="29" t="str">
        <x:v>2026-07-09</x:v>
      </x:c>
      <x:c r="C2" s="29" t="str">
        <x:v>富瑞初始</x:v>
      </x:c>
      <x:c r="D2" s="29" t="str">
        <x:v>富瑞初始状态</x:v>
      </x:c>
      <x:c r="E2" s="30" t="n">
        <x:v>600</x:v>
      </x:c>
      <x:c r="F2" s="31" t="n">
        <x:v>43.53596371882086</x:v>
      </x:c>
      <x:c r="G2" s="30" t="n">
        <x:v>33</x:v>
      </x:c>
      <x:c r="H2" s="31" t="n">
        <x:v>73.52145130234948</x:v>
      </x:c>
      <x:c r="I2" s="31" t="n">
        <x:v>85.62014550970683</x:v>
      </x:c>
      <x:c r="J2" s="29" t="str">
        <x:v>无同转速基准</x:v>
      </x:c>
      <x:c r="K2" s="29" t="str">
        <x:v>无同转速基准</x:v>
      </x:c>
      <x:c r="L2" s="31"/>
      <x:c r="M2" s="31"/>
      <x:c r="N2" s="31"/>
      <x:c r="O2" s="29" t="str">
        <x:v>无同转速基准</x:v>
      </x:c>
      <x:c r="P2" s="29" t="str">
        <x:v>是</x:v>
      </x:c>
      <x:c r="Q2" s="33" t="str">
        <x:v>绝对dB(A)为手机录音经分贝仪画面校准后的估算值；相对差值更可靠。</x:v>
      </x:c>
    </x:row>
    <x:row r="3">
      <x:c r="A3" s="29" t="str">
        <x:v>DD_BASE_260707_700</x:v>
      </x:c>
      <x:c r="B3" s="29" t="str">
        <x:v>2026-07-07</x:v>
      </x:c>
      <x:c r="C3" s="29" t="str">
        <x:v>东德基准</x:v>
      </x:c>
      <x:c r="D3" s="29" t="str">
        <x:v>东德基准状态</x:v>
      </x:c>
      <x:c r="E3" s="30" t="n">
        <x:v>700</x:v>
      </x:c>
      <x:c r="F3" s="31" t="n">
        <x:v>71.14448979591836</x:v>
      </x:c>
      <x:c r="G3" s="30" t="n">
        <x:v>60</x:v>
      </x:c>
      <x:c r="H3" s="31" t="n">
        <x:v>69.87918364991627</x:v>
      </x:c>
      <x:c r="I3" s="31" t="n">
        <x:v>78.3836127175188</x:v>
      </x:c>
      <x:c r="J3" s="29" t="str">
        <x:v>基准</x:v>
      </x:c>
      <x:c r="K3" s="29" t="str">
        <x:v>基准</x:v>
      </x:c>
      <x:c r="L3" s="31" t="n">
        <x:v>0</x:v>
      </x:c>
      <x:c r="M3" s="31" t="n">
        <x:v>0</x:v>
      </x:c>
      <x:c r="N3" s="31" t="n">
        <x:v>10</x:v>
      </x:c>
      <x:c r="O3" s="29" t="str">
        <x:v>东德基准</x:v>
      </x:c>
      <x:c r="P3" s="29" t="str">
        <x:v>是</x:v>
      </x:c>
      <x:c r="Q3" s="33" t="str">
        <x:v>绝对dB(A)为手机录音经分贝仪画面校准后的估算值；相对差值更可靠。</x:v>
      </x:c>
    </x:row>
    <x:row r="4">
      <x:c r="A4" s="29" t="str">
        <x:v>FR_INIT_260709_700</x:v>
      </x:c>
      <x:c r="B4" s="29" t="str">
        <x:v>2026-07-09</x:v>
      </x:c>
      <x:c r="C4" s="29" t="str">
        <x:v>富瑞初始</x:v>
      </x:c>
      <x:c r="D4" s="29" t="str">
        <x:v>富瑞初始状态</x:v>
      </x:c>
      <x:c r="E4" s="30" t="n">
        <x:v>700</x:v>
      </x:c>
      <x:c r="F4" s="31" t="n">
        <x:v>57.70013605442177</x:v>
      </x:c>
      <x:c r="G4" s="30" t="n">
        <x:v>52</x:v>
      </x:c>
      <x:c r="H4" s="31" t="n">
        <x:v>68.66649335990613</x:v>
      </x:c>
      <x:c r="I4" s="31" t="n">
        <x:v>80.21613661249395</x:v>
      </x:c>
      <x:c r="J4" s="29" t="str">
        <x:v>低于东德 1.2 dB</x:v>
      </x:c>
      <x:c r="K4" s="29" t="str">
        <x:v>高于东德 1.8 dB</x:v>
      </x:c>
      <x:c r="L4" s="31" t="n">
        <x:v>1.2126902900101442</x:v>
      </x:c>
      <x:c r="M4" s="31" t="n">
        <x:v>1.8325238949751537</x:v>
      </x:c>
      <x:c r="N4" s="31" t="n">
        <x:v>11.538461538461538</x:v>
      </x:c>
      <x:c r="O4" s="29" t="str">
        <x:v>略差/接近</x:v>
      </x:c>
      <x:c r="P4" s="29" t="str">
        <x:v>是</x:v>
      </x:c>
      <x:c r="Q4" s="33" t="str">
        <x:v>绝对dB(A)为手机录音经分贝仪画面校准后的估算值；相对差值更可靠。</x:v>
      </x:c>
    </x:row>
    <x:row r="5">
      <x:c r="A5" s="29" t="str">
        <x:v>DD_BASE_260707_800</x:v>
      </x:c>
      <x:c r="B5" s="29" t="str">
        <x:v>2026-07-07</x:v>
      </x:c>
      <x:c r="C5" s="29" t="str">
        <x:v>东德基准</x:v>
      </x:c>
      <x:c r="D5" s="29" t="str">
        <x:v>东德基准状态</x:v>
      </x:c>
      <x:c r="E5" s="30" t="n">
        <x:v>800</x:v>
      </x:c>
      <x:c r="F5" s="31" t="n">
        <x:v>51.15210884353741</x:v>
      </x:c>
      <x:c r="G5" s="30" t="n">
        <x:v>55</x:v>
      </x:c>
      <x:c r="H5" s="31" t="n">
        <x:v>70.93613197032454</x:v>
      </x:c>
      <x:c r="I5" s="31" t="n">
        <x:v>81.55093752351863</x:v>
      </x:c>
      <x:c r="J5" s="29" t="str">
        <x:v>基准</x:v>
      </x:c>
      <x:c r="K5" s="29" t="str">
        <x:v>基准</x:v>
      </x:c>
      <x:c r="L5" s="31" t="n">
        <x:v>0</x:v>
      </x:c>
      <x:c r="M5" s="31" t="n">
        <x:v>0</x:v>
      </x:c>
      <x:c r="N5" s="31" t="n">
        <x:v>10</x:v>
      </x:c>
      <x:c r="O5" s="29" t="str">
        <x:v>东德基准</x:v>
      </x:c>
      <x:c r="P5" s="29" t="str">
        <x:v>是</x:v>
      </x:c>
      <x:c r="Q5" s="33" t="str">
        <x:v>绝对dB(A)为手机录音经分贝仪画面校准后的估算值；相对差值更可靠。</x:v>
      </x:c>
    </x:row>
    <x:row r="6">
      <x:c r="A6" s="29" t="str">
        <x:v>FR_INIT_260709_800</x:v>
      </x:c>
      <x:c r="B6" s="29" t="str">
        <x:v>2026-07-09</x:v>
      </x:c>
      <x:c r="C6" s="29" t="str">
        <x:v>富瑞初始</x:v>
      </x:c>
      <x:c r="D6" s="29" t="str">
        <x:v>富瑞初始状态</x:v>
      </x:c>
      <x:c r="E6" s="30" t="n">
        <x:v>800</x:v>
      </x:c>
      <x:c r="F6" s="31" t="n">
        <x:v>73.76834467120182</x:v>
      </x:c>
      <x:c r="G6" s="30" t="n">
        <x:v>76</x:v>
      </x:c>
      <x:c r="H6" s="31" t="n">
        <x:v>63.02820377834645</x:v>
      </x:c>
      <x:c r="I6" s="31" t="n">
        <x:v>79.2615240916549</x:v>
      </x:c>
      <x:c r="J6" s="29" t="str">
        <x:v>低于东德 7.9 dB</x:v>
      </x:c>
      <x:c r="K6" s="29" t="str">
        <x:v>低于东德 2.3 dB</x:v>
      </x:c>
      <x:c r="L6" s="31" t="n">
        <x:v>7.907928191978087</x:v>
      </x:c>
      <x:c r="M6" s="31" t="n">
        <x:v>2.2894134318637214</x:v>
      </x:c>
      <x:c r="N6" s="31" t="n">
        <x:v>5.263157894736842</x:v>
      </x:c>
      <x:c r="O6" s="29" t="str">
        <x:v>明显优于东德</x:v>
      </x:c>
      <x:c r="P6" s="29" t="str">
        <x:v>是</x:v>
      </x:c>
      <x:c r="Q6" s="33" t="str">
        <x:v>绝对dB(A)为手机录音经分贝仪画面校准后的估算值；相对差值更可靠。</x:v>
      </x:c>
    </x:row>
    <x:row r="7">
      <x:c r="A7" s="29" t="str">
        <x:v>DD_BASE_260707_900</x:v>
      </x:c>
      <x:c r="B7" s="29" t="str">
        <x:v>2026-07-07</x:v>
      </x:c>
      <x:c r="C7" s="29" t="str">
        <x:v>东德基准</x:v>
      </x:c>
      <x:c r="D7" s="29" t="str">
        <x:v>东德基准状态</x:v>
      </x:c>
      <x:c r="E7" s="30" t="n">
        <x:v>900</x:v>
      </x:c>
      <x:c r="F7" s="31" t="n">
        <x:v>24.54204081632653</x:v>
      </x:c>
      <x:c r="G7" s="30" t="n">
        <x:v>27</x:v>
      </x:c>
      <x:c r="H7" s="31" t="n">
        <x:v>65.88776647757734</x:v>
      </x:c>
      <x:c r="I7" s="31" t="n">
        <x:v>76.05170915205913</x:v>
      </x:c>
      <x:c r="J7" s="29" t="str">
        <x:v>基准</x:v>
      </x:c>
      <x:c r="K7" s="29" t="str">
        <x:v>基准</x:v>
      </x:c>
      <x:c r="L7" s="31" t="n">
        <x:v>0</x:v>
      </x:c>
      <x:c r="M7" s="31" t="n">
        <x:v>0</x:v>
      </x:c>
      <x:c r="N7" s="31" t="n">
        <x:v>10</x:v>
      </x:c>
      <x:c r="O7" s="29" t="str">
        <x:v>东德基准</x:v>
      </x:c>
      <x:c r="P7" s="29" t="str">
        <x:v>是</x:v>
      </x:c>
      <x:c r="Q7" s="33" t="str">
        <x:v>绝对dB(A)为手机录音经分贝仪画面校准后的估算值；相对差值更可靠。</x:v>
      </x:c>
    </x:row>
    <x:row r="8">
      <x:c r="A8" s="29" t="str">
        <x:v>FR_INIT_260709_900</x:v>
      </x:c>
      <x:c r="B8" s="29" t="str">
        <x:v>2026-07-09</x:v>
      </x:c>
      <x:c r="C8" s="29" t="str">
        <x:v>富瑞初始</x:v>
      </x:c>
      <x:c r="D8" s="29" t="str">
        <x:v>富瑞初始状态</x:v>
      </x:c>
      <x:c r="E8" s="30" t="n">
        <x:v>900</x:v>
      </x:c>
      <x:c r="F8" s="31" t="n">
        <x:v>56.748117913832196</x:v>
      </x:c>
      <x:c r="G8" s="30" t="n">
        <x:v>48</x:v>
      </x:c>
      <x:c r="H8" s="31" t="n">
        <x:v>73.45493750018855</x:v>
      </x:c>
      <x:c r="I8" s="31" t="n">
        <x:v>81.17092045939745</x:v>
      </x:c>
      <x:c r="J8" s="29" t="str">
        <x:v>高于东德 7.6 dB</x:v>
      </x:c>
      <x:c r="K8" s="29" t="str">
        <x:v>高于东德 5.1 dB</x:v>
      </x:c>
      <x:c r="L8" s="31" t="n">
        <x:v>7.5671710226112054</x:v>
      </x:c>
      <x:c r="M8" s="31" t="n">
        <x:v>5.119211307338318</x:v>
      </x:c>
      <x:c r="N8" s="31" t="n">
        <x:v>39.58333333333333</x:v>
      </x:c>
      <x:c r="O8" s="29" t="str">
        <x:v>明显差于东德</x:v>
      </x:c>
      <x:c r="P8" s="29" t="str">
        <x:v>是</x:v>
      </x:c>
      <x:c r="Q8" s="33" t="str">
        <x:v>绝对dB(A)为手机录音经分贝仪画面校准后的估算值；相对差值更可靠。</x:v>
      </x:c>
    </x:row>
    <x:row r="9">
      <x:c r="A9" s="29" t="str">
        <x:v>FR_INIT_260709_1000</x:v>
      </x:c>
      <x:c r="B9" s="29" t="str">
        <x:v>2026-07-09</x:v>
      </x:c>
      <x:c r="C9" s="29" t="str">
        <x:v>富瑞初始</x:v>
      </x:c>
      <x:c r="D9" s="29" t="str">
        <x:v>富瑞初始状态</x:v>
      </x:c>
      <x:c r="E9" s="30" t="n">
        <x:v>1000</x:v>
      </x:c>
      <x:c r="F9" s="31" t="n">
        <x:v>72.51446712018141</x:v>
      </x:c>
      <x:c r="G9" s="30" t="n">
        <x:v>78</x:v>
      </x:c>
      <x:c r="H9" s="31" t="n">
        <x:v>72.24411604985423</x:v>
      </x:c>
      <x:c r="I9" s="31" t="n">
        <x:v>83.15960294871199</x:v>
      </x:c>
      <x:c r="J9" s="29" t="str">
        <x:v>无同转速基准</x:v>
      </x:c>
      <x:c r="K9" s="29" t="str">
        <x:v>无同转速基准</x:v>
      </x:c>
      <x:c r="L9" s="31"/>
      <x:c r="M9" s="31"/>
      <x:c r="N9" s="31"/>
      <x:c r="O9" s="29" t="str">
        <x:v>无同转速基准</x:v>
      </x:c>
      <x:c r="P9" s="29" t="str">
        <x:v>是</x:v>
      </x:c>
      <x:c r="Q9" s="33" t="str">
        <x:v>绝对dB(A)为手机录音经分贝仪画面校准后的估算值；相对差值更可靠。</x:v>
      </x:c>
    </x:row>
    <x:row r="10">
      <x:c r="A10" s="29" t="str">
        <x:v>DD_BASE_260707_1125</x:v>
      </x:c>
      <x:c r="B10" s="29" t="str">
        <x:v>2026-07-07</x:v>
      </x:c>
      <x:c r="C10" s="29" t="str">
        <x:v>东德基准</x:v>
      </x:c>
      <x:c r="D10" s="29" t="str">
        <x:v>东德基准状态</x:v>
      </x:c>
      <x:c r="E10" s="30" t="n">
        <x:v>1125</x:v>
      </x:c>
      <x:c r="F10" s="31" t="n">
        <x:v>18.92281179138322</x:v>
      </x:c>
      <x:c r="G10" s="30" t="n">
        <x:v>26</x:v>
      </x:c>
      <x:c r="H10" s="31" t="n">
        <x:v>57.92815630171668</x:v>
      </x:c>
      <x:c r="I10" s="31" t="n">
        <x:v>80.48060007602363</x:v>
      </x:c>
      <x:c r="J10" s="29" t="str">
        <x:v>基准</x:v>
      </x:c>
      <x:c r="K10" s="29" t="str">
        <x:v>基准</x:v>
      </x:c>
      <x:c r="L10" s="31" t="n">
        <x:v>0</x:v>
      </x:c>
      <x:c r="M10" s="31" t="n">
        <x:v>0</x:v>
      </x:c>
      <x:c r="N10" s="31" t="n">
        <x:v>10</x:v>
      </x:c>
      <x:c r="O10" s="29" t="str">
        <x:v>东德基准</x:v>
      </x:c>
      <x:c r="P10" s="29" t="str">
        <x:v>是</x:v>
      </x:c>
      <x:c r="Q10" s="33" t="str">
        <x:v>绝对dB(A)为手机录音经分贝仪画面校准后的估算值；相对差值更可靠。</x:v>
      </x:c>
    </x:row>
    <x:row r="11">
      <x:c r="A11" s="29" t="str">
        <x:v>FR_INIT_260709_1125</x:v>
      </x:c>
      <x:c r="B11" s="29" t="str">
        <x:v>2026-07-09</x:v>
      </x:c>
      <x:c r="C11" s="29" t="str">
        <x:v>富瑞初始</x:v>
      </x:c>
      <x:c r="D11" s="29" t="str">
        <x:v>富瑞初始状态</x:v>
      </x:c>
      <x:c r="E11" s="30" t="n">
        <x:v>1125</x:v>
      </x:c>
      <x:c r="F11" s="31" t="n">
        <x:v>25.935238095238095</x:v>
      </x:c>
      <x:c r="G11" s="30" t="n">
        <x:v>36</x:v>
      </x:c>
      <x:c r="H11" s="31" t="n">
        <x:v>62.01221128287424</x:v>
      </x:c>
      <x:c r="I11" s="31" t="n">
        <x:v>83.91396375760235</x:v>
      </x:c>
      <x:c r="J11" s="29" t="str">
        <x:v>高于东德 4.1 dB</x:v>
      </x:c>
      <x:c r="K11" s="29" t="str">
        <x:v>高于东德 3.4 dB</x:v>
      </x:c>
      <x:c r="L11" s="31" t="n">
        <x:v>4.084054981157557</x:v>
      </x:c>
      <x:c r="M11" s="31" t="n">
        <x:v>3.4333636815787116</x:v>
      </x:c>
      <x:c r="N11" s="31" t="n">
        <x:v>47.22222222222222</x:v>
      </x:c>
      <x:c r="O11" s="29" t="str">
        <x:v>明显差于东德</x:v>
      </x:c>
      <x:c r="P11" s="29" t="str">
        <x:v>是</x:v>
      </x:c>
      <x:c r="Q11" s="33" t="str">
        <x:v>绝对dB(A)为手机录音经分贝仪画面校准后的估算值；相对差值更可靠。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时间 s</x:v>
      </x:c>
      <x:c r="B1" s="22" t="str">
        <x:v>FR_INIT_260709_600</x:v>
      </x:c>
      <x:c r="C1" s="22" t="str">
        <x:v>DD_BASE_260707_700</x:v>
      </x:c>
      <x:c r="D1" s="22" t="str">
        <x:v>FR_INIT_260709_700</x:v>
      </x:c>
      <x:c r="E1" s="22" t="str">
        <x:v>DD_BASE_260707_800</x:v>
      </x:c>
      <x:c r="F1" s="22" t="str">
        <x:v>FR_INIT_260709_800</x:v>
      </x:c>
      <x:c r="G1" s="22" t="str">
        <x:v>DD_BASE_260707_900</x:v>
      </x:c>
      <x:c r="H1" s="22" t="str">
        <x:v>FR_INIT_260709_900</x:v>
      </x:c>
      <x:c r="I1" s="22" t="str">
        <x:v>FR_INIT_260709_1000</x:v>
      </x:c>
      <x:c r="J1" s="22" t="str">
        <x:v>DD_BASE_260707_1125</x:v>
      </x:c>
      <x:c r="K1" s="12" t="str">
        <x:v>FR_INIT_260709_1125</x:v>
      </x:c>
    </x:row>
    <x:row r="2">
      <x:c r="A2" s="24" t="n">
        <x:v>0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3">
      <x:c r="A3" s="24" t="n">
        <x:v>0.1</x:v>
      </x:c>
      <x:c r="B3" s="24" t="n">
        <x:v>71.7501759106058</x:v>
      </x:c>
      <x:c r="C3" s="24" t="n">
        <x:v>67.7465424634638</x:v>
      </x:c>
      <x:c r="D3" s="24" t="n">
        <x:v>70.26405649176621</x:v>
      </x:c>
      <x:c r="E3" s="24" t="n">
        <x:v>69.95946593435504</x:v>
      </x:c>
      <x:c r="F3" s="24" t="n">
        <x:v>70.86865957586086</x:v>
      </x:c>
      <x:c r="G3" s="24" t="n">
        <x:v>67.85484330604092</x:v>
      </x:c>
      <x:c r="H3" s="24" t="n">
        <x:v>76.63564579194676</x:v>
      </x:c>
      <x:c r="I3" s="24" t="n">
        <x:v>69.77636136542287</x:v>
      </x:c>
      <x:c r="J3" s="24" t="n">
        <x:v>73.07758220785101</x:v>
      </x:c>
      <x:c r="K3" s="24" t="n">
        <x:v>72.91389007952475</x:v>
      </x:c>
    </x:row>
    <x:row r="4">
      <x:c r="A4" s="24" t="n">
        <x:v>0.2</x:v>
      </x:c>
      <x:c r="B4" s="24" t="n">
        <x:v>69.7295496047688</x:v>
      </x:c>
      <x:c r="C4" s="24" t="n">
        <x:v>66.87041667989782</x:v>
      </x:c>
      <x:c r="D4" s="24" t="n">
        <x:v>71.10343419861039</x:v>
      </x:c>
      <x:c r="E4" s="24" t="n">
        <x:v>70.18984366875765</x:v>
      </x:c>
      <x:c r="F4" s="24" t="n">
        <x:v>71.09255424179447</x:v>
      </x:c>
      <x:c r="G4" s="24" t="n">
        <x:v>76.25289375530984</x:v>
      </x:c>
      <x:c r="H4" s="24" t="n">
        <x:v>76.63564579194676</x:v>
      </x:c>
      <x:c r="I4" s="24" t="n">
        <x:v>69.13326938335862</x:v>
      </x:c>
      <x:c r="J4" s="24" t="n">
        <x:v>71.2925240497504</x:v>
      </x:c>
      <x:c r="K4" s="24" t="n">
        <x:v>79.2953352350077</x:v>
      </x:c>
    </x:row>
    <x:row r="5">
      <x:c r="A5" s="24" t="n">
        <x:v>0.30000000000000004</x:v>
      </x:c>
      <x:c r="B5" s="24" t="n">
        <x:v>69.7295496047688</x:v>
      </x:c>
      <x:c r="C5" s="24" t="n">
        <x:v>66.48127238480149</x:v>
      </x:c>
      <x:c r="D5" s="24" t="n">
        <x:v>71.26611677567044</x:v>
      </x:c>
      <x:c r="E5" s="24" t="n">
        <x:v>70.18984366875765</x:v>
      </x:c>
      <x:c r="F5" s="24" t="n">
        <x:v>74.77409214625412</x:v>
      </x:c>
      <x:c r="G5" s="24" t="n">
        <x:v>76.25289375530984</x:v>
      </x:c>
      <x:c r="H5" s="24" t="n">
        <x:v>75.82019466890407</x:v>
      </x:c>
      <x:c r="I5" s="24" t="n">
        <x:v>75.4824678842841</x:v>
      </x:c>
      <x:c r="J5" s="24" t="n">
        <x:v>71.2925240497504</x:v>
      </x:c>
      <x:c r="K5" s="24" t="n">
        <x:v>87.4295801977906</x:v>
      </x:c>
    </x:row>
    <x:row r="6">
      <x:c r="A6" s="24" t="n">
        <x:v>0.4</x:v>
      </x:c>
      <x:c r="B6" s="24" t="n">
        <x:v>68.37640598302386</x:v>
      </x:c>
      <x:c r="C6" s="24" t="n">
        <x:v>74.87640313957368</x:v>
      </x:c>
      <x:c r="D6" s="24" t="n">
        <x:v>70.95669350139283</x:v>
      </x:c>
      <x:c r="E6" s="24" t="n">
        <x:v>70.7731773312981</x:v>
      </x:c>
      <x:c r="F6" s="24" t="n">
        <x:v>74.90023211392383</x:v>
      </x:c>
      <x:c r="G6" s="24" t="n">
        <x:v>69.57936513849639</x:v>
      </x:c>
      <x:c r="H6" s="24" t="n">
        <x:v>76.51494455686499</x:v>
      </x:c>
      <x:c r="I6" s="24" t="n">
        <x:v>77.1501540072735</x:v>
      </x:c>
      <x:c r="J6" s="24" t="n">
        <x:v>72.36158746027168</x:v>
      </x:c>
      <x:c r="K6" s="24" t="n">
        <x:v>87.4295801977906</x:v>
      </x:c>
    </x:row>
    <x:row r="7">
      <x:c r="A7" s="24" t="n">
        <x:v>0.5</x:v>
      </x:c>
      <x:c r="B7" s="24" t="n">
        <x:v>68.7682554578044</x:v>
      </x:c>
      <x:c r="C7" s="24" t="n">
        <x:v>74.87640313957368</x:v>
      </x:c>
      <x:c r="D7" s="24" t="n">
        <x:v>71.30627496244344</x:v>
      </x:c>
      <x:c r="E7" s="24" t="n">
        <x:v>70.7731773312981</x:v>
      </x:c>
      <x:c r="F7" s="24" t="n">
        <x:v>72.57691936901224</x:v>
      </x:c>
      <x:c r="G7" s="24" t="n">
        <x:v>65.59906658938077</x:v>
      </x:c>
      <x:c r="H7" s="24" t="n">
        <x:v>77.6332748027896</x:v>
      </x:c>
      <x:c r="I7" s="24" t="n">
        <x:v>76.80728223813131</x:v>
      </x:c>
      <x:c r="J7" s="24" t="n">
        <x:v>74.14335981114048</x:v>
      </x:c>
      <x:c r="K7" s="24" t="n">
        <x:v>80.5280628780053</x:v>
      </x:c>
    </x:row>
    <x:row r="8">
      <x:c r="A8" s="24" t="n">
        <x:v>0.6000000000000001</x:v>
      </x:c>
      <x:c r="B8" s="24" t="n">
        <x:v>68.7682554578044</x:v>
      </x:c>
      <x:c r="C8" s="24" t="n">
        <x:v>73.39796462113209</x:v>
      </x:c>
      <x:c r="D8" s="24" t="n">
        <x:v>71.30627496244344</x:v>
      </x:c>
      <x:c r="E8" s="24" t="n">
        <x:v>70.18820543168553</x:v>
      </x:c>
      <x:c r="F8" s="24" t="n">
        <x:v>68.43249019420398</x:v>
      </x:c>
      <x:c r="G8" s="24" t="n">
        <x:v>62.93080181840511</x:v>
      </x:c>
      <x:c r="H8" s="24" t="n">
        <x:v>77.6332748027896</x:v>
      </x:c>
      <x:c r="I8" s="24" t="n">
        <x:v>73.41293743276604</x:v>
      </x:c>
      <x:c r="J8" s="24" t="n">
        <x:v>74.49971428131424</x:v>
      </x:c>
      <x:c r="K8" s="24" t="n">
        <x:v>72.1557482593819</x:v>
      </x:c>
    </x:row>
    <x:row r="9">
      <x:c r="A9" s="24" t="n">
        <x:v>0.7000000000000001</x:v>
      </x:c>
      <x:c r="B9" s="24" t="n">
        <x:v>67.45298759699453</x:v>
      </x:c>
      <x:c r="C9" s="24" t="n">
        <x:v>67.40760461778342</x:v>
      </x:c>
      <x:c r="D9" s="24" t="n">
        <x:v>71.01129709793038</x:v>
      </x:c>
      <x:c r="E9" s="24" t="n">
        <x:v>71.47295905256806</x:v>
      </x:c>
      <x:c r="F9" s="24" t="n">
        <x:v>68.00845997916775</x:v>
      </x:c>
      <x:c r="G9" s="24" t="n">
        <x:v>60.81769774030242</x:v>
      </x:c>
      <x:c r="H9" s="24" t="n">
        <x:v>77.60771399033794</x:v>
      </x:c>
      <x:c r="I9" s="24" t="n">
        <x:v>71.61463567246244</x:v>
      </x:c>
      <x:c r="J9" s="24" t="n">
        <x:v>71.59175144774235</x:v>
      </x:c>
      <x:c r="K9" s="24" t="n">
        <x:v>70.08406231595657</x:v>
      </x:c>
    </x:row>
    <x:row r="10">
      <x:c r="A10" s="24" t="n">
        <x:v>0.8</x:v>
      </x:c>
      <x:c r="B10" s="24" t="n">
        <x:v>68.79558033412441</x:v>
      </x:c>
      <x:c r="C10" s="24" t="n">
        <x:v>67.94537399945264</x:v>
      </x:c>
      <x:c r="D10" s="24" t="n">
        <x:v>70.48451168071813</x:v>
      </x:c>
      <x:c r="E10" s="24" t="n">
        <x:v>71.47295905256806</x:v>
      </x:c>
      <x:c r="F10" s="24" t="n">
        <x:v>69.57218667546502</x:v>
      </x:c>
      <x:c r="G10" s="24" t="n">
        <x:v>64.0496218229024</x:v>
      </x:c>
      <x:c r="H10" s="24" t="n">
        <x:v>77.60771399033794</x:v>
      </x:c>
      <x:c r="I10" s="24" t="n">
        <x:v>72.71442771869108</x:v>
      </x:c>
      <x:c r="J10" s="24" t="n">
        <x:v>71.39360890463968</x:v>
      </x:c>
      <x:c r="K10" s="24" t="n">
        <x:v>70.25652028977657</x:v>
      </x:c>
    </x:row>
    <x:row r="11">
      <x:c r="A11" s="24" t="n">
        <x:v>0.9</x:v>
      </x:c>
      <x:c r="B11" s="24" t="n">
        <x:v>68.79558033412441</x:v>
      </x:c>
      <x:c r="C11" s="24" t="n">
        <x:v>67.94537399945264</x:v>
      </x:c>
      <x:c r="D11" s="24" t="n">
        <x:v>70.93645648620665</x:v>
      </x:c>
      <x:c r="E11" s="24" t="n">
        <x:v>70.71686798142348</x:v>
      </x:c>
      <x:c r="F11" s="24" t="n">
        <x:v>69.98457834195324</x:v>
      </x:c>
      <x:c r="G11" s="24" t="n">
        <x:v>64.5897386100657</x:v>
      </x:c>
      <x:c r="H11" s="24" t="n">
        <x:v>77.14586585003104</x:v>
      </x:c>
      <x:c r="I11" s="24" t="n">
        <x:v>72.71442771869108</x:v>
      </x:c>
      <x:c r="J11" s="24" t="n">
        <x:v>71.63242405486706</x:v>
      </x:c>
      <x:c r="K11" s="24" t="n">
        <x:v>71.99530075706316</x:v>
      </x:c>
    </x:row>
    <x:row r="12">
      <x:c r="A12" s="24" t="n">
        <x:v>1</x:v>
      </x:c>
      <x:c r="B12" s="24" t="n">
        <x:v>67.7018695904848</x:v>
      </x:c>
      <x:c r="C12" s="24" t="n">
        <x:v>66.88803839551909</x:v>
      </x:c>
      <x:c r="D12" s="24" t="n">
        <x:v>70.93645648620665</x:v>
      </x:c>
      <x:c r="E12" s="24" t="n">
        <x:v>81.73332161213877</x:v>
      </x:c>
      <x:c r="F12" s="24" t="n">
        <x:v>69.92819922098303</x:v>
      </x:c>
      <x:c r="G12" s="24" t="n">
        <x:v>63.623037049783036</x:v>
      </x:c>
      <x:c r="H12" s="24" t="n">
        <x:v>76.21117235164553</x:v>
      </x:c>
      <x:c r="I12" s="24" t="n">
        <x:v>70.54973350034204</x:v>
      </x:c>
      <x:c r="J12" s="24" t="n">
        <x:v>71.53965369909923</x:v>
      </x:c>
      <x:c r="K12" s="24" t="n">
        <x:v>73.98540285288857</x:v>
      </x:c>
    </x:row>
    <x:row r="13">
      <x:c r="A13" s="24" t="n">
        <x:v>1.1</x:v>
      </x:c>
      <x:c r="B13" s="24" t="n">
        <x:v>68.12948029406625</x:v>
      </x:c>
      <x:c r="C13" s="24" t="n">
        <x:v>66.62880329975158</x:v>
      </x:c>
      <x:c r="D13" s="24" t="n">
        <x:v>69.73410721067152</x:v>
      </x:c>
      <x:c r="E13" s="24" t="n">
        <x:v>81.73332161213877</x:v>
      </x:c>
      <x:c r="F13" s="24" t="n">
        <x:v>69.20468665489086</x:v>
      </x:c>
      <x:c r="G13" s="24" t="n">
        <x:v>67.68505178175559</x:v>
      </x:c>
      <x:c r="H13" s="24" t="n">
        <x:v>74.81463257920802</x:v>
      </x:c>
      <x:c r="I13" s="24" t="n">
        <x:v>70.40713123687578</x:v>
      </x:c>
      <x:c r="J13" s="24" t="n">
        <x:v>70.68118150532777</x:v>
      </x:c>
      <x:c r="K13" s="24" t="n">
        <x:v>74.78144369121873</x:v>
      </x:c>
    </x:row>
    <x:row r="14">
      <x:c r="A14" s="24" t="n">
        <x:v>1.2000000000000002</x:v>
      </x:c>
      <x:c r="B14" s="24" t="n">
        <x:v>73.33837709237201</x:v>
      </x:c>
      <x:c r="C14" s="24" t="n">
        <x:v>66.62880329975158</x:v>
      </x:c>
      <x:c r="D14" s="24" t="n">
        <x:v>70.53845486677645</x:v>
      </x:c>
      <x:c r="E14" s="24" t="n">
        <x:v>73.02432053981906</x:v>
      </x:c>
      <x:c r="F14" s="24" t="n">
        <x:v>70.55875684143885</x:v>
      </x:c>
      <x:c r="G14" s="24" t="n">
        <x:v>67.68505178175559</x:v>
      </x:c>
      <x:c r="H14" s="24" t="n">
        <x:v>68.80704539522502</x:v>
      </x:c>
      <x:c r="I14" s="24" t="n">
        <x:v>69.76205476333581</x:v>
      </x:c>
      <x:c r="J14" s="24" t="n">
        <x:v>69.68474634675177</x:v>
      </x:c>
      <x:c r="K14" s="24" t="n">
        <x:v>73.26050397091535</x:v>
      </x:c>
    </x:row>
    <x:row r="15">
      <x:c r="A15" s="24" t="n">
        <x:v>1.3</x:v>
      </x:c>
      <x:c r="B15" s="24" t="n">
        <x:v>78.54727389067776</x:v>
      </x:c>
      <x:c r="C15" s="24" t="n">
        <x:v>67.3378262263938</x:v>
      </x:c>
      <x:c r="D15" s="24" t="n">
        <x:v>75.77282252239739</x:v>
      </x:c>
      <x:c r="E15" s="24" t="n">
        <x:v>66.96596594013148</x:v>
      </x:c>
      <x:c r="F15" s="24" t="n">
        <x:v>70.55875684143885</x:v>
      </x:c>
      <x:c r="G15" s="24" t="n">
        <x:v>61.23760074527628</x:v>
      </x:c>
      <x:c r="H15" s="24" t="n">
        <x:v>82.59357078509203</x:v>
      </x:c>
      <x:c r="I15" s="24" t="n">
        <x:v>70.05395308301635</x:v>
      </x:c>
      <x:c r="J15" s="24" t="n">
        <x:v>70.4323778495208</x:v>
      </x:c>
      <x:c r="K15" s="24" t="n">
        <x:v>67.01123431427179</x:v>
      </x:c>
    </x:row>
    <x:row r="16">
      <x:c r="A16" s="24" t="n">
        <x:v>1.4000000000000001</x:v>
      </x:c>
      <x:c r="B16" s="24" t="n">
        <x:v>80.63083261000006</x:v>
      </x:c>
      <x:c r="C16" s="24" t="n">
        <x:v>67.59355318682114</x:v>
      </x:c>
      <x:c r="D16" s="24" t="n">
        <x:v>90.36537919958417</x:v>
      </x:c>
      <x:c r="E16" s="24" t="n">
        <x:v>64.40702998934137</x:v>
      </x:c>
      <x:c r="F16" s="24" t="n">
        <x:v>69.00384548600314</x:v>
      </x:c>
      <x:c r="G16" s="24" t="n">
        <x:v>59.108825302158166</x:v>
      </x:c>
      <x:c r="H16" s="24" t="n">
        <x:v>82.59357078509203</x:v>
      </x:c>
      <x:c r="I16" s="24" t="n">
        <x:v>70.34590931094905</x:v>
      </x:c>
      <x:c r="J16" s="24" t="n">
        <x:v>85.27194955252105</x:v>
      </x:c>
      <x:c r="K16" s="24" t="n">
        <x:v>66.10873395594012</x:v>
      </x:c>
    </x:row>
    <x:row r="17">
      <x:c r="A17" s="24" t="n">
        <x:v>1.5</x:v>
      </x:c>
      <x:c r="B17" s="24" t="n">
        <x:v>79.81320789713291</x:v>
      </x:c>
      <x:c r="C17" s="24" t="n">
        <x:v>67.2020657925499</x:v>
      </x:c>
      <x:c r="D17" s="24" t="n">
        <x:v>90.36537919958417</x:v>
      </x:c>
      <x:c r="E17" s="24" t="n">
        <x:v>61.84809403855124</x:v>
      </x:c>
      <x:c r="F17" s="24" t="n">
        <x:v>68.689493231828</x:v>
      </x:c>
      <x:c r="G17" s="24" t="n">
        <x:v>60.05904443808387</x:v>
      </x:c>
      <x:c r="H17" s="24" t="n">
        <x:v>77.93474150955831</x:v>
      </x:c>
      <x:c r="I17" s="24" t="n">
        <x:v>70.34590931094905</x:v>
      </x:c>
      <x:c r="J17" s="24" t="n">
        <x:v>85.27194955252105</x:v>
      </x:c>
      <x:c r="K17" s="24" t="n">
        <x:v>66.99883722691142</x:v>
      </x:c>
    </x:row>
    <x:row r="18">
      <x:c r="A18" s="24" t="n">
        <x:v>1.6</x:v>
      </x:c>
      <x:c r="B18" s="24" t="n">
        <x:v>71.78219181167748</x:v>
      </x:c>
      <x:c r="C18" s="24" t="n">
        <x:v>67.28137788307242</x:v>
      </x:c>
      <x:c r="D18" s="24" t="n">
        <x:v>82.06089137377197</x:v>
      </x:c>
      <x:c r="E18" s="24" t="n">
        <x:v>60.82451965823519</x:v>
      </x:c>
      <x:c r="F18" s="24" t="n">
        <x:v>68.689493231828</x:v>
      </x:c>
      <x:c r="G18" s="24" t="n">
        <x:v>61.723427967503326</x:v>
      </x:c>
      <x:c r="H18" s="24" t="n">
        <x:v>69.05933987708832</x:v>
      </x:c>
      <x:c r="I18" s="24" t="n">
        <x:v>66.15739538421784</x:v>
      </x:c>
      <x:c r="J18" s="24" t="n">
        <x:v>80.13802776939161</x:v>
      </x:c>
      <x:c r="K18" s="24" t="n">
        <x:v>66.99883722691142</x:v>
      </x:c>
    </x:row>
    <x:row r="19">
      <x:c r="A19" s="24" t="n">
        <x:v>1.7000000000000002</x:v>
      </x:c>
      <x:c r="B19" s="24" t="n">
        <x:v>63.856404029438636</x:v>
      </x:c>
      <x:c r="C19" s="24" t="n">
        <x:v>67.72717444100489</x:v>
      </x:c>
      <x:c r="D19" s="24" t="n">
        <x:v>75.54687672015231</x:v>
      </x:c>
      <x:c r="E19" s="24" t="n">
        <x:v>67.09981306535552</x:v>
      </x:c>
      <x:c r="F19" s="24" t="n">
        <x:v>68.02784497749782</x:v>
      </x:c>
      <x:c r="G19" s="24" t="n">
        <x:v>62.08878258680123</x:v>
      </x:c>
      <x:c r="H19" s="24" t="n">
        <x:v>50</x:v>
      </x:c>
      <x:c r="I19" s="24" t="n">
        <x:v>82.31557215024846</x:v>
      </x:c>
      <x:c r="J19" s="24" t="n">
        <x:v>71.08257358270224</x:v>
      </x:c>
      <x:c r="K19" s="24" t="n">
        <x:v>69.63304092095534</x:v>
      </x:c>
    </x:row>
    <x:row r="20">
      <x:c r="A20" s="24" t="n">
        <x:v>1.8</x:v>
      </x:c>
      <x:c r="B20" s="24" t="n">
        <x:v>60.24155370117234</x:v>
      </x:c>
      <x:c r="C20" s="24" t="n">
        <x:v>67.72717444100489</x:v>
      </x:c>
      <x:c r="D20" s="24" t="n">
        <x:v>66.67034548632098</x:v>
      </x:c>
      <x:c r="E20" s="24" t="n">
        <x:v>67.09981306535552</x:v>
      </x:c>
      <x:c r="F20" s="24" t="n">
        <x:v>66.4832975538778</x:v>
      </x:c>
      <x:c r="G20" s="24" t="n">
        <x:v>62.08878258680123</x:v>
      </x:c>
      <x:c r="H20" s="24" t="n">
        <x:v>50</x:v>
      </x:c>
      <x:c r="I20" s="24" t="n">
        <x:v>82.31557215024846</x:v>
      </x:c>
      <x:c r="J20" s="24" t="n">
        <x:v>66.74033641346917</x:v>
      </x:c>
      <x:c r="K20" s="24" t="n">
        <x:v>70.64198251843838</x:v>
      </x:c>
    </x:row>
    <x:row r="21">
      <x:c r="A21" s="24" t="n">
        <x:v>1.9000000000000001</x:v>
      </x:c>
      <x:c r="B21" s="24" t="n">
        <x:v>56.62670337290605</x:v>
      </x:c>
      <x:c r="C21" s="24" t="n">
        <x:v>82.94509958650085</x:v>
      </x:c>
      <x:c r="D21" s="24" t="n">
        <x:v>60.71407693193899</x:v>
      </x:c>
      <x:c r="E21" s="24" t="n">
        <x:v>69.41864929983662</x:v>
      </x:c>
      <x:c r="F21" s="24" t="n">
        <x:v>63.301644030743454</x:v>
      </x:c>
      <x:c r="G21" s="24" t="n">
        <x:v>60.03140581727936</x:v>
      </x:c>
      <x:c r="H21" s="24" t="n">
        <x:v>60.63703835825441</x:v>
      </x:c>
      <x:c r="I21" s="24" t="n">
        <x:v>75.63273912204973</x:v>
      </x:c>
      <x:c r="J21" s="24" t="n">
        <x:v>66.74033641346917</x:v>
      </x:c>
      <x:c r="K21" s="24" t="n">
        <x:v>86.9530816018245</x:v>
      </x:c>
    </x:row>
    <x:row r="22">
      <x:c r="A22" s="24" t="n">
        <x:v>2</x:v>
      </x:c>
      <x:c r="B22" s="24" t="n">
        <x:v>58.52661623422312</x:v>
      </x:c>
      <x:c r="C22" s="24" t="n">
        <x:v>83.53884537259137</x:v>
      </x:c>
      <x:c r="D22" s="24" t="n">
        <x:v>50</x:v>
      </x:c>
      <x:c r="E22" s="24" t="n">
        <x:v>76.02619927995406</x:v>
      </x:c>
      <x:c r="F22" s="24" t="n">
        <x:v>62.356085623188314</x:v>
      </x:c>
      <x:c r="G22" s="24" t="n">
        <x:v>62.052620321322806</x:v>
      </x:c>
      <x:c r="H22" s="24" t="n">
        <x:v>71.27407671650879</x:v>
      </x:c>
      <x:c r="I22" s="24" t="n">
        <x:v>73.79665302444226</x:v>
      </x:c>
      <x:c r="J22" s="24" t="n">
        <x:v>51.24147216775218</x:v>
      </x:c>
      <x:c r="K22" s="24" t="n">
        <x:v>86.9530816018245</x:v>
      </x:c>
    </x:row>
    <x:row r="23">
      <x:c r="A23" s="24" t="n">
        <x:v>2.1</x:v>
      </x:c>
      <x:c r="B23" s="24" t="n">
        <x:v>59.08062847759269</x:v>
      </x:c>
      <x:c r="C23" s="24" t="n">
        <x:v>82.74763834507377</x:v>
      </x:c>
      <x:c r="D23" s="24" t="n">
        <x:v>50</x:v>
      </x:c>
      <x:c r="E23" s="24" t="n">
        <x:v>76.02619927995406</x:v>
      </x:c>
      <x:c r="F23" s="24" t="n">
        <x:v>77.8966335941164</x:v>
      </x:c>
      <x:c r="G23" s="24" t="n">
        <x:v>62.052620321322806</x:v>
      </x:c>
      <x:c r="H23" s="24" t="n">
        <x:v>74.00686887991509</x:v>
      </x:c>
      <x:c r="I23" s="24" t="n">
        <x:v>71.96056692683479</x:v>
      </x:c>
      <x:c r="J23" s="24" t="n">
        <x:v>66.83302497997138</x:v>
      </x:c>
      <x:c r="K23" s="24" t="n">
        <x:v>82.39941482503765</x:v>
      </x:c>
    </x:row>
    <x:row r="24">
      <x:c r="A24" s="24" t="n">
        <x:v>2.2</x:v>
      </x:c>
      <x:c r="B24" s="24" t="n">
        <x:v>62.23827200243106</x:v>
      </x:c>
      <x:c r="C24" s="24" t="n">
        <x:v>73.23354335005678</x:v>
      </x:c>
      <x:c r="D24" s="24" t="n">
        <x:v>61.034546848340234</x:v>
      </x:c>
      <x:c r="E24" s="24" t="n">
        <x:v>70.55144627331649</x:v>
      </x:c>
      <x:c r="F24" s="24" t="n">
        <x:v>77.8966335941164</x:v>
      </x:c>
      <x:c r="G24" s="24" t="n">
        <x:v>61.552952489089996</x:v>
      </x:c>
      <x:c r="H24" s="24" t="n">
        <x:v>76.22125552198871</x:v>
      </x:c>
      <x:c r="I24" s="24" t="n">
        <x:v>70.12448082922732</x:v>
      </x:c>
      <x:c r="J24" s="24" t="n">
        <x:v>73.06964610485906</x:v>
      </x:c>
      <x:c r="K24" s="24" t="n">
        <x:v>73.10699997127473</x:v>
      </x:c>
    </x:row>
    <x:row r="25">
      <x:c r="A25" s="24" t="n">
        <x:v>2.3000000000000003</x:v>
      </x:c>
      <x:c r="B25" s="24" t="n">
        <x:v>65.39591552726941</x:v>
      </x:c>
      <x:c r="C25" s="24" t="n">
        <x:v>66.27860794892946</x:v>
      </x:c>
      <x:c r="D25" s="24" t="n">
        <x:v>61.03454684833999</x:v>
      </x:c>
      <x:c r="E25" s="24" t="n">
        <x:v>55.72122516972762</x:v>
      </x:c>
      <x:c r="F25" s="24" t="n">
        <x:v>73.53763725231151</x:v>
      </x:c>
      <x:c r="G25" s="24" t="n">
        <x:v>61.10362100399614</x:v>
      </x:c>
      <x:c r="H25" s="24" t="n">
        <x:v>76.22125552198871</x:v>
      </x:c>
      <x:c r="I25" s="24" t="n">
        <x:v>68.28839473161986</x:v>
      </x:c>
      <x:c r="J25" s="24" t="n">
        <x:v>72.1543965610699</x:v>
      </x:c>
      <x:c r="K25" s="24" t="n">
        <x:v>68.42565556560199</x:v>
      </x:c>
    </x:row>
    <x:row r="26">
      <x:c r="A26" s="24" t="n">
        <x:v>2.4000000000000004</x:v>
      </x:c>
      <x:c r="B26" s="24" t="n">
        <x:v>65.8800526571776</x:v>
      </x:c>
      <x:c r="C26" s="24" t="n">
        <x:v>65.7531895261657</x:v>
      </x:c>
      <x:c r="D26" s="24" t="n">
        <x:v>72.42656122659531</x:v>
      </x:c>
      <x:c r="E26" s="24" t="n">
        <x:v>64.5122803757254</x:v>
      </x:c>
      <x:c r="F26" s="24" t="n">
        <x:v>62.58271006373968</x:v>
      </x:c>
      <x:c r="G26" s="24" t="n">
        <x:v>72.05367469521968</x:v>
      </x:c>
      <x:c r="H26" s="24" t="n">
        <x:v>67.23743553295925</x:v>
      </x:c>
      <x:c r="I26" s="24" t="n">
        <x:v>70.65264322423702</x:v>
      </x:c>
      <x:c r="J26" s="24" t="n">
        <x:v>69.22988475819558</x:v>
      </x:c>
      <x:c r="K26" s="24" t="n">
        <x:v>67.86399265126167</x:v>
      </x:c>
    </x:row>
    <x:row r="27">
      <x:c r="A27" s="24" t="n">
        <x:v>2.5</x:v>
      </x:c>
      <x:c r="B27" s="24" t="n">
        <x:v>68.30073830671847</x:v>
      </x:c>
      <x:c r="C27" s="24" t="n">
        <x:v>58.83126465902929</x:v>
      </x:c>
      <x:c r="D27" s="24" t="n">
        <x:v>75.30347443032895</x:v>
      </x:c>
      <x:c r="E27" s="24" t="n">
        <x:v>68.49767187049608</x:v>
      </x:c>
      <x:c r="F27" s="24" t="n">
        <x:v>53.756592120998434</x:v>
      </x:c>
      <x:c r="G27" s="24" t="n">
        <x:v>72.30226399527106</x:v>
      </x:c>
      <x:c r="H27" s="24" t="n">
        <x:v>73.10525019297405</x:v>
      </x:c>
      <x:c r="I27" s="24" t="n">
        <x:v>75.8514934510094</x:v>
      </x:c>
      <x:c r="J27" s="24" t="n">
        <x:v>70.86525162231123</x:v>
      </x:c>
      <x:c r="K27" s="24" t="n">
        <x:v>67.86399265126167</x:v>
      </x:c>
    </x:row>
    <x:row r="28">
      <x:c r="A28" s="24" t="n">
        <x:v>2.6</x:v>
      </x:c>
      <x:c r="B28" s="24" t="n">
        <x:v>70.72142395625936</x:v>
      </x:c>
      <x:c r="C28" s="24" t="n">
        <x:v>58.92942336733426</x:v>
      </x:c>
      <x:c r="D28" s="24" t="n">
        <x:v>75.30347443032895</x:v>
      </x:c>
      <x:c r="E28" s="24" t="n">
        <x:v>68.49767187049608</x:v>
      </x:c>
      <x:c r="F28" s="24" t="n">
        <x:v>54.30481189513214</x:v>
      </x:c>
      <x:c r="G28" s="24" t="n">
        <x:v>71.77895135526323</x:v>
      </x:c>
      <x:c r="H28" s="24" t="n">
        <x:v>75.58450706927056</x:v>
      </x:c>
      <x:c r="I28" s="24" t="n">
        <x:v>75.47954638724877</x:v>
      </x:c>
      <x:c r="J28" s="24" t="n">
        <x:v>70.86525162231123</x:v>
      </x:c>
      <x:c r="K28" s="24" t="n">
        <x:v>73.35694043288049</x:v>
      </x:c>
    </x:row>
    <x:row r="29">
      <x:c r="A29" s="24" t="n">
        <x:v>2.7</x:v>
      </x:c>
      <x:c r="B29" s="24" t="n">
        <x:v>73.14210960580026</x:v>
      </x:c>
      <x:c r="C29" s="24" t="n">
        <x:v>60.250496486135596</x:v>
      </x:c>
      <x:c r="D29" s="24" t="n">
        <x:v>69.86399587037926</x:v>
      </x:c>
      <x:c r="E29" s="24" t="n">
        <x:v>68.09271139569846</x:v>
      </x:c>
      <x:c r="F29" s="24" t="n">
        <x:v>57.04591076580066</x:v>
      </x:c>
      <x:c r="G29" s="24" t="n">
        <x:v>59.30137827588372</x:v>
      </x:c>
      <x:c r="H29" s="24" t="n">
        <x:v>75.58450706927056</x:v>
      </x:c>
      <x:c r="I29" s="24" t="n">
        <x:v>73.61981106844559</x:v>
      </x:c>
      <x:c r="J29" s="24" t="n">
        <x:v>68.8421560806944</x:v>
      </x:c>
      <x:c r="K29" s="24" t="n">
        <x:v>73.87034739548412</x:v>
      </x:c>
    </x:row>
    <x:row r="30">
      <x:c r="A30" s="24" t="n">
        <x:v>2.8000000000000003</x:v>
      </x:c>
      <x:c r="B30" s="24" t="n">
        <x:v>75.56279525534114</x:v>
      </x:c>
      <x:c r="C30" s="24" t="n">
        <x:v>63.55317928313894</x:v>
      </x:c>
      <x:c r="D30" s="24" t="n">
        <x:v>63.88066758449903</x:v>
      </x:c>
      <x:c r="E30" s="24" t="n">
        <x:v>68.09271139569846</x:v>
      </x:c>
      <x:c r="F30" s="24" t="n">
        <x:v>59.78700963646918</x:v>
      </x:c>
      <x:c r="G30" s="24" t="n">
        <x:v>50</x:v>
      </x:c>
      <x:c r="H30" s="24" t="n">
        <x:v>75.67051006821535</x:v>
      </x:c>
      <x:c r="I30" s="24" t="n">
        <x:v>71.76007574964241</x:v>
      </x:c>
      <x:c r="J30" s="24" t="n">
        <x:v>68.28559155192309</x:v>
      </x:c>
      <x:c r="K30" s="24" t="n">
        <x:v>73.6758272880897</x:v>
      </x:c>
    </x:row>
    <x:row r="31">
      <x:c r="A31" s="24" t="n">
        <x:v>2.9000000000000004</x:v>
      </x:c>
      <x:c r="B31" s="24" t="n">
        <x:v>76.0469323852493</x:v>
      </x:c>
      <x:c r="C31" s="24" t="n">
        <x:v>66.85586208014227</x:v>
      </x:c>
      <x:c r="D31" s="24" t="n">
        <x:v>59.82258183158239</x:v>
      </x:c>
      <x:c r="E31" s="24" t="n">
        <x:v>69.58087305424027</x:v>
      </x:c>
      <x:c r="F31" s="24" t="n">
        <x:v>61.43166895887028</x:v>
      </x:c>
      <x:c r="G31" s="24" t="n">
        <x:v>53.00978505770685</x:v>
      </x:c>
      <x:c r="H31" s="24" t="n">
        <x:v>76.2534385406627</x:v>
      </x:c>
      <x:c r="I31" s="24" t="n">
        <x:v>70.27228749459988</x:v>
      </x:c>
      <x:c r="J31" s="24" t="n">
        <x:v>68.2855915519231</x:v>
      </x:c>
      <x:c r="K31" s="24" t="n">
        <x:v>63.5475387487568</x:v>
      </x:c>
    </x:row>
    <x:row r="32">
      <x:c r="A32" s="24" t="n">
        <x:v>3</x:v>
      </x:c>
      <x:c r="B32" s="24" t="n">
        <x:v>75.4866696400002</x:v>
      </x:c>
      <x:c r="C32" s="24" t="n">
        <x:v>70.1585448771456</x:v>
      </x:c>
      <x:c r="D32" s="24" t="n">
        <x:v>64.35669605053954</x:v>
      </x:c>
      <x:c r="E32" s="24" t="n">
        <x:v>69.91074592673192</x:v>
      </x:c>
      <x:c r="F32" s="24" t="n">
        <x:v>62.514772991223865</x:v>
      </x:c>
      <x:c r="G32" s="24" t="n">
        <x:v>58.026093487218205</x:v>
      </x:c>
      <x:c r="H32" s="24" t="n">
        <x:v>76.2534385406627</x:v>
      </x:c>
      <x:c r="I32" s="24" t="n">
        <x:v>70.27228749459988</x:v>
      </x:c>
      <x:c r="J32" s="24" t="n">
        <x:v>85.93703137673376</x:v>
      </x:c>
      <x:c r="K32" s="24" t="n">
        <x:v>63.5475387487568</x:v>
      </x:c>
    </x:row>
    <x:row r="33">
      <x:c r="A33" s="24" t="n">
        <x:v>3.1</x:v>
      </x:c>
      <x:c r="B33" s="24" t="n">
        <x:v>69.69230146767558</x:v>
      </x:c>
      <x:c r="C33" s="24" t="n">
        <x:v>73.86304527148769</x:v>
      </x:c>
      <x:c r="D33" s="24" t="n">
        <x:v>66.62643176238275</x:v>
      </x:c>
      <x:c r="E33" s="24" t="n">
        <x:v>69.91074592673192</x:v>
      </x:c>
      <x:c r="F33" s="24" t="n">
        <x:v>69.79836842832971</x:v>
      </x:c>
      <x:c r="G33" s="24" t="n">
        <x:v>61.63865419104604</x:v>
      </x:c>
      <x:c r="H33" s="24" t="n">
        <x:v>75.65846033073605</x:v>
      </x:c>
      <x:c r="I33" s="24" t="n">
        <x:v>70.7586978542159</x:v>
      </x:c>
      <x:c r="J33" s="24" t="n">
        <x:v>85.93703137673376</x:v>
      </x:c>
      <x:c r="K33" s="24" t="n">
        <x:v>63.879789547042236</x:v>
      </x:c>
    </x:row>
    <x:row r="34">
      <x:c r="A34" s="24" t="n">
        <x:v>3.2</x:v>
      </x:c>
      <x:c r="B34" s="24" t="n">
        <x:v>66.12897513725045</x:v>
      </x:c>
      <x:c r="C34" s="24" t="n">
        <x:v>74.52411659671972</x:v>
      </x:c>
      <x:c r="D34" s="24" t="n">
        <x:v>67.42343658259561</x:v>
      </x:c>
      <x:c r="E34" s="24" t="n">
        <x:v>70.44313432304878</x:v>
      </x:c>
      <x:c r="F34" s="24" t="n">
        <x:v>69.79836842832971</x:v>
      </x:c>
      <x:c r="G34" s="24" t="n">
        <x:v>61.63865419104604</x:v>
      </x:c>
      <x:c r="H34" s="24" t="n">
        <x:v>76.62750426764856</x:v>
      </x:c>
      <x:c r="I34" s="24" t="n">
        <x:v>70.7586978542159</x:v>
      </x:c>
      <x:c r="J34" s="24" t="n">
        <x:v>82.81035405687038</x:v>
      </x:c>
      <x:c r="K34" s="24" t="n">
        <x:v>68.11667613476857</x:v>
      </x:c>
    </x:row>
    <x:row r="35">
      <x:c r="A35" s="24" t="n">
        <x:v>3.3000000000000003</x:v>
      </x:c>
      <x:c r="B35" s="24" t="n">
        <x:v>61.206974224346325</x:v>
      </x:c>
      <x:c r="C35" s="24" t="n">
        <x:v>73.9518789769494</x:v>
      </x:c>
      <x:c r="D35" s="24" t="n">
        <x:v>68.25465237260546</x:v>
      </x:c>
      <x:c r="E35" s="24" t="n">
        <x:v>71.19888949430688</x:v>
      </x:c>
      <x:c r="F35" s="24" t="n">
        <x:v>60.189915928808446</x:v>
      </x:c>
      <x:c r="G35" s="24" t="n">
        <x:v>67.0600623098521</x:v>
      </x:c>
      <x:c r="H35" s="24" t="n">
        <x:v>76.7341024747715</x:v>
      </x:c>
      <x:c r="I35" s="24" t="n">
        <x:v>68.52546423542913</x:v>
      </x:c>
      <x:c r="J35" s="24" t="n">
        <x:v>74.05388466601421</x:v>
      </x:c>
      <x:c r="K35" s="24" t="n">
        <x:v>68.11667613476867</x:v>
      </x:c>
    </x:row>
    <x:row r="36">
      <x:c r="A36" s="24" t="n">
        <x:v>3.4000000000000004</x:v>
      </x:c>
      <x:c r="B36" s="24" t="n">
        <x:v>62.422317576716665</x:v>
      </x:c>
      <x:c r="C36" s="24" t="n">
        <x:v>66.90434094194532</x:v>
      </x:c>
      <x:c r="D36" s="24" t="n">
        <x:v>68.25465237260546</x:v>
      </x:c>
      <x:c r="E36" s="24" t="n">
        <x:v>70.16739653515569</x:v>
      </x:c>
      <x:c r="F36" s="24" t="n">
        <x:v>59.7062043195963</x:v>
      </x:c>
      <x:c r="G36" s="24" t="n">
        <x:v>67.0600623098521</x:v>
      </x:c>
      <x:c r="H36" s="24" t="n">
        <x:v>90.43519794140671</x:v>
      </x:c>
      <x:c r="I36" s="24" t="n">
        <x:v>70.889646928421</x:v>
      </x:c>
      <x:c r="J36" s="24" t="n">
        <x:v>66.65863019955523</x:v>
      </x:c>
      <x:c r="K36" s="24" t="n">
        <x:v>87.96708403748414</x:v>
      </x:c>
    </x:row>
    <x:row r="37">
      <x:c r="A37" s="24" t="n">
        <x:v>3.5</x:v>
      </x:c>
      <x:c r="B37" s="24" t="n">
        <x:v>62.905248941236536</x:v>
      </x:c>
      <x:c r="C37" s="24" t="n">
        <x:v>61.69373491880839</x:v>
      </x:c>
      <x:c r="D37" s="24" t="n">
        <x:v>68.34269069558093</x:v>
      </x:c>
      <x:c r="E37" s="24" t="n">
        <x:v>77.15752691644887</x:v>
      </x:c>
      <x:c r="F37" s="24" t="n">
        <x:v>61.7327308324948</x:v>
      </x:c>
      <x:c r="G37" s="24" t="n">
        <x:v>62.740826814223034</x:v>
      </x:c>
      <x:c r="H37" s="24" t="n">
        <x:v>91.2256466904601</x:v>
      </x:c>
      <x:c r="I37" s="24" t="n">
        <x:v>70.889646928421</x:v>
      </x:c>
      <x:c r="J37" s="24" t="n">
        <x:v>63.905750359364426</x:v>
      </x:c>
      <x:c r="K37" s="24" t="n">
        <x:v>87.96708403748414</x:v>
      </x:c>
    </x:row>
    <x:row r="38">
      <x:c r="A38" s="24" t="n">
        <x:v>3.6</x:v>
      </x:c>
      <x:c r="B38" s="24" t="n">
        <x:v>65.83170667865645</x:v>
      </x:c>
      <x:c r="C38" s="24" t="n">
        <x:v>63.1183048111879</x:v>
      </x:c>
      <x:c r="D38" s="24" t="n">
        <x:v>68.34269069558093</x:v>
      </x:c>
      <x:c r="E38" s="24" t="n">
        <x:v>78.10420001773446</x:v>
      </x:c>
      <x:c r="F38" s="24" t="n">
        <x:v>62.59577100212729</x:v>
      </x:c>
      <x:c r="G38" s="24" t="n">
        <x:v>58.89492176065887</x:v>
      </x:c>
      <x:c r="H38" s="24" t="n">
        <x:v>90.68868005246514</x:v>
      </x:c>
      <x:c r="I38" s="24" t="n">
        <x:v>68.29454925673164</x:v>
      </x:c>
      <x:c r="J38" s="24" t="n">
        <x:v>68.55182030534822</x:v>
      </x:c>
      <x:c r="K38" s="24" t="n">
        <x:v>84.83573133387637</x:v>
      </x:c>
    </x:row>
    <x:row r="39">
      <x:c r="A39" s="24" t="n">
        <x:v>3.7</x:v>
      </x:c>
      <x:c r="B39" s="24" t="n">
        <x:v>65.83170667865645</x:v>
      </x:c>
      <x:c r="C39" s="24" t="n">
        <x:v>65.7377765518794</x:v>
      </x:c>
      <x:c r="D39" s="24" t="n">
        <x:v>68.01590195427204</x:v>
      </x:c>
      <x:c r="E39" s="24" t="n">
        <x:v>76.21617874018604</x:v>
      </x:c>
      <x:c r="F39" s="24" t="n">
        <x:v>66.83099321818221</x:v>
      </x:c>
      <x:c r="G39" s="24" t="n">
        <x:v>59.67642105137487</x:v>
      </x:c>
      <x:c r="H39" s="24" t="n">
        <x:v>81.17578866149466</x:v>
      </x:c>
      <x:c r="I39" s="24" t="n">
        <x:v>66.77638743770918</x:v>
      </x:c>
      <x:c r="J39" s="24" t="n">
        <x:v>73.19789025133201</x:v>
      </x:c>
      <x:c r="K39" s="24" t="n">
        <x:v>76.27127905420261</x:v>
      </x:c>
    </x:row>
    <x:row r="40">
      <x:c r="A40" s="24" t="n">
        <x:v>3.8000000000000003</x:v>
      </x:c>
      <x:c r="B40" s="24" t="n">
        <x:v>64.98538402812387</x:v>
      </x:c>
      <x:c r="C40" s="24" t="n">
        <x:v>66.32700817741892</x:v>
      </x:c>
      <x:c r="D40" s="24" t="n">
        <x:v>67.65262158398077</x:v>
      </x:c>
      <x:c r="E40" s="24" t="n">
        <x:v>65.51508135736684</x:v>
      </x:c>
      <x:c r="F40" s="24" t="n">
        <x:v>67.45110473604277</x:v>
      </x:c>
      <x:c r="G40" s="24" t="n">
        <x:v>60.3722016515481</x:v>
      </x:c>
      <x:c r="H40" s="24" t="n">
        <x:v>74.26216708669601</x:v>
      </x:c>
      <x:c r="I40" s="24" t="n">
        <x:v>70.17352097030927</x:v>
      </x:c>
      <x:c r="J40" s="24" t="n">
        <x:v>73.19789025133198</x:v>
      </x:c>
      <x:c r="K40" s="24" t="n">
        <x:v>71.10581179299872</x:v>
      </x:c>
    </x:row>
    <x:row r="41">
      <x:c r="A41" s="24" t="n">
        <x:v>3.9000000000000004</x:v>
      </x:c>
      <x:c r="B41" s="24" t="n">
        <x:v>66.03159074071145</x:v>
      </x:c>
      <x:c r="C41" s="24" t="n">
        <x:v>66.32700817741892</x:v>
      </x:c>
      <x:c r="D41" s="24" t="n">
        <x:v>69.64561296520273</x:v>
      </x:c>
      <x:c r="E41" s="24" t="n">
        <x:v>52.71607027761128</x:v>
      </x:c>
      <x:c r="F41" s="24" t="n">
        <x:v>67.10645839123116</x:v>
      </x:c>
      <x:c r="G41" s="24" t="n">
        <x:v>61.93282974480268</x:v>
      </x:c>
      <x:c r="H41" s="24" t="n">
        <x:v>72.06359802259817</x:v>
      </x:c>
      <x:c r="I41" s="24" t="n">
        <x:v>79.16009499735009</x:v>
      </x:c>
      <x:c r="J41" s="24" t="n">
        <x:v>65.75883181858474</x:v>
      </x:c>
      <x:c r="K41" s="24" t="n">
        <x:v>68.93387045849238</x:v>
      </x:c>
    </x:row>
    <x:row r="42">
      <x:c r="A42" s="24" t="n">
        <x:v>4</x:v>
      </x:c>
      <x:c r="B42" s="24" t="n">
        <x:v>66.03159074071145</x:v>
      </x:c>
      <x:c r="C42" s="24" t="n">
        <x:v>66.93246393745848</x:v>
      </x:c>
      <x:c r="D42" s="24" t="n">
        <x:v>69.64561296520273</x:v>
      </x:c>
      <x:c r="E42" s="24" t="n">
        <x:v>53.61281193959662</x:v>
      </x:c>
      <x:c r="F42" s="24" t="n">
        <x:v>67.66828896928001</x:v>
      </x:c>
      <x:c r="G42" s="24" t="n">
        <x:v>61.466973123817326</x:v>
      </x:c>
      <x:c r="H42" s="24" t="n">
        <x:v>57.74173591282451</x:v>
      </x:c>
      <x:c r="I42" s="24" t="n">
        <x:v>79.16009499735009</x:v>
      </x:c>
      <x:c r="J42" s="24" t="n">
        <x:v>68.76384389569728</x:v>
      </x:c>
      <x:c r="K42" s="24" t="n">
        <x:v>70.13219483542271</x:v>
      </x:c>
    </x:row>
    <x:row r="43">
      <x:c r="A43" s="24" t="n">
        <x:v>4.1000000000000005</x:v>
      </x:c>
      <x:c r="B43" s="24" t="n">
        <x:v>64.15036847208006</x:v>
      </x:c>
      <x:c r="C43" s="24" t="n">
        <x:v>66.97640474809475</x:v>
      </x:c>
      <x:c r="D43" s="24" t="n">
        <x:v>90.23985189781754</x:v>
      </x:c>
      <x:c r="E43" s="24" t="n">
        <x:v>54.10184712418287</x:v>
      </x:c>
      <x:c r="F43" s="24" t="n">
        <x:v>68.36641909812225</x:v>
      </x:c>
      <x:c r="G43" s="24" t="n">
        <x:v>61.941435659660364</x:v>
      </x:c>
      <x:c r="H43" s="24" t="n">
        <x:v>65.60930312983683</x:v>
      </x:c>
      <x:c r="I43" s="24" t="n">
        <x:v>76.47418532370546</x:v>
      </x:c>
      <x:c r="J43" s="24" t="n">
        <x:v>69.51103887850824</x:v>
      </x:c>
      <x:c r="K43" s="24" t="n">
        <x:v>72.1294021303066</x:v>
      </x:c>
    </x:row>
    <x:row r="44">
      <x:c r="A44" s="24" t="n">
        <x:v>4.2</x:v>
      </x:c>
      <x:c r="B44" s="24" t="n">
        <x:v>64.15036847208006</x:v>
      </x:c>
      <x:c r="C44" s="24" t="n">
        <x:v>66.82772206363009</x:v>
      </x:c>
      <x:c r="D44" s="24" t="n">
        <x:v>90.23985189781754</x:v>
      </x:c>
      <x:c r="E44" s="24" t="n">
        <x:v>66.84348482246943</x:v>
      </x:c>
      <x:c r="F44" s="24" t="n">
        <x:v>68.36641909812225</x:v>
      </x:c>
      <x:c r="G44" s="24" t="n">
        <x:v>62.872694177997516</x:v>
      </x:c>
      <x:c r="H44" s="24" t="n">
        <x:v>65.60930312983683</x:v>
      </x:c>
      <x:c r="I44" s="24" t="n">
        <x:v>73.2310972728149</x:v>
      </x:c>
      <x:c r="J44" s="24" t="n">
        <x:v>69.51103887850824</x:v>
      </x:c>
      <x:c r="K44" s="24" t="n">
        <x:v>73.32772650723692</x:v>
      </x:c>
    </x:row>
    <x:row r="45">
      <x:c r="A45" s="24" t="n">
        <x:v>4.3</x:v>
      </x:c>
      <x:c r="B45" s="24" t="n">
        <x:v>59.83278426980191</x:v>
      </x:c>
      <x:c r="C45" s="24" t="n">
        <x:v>66.55045348643127</x:v>
      </x:c>
      <x:c r="D45" s="24" t="n">
        <x:v>86.99197423899426</x:v>
      </x:c>
      <x:c r="E45" s="24" t="n">
        <x:v>67.82845295275897</x:v>
      </x:c>
      <x:c r="F45" s="24" t="n">
        <x:v>66.94348469284</x:v>
      </x:c>
      <x:c r="G45" s="24" t="n">
        <x:v>63.02405403318932</x:v>
      </x:c>
      <x:c r="H45" s="24" t="n">
        <x:v>74.42661022205496</x:v>
      </x:c>
      <x:c r="I45" s="24" t="n">
        <x:v>70.97017740318762</x:v>
      </x:c>
      <x:c r="J45" s="24" t="n">
        <x:v>67.74150489662787</x:v>
      </x:c>
      <x:c r="K45" s="24" t="n">
        <x:v>73.32772650723692</x:v>
      </x:c>
    </x:row>
    <x:row r="46">
      <x:c r="A46" s="24" t="n">
        <x:v>4.4</x:v>
      </x:c>
      <x:c r="B46" s="24" t="n">
        <x:v>64.35545326367398</x:v>
      </x:c>
      <x:c r="C46" s="24" t="n">
        <x:v>66.55045348643127</x:v>
      </x:c>
      <x:c r="D46" s="24" t="n">
        <x:v>78.64896473561814</x:v>
      </x:c>
      <x:c r="E46" s="24" t="n">
        <x:v>67.7327467847438</x:v>
      </x:c>
      <x:c r="F46" s="24" t="n">
        <x:v>66.94348469284</x:v>
      </x:c>
      <x:c r="G46" s="24" t="n">
        <x:v>81.2120387401104</x:v>
      </x:c>
      <x:c r="H46" s="24" t="n">
        <x:v>74.42661022205496</x:v>
      </x:c>
      <x:c r="I46" s="24" t="n">
        <x:v>68.70925753356032</x:v>
      </x:c>
      <x:c r="J46" s="24" t="n">
        <x:v>66.9862136375105</x:v>
      </x:c>
      <x:c r="K46" s="24" t="n">
        <x:v>66.29411833228329</x:v>
      </x:c>
    </x:row>
    <x:row r="47">
      <x:c r="A47" s="24" t="n">
        <x:v>4.5</x:v>
      </x:c>
      <x:c r="B47" s="24" t="n">
        <x:v>64.35545326367398</x:v>
      </x:c>
      <x:c r="C47" s="24" t="n">
        <x:v>66.35905900673994</x:v>
      </x:c>
      <x:c r="D47" s="24" t="n">
        <x:v>70.20732376251303</x:v>
      </x:c>
      <x:c r="E47" s="24" t="n">
        <x:v>77.56176811173262</x:v>
      </x:c>
      <x:c r="F47" s="24" t="n">
        <x:v>65.56638124519795</x:v>
      </x:c>
      <x:c r="G47" s="24" t="n">
        <x:v>82.89481338461111</x:v>
      </x:c>
      <x:c r="H47" s="24" t="n">
        <x:v>68.3530550885787</x:v>
      </x:c>
      <x:c r="I47" s="24" t="n">
        <x:v>66.44833766393303</x:v>
      </x:c>
      <x:c r="J47" s="24" t="n">
        <x:v>83.08120618679231</x:v>
      </x:c>
      <x:c r="K47" s="24" t="n">
        <x:v>67.10546750882486</x:v>
      </x:c>
    </x:row>
    <x:row r="48">
      <x:c r="A48" s="24" t="n">
        <x:v>4.6000000000000005</x:v>
      </x:c>
      <x:c r="B48" s="24" t="n">
        <x:v>77.94551312945408</x:v>
      </x:c>
      <x:c r="C48" s="24" t="n">
        <x:v>67.16713586058262</x:v>
      </x:c>
      <x:c r="D48" s="24" t="n">
        <x:v>63.96513890969584</x:v>
      </x:c>
      <x:c r="E48" s="24" t="n">
        <x:v>77.56176811173262</x:v>
      </x:c>
      <x:c r="F48" s="24" t="n">
        <x:v>62.25895143440466</x:v>
      </x:c>
      <x:c r="G48" s="24" t="n">
        <x:v>82.894813384611</x:v>
      </x:c>
      <x:c r="H48" s="24" t="n">
        <x:v>50.00000000000048</x:v>
      </x:c>
      <x:c r="I48" s="24" t="n">
        <x:v>65.09178574215666</x:v>
      </x:c>
      <x:c r="J48" s="24" t="n">
        <x:v>83.41399588172342</x:v>
      </x:c>
      <x:c r="K48" s="24" t="n">
        <x:v>67.10546750882486</x:v>
      </x:c>
    </x:row>
    <x:row r="49">
      <x:c r="A49" s="24" t="n">
        <x:v>4.7</x:v>
      </x:c>
      <x:c r="B49" s="24" t="n">
        <x:v>90.56252260904776</x:v>
      </x:c>
      <x:c r="C49" s="24" t="n">
        <x:v>71.50987101586423</x:v>
      </x:c>
      <x:c r="D49" s="24" t="n">
        <x:v>57.51897451777818</x:v>
      </x:c>
      <x:c r="E49" s="24" t="n">
        <x:v>74.2348886711223</x:v>
      </x:c>
      <x:c r="F49" s="24" t="n">
        <x:v>78.96248790243662</x:v>
      </x:c>
      <x:c r="G49" s="24" t="n">
        <x:v>75.52718849018095</x:v>
      </x:c>
      <x:c r="H49" s="24" t="n">
        <x:v>69.43903041070698</x:v>
      </x:c>
      <x:c r="I49" s="24" t="n">
        <x:v>69.83539774627857</x:v>
      </x:c>
      <x:c r="J49" s="24" t="n">
        <x:v>82.37718662730448</x:v>
      </x:c>
      <x:c r="K49" s="24" t="n">
        <x:v>66.39715122198476</x:v>
      </x:c>
    </x:row>
    <x:row r="50">
      <x:c r="A50" s="24" t="n">
        <x:v>4.800000000000001</x:v>
      </x:c>
      <x:c r="B50" s="24" t="n">
        <x:v>90.56252260904776</x:v>
      </x:c>
      <x:c r="C50" s="24" t="n">
        <x:v>78.26063031769108</x:v>
      </x:c>
      <x:c r="D50" s="24" t="n">
        <x:v>50</x:v>
      </x:c>
      <x:c r="E50" s="24" t="n">
        <x:v>68.03276282686413</x:v>
      </x:c>
      <x:c r="F50" s="24" t="n">
        <x:v>79.76718586609188</x:v>
      </x:c>
      <x:c r="G50" s="24" t="n">
        <x:v>67.40447953971216</x:v>
      </x:c>
      <x:c r="H50" s="24" t="n">
        <x:v>69.43903041070698</x:v>
      </x:c>
      <x:c r="I50" s="24" t="n">
        <x:v>74.5790097504005</x:v>
      </x:c>
      <x:c r="J50" s="24" t="n">
        <x:v>74.07694062224883</x:v>
      </x:c>
      <x:c r="K50" s="24" t="n">
        <x:v>67.74852776804504</x:v>
      </x:c>
    </x:row>
    <x:row r="51">
      <x:c r="A51" s="24" t="n">
        <x:v>4.9</x:v>
      </x:c>
      <x:c r="B51" s="24" t="n">
        <x:v>83.00584226947655</x:v>
      </x:c>
      <x:c r="C51" s="24" t="n">
        <x:v>78.26063031769108</x:v>
      </x:c>
      <x:c r="D51" s="24" t="n">
        <x:v>65.11176962947985</x:v>
      </x:c>
      <x:c r="E51" s="24" t="n">
        <x:v>67.09853071699132</x:v>
      </x:c>
      <x:c r="F51" s="24" t="n">
        <x:v>79.01720809858108</x:v>
      </x:c>
      <x:c r="G51" s="24" t="n">
        <x:v>57.52715457712975</x:v>
      </x:c>
      <x:c r="H51" s="24" t="n">
        <x:v>70.69155283733046</x:v>
      </x:c>
      <x:c r="I51" s="24" t="n">
        <x:v>74.5790097504005</x:v>
      </x:c>
      <x:c r="J51" s="24" t="n">
        <x:v>67.50156161540943</x:v>
      </x:c>
      <x:c r="K51" s="24" t="n">
        <x:v>67.30670629310114</x:v>
      </x:c>
    </x:row>
    <x:row r="52">
      <x:c r="A52" s="24" t="n">
        <x:v>5</x:v>
      </x:c>
      <x:c r="B52" s="24" t="n">
        <x:v>74.75774413827922</x:v>
      </x:c>
      <x:c r="C52" s="24" t="n">
        <x:v>67.38235913612976</x:v>
      </x:c>
      <x:c r="D52" s="24" t="n">
        <x:v>65.11176962947985</x:v>
      </x:c>
      <x:c r="E52" s="24" t="n">
        <x:v>70.1746381416168</x:v>
      </x:c>
      <x:c r="F52" s="24" t="n">
        <x:v>68.08151120673145</x:v>
      </x:c>
      <x:c r="G52" s="24" t="n">
        <x:v>63.890335002976606</x:v>
      </x:c>
      <x:c r="H52" s="24" t="n">
        <x:v>70.86903131491519</x:v>
      </x:c>
      <x:c r="I52" s="24" t="n">
        <x:v>70.77404914051903</x:v>
      </x:c>
      <x:c r="J52" s="24" t="n">
        <x:v>65.36734413645854</x:v>
      </x:c>
      <x:c r="K52" s="24" t="n">
        <x:v>87.31628613286951</x:v>
      </x:c>
    </x:row>
    <x:row r="53">
      <x:c r="A53" s="24" t="n">
        <x:v>5.1000000000000005</x:v>
      </x:c>
      <x:c r="B53" s="24" t="n">
        <x:v>71.84080319804275</x:v>
      </x:c>
      <x:c r="C53" s="24" t="n">
        <x:v>58.90569430947123</x:v>
      </x:c>
      <x:c r="D53" s="24" t="n">
        <x:v>50.00000000000075</x:v>
      </x:c>
      <x:c r="E53" s="24" t="n">
        <x:v>70.1746381416168</x:v>
      </x:c>
      <x:c r="F53" s="24" t="n">
        <x:v>57.26277349391721</x:v>
      </x:c>
      <x:c r="G53" s="24" t="n">
        <x:v>63.890335002976606</x:v>
      </x:c>
      <x:c r="H53" s="24" t="n">
        <x:v>72.53801315218823</x:v>
      </x:c>
      <x:c r="I53" s="24" t="n">
        <x:v>69.7534362331563</x:v>
      </x:c>
      <x:c r="J53" s="24" t="n">
        <x:v>65.36734413645858</x:v>
      </x:c>
      <x:c r="K53" s="24" t="n">
        <x:v>87.9654399534949</x:v>
      </x:c>
    </x:row>
    <x:row r="54">
      <x:c r="A54" s="24" t="n">
        <x:v>5.2</x:v>
      </x:c>
      <x:c r="B54" s="24" t="n">
        <x:v>71.08200554609707</x:v>
      </x:c>
      <x:c r="C54" s="24" t="n">
        <x:v>58.60649758421173</x:v>
      </x:c>
      <x:c r="D54" s="24" t="n">
        <x:v>74.71367516741543</x:v>
      </x:c>
      <x:c r="E54" s="24" t="n">
        <x:v>69.31765980028175</x:v>
      </x:c>
      <x:c r="F54" s="24" t="n">
        <x:v>57.26277349391721</x:v>
      </x:c>
      <x:c r="G54" s="24" t="n">
        <x:v>55.91081434827626</x:v>
      </x:c>
      <x:c r="H54" s="24" t="n">
        <x:v>72.83523050586662</x:v>
      </x:c>
      <x:c r="I54" s="24" t="n">
        <x:v>69.99495315577221</x:v>
      </x:c>
      <x:c r="J54" s="24" t="n">
        <x:v>69.70344561450132</x:v>
      </x:c>
      <x:c r="K54" s="24" t="n">
        <x:v>85.50350137604514</x:v>
      </x:c>
    </x:row>
    <x:row r="55">
      <x:c r="A55" s="24" t="n">
        <x:v>5.300000000000001</x:v>
      </x:c>
      <x:c r="B55" s="24" t="n">
        <x:v>70.90936083566396</x:v>
      </x:c>
      <x:c r="C55" s="24" t="n">
        <x:v>58.307300858952225</x:v>
      </x:c>
      <x:c r="D55" s="24" t="n">
        <x:v>74.71367516741543</x:v>
      </x:c>
      <x:c r="E55" s="24" t="n">
        <x:v>68.6204597968155</x:v>
      </x:c>
      <x:c r="F55" s="24" t="n">
        <x:v>50</x:v>
      </x:c>
      <x:c r="G55" s="24" t="n">
        <x:v>70.39687288271466</x:v>
      </x:c>
      <x:c r="H55" s="24" t="n">
        <x:v>76.68870609084965</x:v>
      </x:c>
      <x:c r="I55" s="24" t="n">
        <x:v>69.99495315577221</x:v>
      </x:c>
      <x:c r="J55" s="24" t="n">
        <x:v>73.17232679693554</x:v>
      </x:c>
      <x:c r="K55" s="24" t="n">
        <x:v>76.83949225907645</x:v>
      </x:c>
    </x:row>
    <x:row r="56">
      <x:c r="A56" s="24" t="n">
        <x:v>5.4</x:v>
      </x:c>
      <x:c r="B56" s="24" t="n">
        <x:v>67.97203708613415</x:v>
      </x:c>
      <x:c r="C56" s="24" t="n">
        <x:v>58.00810413369272</x:v>
      </x:c>
      <x:c r="D56" s="24" t="n">
        <x:v>73.38995917132736</x:v>
      </x:c>
      <x:c r="E56" s="24" t="n">
        <x:v>68.8264961861448</x:v>
      </x:c>
      <x:c r="F56" s="24" t="n">
        <x:v>54.165280421567466</x:v>
      </x:c>
      <x:c r="G56" s="24" t="n">
        <x:v>70.39687288271466</x:v>
      </x:c>
      <x:c r="H56" s="24" t="n">
        <x:v>76.68870609084965</x:v>
      </x:c>
      <x:c r="I56" s="24" t="n">
        <x:v>69.77337136552876</x:v>
      </x:c>
      <x:c r="J56" s="24" t="n">
        <x:v>73.17232679693554</x:v>
      </x:c>
      <x:c r="K56" s="24" t="n">
        <x:v>69.1611934101474</x:v>
      </x:c>
    </x:row>
    <x:row r="57">
      <x:c r="A57" s="24" t="n">
        <x:v>5.5</x:v>
      </x:c>
      <x:c r="B57" s="24" t="n">
        <x:v>65.91868899920941</x:v>
      </x:c>
      <x:c r="C57" s="24" t="n">
        <x:v>57.70890740843322</x:v>
      </x:c>
      <x:c r="D57" s="24" t="n">
        <x:v>67.61944396885188</x:v>
      </x:c>
      <x:c r="E57" s="24" t="n">
        <x:v>68.8264961861448</x:v>
      </x:c>
      <x:c r="F57" s="24" t="n">
        <x:v>64.37505770707394</x:v>
      </x:c>
      <x:c r="G57" s="24" t="n">
        <x:v>68.56825060113314</x:v>
      </x:c>
      <x:c r="H57" s="24" t="n">
        <x:v>88.20117526105611</x:v>
      </x:c>
      <x:c r="I57" s="24" t="n">
        <x:v>69.33177117483112</x:v>
      </x:c>
      <x:c r="J57" s="24" t="n">
        <x:v>68.07280062413363</x:v>
      </x:c>
      <x:c r="K57" s="24" t="n">
        <x:v>67.65060871064637</x:v>
      </x:c>
    </x:row>
    <x:row r="58">
      <x:c r="A58" s="24" t="n">
        <x:v>5.6000000000000005</x:v>
      </x:c>
      <x:c r="B58" s="24" t="n">
        <x:v>66.5887333992192</x:v>
      </x:c>
      <x:c r="C58" s="24" t="n">
        <x:v>57.40971068317387</x:v>
      </x:c>
      <x:c r="D58" s="24" t="n">
        <x:v>62.66397401307484</x:v>
      </x:c>
      <x:c r="E58" s="24" t="n">
        <x:v>69.26482357774238</x:v>
      </x:c>
      <x:c r="F58" s="24" t="n">
        <x:v>64.37505770707394</x:v>
      </x:c>
      <x:c r="G58" s="24" t="n">
        <x:v>61.95068022299914</x:v>
      </x:c>
      <x:c r="H58" s="24" t="n">
        <x:v>91.84826249779366</x:v>
      </x:c>
      <x:c r="I58" s="24" t="n">
        <x:v>68.6797973919792</x:v>
      </x:c>
      <x:c r="J58" s="24" t="n">
        <x:v>68.30037711316697</x:v>
      </x:c>
      <x:c r="K58" s="24" t="n">
        <x:v>67.65060871064637</x:v>
      </x:c>
    </x:row>
    <x:row r="59">
      <x:c r="A59" s="24" t="n">
        <x:v>5.7</x:v>
      </x:c>
      <x:c r="B59" s="24" t="n">
        <x:v>65.48351176009278</x:v>
      </x:c>
      <x:c r="C59" s="24" t="n">
        <x:v>62.18741614980881</x:v>
      </x:c>
      <x:c r="D59" s="24" t="n">
        <x:v>66.18080703720179</x:v>
      </x:c>
      <x:c r="E59" s="24" t="n">
        <x:v>71.1889284595026</x:v>
      </x:c>
      <x:c r="F59" s="24" t="n">
        <x:v>69.85817875374856</x:v>
      </x:c>
      <x:c r="G59" s="24" t="n">
        <x:v>60.07086709733204</x:v>
      </x:c>
      <x:c r="H59" s="24" t="n">
        <x:v>91.84826249779366</x:v>
      </x:c>
      <x:c r="I59" s="24" t="n">
        <x:v>68.6797973919792</x:v>
      </x:c>
      <x:c r="J59" s="24" t="n">
        <x:v>68.30037711316697</x:v>
      </x:c>
      <x:c r="K59" s="24" t="n">
        <x:v>69.92950156451036</x:v>
      </x:c>
    </x:row>
    <x:row r="60">
      <x:c r="A60" s="24" t="n">
        <x:v>5.800000000000001</x:v>
      </x:c>
      <x:c r="B60" s="24" t="n">
        <x:v>64.37709943651252</x:v>
      </x:c>
      <x:c r="C60" s="24" t="n">
        <x:v>62.18741614980877</x:v>
      </x:c>
      <x:c r="D60" s="24" t="n">
        <x:v>66.94784414031488</x:v>
      </x:c>
      <x:c r="E60" s="24" t="n">
        <x:v>85.0080002878873</x:v>
      </x:c>
      <x:c r="F60" s="24" t="n">
        <x:v>69.85817875374856</x:v>
      </x:c>
      <x:c r="G60" s="24" t="n">
        <x:v>60.07086709733204</x:v>
      </x:c>
      <x:c r="H60" s="24" t="n">
        <x:v>82.3861146826603</x:v>
      </x:c>
      <x:c r="I60" s="24" t="n">
        <x:v>71.21497538442125</x:v>
      </x:c>
      <x:c r="J60" s="24" t="n">
        <x:v>68.51474366690866</x:v>
      </x:c>
      <x:c r="K60" s="24" t="n">
        <x:v>72.96802536966233</x:v>
      </x:c>
    </x:row>
    <x:row r="61">
      <x:c r="A61" s="24" t="n">
        <x:v>5.9</x:v>
      </x:c>
      <x:c r="B61" s="24" t="n">
        <x:v>60.66109241189619</x:v>
      </x:c>
      <x:c r="C61" s="24" t="n">
        <x:v>67.31592473873148</x:v>
      </x:c>
      <x:c r="D61" s="24" t="n">
        <x:v>66.9119930359274</x:v>
      </x:c>
      <x:c r="E61" s="24" t="n">
        <x:v>86.44635478414524</x:v>
      </x:c>
      <x:c r="F61" s="24" t="n">
        <x:v>65.19219420289757</x:v>
      </x:c>
      <x:c r="G61" s="24" t="n">
        <x:v>59.69403140393166</x:v>
      </x:c>
      <x:c r="H61" s="24" t="n">
        <x:v>77.12928870322048</x:v>
      </x:c>
      <x:c r="I61" s="24" t="n">
        <x:v>71.21497538442125</x:v>
      </x:c>
      <x:c r="J61" s="24" t="n">
        <x:v>68.51474366690866</x:v>
      </x:c>
      <x:c r="K61" s="24" t="n">
        <x:v>72.96802536966233</x:v>
      </x:c>
    </x:row>
    <x:row r="62">
      <x:c r="A62" s="24" t="n">
        <x:v>6</x:v>
      </x:c>
      <x:c r="B62" s="24" t="n">
        <x:v>69.3309006639083</x:v>
      </x:c>
      <x:c r="C62" s="24" t="n">
        <x:v>71.88504519754292</x:v>
      </x:c>
      <x:c r="D62" s="24" t="n">
        <x:v>68.36557441241908</x:v>
      </x:c>
      <x:c r="E62" s="24" t="n">
        <x:v>86.44635478414524</x:v>
      </x:c>
      <x:c r="F62" s="24" t="n">
        <x:v>53.65365724678181</x:v>
      </x:c>
      <x:c r="G62" s="24" t="n">
        <x:v>59.69403140393166</x:v>
      </x:c>
      <x:c r="H62" s="24" t="n">
        <x:v>73.82176971129832</x:v>
      </x:c>
      <x:c r="I62" s="24" t="n">
        <x:v>67.57982261116757</x:v>
      </x:c>
      <x:c r="J62" s="24" t="n">
        <x:v>66.3315326347941</x:v>
      </x:c>
      <x:c r="K62" s="24" t="n">
        <x:v>65.50065593065784</x:v>
      </x:c>
    </x:row>
    <x:row r="63">
      <x:c r="A63" s="24" t="n">
        <x:v>6.1000000000000005</x:v>
      </x:c>
      <x:c r="B63" s="24" t="n">
        <x:v>75.23557117613836</x:v>
      </x:c>
      <x:c r="C63" s="24" t="n">
        <x:v>71.88504519754292</x:v>
      </x:c>
      <x:c r="D63" s="24" t="n">
        <x:v>68.36557441241908</x:v>
      </x:c>
      <x:c r="E63" s="24" t="n">
        <x:v>79.13085266983676</x:v>
      </x:c>
      <x:c r="F63" s="24" t="n">
        <x:v>64.72627264574916</x:v>
      </x:c>
      <x:c r="G63" s="24" t="n">
        <x:v>60.50649549281729</x:v>
      </x:c>
      <x:c r="H63" s="24" t="n">
        <x:v>72.93288547472834</x:v>
      </x:c>
      <x:c r="I63" s="24" t="n">
        <x:v>65.1849832599781</x:v>
      </x:c>
      <x:c r="J63" s="24" t="n">
        <x:v>84.41148582487149</x:v>
      </x:c>
      <x:c r="K63" s="24" t="n">
        <x:v>66.63781558252674</x:v>
      </x:c>
    </x:row>
    <x:row r="64">
      <x:c r="A64" s="24" t="n">
        <x:v>6.2</x:v>
      </x:c>
      <x:c r="B64" s="24" t="n">
        <x:v>75.23557117613836</x:v>
      </x:c>
      <x:c r="C64" s="24" t="n">
        <x:v>68.11425247299934</x:v>
      </x:c>
      <x:c r="D64" s="24" t="n">
        <x:v>67.12370942929456</x:v>
      </x:c>
      <x:c r="E64" s="24" t="n">
        <x:v>71.64325186055783</x:v>
      </x:c>
      <x:c r="F64" s="24" t="n">
        <x:v>65.2320797544897</x:v>
      </x:c>
      <x:c r="G64" s="24" t="n">
        <x:v>60.50649549281729</x:v>
      </x:c>
      <x:c r="H64" s="24" t="n">
        <x:v>66.61135873162061</x:v>
      </x:c>
      <x:c r="I64" s="24" t="n">
        <x:v>76.57018273432386</x:v>
      </x:c>
      <x:c r="J64" s="24" t="n">
        <x:v>85.8758450027643</x:v>
      </x:c>
      <x:c r="K64" s="24" t="n">
        <x:v>67.42942114930952</x:v>
      </x:c>
    </x:row>
    <x:row r="65">
      <x:c r="A65" s="24" t="n">
        <x:v>6.300000000000001</x:v>
      </x:c>
      <x:c r="B65" s="24" t="n">
        <x:v>72.9826594931955</x:v>
      </x:c>
      <x:c r="C65" s="24" t="n">
        <x:v>61.81088726014318</x:v>
      </x:c>
      <x:c r="D65" s="24" t="n">
        <x:v>68.52305319845077</x:v>
      </x:c>
      <x:c r="E65" s="24" t="n">
        <x:v>64.45144877275861</x:v>
      </x:c>
      <x:c r="F65" s="24" t="n">
        <x:v>65.00334466704602</x:v>
      </x:c>
      <x:c r="G65" s="24" t="n">
        <x:v>59.64976228379262</x:v>
      </x:c>
      <x:c r="H65" s="24" t="n">
        <x:v>66.61135873162061</x:v>
      </x:c>
      <x:c r="I65" s="24" t="n">
        <x:v>77.91470359623558</x:v>
      </x:c>
      <x:c r="J65" s="24" t="n">
        <x:v>85.87584500276422</x:v>
      </x:c>
      <x:c r="K65" s="24" t="n">
        <x:v>68.74254876331008</x:v>
      </x:c>
    </x:row>
    <x:row r="66">
      <x:c r="A66" s="24" t="n">
        <x:v>6.4</x:v>
      </x:c>
      <x:c r="B66" s="24" t="n">
        <x:v>67.83767095543459</x:v>
      </x:c>
      <x:c r="C66" s="24" t="n">
        <x:v>64.83361725871221</x:v>
      </x:c>
      <x:c r="D66" s="24" t="n">
        <x:v>69.31347689943121</x:v>
      </x:c>
      <x:c r="E66" s="24" t="n">
        <x:v>57.32678397108168</x:v>
      </x:c>
      <x:c r="F66" s="24" t="n">
        <x:v>66.74714478573077</x:v>
      </x:c>
      <x:c r="G66" s="24" t="n">
        <x:v>61.1742789204508</x:v>
      </x:c>
      <x:c r="H66" s="24" t="n">
        <x:v>75.98984228667452</x:v>
      </x:c>
      <x:c r="I66" s="24" t="n">
        <x:v>77.91470359623558</x:v>
      </x:c>
      <x:c r="J66" s="24" t="n">
        <x:v>77.96593621529665</x:v>
      </x:c>
      <x:c r="K66" s="24" t="n">
        <x:v>68.74254876331008</x:v>
      </x:c>
    </x:row>
    <x:row r="67">
      <x:c r="A67" s="24" t="n">
        <x:v>6.5</x:v>
      </x:c>
      <x:c r="B67" s="24" t="n">
        <x:v>60.64979684947041</x:v>
      </x:c>
      <x:c r="C67" s="24" t="n">
        <x:v>65.59639357869898</x:v>
      </x:c>
      <x:c r="D67" s="24" t="n">
        <x:v>69.31347689943121</x:v>
      </x:c>
      <x:c r="E67" s="24" t="n">
        <x:v>64.73329770380245</x:v>
      </x:c>
      <x:c r="F67" s="24" t="n">
        <x:v>66.98028595784506</x:v>
      </x:c>
      <x:c r="G67" s="24" t="n">
        <x:v>61.1742789204508</x:v>
      </x:c>
      <x:c r="H67" s="24" t="n">
        <x:v>75.98984228667452</x:v>
      </x:c>
      <x:c r="I67" s="24" t="n">
        <x:v>65.15399473456426</x:v>
      </x:c>
      <x:c r="J67" s="24" t="n">
        <x:v>67.50792607657779</x:v>
      </x:c>
      <x:c r="K67" s="24" t="n">
        <x:v>86.28924448371868</x:v>
      </x:c>
    </x:row>
    <x:row r="68">
      <x:c r="A68" s="24" t="n">
        <x:v>6.6000000000000005</x:v>
      </x:c>
      <x:c r="B68" s="24" t="n">
        <x:v>61.004911603017966</x:v>
      </x:c>
      <x:c r="C68" s="24" t="n">
        <x:v>66.68433154516521</x:v>
      </x:c>
      <x:c r="D68" s="24" t="n">
        <x:v>69.14511943454242</x:v>
      </x:c>
      <x:c r="E68" s="24" t="n">
        <x:v>64.73329770380235</x:v>
      </x:c>
      <x:c r="F68" s="24" t="n">
        <x:v>66.98028595784506</x:v>
      </x:c>
      <x:c r="G68" s="24" t="n">
        <x:v>65.10535724693024</x:v>
      </x:c>
      <x:c r="H68" s="24" t="n">
        <x:v>72.504129718022</x:v>
      </x:c>
      <x:c r="I68" s="24" t="n">
        <x:v>64.1027497279709</x:v>
      </x:c>
      <x:c r="J68" s="24" t="n">
        <x:v>65.19990334480767</x:v>
      </x:c>
      <x:c r="K68" s="24" t="n">
        <x:v>87.73863091147638</x:v>
      </x:c>
    </x:row>
    <x:row r="69">
      <x:c r="A69" s="24" t="n">
        <x:v>6.7</x:v>
      </x:c>
      <x:c r="B69" s="24" t="n">
        <x:v>63.39240199777368</x:v>
      </x:c>
      <x:c r="C69" s="24" t="n">
        <x:v>66.68433154516521</x:v>
      </x:c>
      <x:c r="D69" s="24" t="n">
        <x:v>69.14511943454242</x:v>
      </x:c>
      <x:c r="E69" s="24" t="n">
        <x:v>57.28777403108867</x:v>
      </x:c>
      <x:c r="F69" s="24" t="n">
        <x:v>66.4878504181884</x:v>
      </x:c>
      <x:c r="G69" s="24" t="n">
        <x:v>73.1298401554368</x:v>
      </x:c>
      <x:c r="H69" s="24" t="n">
        <x:v>50</x:v>
      </x:c>
      <x:c r="I69" s="24" t="n">
        <x:v>64.49498031058592</x:v>
      </x:c>
      <x:c r="J69" s="24" t="n">
        <x:v>65.19990334480767</x:v>
      </x:c>
      <x:c r="K69" s="24" t="n">
        <x:v>87.73863091147638</x:v>
      </x:c>
    </x:row>
    <x:row r="70">
      <x:c r="A70" s="24" t="n">
        <x:v>6.800000000000001</x:v>
      </x:c>
      <x:c r="B70" s="24" t="n">
        <x:v>63.39240199777368</x:v>
      </x:c>
      <x:c r="C70" s="24" t="n">
        <x:v>64.651620147721</x:v>
      </x:c>
      <x:c r="D70" s="24" t="n">
        <x:v>69.0516351359886</x:v>
      </x:c>
      <x:c r="E70" s="24" t="n">
        <x:v>75.50720910881026</x:v>
      </x:c>
      <x:c r="F70" s="24" t="n">
        <x:v>67.09532934517078</x:v>
      </x:c>
      <x:c r="G70" s="24" t="n">
        <x:v>73.1298401554368</x:v>
      </x:c>
      <x:c r="H70" s="24" t="n">
        <x:v>71.73205265620048</x:v>
      </x:c>
      <x:c r="I70" s="24" t="n">
        <x:v>64.88721089320092</x:v>
      </x:c>
      <x:c r="J70" s="24" t="n">
        <x:v>58.831911284932275</x:v>
      </x:c>
      <x:c r="K70" s="24" t="n">
        <x:v>77.44188403164272</x:v>
      </x:c>
    </x:row>
    <x:row r="71">
      <x:c r="A71" s="24" t="n">
        <x:v>6.9</x:v>
      </x:c>
      <x:c r="B71" s="24" t="n">
        <x:v>60.37968604240321</x:v>
      </x:c>
      <x:c r="C71" s="24" t="n">
        <x:v>66.3751368514989</x:v>
      </x:c>
      <x:c r="D71" s="24" t="n">
        <x:v>82.32621299569381</x:v>
      </x:c>
      <x:c r="E71" s="24" t="n">
        <x:v>75.50720910881026</x:v>
      </x:c>
      <x:c r="F71" s="24" t="n">
        <x:v>68.67084005071793</x:v>
      </x:c>
      <x:c r="G71" s="24" t="n">
        <x:v>67.64005946466294</x:v>
      </x:c>
      <x:c r="H71" s="24" t="n">
        <x:v>72.91524009204396</x:v>
      </x:c>
      <x:c r="I71" s="24" t="n">
        <x:v>65.27944147581593</x:v>
      </x:c>
      <x:c r="J71" s="24" t="n">
        <x:v>73.0459913388872</x:v>
      </x:c>
      <x:c r="K71" s="24" t="n">
        <x:v>73.110708960122</x:v>
      </x:c>
    </x:row>
    <x:row r="72">
      <x:c r="A72" s="24" t="n">
        <x:v>7</x:v>
      </x:c>
      <x:c r="B72" s="24" t="n">
        <x:v>60.63256325000498</x:v>
      </x:c>
      <x:c r="C72" s="24" t="n">
        <x:v>66.3751368514989</x:v>
      </x:c>
      <x:c r="D72" s="24" t="n">
        <x:v>85.0196241764834</x:v>
      </x:c>
      <x:c r="E72" s="24" t="n">
        <x:v>74.59498043955851</x:v>
      </x:c>
      <x:c r="F72" s="24" t="n">
        <x:v>69.11401429490441</x:v>
      </x:c>
      <x:c r="G72" s="24" t="n">
        <x:v>50</x:v>
      </x:c>
      <x:c r="H72" s="24" t="n">
        <x:v>72.92395263111827</x:v>
      </x:c>
      <x:c r="I72" s="24" t="n">
        <x:v>72.63045582143805</x:v>
      </x:c>
      <x:c r="J72" s="24" t="n">
        <x:v>73.0459913388872</x:v>
      </x:c>
      <x:c r="K72" s="24" t="n">
        <x:v>67.67634371394288</x:v>
      </x:c>
    </x:row>
    <x:row r="73">
      <x:c r="A73" s="24" t="n">
        <x:v>7.1000000000000005</x:v>
      </x:c>
      <x:c r="B73" s="24" t="n">
        <x:v>60.528459575148716</x:v>
      </x:c>
      <x:c r="C73" s="24" t="n">
        <x:v>66.78922624536824</x:v>
      </x:c>
      <x:c r="D73" s="24" t="n">
        <x:v>85.01962417648338</x:v>
      </x:c>
      <x:c r="E73" s="24" t="n">
        <x:v>64.34092787285668</x:v>
      </x:c>
      <x:c r="F73" s="24" t="n">
        <x:v>68.55742352500282</x:v>
      </x:c>
      <x:c r="G73" s="24" t="n">
        <x:v>51.128313002116286</x:v>
      </x:c>
      <x:c r="H73" s="24" t="n">
        <x:v>74.45692958019625</x:v>
      </x:c>
      <x:c r="I73" s="24" t="n">
        <x:v>72.97022501718826</x:v>
      </x:c>
      <x:c r="J73" s="24" t="n">
        <x:v>64.95927954924912</x:v>
      </x:c>
      <x:c r="K73" s="24" t="n">
        <x:v>67.67634371394288</x:v>
      </x:c>
    </x:row>
    <x:row r="74">
      <x:c r="A74" s="24" t="n">
        <x:v>7.2</x:v>
      </x:c>
      <x:c r="B74" s="24" t="n">
        <x:v>59.38732447850253</x:v>
      </x:c>
      <x:c r="C74" s="24" t="n">
        <x:v>66.78922624536824</x:v>
      </x:c>
      <x:c r="D74" s="24" t="n">
        <x:v>75.91417737440352</x:v>
      </x:c>
      <x:c r="E74" s="24" t="n">
        <x:v>51.56919522359503</x:v>
      </x:c>
      <x:c r="F74" s="24" t="n">
        <x:v>63.97528395496782</x:v>
      </x:c>
      <x:c r="G74" s="24" t="n">
        <x:v>56.76987801269756</x:v>
      </x:c>
      <x:c r="H74" s="24" t="n">
        <x:v>75.69276360140734</x:v>
      </x:c>
      <x:c r="I74" s="24" t="n">
        <x:v>69.4519747780134</x:v>
      </x:c>
      <x:c r="J74" s="24" t="n">
        <x:v>67.89105915069611</x:v>
      </x:c>
      <x:c r="K74" s="24" t="n">
        <x:v>68.41434562805054</x:v>
      </x:c>
    </x:row>
    <x:row r="75">
      <x:c r="A75" s="24" t="n">
        <x:v>7.300000000000001</x:v>
      </x:c>
      <x:c r="B75" s="24" t="n">
        <x:v>61.222318215789855</x:v>
      </x:c>
      <x:c r="C75" s="24" t="n">
        <x:v>66.36885254932018</x:v>
      </x:c>
      <x:c r="D75" s="24" t="n">
        <x:v>69.71139131957179</x:v>
      </x:c>
      <x:c r="E75" s="24" t="n">
        <x:v>65.59038740235884</x:v>
      </x:c>
      <x:c r="F75" s="24" t="n">
        <x:v>76.00661785302458</x:v>
      </x:c>
      <x:c r="G75" s="24" t="n">
        <x:v>62.41144302327889</x:v>
      </x:c>
      <x:c r="H75" s="24" t="n">
        <x:v>75.93512654656433</x:v>
      </x:c>
      <x:c r="I75" s="24" t="n">
        <x:v>65.84449586947663</x:v>
      </x:c>
      <x:c r="J75" s="24" t="n">
        <x:v>68.54479491529462</x:v>
      </x:c>
      <x:c r="K75" s="24" t="n">
        <x:v>75.48424301007283</x:v>
      </x:c>
    </x:row>
    <x:row r="76">
      <x:c r="A76" s="24" t="n">
        <x:v>7.4</x:v>
      </x:c>
      <x:c r="B76" s="24" t="n">
        <x:v>61.222318215789855</x:v>
      </x:c>
      <x:c r="C76" s="24" t="n">
        <x:v>66.11004770911029</x:v>
      </x:c>
      <x:c r="D76" s="24" t="n">
        <x:v>56.6292311708693</x:v>
      </x:c>
      <x:c r="E76" s="24" t="n">
        <x:v>66.81350841230534</x:v>
      </x:c>
      <x:c r="F76" s="24" t="n">
        <x:v>79.97739876128833</x:v>
      </x:c>
      <x:c r="G76" s="24" t="n">
        <x:v>64.66806902751136</x:v>
      </x:c>
      <x:c r="H76" s="24" t="n">
        <x:v>75.9964478547761</x:v>
      </x:c>
      <x:c r="I76" s="24" t="n">
        <x:v>68.41610352681936</x:v>
      </x:c>
      <x:c r="J76" s="24" t="n">
        <x:v>68.73454693061345</x:v>
      </x:c>
      <x:c r="K76" s="24" t="n">
        <x:v>75.48424301007283</x:v>
      </x:c>
    </x:row>
    <x:row r="77">
      <x:c r="A77" s="24" t="n">
        <x:v>7.5</x:v>
      </x:c>
      <x:c r="B77" s="24" t="n">
        <x:v>60.837786603181</x:v>
      </x:c>
      <x:c r="C77" s="24" t="n">
        <x:v>65.62629568350751</x:v>
      </x:c>
      <x:c r="D77" s="24" t="n">
        <x:v>56.0375293343452</x:v>
      </x:c>
      <x:c r="E77" s="24" t="n">
        <x:v>68.1441727031913</x:v>
      </x:c>
      <x:c r="F77" s="24" t="n">
        <x:v>79.97739876128833</x:v>
      </x:c>
      <x:c r="G77" s="24" t="n">
        <x:v>66.26500428157351</x:v>
      </x:c>
      <x:c r="H77" s="24" t="n">
        <x:v>77.01025088805179</x:v>
      </x:c>
      <x:c r="I77" s="24" t="n">
        <x:v>70.24256777784848</x:v>
      </x:c>
      <x:c r="J77" s="24" t="n">
        <x:v>68.34318480303608</x:v>
      </x:c>
      <x:c r="K77" s="24" t="n">
        <x:v>71.67127713822835</x:v>
      </x:c>
    </x:row>
    <x:row r="78">
      <x:c r="A78" s="24" t="n">
        <x:v>7.6000000000000005</x:v>
      </x:c>
      <x:c r="B78" s="24" t="n">
        <x:v>63.387575856292386</x:v>
      </x:c>
      <x:c r="C78" s="24" t="n">
        <x:v>76.87001486596793</x:v>
      </x:c>
      <x:c r="D78" s="24" t="n">
        <x:v>50</x:v>
      </x:c>
      <x:c r="E78" s="24" t="n">
        <x:v>68.65583822811132</x:v>
      </x:c>
      <x:c r="F78" s="24" t="n">
        <x:v>69.92700157344949</x:v>
      </x:c>
      <x:c r="G78" s="24" t="n">
        <x:v>67.82309184739017</x:v>
      </x:c>
      <x:c r="H78" s="24" t="n">
        <x:v>77.01025088805179</x:v>
      </x:c>
      <x:c r="I78" s="24" t="n">
        <x:v>70.24256777784846</x:v>
      </x:c>
      <x:c r="J78" s="24" t="n">
        <x:v>67.35265526994101</x:v>
      </x:c>
      <x:c r="K78" s="24" t="n">
        <x:v>50.0000000000007</x:v>
      </x:c>
    </x:row>
    <x:row r="79">
      <x:c r="A79" s="24" t="n">
        <x:v>7.7</x:v>
      </x:c>
      <x:c r="B79" s="24" t="n">
        <x:v>63.387575856292386</x:v>
      </x:c>
      <x:c r="C79" s="24" t="n">
        <x:v>76.87001486596793</x:v>
      </x:c>
      <x:c r="D79" s="24" t="n">
        <x:v>63.98528142988954</x:v>
      </x:c>
      <x:c r="E79" s="24" t="n">
        <x:v>68.84089937651862</x:v>
      </x:c>
      <x:c r="F79" s="24" t="n">
        <x:v>60.113341758189385</x:v>
      </x:c>
      <x:c r="G79" s="24" t="n">
        <x:v>67.82309184739017</x:v>
      </x:c>
      <x:c r="H79" s="24" t="n">
        <x:v>76.16813161537245</x:v>
      </x:c>
      <x:c r="I79" s="24" t="n">
        <x:v>69.29842356222244</x:v>
      </x:c>
      <x:c r="J79" s="24" t="n">
        <x:v>81.50179833299234</x:v>
      </x:c>
      <x:c r="K79" s="24" t="n">
        <x:v>67.51394569884744</x:v>
      </x:c>
    </x:row>
    <x:row r="80">
      <x:c r="A80" s="24" t="n">
        <x:v>7.800000000000001</x:v>
      </x:c>
      <x:c r="B80" s="24" t="n">
        <x:v>65.74071151944199</x:v>
      </x:c>
      <x:c r="C80" s="24" t="n">
        <x:v>73.19650312979871</x:v>
      </x:c>
      <x:c r="D80" s="24" t="n">
        <x:v>64.92034643048581</x:v>
      </x:c>
      <x:c r="E80" s="24" t="n">
        <x:v>69.59829082514338</x:v>
      </x:c>
      <x:c r="F80" s="24" t="n">
        <x:v>50</x:v>
      </x:c>
      <x:c r="G80" s="24" t="n">
        <x:v>63.62555754664477</x:v>
      </x:c>
      <x:c r="H80" s="24" t="n">
        <x:v>86.72036289109103</x:v>
      </x:c>
      <x:c r="I80" s="24" t="n">
        <x:v>69.53851099127894</x:v>
      </x:c>
      <x:c r="J80" s="24" t="n">
        <x:v>85.7387718837057</x:v>
      </x:c>
      <x:c r="K80" s="24" t="n">
        <x:v>68.28518483137131</x:v>
      </x:c>
    </x:row>
    <x:row r="81">
      <x:c r="A81" s="24" t="n">
        <x:v>7.9</x:v>
      </x:c>
      <x:c r="B81" s="24" t="n">
        <x:v>65.74071151944199</x:v>
      </x:c>
      <x:c r="C81" s="24" t="n">
        <x:v>63.306340267701586</x:v>
      </x:c>
      <x:c r="D81" s="24" t="n">
        <x:v>64.92034643048581</x:v>
      </x:c>
      <x:c r="E81" s="24" t="n">
        <x:v>69.32295618025867</x:v>
      </x:c>
      <x:c r="F81" s="24" t="n">
        <x:v>50</x:v>
      </x:c>
      <x:c r="G81" s="24" t="n">
        <x:v>63.37069096766116</x:v>
      </x:c>
      <x:c r="H81" s="24" t="n">
        <x:v>86.72036289109103</x:v>
      </x:c>
      <x:c r="I81" s="24" t="n">
        <x:v>70.26040594296151</x:v>
      </x:c>
      <x:c r="J81" s="24" t="n">
        <x:v>85.7387718837057</x:v>
      </x:c>
      <x:c r="K81" s="24" t="n">
        <x:v>68.44309078964896</x:v>
      </x:c>
    </x:row>
    <x:row r="82">
      <x:c r="A82" s="24" t="n">
        <x:v>8</x:v>
      </x:c>
      <x:c r="B82" s="24" t="n">
        <x:v>64.53963063012387</x:v>
      </x:c>
      <x:c r="C82" s="24" t="n">
        <x:v>58.54296568726665</x:v>
      </x:c>
      <x:c r="D82" s="24" t="n">
        <x:v>57.14753933904788</x:v>
      </x:c>
      <x:c r="E82" s="24" t="n">
        <x:v>69.64299750951659</x:v>
      </x:c>
      <x:c r="F82" s="24" t="n">
        <x:v>54.895918255502096</x:v>
      </x:c>
      <x:c r="G82" s="24" t="n">
        <x:v>63.37069096766116</x:v>
      </x:c>
      <x:c r="H82" s="24" t="n">
        <x:v>82.1715736449258</x:v>
      </x:c>
      <x:c r="I82" s="24" t="n">
        <x:v>70.26040594296151</x:v>
      </x:c>
      <x:c r="J82" s="24" t="n">
        <x:v>78.64603192975648</x:v>
      </x:c>
      <x:c r="K82" s="24" t="n">
        <x:v>68.44309078964896</x:v>
      </x:c>
    </x:row>
    <x:row r="83">
      <x:c r="A83" s="24" t="n">
        <x:v>8.1</x:v>
      </x:c>
      <x:c r="B83" s="24" t="n">
        <x:v>83.21204614551613</x:v>
      </x:c>
      <x:c r="C83" s="24" t="n">
        <x:v>57.45599839028682</x:v>
      </x:c>
      <x:c r="D83" s="24" t="n">
        <x:v>69.06010490412771</x:v>
      </x:c>
      <x:c r="E83" s="24" t="n">
        <x:v>73.5951519509475</x:v>
      </x:c>
      <x:c r="F83" s="24" t="n">
        <x:v>64.1367501352751</x:v>
      </x:c>
      <x:c r="G83" s="24" t="n">
        <x:v>62.62610293547759</x:v>
      </x:c>
      <x:c r="H83" s="24" t="n">
        <x:v>71.71355490200693</x:v>
      </x:c>
      <x:c r="I83" s="24" t="n">
        <x:v>70.05536175570927</x:v>
      </x:c>
      <x:c r="J83" s="24" t="n">
        <x:v>70.24448311347251</x:v>
      </x:c>
      <x:c r="K83" s="24" t="n">
        <x:v>85.11382408991182</x:v>
      </x:c>
    </x:row>
    <x:row r="84">
      <x:c r="A84" s="24" t="n">
        <x:v>8.200000000000001</x:v>
      </x:c>
      <x:c r="B84" s="24" t="n">
        <x:v>83.63204084863541</x:v>
      </x:c>
      <x:c r="C84" s="24" t="n">
        <x:v>56.36903109330699</x:v>
      </x:c>
      <x:c r="D84" s="24" t="n">
        <x:v>73.82513113015978</x:v>
      </x:c>
      <x:c r="E84" s="24" t="n">
        <x:v>85.80990723213586</x:v>
      </x:c>
      <x:c r="F84" s="24" t="n">
        <x:v>64.1367501352751</x:v>
      </x:c>
      <x:c r="G84" s="24" t="n">
        <x:v>62.640442090163944</x:v>
      </x:c>
      <x:c r="H84" s="24" t="n">
        <x:v>62.863826176266485</x:v>
      </x:c>
      <x:c r="I84" s="24" t="n">
        <x:v>68.12748055324035</x:v>
      </x:c>
      <x:c r="J84" s="24" t="n">
        <x:v>60.82047166771385</x:v>
      </x:c>
      <x:c r="K84" s="24" t="n">
        <x:v>87.97304815893175</x:v>
      </x:c>
    </x:row>
    <x:row r="85">
      <x:c r="A85" s="24" t="n">
        <x:v>8.3</x:v>
      </x:c>
      <x:c r="B85" s="24" t="n">
        <x:v>81.8510928758657</x:v>
      </x:c>
      <x:c r="C85" s="24" t="n">
        <x:v>55.28206379632716</x:v>
      </x:c>
      <x:c r="D85" s="24" t="n">
        <x:v>73.16434377382075</x:v>
      </x:c>
      <x:c r="E85" s="24" t="n">
        <x:v>85.80990723213586</x:v>
      </x:c>
      <x:c r="F85" s="24" t="n">
        <x:v>69.97111973111022</x:v>
      </x:c>
      <x:c r="G85" s="24" t="n">
        <x:v>64.29089824574392</x:v>
      </x:c>
      <x:c r="H85" s="24" t="n">
        <x:v>50</x:v>
      </x:c>
      <x:c r="I85" s="24" t="n">
        <x:v>65.69803740675906</x:v>
      </x:c>
      <x:c r="J85" s="24" t="n">
        <x:v>60.82047166771385</x:v>
      </x:c>
      <x:c r="K85" s="24" t="n">
        <x:v>87.97304815893175</x:v>
      </x:c>
    </x:row>
    <x:row r="86">
      <x:c r="A86" s="24" t="n">
        <x:v>8.4</x:v>
      </x:c>
      <x:c r="B86" s="24" t="n">
        <x:v>73.30781053394524</x:v>
      </x:c>
      <x:c r="C86" s="24" t="n">
        <x:v>54.195096499347336</x:v>
      </x:c>
      <x:c r="D86" s="24" t="n">
        <x:v>69.18064065343654</x:v>
      </x:c>
      <x:c r="E86" s="24" t="n">
        <x:v>78.28328708764963</x:v>
      </x:c>
      <x:c r="F86" s="24" t="n">
        <x:v>70.69537950289313</x:v>
      </x:c>
      <x:c r="G86" s="24" t="n">
        <x:v>64.29089824574392</x:v>
      </x:c>
      <x:c r="H86" s="24" t="n">
        <x:v>61.82652153517522</x:v>
      </x:c>
      <x:c r="I86" s="24" t="n">
        <x:v>71.46206962692445</x:v>
      </x:c>
      <x:c r="J86" s="24" t="n">
        <x:v>61.24275851732004</x:v>
      </x:c>
      <x:c r="K86" s="24" t="n">
        <x:v>80.30697647752459</x:v>
      </x:c>
    </x:row>
    <x:row r="87">
      <x:c r="A87" s="24" t="n">
        <x:v>8.5</x:v>
      </x:c>
      <x:c r="B87" s="24" t="n">
        <x:v>63.98859630203511</x:v>
      </x:c>
      <x:c r="C87" s="24" t="n">
        <x:v>53.108129202367515</x:v>
      </x:c>
      <x:c r="D87" s="24" t="n">
        <x:v>64.51825080963157</x:v>
      </x:c>
      <x:c r="E87" s="24" t="n">
        <x:v>69.70272600779096</x:v>
      </x:c>
      <x:c r="F87" s="24" t="n">
        <x:v>69.2552744554041</x:v>
      </x:c>
      <x:c r="G87" s="24" t="n">
        <x:v>62.70779624556369</x:v>
      </x:c>
      <x:c r="H87" s="24" t="n">
        <x:v>66.55713014924522</x:v>
      </x:c>
      <x:c r="I87" s="24" t="n">
        <x:v>77.9233136081331</x:v>
      </x:c>
      <x:c r="J87" s="24" t="n">
        <x:v>71.84811922805191</x:v>
      </x:c>
      <x:c r="K87" s="24" t="n">
        <x:v>69.81965219881776</x:v>
      </x:c>
    </x:row>
    <x:row r="88">
      <x:c r="A88" s="24" t="n">
        <x:v>8.6</x:v>
      </x:c>
      <x:c r="B88" s="24" t="n">
        <x:v>58.85877636092859</x:v>
      </x:c>
      <x:c r="C88" s="24" t="n">
        <x:v>55.850170161889956</x:v>
      </x:c>
      <x:c r="D88" s="24" t="n">
        <x:v>63.94570314056074</x:v>
      </x:c>
      <x:c r="E88" s="24" t="n">
        <x:v>62.07455202673029</x:v>
      </x:c>
      <x:c r="F88" s="24" t="n">
        <x:v>61.29724336114717</x:v>
      </x:c>
      <x:c r="G88" s="24" t="n">
        <x:v>62.81015573790096</x:v>
      </x:c>
      <x:c r="H88" s="24" t="n">
        <x:v>74.86670335342863</x:v>
      </x:c>
      <x:c r="I88" s="24" t="n">
        <x:v>77.9233136081331</x:v>
      </x:c>
      <x:c r="J88" s="24" t="n">
        <x:v>73.96919137019825</x:v>
      </x:c>
      <x:c r="K88" s="24" t="n">
        <x:v>67.52415993187557</x:v>
      </x:c>
    </x:row>
    <x:row r="89">
      <x:c r="A89" s="24" t="n">
        <x:v>8.700000000000001</x:v>
      </x:c>
      <x:c r="B89" s="24" t="n">
        <x:v>54.69511932862837</x:v>
      </x:c>
      <x:c r="C89" s="24" t="n">
        <x:v>63.79223985767615</x:v>
      </x:c>
      <x:c r="D89" s="24" t="n">
        <x:v>66.71952072544124</x:v>
      </x:c>
      <x:c r="E89" s="24" t="n">
        <x:v>58.72800403337344</x:v>
      </x:c>
      <x:c r="F89" s="24" t="n">
        <x:v>59.07158952825119</x:v>
      </x:c>
      <x:c r="G89" s="24" t="n">
        <x:v>62.877582497891126</x:v>
      </x:c>
      <x:c r="H89" s="24" t="n">
        <x:v>75.84750031834196</x:v>
      </x:c>
      <x:c r="I89" s="24" t="n">
        <x:v>70.72547515863069</x:v>
      </x:c>
      <x:c r="J89" s="24" t="n">
        <x:v>70.28248153995345</x:v>
      </x:c>
      <x:c r="K89" s="24" t="n">
        <x:v>69.28299878861644</x:v>
      </x:c>
    </x:row>
    <x:row r="90">
      <x:c r="A90" s="24" t="n">
        <x:v>8.8</x:v>
      </x:c>
      <x:c r="B90" s="24" t="n">
        <x:v>52.87224478341048</x:v>
      </x:c>
      <x:c r="C90" s="24" t="n">
        <x:v>71.7343095534622</x:v>
      </x:c>
      <x:c r="D90" s="24" t="n">
        <x:v>66.71952072544124</x:v>
      </x:c>
      <x:c r="E90" s="24" t="n">
        <x:v>67.34807090434519</x:v>
      </x:c>
      <x:c r="F90" s="24" t="n">
        <x:v>64.81135242743223</x:v>
      </x:c>
      <x:c r="G90" s="24" t="n">
        <x:v>79.00790257786969</x:v>
      </x:c>
      <x:c r="H90" s="24" t="n">
        <x:v>75.84750031834196</x:v>
      </x:c>
      <x:c r="I90" s="24" t="n">
        <x:v>69.61241974652796</x:v>
      </x:c>
      <x:c r="J90" s="24" t="n">
        <x:v>67.26169068936032</x:v>
      </x:c>
      <x:c r="K90" s="24" t="n">
        <x:v>67.7043680165149</x:v>
      </x:c>
    </x:row>
    <x:row r="91">
      <x:c r="A91" s="24" t="n">
        <x:v>8.9</x:v>
      </x:c>
      <x:c r="B91" s="24" t="n">
        <x:v>54.868428294308714</x:v>
      </x:c>
      <x:c r="C91" s="24" t="n">
        <x:v>71.7343095534622</x:v>
      </x:c>
      <x:c r="D91" s="24" t="n">
        <x:v>66.07563352531949</x:v>
      </x:c>
      <x:c r="E91" s="24" t="n">
        <x:v>67.34807090434519</x:v>
      </x:c>
      <x:c r="F91" s="24" t="n">
        <x:v>66.30060762755048</x:v>
      </x:c>
      <x:c r="G91" s="24" t="n">
        <x:v>79.00790257786969</x:v>
      </x:c>
      <x:c r="H91" s="24" t="n">
        <x:v>51.02451629988019</x:v>
      </x:c>
      <x:c r="I91" s="24" t="n">
        <x:v>68.49936433442525</x:v>
      </x:c>
      <x:c r="J91" s="24" t="n">
        <x:v>68.41351388465907</x:v>
      </x:c>
      <x:c r="K91" s="24" t="n">
        <x:v>73.63922825294857</x:v>
      </x:c>
    </x:row>
    <x:row r="92">
      <x:c r="A92" s="24" t="n">
        <x:v>9</x:v>
      </x:c>
      <x:c r="B92" s="24" t="n">
        <x:v>62.25199059131916</x:v>
      </x:c>
      <x:c r="C92" s="24" t="n">
        <x:v>70.07418209107477</x:v>
      </x:c>
      <x:c r="D92" s="24" t="n">
        <x:v>65.98804811693303</x:v>
      </x:c>
      <x:c r="E92" s="24" t="n">
        <x:v>63.43384169421563</x:v>
      </x:c>
      <x:c r="F92" s="24" t="n">
        <x:v>66.98781574569233</x:v>
      </x:c>
      <x:c r="G92" s="24" t="n">
        <x:v>73.91963788900243</x:v>
      </x:c>
      <x:c r="H92" s="24" t="n">
        <x:v>72.39936401050807</x:v>
      </x:c>
      <x:c r="I92" s="24" t="n">
        <x:v>67.38630892232254</x:v>
      </x:c>
      <x:c r="J92" s="24" t="n">
        <x:v>67.66669201960835</x:v>
      </x:c>
      <x:c r="K92" s="24" t="n">
        <x:v>74.08849897295164</x:v>
      </x:c>
    </x:row>
    <x:row r="93">
      <x:c r="A93" s="24" t="n">
        <x:v>9.1</x:v>
      </x:c>
      <x:c r="B93" s="24" t="n">
        <x:v>63.86949834119359</x:v>
      </x:c>
      <x:c r="C93" s="24" t="n">
        <x:v>63.53908733309821</x:v>
      </x:c>
      <x:c r="D93" s="24" t="n">
        <x:v>66.0505093524279</x:v>
      </x:c>
      <x:c r="E93" s="24" t="n">
        <x:v>69.7444208617938</x:v>
      </x:c>
      <x:c r="F93" s="24" t="n">
        <x:v>66.98781574569233</x:v>
      </x:c>
      <x:c r="G93" s="24" t="n">
        <x:v>62.275951084463806</x:v>
      </x:c>
      <x:c r="H93" s="24" t="n">
        <x:v>72.85531701333561</x:v>
      </x:c>
      <x:c r="I93" s="24" t="n">
        <x:v>66.27325351021983</x:v>
      </x:c>
      <x:c r="J93" s="24" t="n">
        <x:v>68.39379551889928</x:v>
      </x:c>
      <x:c r="K93" s="24" t="n">
        <x:v>71.64483615039492</x:v>
      </x:c>
    </x:row>
    <x:row r="94">
      <x:c r="A94" s="24" t="n">
        <x:v>9.200000000000001</x:v>
      </x:c>
      <x:c r="B94" s="24" t="n">
        <x:v>61.557915284327855</x:v>
      </x:c>
      <x:c r="C94" s="24" t="n">
        <x:v>60.14897958172394</x:v>
      </x:c>
      <x:c r="D94" s="24" t="n">
        <x:v>66.050509352428</x:v>
      </x:c>
      <x:c r="E94" s="24" t="n">
        <x:v>75.32023108460538</x:v>
      </x:c>
      <x:c r="F94" s="24" t="n">
        <x:v>67.07872645890089</x:v>
      </x:c>
      <x:c r="G94" s="24" t="n">
        <x:v>50</x:v>
      </x:c>
      <x:c r="H94" s="24" t="n">
        <x:v>75.88135985672577</x:v>
      </x:c>
      <x:c r="I94" s="24" t="n">
        <x:v>66.27325351021983</x:v>
      </x:c>
      <x:c r="J94" s="24" t="n">
        <x:v>68.39379551889928</x:v>
      </x:c>
      <x:c r="K94" s="24" t="n">
        <x:v>63.37077057146796</x:v>
      </x:c>
    </x:row>
    <x:row r="95">
      <x:c r="A95" s="24" t="n">
        <x:v>9.3</x:v>
      </x:c>
      <x:c r="B95" s="24" t="n">
        <x:v>50</x:v>
      </x:c>
      <x:c r="C95" s="24" t="n">
        <x:v>63.82650838675592</x:v>
      </x:c>
      <x:c r="D95" s="24" t="n">
        <x:v>67.10779359976837</x:v>
      </x:c>
      <x:c r="E95" s="24" t="n">
        <x:v>75.32023108460538</x:v>
      </x:c>
      <x:c r="F95" s="24" t="n">
        <x:v>67.61448799207466</x:v>
      </x:c>
      <x:c r="G95" s="24" t="n">
        <x:v>53.31998103027726</x:v>
      </x:c>
      <x:c r="H95" s="24" t="n">
        <x:v>76.00387553541717</x:v>
      </x:c>
      <x:c r="I95" s="24" t="n">
        <x:v>72.59972856714867</x:v>
      </x:c>
      <x:c r="J95" s="24" t="n">
        <x:v>68.28225758123553</x:v>
      </x:c>
      <x:c r="K95" s="24" t="n">
        <x:v>67.89840249395463</x:v>
      </x:c>
    </x:row>
    <x:row r="96">
      <x:c r="A96" s="24" t="n">
        <x:v>9.4</x:v>
      </x:c>
      <x:c r="B96" s="24" t="n">
        <x:v>50</x:v>
      </x:c>
      <x:c r="C96" s="24" t="n">
        <x:v>65.45627524430374</x:v>
      </x:c>
      <x:c r="D96" s="24" t="n">
        <x:v>67.9220870568854</x:v>
      </x:c>
      <x:c r="E96" s="24" t="n">
        <x:v>68.07441548994424</x:v>
      </x:c>
      <x:c r="F96" s="24" t="n">
        <x:v>67.85083290199178</x:v>
      </x:c>
      <x:c r="G96" s="24" t="n">
        <x:v>61.6199336059702</x:v>
      </x:c>
      <x:c r="H96" s="24" t="n">
        <x:v>76.69137732566733</x:v>
      </x:c>
      <x:c r="I96" s="24" t="n">
        <x:v>74.97164591358398</x:v>
      </x:c>
      <x:c r="J96" s="24" t="n">
        <x:v>85.7316103723705</x:v>
      </x:c>
      <x:c r="K96" s="24" t="n">
        <x:v>67.89840249395463</x:v>
      </x:c>
    </x:row>
    <x:row r="97">
      <x:c r="A97" s="24" t="n">
        <x:v>9.5</x:v>
      </x:c>
      <x:c r="B97" s="24" t="n">
        <x:v>59.13740931599904</x:v>
      </x:c>
      <x:c r="C97" s="24" t="n">
        <x:v>65.45627524430374</x:v>
      </x:c>
      <x:c r="D97" s="24" t="n">
        <x:v>67.9220870568854</x:v>
      </x:c>
      <x:c r="E97" s="24" t="n">
        <x:v>50</x:v>
      </x:c>
      <x:c r="F97" s="24" t="n">
        <x:v>66.67679771865322</x:v>
      </x:c>
      <x:c r="G97" s="24" t="n">
        <x:v>63.27992412110876</x:v>
      </x:c>
      <x:c r="H97" s="24" t="n">
        <x:v>76.12942295742914</x:v>
      </x:c>
      <x:c r="I97" s="24" t="n">
        <x:v>74.42765740109868</x:v>
      </x:c>
      <x:c r="J97" s="24" t="n">
        <x:v>85.7316103723705</x:v>
      </x:c>
      <x:c r="K97" s="24" t="n">
        <x:v>67.73535252777326</x:v>
      </x:c>
    </x:row>
    <x:row r="98">
      <x:c r="A98" s="24" t="n">
        <x:v>9.600000000000001</x:v>
      </x:c>
      <x:c r="B98" s="24" t="n">
        <x:v>76.06415324497208</x:v>
      </x:c>
      <x:c r="C98" s="24" t="n">
        <x:v>65.4462725343106</x:v>
      </x:c>
      <x:c r="D98" s="24" t="n">
        <x:v>67.11312926220808</x:v>
      </x:c>
      <x:c r="E98" s="24" t="n">
        <x:v>66.2866639595066</x:v>
      </x:c>
      <x:c r="F98" s="24" t="n">
        <x:v>67.32906928160618</x:v>
      </x:c>
      <x:c r="G98" s="24" t="n">
        <x:v>63.00553868258905</x:v>
      </x:c>
      <x:c r="H98" s="24" t="n">
        <x:v>76.12942295742907</x:v>
      </x:c>
      <x:c r="I98" s="24" t="n">
        <x:v>61.9458563283123</x:v>
      </x:c>
      <x:c r="J98" s="24" t="n">
        <x:v>80.25748203824682</x:v>
      </x:c>
      <x:c r="K98" s="24" t="n">
        <x:v>70.6452679127743</x:v>
      </x:c>
    </x:row>
    <x:row r="99">
      <x:c r="A99" s="24" t="n">
        <x:v>9.700000000000001</x:v>
      </x:c>
      <x:c r="B99" s="24" t="n">
        <x:v>76.16259192325612</x:v>
      </x:c>
      <x:c r="C99" s="24" t="n">
        <x:v>65.88729823424887</x:v>
      </x:c>
      <x:c r="D99" s="24" t="n">
        <x:v>67.11312926220808</x:v>
      </x:c>
      <x:c r="E99" s="24" t="n">
        <x:v>67.21806214948316</x:v>
      </x:c>
      <x:c r="F99" s="24" t="n">
        <x:v>67.32906928160618</x:v>
      </x:c>
      <x:c r="G99" s="24" t="n">
        <x:v>70.57148171615626</x:v>
      </x:c>
      <x:c r="H99" s="24" t="n">
        <x:v>77.0798062239237</x:v>
      </x:c>
      <x:c r="I99" s="24" t="n">
        <x:v>66.64476423566046</x:v>
      </x:c>
      <x:c r="J99" s="24" t="n">
        <x:v>72.79891836702117</x:v>
      </x:c>
      <x:c r="K99" s="24" t="n">
        <x:v>87.81401302163584</x:v>
      </x:c>
    </x:row>
    <x:row r="100">
      <x:c r="A100" s="24" t="n">
        <x:v>9.8</x:v>
      </x:c>
      <x:c r="B100" s="24" t="n">
        <x:v>74.42683594855768</x:v>
      </x:c>
      <x:c r="C100" s="24" t="n">
        <x:v>65.88729823424887</x:v>
      </x:c>
      <x:c r="D100" s="24" t="n">
        <x:v>65.8179588973982</x:v>
      </x:c>
      <x:c r="E100" s="24" t="n">
        <x:v>69.43860317135075</x:v>
      </x:c>
      <x:c r="F100" s="24" t="n">
        <x:v>66.9443832374252</x:v>
      </x:c>
      <x:c r="G100" s="24" t="n">
        <x:v>70.57148171615626</x:v>
      </x:c>
      <x:c r="H100" s="24" t="n">
        <x:v>77.0798062239237</x:v>
      </x:c>
      <x:c r="I100" s="24" t="n">
        <x:v>69.01312069282471</x:v>
      </x:c>
      <x:c r="J100" s="24" t="n">
        <x:v>67.75970656612503</x:v>
      </x:c>
      <x:c r="K100" s="24" t="n">
        <x:v>87.81401302163584</x:v>
      </x:c>
    </x:row>
    <x:row r="101">
      <x:c r="A101" s="24" t="n">
        <x:v>9.9</x:v>
      </x:c>
      <x:c r="B101" s="24" t="n">
        <x:v>69.61483739826167</x:v>
      </x:c>
      <x:c r="C101" s="24" t="n">
        <x:v>65.30897078238257</x:v>
      </x:c>
      <x:c r="D101" s="24" t="n">
        <x:v>83.12688556508151</x:v>
      </x:c>
      <x:c r="E101" s="24" t="n">
        <x:v>69.43860317135075</x:v>
      </x:c>
      <x:c r="F101" s="24" t="n">
        <x:v>61.837745425107464</x:v>
      </x:c>
      <x:c r="G101" s="24" t="n">
        <x:v>63.50812638083414</x:v>
      </x:c>
      <x:c r="H101" s="24" t="n">
        <x:v>75.58299415777375</x:v>
      </x:c>
      <x:c r="I101" s="24" t="n">
        <x:v>69.01312069282471</x:v>
      </x:c>
      <x:c r="J101" s="24" t="n">
        <x:v>62.873614332637196</x:v>
      </x:c>
      <x:c r="K101" s="24" t="n">
        <x:v>82.50289706682314</x:v>
      </x:c>
    </x:row>
    <x:row r="102">
      <x:c r="A102" s="24" t="n">
        <x:v>10</x:v>
      </x:c>
      <x:c r="B102" s="24" t="n">
        <x:v>65.16917200526919</x:v>
      </x:c>
      <x:c r="C102" s="24" t="n">
        <x:v>65.81437171921273</x:v>
      </x:c>
      <x:c r="D102" s="24" t="n">
        <x:v>83.12688556508151</x:v>
      </x:c>
      <x:c r="E102" s="24" t="n">
        <x:v>69.23127431590416</x:v>
      </x:c>
      <x:c r="F102" s="24" t="n">
        <x:v>60.40751542520589</x:v>
      </x:c>
      <x:c r="G102" s="24" t="n">
        <x:v>62.74826707632208</x:v>
      </x:c>
      <x:c r="H102" s="24" t="n">
        <x:v>72.7501723836433</x:v>
      </x:c>
      <x:c r="I102" s="24" t="n">
        <x:v>68.46807147265045</x:v>
      </x:c>
      <x:c r="J102" s="24" t="n">
        <x:v>67.88065577756633</x:v>
      </x:c>
      <x:c r="K102" s="24" t="n">
        <x:v>73.46510347505574</x:v>
      </x:c>
    </x:row>
    <x:row r="103">
      <x:c r="A103" s="24" t="n">
        <x:v>10.100000000000001</x:v>
      </x:c>
      <x:c r="B103" s="24" t="n">
        <x:v>60.71915917188831</x:v>
      </x:c>
      <x:c r="C103" s="24" t="n">
        <x:v>66.15539314312804</x:v>
      </x:c>
      <x:c r="D103" s="24" t="n">
        <x:v>77.91787372310951</x:v>
      </x:c>
      <x:c r="E103" s="24" t="n">
        <x:v>69.0942517001044</x:v>
      </x:c>
      <x:c r="F103" s="24" t="n">
        <x:v>78.13235737613572</x:v>
      </x:c>
      <x:c r="G103" s="24" t="n">
        <x:v>64.05173598387528</x:v>
      </x:c>
      <x:c r="H103" s="24" t="n">
        <x:v>84.27343764252288</x:v>
      </x:c>
      <x:c r="I103" s="24" t="n">
        <x:v>68.52877909172418</x:v>
      </x:c>
      <x:c r="J103" s="24" t="n">
        <x:v>72.88769722249546</x:v>
      </x:c>
      <x:c r="K103" s="24" t="n">
        <x:v>68.0133466818955</x:v>
      </x:c>
    </x:row>
    <x:row r="104">
      <x:c r="A104" s="24" t="n">
        <x:v>10.200000000000001</x:v>
      </x:c>
      <x:c r="B104" s="24" t="n">
        <x:v>61.40439127463487</x:v>
      </x:c>
      <x:c r="C104" s="24" t="n">
        <x:v>66.50221136664057</x:v>
      </x:c>
      <x:c r="D104" s="24" t="n">
        <x:v>69.20423379597057</x:v>
      </x:c>
      <x:c r="E104" s="24" t="n">
        <x:v>68.2364318949985</x:v>
      </x:c>
      <x:c r="F104" s="24" t="n">
        <x:v>78.13235737613572</x:v>
      </x:c>
      <x:c r="G104" s="24" t="n">
        <x:v>64.3469133081388</x:v>
      </x:c>
      <x:c r="H104" s="24" t="n">
        <x:v>84.27343764252288</x:v>
      </x:c>
      <x:c r="I104" s="24" t="n">
        <x:v>68.55769177722598</x:v>
      </x:c>
      <x:c r="J104" s="24" t="n">
        <x:v>72.1931715733691</x:v>
      </x:c>
      <x:c r="K104" s="24" t="n">
        <x:v>66.95139350438774</x:v>
      </x:c>
    </x:row>
    <x:row r="105">
      <x:c r="A105" s="24" t="n">
        <x:v>10.3</x:v>
      </x:c>
      <x:c r="B105" s="24" t="n">
        <x:v>64.75492703851907</x:v>
      </x:c>
      <x:c r="C105" s="24" t="n">
        <x:v>66.86814514135094</x:v>
      </x:c>
      <x:c r="D105" s="24" t="n">
        <x:v>60.86240395579442</x:v>
      </x:c>
      <x:c r="E105" s="24" t="n">
        <x:v>68.95421127544341</x:v>
      </x:c>
      <x:c r="F105" s="24" t="n">
        <x:v>72.56118451754527</x:v>
      </x:c>
      <x:c r="G105" s="24" t="n">
        <x:v>64.0632476746539</x:v>
      </x:c>
      <x:c r="H105" s="24" t="n">
        <x:v>82.30093842697538</x:v>
      </x:c>
      <x:c r="I105" s="24" t="n">
        <x:v>70.07395096657697</x:v>
      </x:c>
      <x:c r="J105" s="24" t="n">
        <x:v>71.61314806163848</x:v>
      </x:c>
      <x:c r="K105" s="24" t="n">
        <x:v>61.157121011314</x:v>
      </x:c>
    </x:row>
    <x:row r="106">
      <x:c r="A106" s="24" t="n">
        <x:v>10.4</x:v>
      </x:c>
      <x:c r="B106" s="24" t="n">
        <x:v>64.75492703851907</x:v>
      </x:c>
      <x:c r="C106" s="24" t="n">
        <x:v>66.86814514135094</x:v>
      </x:c>
      <x:c r="D106" s="24" t="n">
        <x:v>50</x:v>
      </x:c>
      <x:c r="E106" s="24" t="n">
        <x:v>70.46372307200589</x:v>
      </x:c>
      <x:c r="F106" s="24" t="n">
        <x:v>65.336988243919</x:v>
      </x:c>
      <x:c r="G106" s="24" t="n">
        <x:v>63.5142762535379</x:v>
      </x:c>
      <x:c r="H106" s="24" t="n">
        <x:v>72.068540843856</x:v>
      </x:c>
      <x:c r="I106" s="24" t="n">
        <x:v>88.70111783237107</x:v>
      </x:c>
      <x:c r="J106" s="24" t="n">
        <x:v>71.91098953616773</x:v>
      </x:c>
      <x:c r="K106" s="24" t="n">
        <x:v>71.24879189911896</x:v>
      </x:c>
    </x:row>
    <x:row r="107">
      <x:c r="A107" s="24" t="n">
        <x:v>10.5</x:v>
      </x:c>
      <x:c r="B107" s="24" t="n">
        <x:v>64.64804146960267</x:v>
      </x:c>
      <x:c r="C107" s="24" t="n">
        <x:v>61.82297939802218</x:v>
      </x:c>
      <x:c r="D107" s="24" t="n">
        <x:v>50</x:v>
      </x:c>
      <x:c r="E107" s="24" t="n">
        <x:v>70.74230118968715</x:v>
      </x:c>
      <x:c r="F107" s="24" t="n">
        <x:v>58.734315762358605</x:v>
      </x:c>
      <x:c r="G107" s="24" t="n">
        <x:v>64.5069688002434</x:v>
      </x:c>
      <x:c r="H107" s="24" t="n">
        <x:v>68.0939338949739</x:v>
      </x:c>
      <x:c r="I107" s="24" t="n">
        <x:v>88.70111783237107</x:v>
      </x:c>
      <x:c r="J107" s="24" t="n">
        <x:v>71.91098953616773</x:v>
      </x:c>
      <x:c r="K107" s="24" t="n">
        <x:v>74.52673355668531</x:v>
      </x:c>
    </x:row>
    <x:row r="108">
      <x:c r="A108" s="24" t="n">
        <x:v>10.600000000000001</x:v>
      </x:c>
      <x:c r="B108" s="24" t="n">
        <x:v>63.708002598809124</x:v>
      </x:c>
      <x:c r="C108" s="24" t="n">
        <x:v>56.74445610376082</x:v>
      </x:c>
      <x:c r="D108" s="24" t="n">
        <x:v>53.003234621727906</x:v>
      </x:c>
      <x:c r="E108" s="24" t="n">
        <x:v>82.11103414664606</x:v>
      </x:c>
      <x:c r="F108" s="24" t="n">
        <x:v>50</x:v>
      </x:c>
      <x:c r="G108" s="24" t="n">
        <x:v>64.5069688002434</x:v>
      </x:c>
      <x:c r="H108" s="24" t="n">
        <x:v>67.27029626157743</x:v>
      </x:c>
      <x:c r="I108" s="24" t="n">
        <x:v>84.80135671891375</x:v>
      </x:c>
      <x:c r="J108" s="24" t="n">
        <x:v>70.10493887866369</x:v>
      </x:c>
      <x:c r="K108" s="24" t="n">
        <x:v>73.88803140101278</x:v>
      </x:c>
    </x:row>
    <x:row r="109">
      <x:c r="A109" s="24" t="n">
        <x:v>10.700000000000001</x:v>
      </x:c>
      <x:c r="B109" s="24" t="n">
        <x:v>65.08063557862287</x:v>
      </x:c>
      <x:c r="C109" s="24" t="n">
        <x:v>55.29891743696106</x:v>
      </x:c>
      <x:c r="D109" s="24" t="n">
        <x:v>62.99510800944526</x:v>
      </x:c>
      <x:c r="E109" s="24" t="n">
        <x:v>82.11103414664606</x:v>
      </x:c>
      <x:c r="F109" s="24" t="n">
        <x:v>52.68953047499197</x:v>
      </x:c>
      <x:c r="G109" s="24" t="n">
        <x:v>64.01187056846791</x:v>
      </x:c>
      <x:c r="H109" s="24" t="n">
        <x:v>66.44665862818097</x:v>
      </x:c>
      <x:c r="I109" s="24" t="n">
        <x:v>78.52627979898801</x:v>
      </x:c>
      <x:c r="J109" s="24" t="n">
        <x:v>70.80083914241243</x:v>
      </x:c>
      <x:c r="K109" s="24" t="n">
        <x:v>50</x:v>
      </x:c>
    </x:row>
    <x:row r="110">
      <x:c r="A110" s="24" t="n">
        <x:v>10.8</x:v>
      </x:c>
      <x:c r="B110" s="24" t="n">
        <x:v>64.6008348413655</x:v>
      </x:c>
      <x:c r="C110" s="24" t="n">
        <x:v>53.853378770161314</x:v>
      </x:c>
      <x:c r="D110" s="24" t="n">
        <x:v>62.99510800944526</x:v>
      </x:c>
      <x:c r="E110" s="24" t="n">
        <x:v>77.80649116367935</x:v>
      </x:c>
      <x:c r="F110" s="24" t="n">
        <x:v>59.413356662471706</x:v>
      </x:c>
      <x:c r="G110" s="24" t="n">
        <x:v>64.9215239943436</x:v>
      </x:c>
      <x:c r="H110" s="24" t="n">
        <x:v>65.78774852146381</x:v>
      </x:c>
      <x:c r="I110" s="24" t="n">
        <x:v>76.20169800373645</x:v>
      </x:c>
      <x:c r="J110" s="24" t="n">
        <x:v>70.80083914241243</x:v>
      </x:c>
      <x:c r="K110" s="24" t="n">
        <x:v>65.37321673967283</x:v>
      </x:c>
    </x:row>
    <x:row r="111">
      <x:c r="A111" s="24" t="n">
        <x:v>10.9</x:v>
      </x:c>
      <x:c r="B111" s="24" t="n">
        <x:v>64.6008348413655</x:v>
      </x:c>
      <x:c r="C111" s="24" t="n">
        <x:v>53.04938616208195</x:v>
      </x:c>
      <x:c r="D111" s="24" t="n">
        <x:v>55.34057222845064</x:v>
      </x:c>
      <x:c r="E111" s="24" t="n">
        <x:v>66.26277358803908</x:v>
      </x:c>
      <x:c r="F111" s="24" t="n">
        <x:v>64.79241761245552</x:v>
      </x:c>
      <x:c r="G111" s="24" t="n">
        <x:v>64.9215239943436</x:v>
      </x:c>
      <x:c r="H111" s="24" t="n">
        <x:v>71.23094169042602</x:v>
      </x:c>
      <x:c r="I111" s="24" t="n">
        <x:v>74.96539961516774</x:v>
      </x:c>
      <x:c r="J111" s="24" t="n">
        <x:v>72.07659209338188</x:v>
      </x:c>
      <x:c r="K111" s="24" t="n">
        <x:v>66.11564796824892</x:v>
      </x:c>
    </x:row>
    <x:row r="112">
      <x:c r="A112" s="24" t="n">
        <x:v>11</x:v>
      </x:c>
      <x:c r="B112" s="24" t="n">
        <x:v>64.1903126441378</x:v>
      </x:c>
      <x:c r="C112" s="24" t="n">
        <x:v>54.81157778888419</x:v>
      </x:c>
      <x:c r="D112" s="24" t="n">
        <x:v>68.91205139392386</x:v>
      </x:c>
      <x:c r="E112" s="24" t="n">
        <x:v>50</x:v>
      </x:c>
      <x:c r="F112" s="24" t="n">
        <x:v>64.79241761245552</x:v>
      </x:c>
      <x:c r="G112" s="24" t="n">
        <x:v>72.70770183021966</x:v>
      </x:c>
      <x:c r="H112" s="24" t="n">
        <x:v>76.06651022629217</x:v>
      </x:c>
      <x:c r="I112" s="24" t="n">
        <x:v>73.42554142369963</x:v>
      </x:c>
      <x:c r="J112" s="24" t="n">
        <x:v>81.16468803647959</x:v>
      </x:c>
      <x:c r="K112" s="24" t="n">
        <x:v>67.29914211480957</x:v>
      </x:c>
    </x:row>
    <x:row r="113">
      <x:c r="A113" s="24" t="n">
        <x:v>11.100000000000001</x:v>
      </x:c>
      <x:c r="B113" s="24" t="n">
        <x:v>64.88107460279599</x:v>
      </x:c>
      <x:c r="C113" s="24" t="n">
        <x:v>54.811577788884094</x:v>
      </x:c>
      <x:c r="D113" s="24" t="n">
        <x:v>73.5136397979378</x:v>
      </x:c>
      <x:c r="E113" s="24" t="n">
        <x:v>61.47463574820933</x:v>
      </x:c>
      <x:c r="F113" s="24" t="n">
        <x:v>68.78803409505718</x:v>
      </x:c>
      <x:c r="G113" s="24" t="n">
        <x:v>73.54670928763454</x:v>
      </x:c>
      <x:c r="H113" s="24" t="n">
        <x:v>76.06651022629217</x:v>
      </x:c>
      <x:c r="I113" s="24" t="n">
        <x:v>71.32063468391306</x:v>
      </x:c>
      <x:c r="J113" s="24" t="n">
        <x:v>81.16468803647959</x:v>
      </x:c>
      <x:c r="K113" s="24" t="n">
        <x:v>67.2991421148095</x:v>
      </x:c>
    </x:row>
    <x:row r="114">
      <x:c r="A114" s="24" t="n">
        <x:v>11.200000000000001</x:v>
      </x:c>
      <x:c r="B114" s="24" t="n">
        <x:v>64.88107460279599</x:v>
      </x:c>
      <x:c r="C114" s="24" t="n">
        <x:v>50.000000000000036</x:v>
      </x:c>
      <x:c r="D114" s="24" t="n">
        <x:v>73.5136397979378</x:v>
      </x:c>
      <x:c r="E114" s="24" t="n">
        <x:v>66.0644900474929</x:v>
      </x:c>
      <x:c r="F114" s="24" t="n">
        <x:v>68.78803409505718</x:v>
      </x:c>
      <x:c r="G114" s="24" t="n">
        <x:v>73.12773400735607</x:v>
      </x:c>
      <x:c r="H114" s="24" t="n">
        <x:v>68.29821036174351</x:v>
      </x:c>
      <x:c r="I114" s="24" t="n">
        <x:v>73.40808788933286</x:v>
      </x:c>
      <x:c r="J114" s="24" t="n">
        <x:v>75.76286525273177</x:v>
      </x:c>
      <x:c r="K114" s="24" t="n">
        <x:v>67.84771080656293</x:v>
      </x:c>
    </x:row>
    <x:row r="115">
      <x:c r="A115" s="24" t="n">
        <x:v>11.3</x:v>
      </x:c>
      <x:c r="B115" s="24" t="n">
        <x:v>62.901584190239916</x:v>
      </x:c>
      <x:c r="C115" s="24" t="n">
        <x:v>51.90650251013764</x:v>
      </x:c>
      <x:c r="D115" s="24" t="n">
        <x:v>67.42284548335465</x:v>
      </x:c>
      <x:c r="E115" s="24" t="n">
        <x:v>66.22716390007128</x:v>
      </x:c>
      <x:c r="F115" s="24" t="n">
        <x:v>62.528974177842194</x:v>
      </x:c>
      <x:c r="G115" s="24" t="n">
        <x:v>62.62430151239472</x:v>
      </x:c>
      <x:c r="H115" s="24" t="n">
        <x:v>69.49955242553337</x:v>
      </x:c>
      <x:c r="I115" s="24" t="n">
        <x:v>76.28580922287456</x:v>
      </x:c>
      <x:c r="J115" s="24" t="n">
        <x:v>63.31458299482583</x:v>
      </x:c>
      <x:c r="K115" s="24" t="n">
        <x:v>87.99764929552403</x:v>
      </x:c>
    </x:row>
    <x:row r="116">
      <x:c r="A116" s="24" t="n">
        <x:v>11.4</x:v>
      </x:c>
      <x:c r="B116" s="24" t="n">
        <x:v>65.74269980752979</x:v>
      </x:c>
      <x:c r="C116" s="24" t="n">
        <x:v>52.66910351419267</x:v>
      </x:c>
      <x:c r="D116" s="24" t="n">
        <x:v>63.637415552659924</x:v>
      </x:c>
      <x:c r="E116" s="24" t="n">
        <x:v>66.22716390007128</x:v>
      </x:c>
      <x:c r="F116" s="24" t="n">
        <x:v>60.91125246606491</x:v>
      </x:c>
      <x:c r="G116" s="24" t="n">
        <x:v>50</x:v>
      </x:c>
      <x:c r="H116" s="24" t="n">
        <x:v>74.01078251566724</x:v>
      </x:c>
      <x:c r="I116" s="24" t="n">
        <x:v>76.28580922287456</x:v>
      </x:c>
      <x:c r="J116" s="24" t="n">
        <x:v>57.15973456904012</x:v>
      </x:c>
      <x:c r="K116" s="24" t="n">
        <x:v>87.99764929552403</x:v>
      </x:c>
    </x:row>
    <x:row r="117">
      <x:c r="A117" s="24" t="n">
        <x:v>11.5</x:v>
      </x:c>
      <x:c r="B117" s="24" t="n">
        <x:v>65.74269980752979</x:v>
      </x:c>
      <x:c r="C117" s="24" t="n">
        <x:v>53.326755461310654</x:v>
      </x:c>
      <x:c r="D117" s="24" t="n">
        <x:v>61.380246225902376</x:v>
      </x:c>
      <x:c r="E117" s="24" t="n">
        <x:v>68.55897018350225</x:v>
      </x:c>
      <x:c r="F117" s="24" t="n">
        <x:v>64.60827212669889</x:v>
      </x:c>
      <x:c r="G117" s="24" t="n">
        <x:v>50</x:v>
      </x:c>
      <x:c r="H117" s="24" t="n">
        <x:v>74.01078251566724</x:v>
      </x:c>
      <x:c r="I117" s="24" t="n">
        <x:v>66.50429372502545</x:v>
      </x:c>
      <x:c r="J117" s="24" t="n">
        <x:v>66.78130019669159</x:v>
      </x:c>
      <x:c r="K117" s="24" t="n">
        <x:v>84.58599125442066</x:v>
      </x:c>
    </x:row>
    <x:row r="118">
      <x:c r="A118" s="24" t="n">
        <x:v>11.600000000000001</x:v>
      </x:c>
      <x:c r="B118" s="24" t="n">
        <x:v>64.47929671386092</x:v>
      </x:c>
      <x:c r="C118" s="24" t="n">
        <x:v>54.14882039520814</x:v>
      </x:c>
      <x:c r="D118" s="24" t="n">
        <x:v>65.24905093875137</x:v>
      </x:c>
      <x:c r="E118" s="24" t="n">
        <x:v>72.44531398922057</x:v>
      </x:c>
      <x:c r="F118" s="24" t="n">
        <x:v>64.60827212669889</x:v>
      </x:c>
      <x:c r="G118" s="24" t="n">
        <x:v>50.00000000000024</x:v>
      </x:c>
      <x:c r="H118" s="24" t="n">
        <x:v>76.05962092770292</x:v>
      </x:c>
      <x:c r="I118" s="24" t="n">
        <x:v>50.00000000000133</x:v>
      </x:c>
      <x:c r="J118" s="24" t="n">
        <x:v>68.86122312352308</x:v>
      </x:c>
      <x:c r="K118" s="24" t="n">
        <x:v>79.31762927126833</x:v>
      </x:c>
    </x:row>
    <x:row r="119">
      <x:c r="A119" s="24" t="n">
        <x:v>11.700000000000001</x:v>
      </x:c>
      <x:c r="B119" s="24" t="n">
        <x:v>80.14995554178921</x:v>
      </x:c>
      <x:c r="C119" s="24" t="n">
        <x:v>54.97088532910561</x:v>
      </x:c>
      <x:c r="D119" s="24" t="n">
        <x:v>65.25214165423691</x:v>
      </x:c>
      <x:c r="E119" s="24" t="n">
        <x:v>75.56261722776277</x:v>
      </x:c>
      <x:c r="F119" s="24" t="n">
        <x:v>65.84359163065221</x:v>
      </x:c>
      <x:c r="G119" s="24" t="n">
        <x:v>63.76316787008623</x:v>
      </x:c>
      <x:c r="H119" s="24" t="n">
        <x:v>76.05962092770292</x:v>
      </x:c>
      <x:c r="I119" s="24" t="n">
        <x:v>68.37499117237664</x:v>
      </x:c>
      <x:c r="J119" s="24" t="n">
        <x:v>72.20781469258301</x:v>
      </x:c>
      <x:c r="K119" s="24" t="n">
        <x:v>74.40613633568793</x:v>
      </x:c>
    </x:row>
    <x:row r="120">
      <x:c r="A120" s="24" t="n">
        <x:v>11.8</x:v>
      </x:c>
      <x:c r="B120" s="24" t="n">
        <x:v>82.8655163708636</x:v>
      </x:c>
      <x:c r="C120" s="24" t="n">
        <x:v>55.88567405555459</x:v>
      </x:c>
      <x:c r="D120" s="24" t="n">
        <x:v>64.95923572709592</x:v>
      </x:c>
      <x:c r="E120" s="24" t="n">
        <x:v>75.56261722776277</x:v>
      </x:c>
      <x:c r="F120" s="24" t="n">
        <x:v>66.85027691933072</x:v>
      </x:c>
      <x:c r="G120" s="24" t="n">
        <x:v>63.76316787008623</x:v>
      </x:c>
      <x:c r="H120" s="24" t="n">
        <x:v>73.52970877648085</x:v>
      </x:c>
      <x:c r="I120" s="24" t="n">
        <x:v>68.37499117237664</x:v>
      </x:c>
      <x:c r="J120" s="24" t="n">
        <x:v>72.20781469258301</x:v>
      </x:c>
      <x:c r="K120" s="24" t="n">
        <x:v>72.47635104546059</x:v>
      </x:c>
    </x:row>
    <x:row r="121">
      <x:c r="A121" s="24" t="n">
        <x:v>11.9</x:v>
      </x:c>
      <x:c r="B121" s="24" t="n">
        <x:v>82.8655163708636</x:v>
      </x:c>
      <x:c r="C121" s="24" t="n">
        <x:v>57.17135795220955</x:v>
      </x:c>
      <x:c r="D121" s="24" t="n">
        <x:v>66.4764525429405</x:v>
      </x:c>
      <x:c r="E121" s="24" t="n">
        <x:v>69.38891310283492</x:v>
      </x:c>
      <x:c r="F121" s="24" t="n">
        <x:v>67.88117567270918</x:v>
      </x:c>
      <x:c r="G121" s="24" t="n">
        <x:v>69.99505887249487</x:v>
      </x:c>
      <x:c r="H121" s="24" t="n">
        <x:v>74.46698732061174</x:v>
      </x:c>
      <x:c r="I121" s="24" t="n">
        <x:v>64.63011771249747</x:v>
      </x:c>
      <x:c r="J121" s="24" t="n">
        <x:v>63.481545645207675</x:v>
      </x:c>
      <x:c r="K121" s="24" t="n">
        <x:v>70.99163962313119</x:v>
      </x:c>
    </x:row>
    <x:row r="122">
      <x:c r="A122" s="24" t="n">
        <x:v>12</x:v>
      </x:c>
      <x:c r="B122" s="24" t="n">
        <x:v>74.83521991549993</x:v>
      </x:c>
      <x:c r="C122" s="24" t="n">
        <x:v>57.42849473154054</x:v>
      </x:c>
      <x:c r="D122" s="24" t="n">
        <x:v>66.4764525429405</x:v>
      </x:c>
      <x:c r="E122" s="24" t="n">
        <x:v>59.07934488943062</x:v>
      </x:c>
      <x:c r="F122" s="24" t="n">
        <x:v>67.54658839640211</x:v>
      </x:c>
      <x:c r="G122" s="24" t="n">
        <x:v>69.99505887249487</x:v>
      </x:c>
      <x:c r="H122" s="24" t="n">
        <x:v>75.43202073400377</x:v>
      </x:c>
      <x:c r="I122" s="24" t="n">
        <x:v>60.702494124591986</x:v>
      </x:c>
      <x:c r="J122" s="24" t="n">
        <x:v>68.10240347202944</x:v>
      </x:c>
      <x:c r="K122" s="24" t="n">
        <x:v>69.17014366608528</x:v>
      </x:c>
    </x:row>
    <x:row r="123">
      <x:c r="A123" s="24" t="n">
        <x:v>12.100000000000001</x:v>
      </x:c>
      <x:c r="B123" s="24" t="n">
        <x:v>66.36857660606623</x:v>
      </x:c>
      <x:c r="C123" s="24" t="n">
        <x:v>53.799272094185035</x:v>
      </x:c>
      <x:c r="D123" s="24" t="n">
        <x:v>65.69827231943236</x:v>
      </x:c>
      <x:c r="E123" s="24" t="n">
        <x:v>64.59271299050091</x:v>
      </x:c>
      <x:c r="F123" s="24" t="n">
        <x:v>67.56756158842825</x:v>
      </x:c>
      <x:c r="G123" s="24" t="n">
        <x:v>68.37802118040807</x:v>
      </x:c>
      <x:c r="H123" s="24" t="n">
        <x:v>75.32649409891337</x:v>
      </x:c>
      <x:c r="I123" s="24" t="n">
        <x:v>60.70249412459216</x:v>
      </x:c>
      <x:c r="J123" s="24" t="n">
        <x:v>68.10240347202944</x:v>
      </x:c>
      <x:c r="K123" s="24" t="n">
        <x:v>73.8515538669523</x:v>
      </x:c>
    </x:row>
    <x:row r="124">
      <x:c r="A124" s="24" t="n">
        <x:v>12.200000000000001</x:v>
      </x:c>
      <x:c r="B124" s="24" t="n">
        <x:v>55.528385506998966</x:v>
      </x:c>
      <x:c r="C124" s="24" t="n">
        <x:v>53.79927209418501</x:v>
      </x:c>
      <x:c r="D124" s="24" t="n">
        <x:v>65.69827231943245</x:v>
      </x:c>
      <x:c r="E124" s="24" t="n">
        <x:v>65.83598663838923</x:v>
      </x:c>
      <x:c r="F124" s="24" t="n">
        <x:v>67.56756158842825</x:v>
      </x:c>
      <x:c r="G124" s="24" t="n">
        <x:v>56.90165819219424</x:v>
      </x:c>
      <x:c r="H124" s="24" t="n">
        <x:v>75.1363241701546</x:v>
      </x:c>
      <x:c r="I124" s="24" t="n">
        <x:v>62.651014849573855</x:v>
      </x:c>
      <x:c r="J124" s="24" t="n">
        <x:v>67.94775723302533</x:v>
      </x:c>
      <x:c r="K124" s="24" t="n">
        <x:v>73.85155386695229</x:v>
      </x:c>
    </x:row>
    <x:row r="125">
      <x:c r="A125" s="24" t="n">
        <x:v>12.3</x:v>
      </x:c>
      <x:c r="B125" s="24" t="n">
        <x:v>54.63849979248161</x:v>
      </x:c>
      <x:c r="C125" s="24" t="n">
        <x:v>52.22937066049306</x:v>
      </x:c>
      <x:c r="D125" s="24" t="n">
        <x:v>66.7721268806605</x:v>
      </x:c>
      <x:c r="E125" s="24" t="n">
        <x:v>68.5912348036216</x:v>
      </x:c>
      <x:c r="F125" s="24" t="n">
        <x:v>67.54981799480831</x:v>
      </x:c>
      <x:c r="G125" s="24" t="n">
        <x:v>59.58275296368359</x:v>
      </x:c>
      <x:c r="H125" s="24" t="n">
        <x:v>73.95355460839188</x:v>
      </x:c>
      <x:c r="I125" s="24" t="n">
        <x:v>87.6058220644212</x:v>
      </x:c>
      <x:c r="J125" s="24" t="n">
        <x:v>67.80526060170709</x:v>
      </x:c>
      <x:c r="K125" s="24" t="n">
        <x:v>57.62157651344882</x:v>
      </x:c>
    </x:row>
    <x:row r="126">
      <x:c r="A126" s="24" t="n">
        <x:v>12.4</x:v>
      </x:c>
      <x:c r="B126" s="24" t="n">
        <x:v>54.598468418019436</x:v>
      </x:c>
      <x:c r="C126" s="24" t="n">
        <x:v>56.00873084525152</x:v>
      </x:c>
      <x:c r="D126" s="24" t="n">
        <x:v>66.7721268806605</x:v>
      </x:c>
      <x:c r="E126" s="24" t="n">
        <x:v>70.08802760206314</x:v>
      </x:c>
      <x:c r="F126" s="24" t="n">
        <x:v>67.54981799480831</x:v>
      </x:c>
      <x:c r="G126" s="24" t="n">
        <x:v>62.81765354478631</x:v>
      </x:c>
      <x:c r="H126" s="24" t="n">
        <x:v>84.55558781082743</x:v>
      </x:c>
      <x:c r="I126" s="24" t="n">
        <x:v>88.76814097752505</x:v>
      </x:c>
      <x:c r="J126" s="24" t="n">
        <x:v>65.97349552132218</x:v>
      </x:c>
      <x:c r="K126" s="24" t="n">
        <x:v>63.41117946773677</x:v>
      </x:c>
    </x:row>
    <x:row r="127">
      <x:c r="A127" s="24" t="n">
        <x:v>12.5</x:v>
      </x:c>
      <x:c r="B127" s="24" t="n">
        <x:v>54.43834292017073</x:v>
      </x:c>
      <x:c r="C127" s="24" t="n">
        <x:v>56.01150133997375</x:v>
      </x:c>
      <x:c r="D127" s="24" t="n">
        <x:v>67.99885294640791</x:v>
      </x:c>
      <x:c r="E127" s="24" t="n">
        <x:v>70.08802760206314</x:v>
      </x:c>
      <x:c r="F127" s="24" t="n">
        <x:v>67.36689333801581</x:v>
      </x:c>
      <x:c r="G127" s="24" t="n">
        <x:v>62.99501618220373</x:v>
      </x:c>
      <x:c r="H127" s="24" t="n">
        <x:v>86.05603872578219</x:v>
      </x:c>
      <x:c r="I127" s="24" t="n">
        <x:v>87.66834203235727</x:v>
      </x:c>
      <x:c r="J127" s="24" t="n">
        <x:v>88.13223777026845</x:v>
      </x:c>
      <x:c r="K127" s="24" t="n">
        <x:v>65.30647394973998</x:v>
      </x:c>
    </x:row>
    <x:row r="128">
      <x:c r="A128" s="24" t="n">
        <x:v>12.600000000000001</x:v>
      </x:c>
      <x:c r="B128" s="24" t="n">
        <x:v>57.16008851797925</x:v>
      </x:c>
      <x:c r="C128" s="24" t="n">
        <x:v>56.017042329418196</x:v>
      </x:c>
      <x:c r="D128" s="24" t="n">
        <x:v>67.99885294640791</x:v>
      </x:c>
      <x:c r="E128" s="24" t="n">
        <x:v>73.20473494089433</x:v>
      </x:c>
      <x:c r="F128" s="24" t="n">
        <x:v>64.94200600490657</x:v>
      </x:c>
      <x:c r="G128" s="24" t="n">
        <x:v>62.98348000818636</x:v>
      </x:c>
      <x:c r="H128" s="24" t="n">
        <x:v>86.05603872578205</x:v>
      </x:c>
      <x:c r="I128" s="24" t="n">
        <x:v>80.19667604381742</x:v>
      </x:c>
      <x:c r="J128" s="24" t="n">
        <x:v>88.34691437952209</x:v>
      </x:c>
      <x:c r="K128" s="24" t="n">
        <x:v>69.25197806522914</x:v>
      </x:c>
    </x:row>
    <x:row r="129">
      <x:c r="A129" s="24" t="n">
        <x:v>12.700000000000001</x:v>
      </x:c>
      <x:c r="B129" s="24" t="n">
        <x:v>63.96445251250023</x:v>
      </x:c>
      <x:c r="C129" s="24" t="n">
        <x:v>57.38275074994902</x:v>
      </x:c>
      <x:c r="D129" s="24" t="n">
        <x:v>66.67140563718941</x:v>
      </x:c>
      <x:c r="E129" s="24" t="n">
        <x:v>73.2047349408944</x:v>
      </x:c>
      <x:c r="F129" s="24" t="n">
        <x:v>60.77146705754597</x:v>
      </x:c>
      <x:c r="G129" s="24" t="n">
        <x:v>62.852568845458464</x:v>
      </x:c>
      <x:c r="H129" s="24" t="n">
        <x:v>75.03749480112226</x:v>
      </x:c>
      <x:c r="I129" s="24" t="n">
        <x:v>76.28289097510901</x:v>
      </x:c>
      <x:c r="J129" s="24" t="n">
        <x:v>85.99355364285304</x:v>
      </x:c>
      <x:c r="K129" s="24" t="n">
        <x:v>69.25197806522914</x:v>
      </x:c>
    </x:row>
    <x:row r="130">
      <x:c r="A130" s="24" t="n">
        <x:v>12.8</x:v>
      </x:c>
      <x:c r="B130" s="24" t="n">
        <x:v>63.96445251250023</x:v>
      </x:c>
      <x:c r="C130" s="24" t="n">
        <x:v>57.59190116666022</x:v>
      </x:c>
      <x:c r="D130" s="24" t="n">
        <x:v>60.826090936990994</x:v>
      </x:c>
      <x:c r="E130" s="24" t="n">
        <x:v>82.68439553278816</x:v>
      </x:c>
      <x:c r="F130" s="24" t="n">
        <x:v>77.21597446125831</x:v>
      </x:c>
      <x:c r="G130" s="24" t="n">
        <x:v>64.59805244208377</x:v>
      </x:c>
      <x:c r="H130" s="24" t="n">
        <x:v>66.84451900624867</x:v>
      </x:c>
      <x:c r="I130" s="24" t="n">
        <x:v>75.09297228956507</x:v>
      </x:c>
      <x:c r="J130" s="24" t="n">
        <x:v>77.5953673945958</x:v>
      </x:c>
      <x:c r="K130" s="24" t="n">
        <x:v>87.41376236234365</x:v>
      </x:c>
    </x:row>
    <x:row r="131">
      <x:c r="A131" s="24" t="n">
        <x:v>12.9</x:v>
      </x:c>
      <x:c r="B131" s="24" t="n">
        <x:v>59.98386766410864</x:v>
      </x:c>
      <x:c r="C131" s="24" t="n">
        <x:v>54.64134279690526</x:v>
      </x:c>
      <x:c r="D131" s="24" t="n">
        <x:v>80.52899499126625</x:v>
      </x:c>
      <x:c r="E131" s="24" t="n">
        <x:v>82.68439553278816</x:v>
      </x:c>
      <x:c r="F131" s="24" t="n">
        <x:v>77.82532407046546</x:v>
      </x:c>
      <x:c r="G131" s="24" t="n">
        <x:v>64.59805244208377</x:v>
      </x:c>
      <x:c r="H131" s="24" t="n">
        <x:v>50</x:v>
      </x:c>
      <x:c r="I131" s="24" t="n">
        <x:v>74.06015508953195</x:v>
      </x:c>
      <x:c r="J131" s="24" t="n">
        <x:v>68.53004062155375</x:v>
      </x:c>
      <x:c r="K131" s="24" t="n">
        <x:v>88.17316761255807</x:v>
      </x:c>
    </x:row>
    <x:row r="132">
      <x:c r="A132" s="24" t="n">
        <x:v>13</x:v>
      </x:c>
      <x:c r="B132" s="24" t="n">
        <x:v>57.07817608309361</x:v>
      </x:c>
      <x:c r="C132" s="24" t="n">
        <x:v>51.74235753740692</x:v>
      </x:c>
      <x:c r="D132" s="24" t="n">
        <x:v>81.09136797798035</x:v>
      </x:c>
      <x:c r="E132" s="24" t="n">
        <x:v>77.63710877116222</x:v>
      </x:c>
      <x:c r="F132" s="24" t="n">
        <x:v>77.82532407046546</x:v>
      </x:c>
      <x:c r="G132" s="24" t="n">
        <x:v>66.28954692730889</x:v>
      </x:c>
      <x:c r="H132" s="24" t="n">
        <x:v>56.45197154018707</x:v>
      </x:c>
      <x:c r="I132" s="24" t="n">
        <x:v>73.35250067831139</x:v>
      </x:c>
      <x:c r="J132" s="24" t="n">
        <x:v>68.55822932683381</x:v>
      </x:c>
      <x:c r="K132" s="24" t="n">
        <x:v>86.12691206041768</x:v>
      </x:c>
    </x:row>
    <x:row r="133">
      <x:c r="A133" s="24" t="n">
        <x:v>13.100000000000001</x:v>
      </x:c>
      <x:c r="B133" s="24" t="n">
        <x:v>53.893933801565616</x:v>
      </x:c>
      <x:c r="C133" s="24" t="n">
        <x:v>52.71658532463289</x:v>
      </x:c>
      <x:c r="D133" s="24" t="n">
        <x:v>78.7431306379681</x:v>
      </x:c>
      <x:c r="E133" s="24" t="n">
        <x:v>79.50935554941167</x:v>
      </x:c>
      <x:c r="F133" s="24" t="n">
        <x:v>67.6448438842904</x:v>
      </x:c>
      <x:c r="G133" s="24" t="n">
        <x:v>78.72099300760196</x:v>
      </x:c>
      <x:c r="H133" s="24" t="n">
        <x:v>67.20525744049871</x:v>
      </x:c>
      <x:c r="I133" s="24" t="n">
        <x:v>71.32623765847748</x:v>
      </x:c>
      <x:c r="J133" s="24" t="n">
        <x:v>68.55822932683365</x:v>
      </x:c>
      <x:c r="K133" s="24" t="n">
        <x:v>76.86941909241493</x:v>
      </x:c>
    </x:row>
    <x:row r="134">
      <x:c r="A134" s="24" t="n">
        <x:v>13.200000000000001</x:v>
      </x:c>
      <x:c r="B134" s="24" t="n">
        <x:v>75.61585111386904</x:v>
      </x:c>
      <x:c r="C134" s="24" t="n">
        <x:v>52.71658532463289</x:v>
      </x:c>
      <x:c r="D134" s="24" t="n">
        <x:v>69.80097479759296</x:v>
      </x:c>
      <x:c r="E134" s="24" t="n">
        <x:v>80.59888775617307</x:v>
      </x:c>
      <x:c r="F134" s="24" t="n">
        <x:v>57.58023544071833</x:v>
      </x:c>
      <x:c r="G134" s="24" t="n">
        <x:v>80.7248375519932</x:v>
      </x:c>
      <x:c r="H134" s="24" t="n">
        <x:v>67.20525744049871</x:v>
      </x:c>
      <x:c r="I134" s="24" t="n">
        <x:v>76.13377505048331</x:v>
      </x:c>
      <x:c r="J134" s="24" t="n">
        <x:v>57.60351305529828</x:v>
      </x:c>
      <x:c r="K134" s="24" t="n">
        <x:v>71.4144796680554</x:v>
      </x:c>
    </x:row>
    <x:row r="135">
      <x:c r="A135" s="24" t="n">
        <x:v>13.3</x:v>
      </x:c>
      <x:c r="B135" s="24" t="n">
        <x:v>75.82524216626857</x:v>
      </x:c>
      <x:c r="C135" s="24" t="n">
        <x:v>52.67796528358681</x:v>
      </x:c>
      <x:c r="D135" s="24" t="n">
        <x:v>59.08277542484187</x:v>
      </x:c>
      <x:c r="E135" s="24" t="n">
        <x:v>80.59888775617307</x:v>
      </x:c>
      <x:c r="F135" s="24" t="n">
        <x:v>50</x:v>
      </x:c>
      <x:c r="G135" s="24" t="n">
        <x:v>80.7248375519932</x:v>
      </x:c>
      <x:c r="H135" s="24" t="n">
        <x:v>77.17254592084613</x:v>
      </x:c>
      <x:c r="I135" s="24" t="n">
        <x:v>76.13377505048331</x:v>
      </x:c>
      <x:c r="J135" s="24" t="n">
        <x:v>72.81053916589417</x:v>
      </x:c>
      <x:c r="K135" s="24" t="n">
        <x:v>68.19480902172297</x:v>
      </x:c>
    </x:row>
    <x:row r="136">
      <x:c r="A136" s="24" t="n">
        <x:v>13.4</x:v>
      </x:c>
      <x:c r="B136" s="24" t="n">
        <x:v>75.0686099539096</x:v>
      </x:c>
      <x:c r="C136" s="24" t="n">
        <x:v>52.72621618560811</x:v>
      </x:c>
      <x:c r="D136" s="24" t="n">
        <x:v>50</x:v>
      </x:c>
      <x:c r="E136" s="24" t="n">
        <x:v>71.59094370010902</x:v>
      </x:c>
      <x:c r="F136" s="24" t="n">
        <x:v>50</x:v>
      </x:c>
      <x:c r="G136" s="24" t="n">
        <x:v>72.80772174813474</x:v>
      </x:c>
      <x:c r="H136" s="24" t="n">
        <x:v>77.17254592084613</x:v>
      </x:c>
      <x:c r="I136" s="24" t="n">
        <x:v>67.74408252663002</x:v>
      </x:c>
      <x:c r="J136" s="24" t="n">
        <x:v>72.81053916589417</x:v>
      </x:c>
      <x:c r="K136" s="24" t="n">
        <x:v>66.50599487886623</x:v>
      </x:c>
    </x:row>
    <x:row r="137">
      <x:c r="A137" s="24" t="n">
        <x:v>13.5</x:v>
      </x:c>
      <x:c r="B137" s="24" t="n">
        <x:v>70.53631186352675</x:v>
      </x:c>
      <x:c r="C137" s="24" t="n">
        <x:v>59.652253568992926</x:v>
      </x:c>
      <x:c r="D137" s="24" t="n">
        <x:v>50</x:v>
      </x:c>
      <x:c r="E137" s="24" t="n">
        <x:v>61.269928858461</x:v>
      </x:c>
      <x:c r="F137" s="24" t="n">
        <x:v>50</x:v>
      </x:c>
      <x:c r="G137" s="24" t="n">
        <x:v>50.334775408729726</x:v>
      </x:c>
      <x:c r="H137" s="24" t="n">
        <x:v>72.78772951210979</x:v>
      </x:c>
      <x:c r="I137" s="24" t="n">
        <x:v>50</x:v>
      </x:c>
      <x:c r="J137" s="24" t="n">
        <x:v>63.82529713109307</x:v>
      </x:c>
      <x:c r="K137" s="24" t="n">
        <x:v>54.69904074075929</x:v>
      </x:c>
    </x:row>
    <x:row r="138">
      <x:c r="A138" s="24" t="n">
        <x:v>13.600000000000001</x:v>
      </x:c>
      <x:c r="B138" s="24" t="n">
        <x:v>65.90071438753978</x:v>
      </x:c>
      <x:c r="C138" s="24" t="n">
        <x:v>67.97599140510552</x:v>
      </x:c>
      <x:c r="D138" s="24" t="n">
        <x:v>50</x:v>
      </x:c>
      <x:c r="E138" s="24" t="n">
        <x:v>53.08182341593907</x:v>
      </x:c>
      <x:c r="F138" s="24" t="n">
        <x:v>61.99525199577727</x:v>
      </x:c>
      <x:c r="G138" s="24" t="n">
        <x:v>50</x:v>
      </x:c>
      <x:c r="H138" s="24" t="n">
        <x:v>65.88850107137138</x:v>
      </x:c>
      <x:c r="I138" s="24" t="n">
        <x:v>68.76782362935262</x:v>
      </x:c>
      <x:c r="J138" s="24" t="n">
        <x:v>69.64347998360365</x:v>
      </x:c>
      <x:c r="K138" s="24" t="n">
        <x:v>75.14147699489754</x:v>
      </x:c>
    </x:row>
    <x:row r="139">
      <x:c r="A139" s="24" t="n">
        <x:v>13.700000000000001</x:v>
      </x:c>
      <x:c r="B139" s="24" t="n">
        <x:v>61.34558882692148</x:v>
      </x:c>
      <x:c r="C139" s="24" t="n">
        <x:v>73.20459199112048</x:v>
      </x:c>
      <x:c r="D139" s="24" t="n">
        <x:v>56.74704161689942</x:v>
      </x:c>
      <x:c r="E139" s="24" t="n">
        <x:v>53.08182341593879</x:v>
      </x:c>
      <x:c r="F139" s="24" t="n">
        <x:v>61.99525199577727</x:v>
      </x:c>
      <x:c r="G139" s="24" t="n">
        <x:v>59.39076691707393</x:v>
      </x:c>
      <x:c r="H139" s="24" t="n">
        <x:v>71.54890641680821</x:v>
      </x:c>
      <x:c r="I139" s="24" t="n">
        <x:v>71.29082471392178</x:v>
      </x:c>
      <x:c r="J139" s="24" t="n">
        <x:v>69.78984653965382</x:v>
      </x:c>
      <x:c r="K139" s="24" t="n">
        <x:v>75.14147699489754</x:v>
      </x:c>
    </x:row>
    <x:row r="140">
      <x:c r="A140" s="24" t="n">
        <x:v>13.8</x:v>
      </x:c>
      <x:c r="B140" s="24" t="n">
        <x:v>61.66474648872848</x:v>
      </x:c>
      <x:c r="C140" s="24" t="n">
        <x:v>73.20459199112048</x:v>
      </x:c>
      <x:c r="D140" s="24" t="n">
        <x:v>63.49408323379865</x:v>
      </x:c>
      <x:c r="E140" s="24" t="n">
        <x:v>50</x:v>
      </x:c>
      <x:c r="F140" s="24" t="n">
        <x:v>69.50611890610642</x:v>
      </x:c>
      <x:c r="G140" s="24" t="n">
        <x:v>65.10672146971162</x:v>
      </x:c>
      <x:c r="H140" s="24" t="n">
        <x:v>72.86756322652242</x:v>
      </x:c>
      <x:c r="I140" s="24" t="n">
        <x:v>71.29082471392178</x:v>
      </x:c>
      <x:c r="J140" s="24" t="n">
        <x:v>69.78984653965382</x:v>
      </x:c>
      <x:c r="K140" s="24" t="n">
        <x:v>67.68790470773266</x:v>
      </x:c>
    </x:row>
    <x:row r="141">
      <x:c r="A141" s="24" t="n">
        <x:v>13.9</x:v>
      </x:c>
      <x:c r="B141" s="24" t="n">
        <x:v>65.00154998917313</x:v>
      </x:c>
      <x:c r="C141" s="24" t="n">
        <x:v>68.42731082970387</x:v>
      </x:c>
      <x:c r="D141" s="24" t="n">
        <x:v>63.49408323379865</x:v>
      </x:c>
      <x:c r="E141" s="24" t="n">
        <x:v>69.71710116624145</x:v>
      </x:c>
      <x:c r="F141" s="24" t="n">
        <x:v>69.50611890610642</x:v>
      </x:c>
      <x:c r="G141" s="24" t="n">
        <x:v>65.10672146971162</x:v>
      </x:c>
      <x:c r="H141" s="24" t="n">
        <x:v>73.19668752286223</x:v>
      </x:c>
      <x:c r="I141" s="24" t="n">
        <x:v>67.56832573222187</x:v>
      </x:c>
      <x:c r="J141" s="24" t="n">
        <x:v>69.66275353058474</x:v>
      </x:c>
      <x:c r="K141" s="24" t="n">
        <x:v>62.10017560500503</x:v>
      </x:c>
    </x:row>
    <x:row r="142">
      <x:c r="A142" s="24" t="n">
        <x:v>14</x:v>
      </x:c>
      <x:c r="B142" s="24" t="n">
        <x:v>65.35450980736232</x:v>
      </x:c>
      <x:c r="C142" s="24" t="n">
        <x:v>61.09579660221812</x:v>
      </x:c>
      <x:c r="D142" s="24" t="n">
        <x:v>72.21196597015333</x:v>
      </x:c>
      <x:c r="E142" s="24" t="n">
        <x:v>69.90405253077338</x:v>
      </x:c>
      <x:c r="F142" s="24" t="n">
        <x:v>67.156506193821</x:v>
      </x:c>
      <x:c r="G142" s="24" t="n">
        <x:v>68.94591287143434</x:v>
      </x:c>
      <x:c r="H142" s="24" t="n">
        <x:v>74.00692784174164</x:v>
      </x:c>
      <x:c r="I142" s="24" t="n">
        <x:v>69.20385123371136</x:v>
      </x:c>
      <x:c r="J142" s="24" t="n">
        <x:v>69.66275353058474</x:v>
      </x:c>
      <x:c r="K142" s="24" t="n">
        <x:v>64.77628907443938</x:v>
      </x:c>
    </x:row>
    <x:row r="143">
      <x:c r="A143" s="24" t="n">
        <x:v>14.100000000000001</x:v>
      </x:c>
      <x:c r="B143" s="24" t="n">
        <x:v>64.96896091557741</x:v>
      </x:c>
      <x:c r="C143" s="24" t="n">
        <x:v>54.10393615236056</x:v>
      </x:c>
      <x:c r="D143" s="24" t="n">
        <x:v>73.95554251742423</x:v>
      </x:c>
      <x:c r="E143" s="24" t="n">
        <x:v>75.41282208012002</x:v>
      </x:c>
      <x:c r="F143" s="24" t="n">
        <x:v>60.65898696439625</x:v>
      </x:c>
      <x:c r="G143" s="24" t="n">
        <x:v>69.09208689713921</x:v>
      </x:c>
      <x:c r="H143" s="24" t="n">
        <x:v>74.00692784174164</x:v>
      </x:c>
      <x:c r="I143" s="24" t="n">
        <x:v>69.20385123371152</x:v>
      </x:c>
      <x:c r="J143" s="24" t="n">
        <x:v>83.21764463294889</x:v>
      </x:c>
      <x:c r="K143" s="24" t="n">
        <x:v>64.7762890744393</x:v>
      </x:c>
    </x:row>
    <x:row r="144">
      <x:c r="A144" s="24" t="n">
        <x:v>14.200000000000001</x:v>
      </x:c>
      <x:c r="B144" s="24" t="n">
        <x:v>64.8346893372566</x:v>
      </x:c>
      <x:c r="C144" s="24" t="n">
        <x:v>55.44003952038317</x:v>
      </x:c>
      <x:c r="D144" s="24" t="n">
        <x:v>71.46775174858395</x:v>
      </x:c>
      <x:c r="E144" s="24" t="n">
        <x:v>75.93735517608627</x:v>
      </x:c>
      <x:c r="F144" s="24" t="n">
        <x:v>62.85451112440193</x:v>
      </x:c>
      <x:c r="G144" s="24" t="n">
        <x:v>68.83729566789685</x:v>
      </x:c>
      <x:c r="H144" s="24" t="n">
        <x:v>75.16763774748405</x:v>
      </x:c>
      <x:c r="I144" s="24" t="n">
        <x:v>70.90492893852726</x:v>
      </x:c>
      <x:c r="J144" s="24" t="n">
        <x:v>85.63485165391802</x:v>
      </x:c>
      <x:c r="K144" s="24" t="n">
        <x:v>59.91341759315296</x:v>
      </x:c>
    </x:row>
    <x:row r="145">
      <x:c r="A145" s="24" t="n">
        <x:v>14.3</x:v>
      </x:c>
      <x:c r="B145" s="24" t="n">
        <x:v>64.8346893372566</x:v>
      </x:c>
      <x:c r="C145" s="24" t="n">
        <x:v>54.53336626698592</x:v>
      </x:c>
      <x:c r="D145" s="24" t="n">
        <x:v>68.02390100500286</x:v>
      </x:c>
      <x:c r="E145" s="24" t="n">
        <x:v>74.85419021818046</x:v>
      </x:c>
      <x:c r="F145" s="24" t="n">
        <x:v>64.74997843176808</x:v>
      </x:c>
      <x:c r="G145" s="24" t="n">
        <x:v>57.7202657239051</x:v>
      </x:c>
      <x:c r="H145" s="24" t="n">
        <x:v>76.02656883335771</x:v>
      </x:c>
      <x:c r="I145" s="24" t="n">
        <x:v>84.50223246785224</x:v>
      </x:c>
      <x:c r="J145" s="24" t="n">
        <x:v>85.63485165391802</x:v>
      </x:c>
      <x:c r="K145" s="24" t="n">
        <x:v>63.03178270338439</x:v>
      </x:c>
    </x:row>
    <x:row r="146">
      <x:c r="A146" s="24" t="n">
        <x:v>14.4</x:v>
      </x:c>
      <x:c r="B146" s="24" t="n">
        <x:v>62.13330210508489</x:v>
      </x:c>
      <x:c r="C146" s="24" t="n">
        <x:v>50</x:v>
      </x:c>
      <x:c r="D146" s="24" t="n">
        <x:v>63.8355476301081</x:v>
      </x:c>
      <x:c r="E146" s="24" t="n">
        <x:v>65.89767503917481</x:v>
      </x:c>
      <x:c r="F146" s="24" t="n">
        <x:v>67.339798247604</x:v>
      </x:c>
      <x:c r="G146" s="24" t="n">
        <x:v>60.71381919278505</x:v>
      </x:c>
      <x:c r="H146" s="24" t="n">
        <x:v>76.02656883335771</x:v>
      </x:c>
      <x:c r="I146" s="24" t="n">
        <x:v>87.38607099399675</x:v>
      </x:c>
      <x:c r="J146" s="24" t="n">
        <x:v>78.99919926163057</x:v>
      </x:c>
      <x:c r="K146" s="24" t="n">
        <x:v>86.92339449804642</x:v>
      </x:c>
    </x:row>
    <x:row r="147">
      <x:c r="A147" s="24" t="n">
        <x:v>14.5</x:v>
      </x:c>
      <x:c r="B147" s="24" t="n">
        <x:v>64.76245419398788</x:v>
      </x:c>
      <x:c r="C147" s="24" t="n">
        <x:v>57.09379099636433</x:v>
      </x:c>
      <x:c r="D147" s="24" t="n">
        <x:v>63.94032030089487</x:v>
      </x:c>
      <x:c r="E147" s="24" t="n">
        <x:v>59.59439127065838</x:v>
      </x:c>
      <x:c r="F147" s="24" t="n">
        <x:v>68.80282782761876</x:v>
      </x:c>
      <x:c r="G147" s="24" t="n">
        <x:v>61.66966367116182</x:v>
      </x:c>
      <x:c r="H147" s="24" t="n">
        <x:v>76.4091564952557</x:v>
      </x:c>
      <x:c r="I147" s="24" t="n">
        <x:v>87.38607099399675</x:v>
      </x:c>
      <x:c r="J147" s="24" t="n">
        <x:v>69.37583144122716</x:v>
      </x:c>
      <x:c r="K147" s="24" t="n">
        <x:v>88.43226286316411</x:v>
      </x:c>
    </x:row>
    <x:row r="148">
      <x:c r="A148" s="24" t="n">
        <x:v>14.600000000000001</x:v>
      </x:c>
      <x:c r="B148" s="24" t="n">
        <x:v>64.76245419398788</x:v>
      </x:c>
      <x:c r="C148" s="24" t="n">
        <x:v>57.09379099636433</x:v>
      </x:c>
      <x:c r="D148" s="24" t="n">
        <x:v>65.57428094563825</x:v>
      </x:c>
      <x:c r="E148" s="24" t="n">
        <x:v>65.89024827891903</x:v>
      </x:c>
      <x:c r="F148" s="24" t="n">
        <x:v>69.1958560111152</x:v>
      </x:c>
      <x:c r="G148" s="24" t="n">
        <x:v>61.925947824250045</x:v>
      </x:c>
      <x:c r="H148" s="24" t="n">
        <x:v>76.00312289997171</x:v>
      </x:c>
      <x:c r="I148" s="24" t="n">
        <x:v>77.78222129526351</x:v>
      </x:c>
      <x:c r="J148" s="24" t="n">
        <x:v>67.75341190652667</x:v>
      </x:c>
      <x:c r="K148" s="24" t="n">
        <x:v>88.43226286316396</x:v>
      </x:c>
    </x:row>
    <x:row r="149">
      <x:c r="A149" s="24" t="n">
        <x:v>14.700000000000001</x:v>
      </x:c>
      <x:c r="B149" s="24" t="n">
        <x:v>62.70118231535599</x:v>
      </x:c>
      <x:c r="C149" s="24" t="n">
        <x:v>52.8800094120073</x:v>
      </x:c>
      <x:c r="D149" s="24" t="n">
        <x:v>65.57428094563825</x:v>
      </x:c>
      <x:c r="E149" s="24" t="n">
        <x:v>68.28455321631974</x:v>
      </x:c>
      <x:c r="F149" s="24" t="n">
        <x:v>68.83057509961802</x:v>
      </x:c>
      <x:c r="G149" s="24" t="n">
        <x:v>61.92594782425002</x:v>
      </x:c>
      <x:c r="H149" s="24" t="n">
        <x:v>72.67186765963434</x:v>
      </x:c>
      <x:c r="I149" s="24" t="n">
        <x:v>71.31480928957939</x:v>
      </x:c>
      <x:c r="J149" s="24" t="n">
        <x:v>67.75341190652667</x:v>
      </x:c>
      <x:c r="K149" s="24" t="n">
        <x:v>80.8768896761385</x:v>
      </x:c>
    </x:row>
    <x:row r="150">
      <x:c r="A150" s="24" t="n">
        <x:v>14.8</x:v>
      </x:c>
      <x:c r="B150" s="24" t="n">
        <x:v>64.65780450180169</x:v>
      </x:c>
      <x:c r="C150" s="24" t="n">
        <x:v>51.32462275518749</x:v>
      </x:c>
      <x:c r="D150" s="24" t="n">
        <x:v>64.75502604007909</x:v>
      </x:c>
      <x:c r="E150" s="24" t="n">
        <x:v>68.28455321631974</x:v>
      </x:c>
      <x:c r="F150" s="24" t="n">
        <x:v>66.37176588623369</x:v>
      </x:c>
      <x:c r="G150" s="24" t="n">
        <x:v>62.57539160210221</x:v>
      </x:c>
      <x:c r="H150" s="24" t="n">
        <x:v>76.24153907676535</x:v>
      </x:c>
      <x:c r="I150" s="24" t="n">
        <x:v>58.55922211458085</x:v>
      </x:c>
      <x:c r="J150" s="24" t="n">
        <x:v>50</x:v>
      </x:c>
      <x:c r="K150" s="24" t="n">
        <x:v>73.9506791399914</x:v>
      </x:c>
    </x:row>
    <x:row r="151">
      <x:c r="A151" s="24" t="n">
        <x:v>14.9</x:v>
      </x:c>
      <x:c r="B151" s="24" t="n">
        <x:v>64.65780450180169</x:v>
      </x:c>
      <x:c r="C151" s="24" t="n">
        <x:v>52.15805656456561</x:v>
      </x:c>
      <x:c r="D151" s="24" t="n">
        <x:v>64.72804335637306</x:v>
      </x:c>
      <x:c r="E151" s="24" t="n">
        <x:v>68.53837573937197</x:v>
      </x:c>
      <x:c r="F151" s="24" t="n">
        <x:v>66.37176588623369</x:v>
      </x:c>
      <x:c r="G151" s="24" t="n">
        <x:v>63.16358918082014</x:v>
      </x:c>
      <x:c r="H151" s="24" t="n">
        <x:v>83.17365884808845</x:v>
      </x:c>
      <x:c r="I151" s="24" t="n">
        <x:v>64.80750467054922</x:v>
      </x:c>
      <x:c r="J151" s="24" t="n">
        <x:v>72.37383705232916</x:v>
      </x:c>
      <x:c r="K151" s="24" t="n">
        <x:v>72.75519312888719</x:v>
      </x:c>
    </x:row>
    <x:row r="152">
      <x:c r="A152" s="24" t="n">
        <x:v>15</x:v>
      </x:c>
      <x:c r="B152" s="24" t="n">
        <x:v>64.72499903980824</x:v>
      </x:c>
      <x:c r="C152" s="24" t="n">
        <x:v>73.67080865096426</x:v>
      </x:c>
      <x:c r="D152" s="24" t="n">
        <x:v>65.7762967070264</x:v>
      </x:c>
      <x:c r="E152" s="24" t="n">
        <x:v>68.53837573937197</x:v>
      </x:c>
      <x:c r="F152" s="24" t="n">
        <x:v>66.47375407845217</x:v>
      </x:c>
      <x:c r="G152" s="24" t="n">
        <x:v>63.011053921622704</x:v>
      </x:c>
      <x:c r="H152" s="24" t="n">
        <x:v>83.17365884808845</x:v>
      </x:c>
      <x:c r="I152" s="24" t="n">
        <x:v>67.30681769293652</x:v>
      </x:c>
      <x:c r="J152" s="24" t="n">
        <x:v>72.37383705232916</x:v>
      </x:c>
      <x:c r="K152" s="24" t="n">
        <x:v>72.34651741241424</x:v>
      </x:c>
    </x:row>
    <x:row r="153">
      <x:c r="A153" s="24" t="n">
        <x:v>15.100000000000001</x:v>
      </x:c>
      <x:c r="B153" s="24" t="n">
        <x:v>65.37555901626811</x:v>
      </x:c>
      <x:c r="C153" s="24" t="n">
        <x:v>73.67080865096426</x:v>
      </x:c>
      <x:c r="D153" s="24" t="n">
        <x:v>65.7762967070264</x:v>
      </x:c>
      <x:c r="E153" s="24" t="n">
        <x:v>68.3854839181505</x:v>
      </x:c>
      <x:c r="F153" s="24" t="n">
        <x:v>82.40268043700058</x:v>
      </x:c>
      <x:c r="G153" s="24" t="n">
        <x:v>63.011053921622796</x:v>
      </x:c>
      <x:c r="H153" s="24" t="n">
        <x:v>76.37129311703792</x:v>
      </x:c>
      <x:c r="I153" s="24" t="n">
        <x:v>70.97615439635426</x:v>
      </x:c>
      <x:c r="J153" s="24" t="n">
        <x:v>66.75871872212876</x:v>
      </x:c>
      <x:c r="K153" s="24" t="n">
        <x:v>76.31388206117731</x:v>
      </x:c>
    </x:row>
    <x:row r="154">
      <x:c r="A154" s="24" t="n">
        <x:v>15.200000000000001</x:v>
      </x:c>
      <x:c r="B154" s="24" t="n">
        <x:v>65.37555901626799</x:v>
      </x:c>
      <x:c r="C154" s="24" t="n">
        <x:v>72.36124214682208</x:v>
      </x:c>
      <x:c r="D154" s="24" t="n">
        <x:v>65.17440571289858</x:v>
      </x:c>
      <x:c r="E154" s="24" t="n">
        <x:v>68.83646709822655</x:v>
      </x:c>
      <x:c r="F154" s="24" t="n">
        <x:v>88.2037434424978</x:v>
      </x:c>
      <x:c r="G154" s="24" t="n">
        <x:v>68.18664625109423</x:v>
      </x:c>
      <x:c r="H154" s="24" t="n">
        <x:v>68.4112500663392</x:v>
      </x:c>
      <x:c r="I154" s="24" t="n">
        <x:v>75.56282527562632</x:v>
      </x:c>
      <x:c r="J154" s="24" t="n">
        <x:v>67.69865458248948</x:v>
      </x:c>
      <x:c r="K154" s="24" t="n">
        <x:v>76.31388206117731</x:v>
      </x:c>
    </x:row>
    <x:row r="155">
      <x:c r="A155" s="24" t="n">
        <x:v>15.3</x:v>
      </x:c>
      <x:c r="B155" s="24" t="n">
        <x:v>66.53764896512324</x:v>
      </x:c>
      <x:c r="C155" s="24" t="n">
        <x:v>67.30672510826463</x:v>
      </x:c>
      <x:c r="D155" s="24" t="n">
        <x:v>65.93682789950793</x:v>
      </x:c>
      <x:c r="E155" s="24" t="n">
        <x:v>68.83646709822655</x:v>
      </x:c>
      <x:c r="F155" s="24" t="n">
        <x:v>88.2037434424978</x:v>
      </x:c>
      <x:c r="G155" s="24" t="n">
        <x:v>79.21069407093786</x:v>
      </x:c>
      <x:c r="H155" s="24" t="n">
        <x:v>62.96740700436141</x:v>
      </x:c>
      <x:c r="I155" s="24" t="n">
        <x:v>76.48015945148072</x:v>
      </x:c>
      <x:c r="J155" s="24" t="n">
        <x:v>67.76143062062252</x:v>
      </x:c>
      <x:c r="K155" s="24" t="n">
        <x:v>70.21964876689991</x:v>
      </x:c>
    </x:row>
    <x:row r="156">
      <x:c r="A156" s="24" t="n">
        <x:v>15.4</x:v>
      </x:c>
      <x:c r="B156" s="24" t="n">
        <x:v>82.11862085865387</x:v>
      </x:c>
      <x:c r="C156" s="24" t="n">
        <x:v>60.92792188930538</x:v>
      </x:c>
      <x:c r="D156" s="24" t="n">
        <x:v>65.93682789950793</x:v>
      </x:c>
      <x:c r="E156" s="24" t="n">
        <x:v>70.50735392924514</x:v>
      </x:c>
      <x:c r="F156" s="24" t="n">
        <x:v>81.55751859913595</x:v>
      </x:c>
      <x:c r="G156" s="24" t="n">
        <x:v>79.21069407093786</x:v>
      </x:c>
      <x:c r="H156" s="24" t="n">
        <x:v>65.00707081130808</x:v>
      </x:c>
      <x:c r="I156" s="24" t="n">
        <x:v>74.80080703160101</x:v>
      </x:c>
      <x:c r="J156" s="24" t="n">
        <x:v>67.17812380971915</x:v>
      </x:c>
      <x:c r="K156" s="24" t="n">
        <x:v>61.945977101214815</x:v>
      </x:c>
    </x:row>
    <x:row r="157">
      <x:c r="A157" s="24" t="n">
        <x:v>15.5</x:v>
      </x:c>
      <x:c r="B157" s="24" t="n">
        <x:v>82.11862085865387</x:v>
      </x:c>
      <x:c r="C157" s="24" t="n">
        <x:v>64.28104259297425</x:v>
      </x:c>
      <x:c r="D157" s="24" t="n">
        <x:v>66.13140712710367</x:v>
      </x:c>
      <x:c r="E157" s="24" t="n">
        <x:v>70.50735392924514</x:v>
      </x:c>
      <x:c r="F157" s="24" t="n">
        <x:v>73.77781886946624</x:v>
      </x:c>
      <x:c r="G157" s="24" t="n">
        <x:v>73.2169463407883</x:v>
      </x:c>
      <x:c r="H157" s="24" t="n">
        <x:v>67.04673461825476</x:v>
      </x:c>
      <x:c r="I157" s="24" t="n">
        <x:v>66.59706946206465</x:v>
      </x:c>
      <x:c r="J157" s="24" t="n">
        <x:v>66.66379050042991</x:v>
      </x:c>
      <x:c r="K157" s="24" t="n">
        <x:v>67.27281119593314</x:v>
      </x:c>
    </x:row>
    <x:row r="158">
      <x:c r="A158" s="24" t="n">
        <x:v>15.600000000000001</x:v>
      </x:c>
      <x:c r="B158" s="24" t="n">
        <x:v>78.70169669249398</x:v>
      </x:c>
      <x:c r="C158" s="24" t="n">
        <x:v>64.70338667160838</x:v>
      </x:c>
      <x:c r="D158" s="24" t="n">
        <x:v>66.13140712710367</x:v>
      </x:c>
      <x:c r="E158" s="24" t="n">
        <x:v>70.97027591782118</x:v>
      </x:c>
      <x:c r="F158" s="24" t="n">
        <x:v>72.75088144391871</x:v>
      </x:c>
      <x:c r="G158" s="24" t="n">
        <x:v>60.71820558775992</x:v>
      </x:c>
      <x:c r="H158" s="24" t="n">
        <x:v>68.27053290242277</x:v>
      </x:c>
      <x:c r="I158" s="24" t="n">
        <x:v>70.55074241058449</x:v>
      </x:c>
      <x:c r="J158" s="24" t="n">
        <x:v>67.70510844647603</x:v>
      </x:c>
      <x:c r="K158" s="24" t="n">
        <x:v>68.288040845449</x:v>
      </x:c>
    </x:row>
    <x:row r="159">
      <x:c r="A159" s="24" t="n">
        <x:v>15.700000000000001</x:v>
      </x:c>
      <x:c r="B159" s="24" t="n">
        <x:v>68.47139659243734</x:v>
      </x:c>
      <x:c r="C159" s="24" t="n">
        <x:v>66.16925802819819</x:v>
      </x:c>
      <x:c r="D159" s="24" t="n">
        <x:v>64.21017828615382</x:v>
      </x:c>
      <x:c r="E159" s="24" t="n">
        <x:v>77.24527460740259</x:v>
      </x:c>
      <x:c r="F159" s="24" t="n">
        <x:v>71.2999145468538</x:v>
      </x:c>
      <x:c r="G159" s="24" t="n">
        <x:v>50</x:v>
      </x:c>
      <x:c r="H159" s="24" t="n">
        <x:v>74.2822898849034</x:v>
      </x:c>
      <x:c r="I159" s="24" t="n">
        <x:v>71.54288827412842</x:v>
      </x:c>
      <x:c r="J159" s="24" t="n">
        <x:v>81.24377337340039</x:v>
      </x:c>
      <x:c r="K159" s="24" t="n">
        <x:v>68.288040845449</x:v>
      </x:c>
    </x:row>
    <x:row r="160">
      <x:c r="A160" s="24" t="n">
        <x:v>15.8</x:v>
      </x:c>
      <x:c r="B160" s="24" t="n">
        <x:v>61.72092355097316</x:v>
      </x:c>
      <x:c r="C160" s="24" t="n">
        <x:v>66.16925802819819</x:v>
      </x:c>
      <x:c r="D160" s="24" t="n">
        <x:v>61.97425745370711</x:v>
      </x:c>
      <x:c r="E160" s="24" t="n">
        <x:v>77.24527460740259</x:v>
      </x:c>
      <x:c r="F160" s="24" t="n">
        <x:v>68.31620836784421</x:v>
      </x:c>
      <x:c r="G160" s="24" t="n">
        <x:v>56.26741855285611</x:v>
      </x:c>
      <x:c r="H160" s="24" t="n">
        <x:v>75.07246745284525</x:v>
      </x:c>
      <x:c r="I160" s="24" t="n">
        <x:v>71.54288827412842</x:v>
      </x:c>
      <x:c r="J160" s="24" t="n">
        <x:v>85.63653557366047</x:v>
      </x:c>
      <x:c r="K160" s="24" t="n">
        <x:v>67.32394550216333</x:v>
      </x:c>
    </x:row>
    <x:row r="161">
      <x:c r="A161" s="24" t="n">
        <x:v>15.9</x:v>
      </x:c>
      <x:c r="B161" s="24" t="n">
        <x:v>61.72092355097316</x:v>
      </x:c>
      <x:c r="C161" s="24" t="n">
        <x:v>65.8024921274056</x:v>
      </x:c>
      <x:c r="D161" s="24" t="n">
        <x:v>75.92855416932932</x:v>
      </x:c>
      <x:c r="E161" s="24" t="n">
        <x:v>68.95382897735416</x:v>
      </x:c>
      <x:c r="F161" s="24" t="n">
        <x:v>63.384087881025444</x:v>
      </x:c>
      <x:c r="G161" s="24" t="n">
        <x:v>64.10169174392621</x:v>
      </x:c>
      <x:c r="H161" s="24" t="n">
        <x:v>72.62494773334322</x:v>
      </x:c>
      <x:c r="I161" s="24" t="n">
        <x:v>68.78998024909595</x:v>
      </x:c>
      <x:c r="J161" s="24" t="n">
        <x:v>85.63653557366047</x:v>
      </x:c>
      <x:c r="K161" s="24" t="n">
        <x:v>85.55400050988192</x:v>
      </x:c>
    </x:row>
    <x:row r="162">
      <x:c r="A162" s="24" t="n">
        <x:v>16</x:v>
      </x:c>
      <x:c r="B162" s="24" t="n">
        <x:v>59.52503788969797</x:v>
      </x:c>
      <x:c r="C162" s="24" t="n">
        <x:v>65.96600053891618</x:v>
      </x:c>
      <x:c r="D162" s="24" t="n">
        <x:v>78.71002540730528</x:v>
      </x:c>
      <x:c r="E162" s="24" t="n">
        <x:v>55.63213235133087</x:v>
      </x:c>
      <x:c r="F162" s="24" t="n">
        <x:v>63.384087881025444</x:v>
      </x:c>
      <x:c r="G162" s="24" t="n">
        <x:v>64.10169174392621</x:v>
      </x:c>
      <x:c r="H162" s="24" t="n">
        <x:v>65.40597373883544</x:v>
      </x:c>
      <x:c r="I162" s="24" t="n">
        <x:v>68.78998024909595</x:v>
      </x:c>
      <x:c r="J162" s="24" t="n">
        <x:v>80.26317453275746</x:v>
      </x:c>
      <x:c r="K162" s="24" t="n">
        <x:v>88.70774813158042</x:v>
      </x:c>
    </x:row>
    <x:row r="163">
      <x:c r="A163" s="24" t="n">
        <x:v>16.1</x:v>
      </x:c>
      <x:c r="B163" s="24" t="n">
        <x:v>50.59154100911504</x:v>
      </x:c>
      <x:c r="C163" s="24" t="n">
        <x:v>65.96600053891618</x:v>
      </x:c>
      <x:c r="D163" s="24" t="n">
        <x:v>78.71002540730528</x:v>
      </x:c>
      <x:c r="E163" s="24" t="n">
        <x:v>57.99139903389808</x:v>
      </x:c>
      <x:c r="F163" s="24" t="n">
        <x:v>69.57915353719706</x:v>
      </x:c>
      <x:c r="G163" s="24" t="n">
        <x:v>68.09524963240801</x:v>
      </x:c>
      <x:c r="H163" s="24" t="n">
        <x:v>74.06230690281893</x:v>
      </x:c>
      <x:c r="I163" s="24" t="n">
        <x:v>68.97901638809236</x:v>
      </x:c>
      <x:c r="J163" s="24" t="n">
        <x:v>70.93846397253137</x:v>
      </x:c>
      <x:c r="K163" s="24" t="n">
        <x:v>88.70774813158042</x:v>
      </x:c>
    </x:row>
    <x:row r="164">
      <x:c r="A164" s="24" t="n">
        <x:v>16.2</x:v>
      </x:c>
      <x:c r="B164" s="24" t="n">
        <x:v>50</x:v>
      </x:c>
      <x:c r="C164" s="24" t="n">
        <x:v>66.16559527066333</x:v>
      </x:c>
      <x:c r="D164" s="24" t="n">
        <x:v>69.62754883189977</x:v>
      </x:c>
      <x:c r="E164" s="24" t="n">
        <x:v>60.94048238710696</x:v>
      </x:c>
      <x:c r="F164" s="24" t="n">
        <x:v>71.57114976151556</x:v>
      </x:c>
      <x:c r="G164" s="24" t="n">
        <x:v>70.20122081118257</x:v>
      </x:c>
      <x:c r="H164" s="24" t="n">
        <x:v>74.30275066070995</x:v>
      </x:c>
      <x:c r="I164" s="24" t="n">
        <x:v>71.4198961393796</x:v>
      </x:c>
      <x:c r="J164" s="24" t="n">
        <x:v>65.01146190342827</x:v>
      </x:c>
      <x:c r="K164" s="24" t="n">
        <x:v>80.96066270964215</x:v>
      </x:c>
    </x:row>
    <x:row r="165">
      <x:c r="A165" s="24" t="n">
        <x:v>16.3</x:v>
      </x:c>
      <x:c r="B165" s="24" t="n">
        <x:v>55.546652503190145</x:v>
      </x:c>
      <x:c r="C165" s="24" t="n">
        <x:v>66.96653165417993</x:v>
      </x:c>
      <x:c r="D165" s="24" t="n">
        <x:v>61.46363753242231</x:v>
      </x:c>
      <x:c r="E165" s="24" t="n">
        <x:v>63.88956574031595</x:v>
      </x:c>
      <x:c r="F165" s="24" t="n">
        <x:v>71.57114976151556</x:v>
      </x:c>
      <x:c r="G165" s="24" t="n">
        <x:v>70.19012361041473</x:v>
      </x:c>
      <x:c r="H165" s="24" t="n">
        <x:v>74.32611171228946</x:v>
      </x:c>
      <x:c r="I165" s="24" t="n">
        <x:v>71.4198961393796</x:v>
      </x:c>
      <x:c r="J165" s="24" t="n">
        <x:v>63.935733783734946</x:v>
      </x:c>
      <x:c r="K165" s="24" t="n">
        <x:v>70.35324123187283</x:v>
      </x:c>
    </x:row>
    <x:row r="166">
      <x:c r="A166" s="24" t="n">
        <x:v>16.400000000000002</x:v>
      </x:c>
      <x:c r="B166" s="24" t="n">
        <x:v>66.47933359506821</x:v>
      </x:c>
      <x:c r="C166" s="24" t="n">
        <x:v>66.96653165417992</x:v>
      </x:c>
      <x:c r="D166" s="24" t="n">
        <x:v>54.527357156881536</x:v>
      </x:c>
      <x:c r="E166" s="24" t="n">
        <x:v>66.83864909352494</x:v>
      </x:c>
      <x:c r="F166" s="24" t="n">
        <x:v>56.2221684958758</x:v>
      </x:c>
      <x:c r="G166" s="24" t="n">
        <x:v>62.45340073902029</x:v>
      </x:c>
      <x:c r="H166" s="24" t="n">
        <x:v>75.56150525679921</x:v>
      </x:c>
      <x:c r="I166" s="24" t="n">
        <x:v>87.2290392307681</x:v>
      </x:c>
      <x:c r="J166" s="24" t="n">
        <x:v>70.8371337795558</x:v>
      </x:c>
      <x:c r="K166" s="24" t="n">
        <x:v>63.8814521507666</x:v>
      </x:c>
    </x:row>
    <x:row r="167">
      <x:c r="A167" s="24" t="n">
        <x:v>16.5</x:v>
      </x:c>
      <x:c r="B167" s="24" t="n">
        <x:v>66.47933359506821</x:v>
      </x:c>
      <x:c r="C167" s="24" t="n">
        <x:v>66.40870381677051</x:v>
      </x:c>
      <x:c r="D167" s="24" t="n">
        <x:v>56.178385118699964</x:v>
      </x:c>
      <x:c r="E167" s="24" t="n">
        <x:v>67.42846576416672</x:v>
      </x:c>
      <x:c r="F167" s="24" t="n">
        <x:v>50</x:v>
      </x:c>
      <x:c r="G167" s="24" t="n">
        <x:v>61.51134732592067</x:v>
      </x:c>
      <x:c r="H167" s="24" t="n">
        <x:v>75.66374945744006</x:v>
      </x:c>
      <x:c r="I167" s="24" t="n">
        <x:v>87.2290392307681</x:v>
      </x:c>
      <x:c r="J167" s="24" t="n">
        <x:v>72.21741377871992</x:v>
      </x:c>
      <x:c r="K167" s="24" t="n">
        <x:v>65.64375948362832</x:v>
      </x:c>
    </x:row>
    <x:row r="168">
      <x:c r="A168" s="24" t="n">
        <x:v>16.6</x:v>
      </x:c>
      <x:c r="B168" s="24" t="n">
        <x:v>61.63403458687824</x:v>
      </x:c>
      <x:c r="C168" s="24" t="n">
        <x:v>78.55512848885292</x:v>
      </x:c>
      <x:c r="D168" s="24" t="n">
        <x:v>57.82941308051845</x:v>
      </x:c>
      <x:c r="E168" s="24" t="n">
        <x:v>70.93645608236177</x:v>
      </x:c>
      <x:c r="F168" s="24" t="n">
        <x:v>66.20252938475709</x:v>
      </x:c>
      <x:c r="G168" s="24" t="n">
        <x:v>61.902793100014</x:v>
      </x:c>
      <x:c r="H168" s="24" t="n">
        <x:v>75.64444398441675</x:v>
      </x:c>
      <x:c r="I168" s="24" t="n">
        <x:v>81.73481295916305</x:v>
      </x:c>
      <x:c r="J168" s="24" t="n">
        <x:v>70.60576439415614</x:v>
      </x:c>
      <x:c r="K168" s="24" t="n">
        <x:v>66.77934378930303</x:v>
      </x:c>
    </x:row>
    <x:row r="169">
      <x:c r="A169" s="24" t="n">
        <x:v>16.7</x:v>
      </x:c>
      <x:c r="B169" s="24" t="n">
        <x:v>59.271149635023264</x:v>
      </x:c>
      <x:c r="C169" s="24" t="n">
        <x:v>79.22030999645517</x:v>
      </x:c>
      <x:c r="D169" s="24" t="n">
        <x:v>59.48044104233688</x:v>
      </x:c>
      <x:c r="E169" s="24" t="n">
        <x:v>75.61377650662156</x:v>
      </x:c>
      <x:c r="F169" s="24" t="n">
        <x:v>67.33344412842837</x:v>
      </x:c>
      <x:c r="G169" s="24" t="n">
        <x:v>63.58759434569432</x:v>
      </x:c>
      <x:c r="H169" s="24" t="n">
        <x:v>75.98973381748428</x:v>
      </x:c>
      <x:c r="I169" s="24" t="n">
        <x:v>74.39918782142823</x:v>
      </x:c>
      <x:c r="J169" s="24" t="n">
        <x:v>69.56221703442284</x:v>
      </x:c>
      <x:c r="K169" s="24" t="n">
        <x:v>72.45726531767559</x:v>
      </x:c>
    </x:row>
    <x:row r="170">
      <x:c r="A170" s="24" t="n">
        <x:v>16.8</x:v>
      </x:c>
      <x:c r="B170" s="24" t="n">
        <x:v>57.60121517879709</x:v>
      </x:c>
      <x:c r="C170" s="24" t="n">
        <x:v>77.93858477304718</x:v>
      </x:c>
      <x:c r="D170" s="24" t="n">
        <x:v>61.13146900415537</x:v>
      </x:c>
      <x:c r="E170" s="24" t="n">
        <x:v>75.61377650662156</x:v>
      </x:c>
      <x:c r="F170" s="24" t="n">
        <x:v>67.33344412842837</x:v>
      </x:c>
      <x:c r="G170" s="24" t="n">
        <x:v>63.58759434569432</x:v>
      </x:c>
      <x:c r="H170" s="24" t="n">
        <x:v>75.98973381748428</x:v>
      </x:c>
      <x:c r="I170" s="24" t="n">
        <x:v>67.8984519620988</x:v>
      </x:c>
      <x:c r="J170" s="24" t="n">
        <x:v>71.19140771274873</x:v>
      </x:c>
      <x:c r="K170" s="24" t="n">
        <x:v>73.5928496233501</x:v>
      </x:c>
    </x:row>
    <x:row r="171">
      <x:c r="A171" s="24" t="n">
        <x:v>16.900000000000002</x:v>
      </x:c>
      <x:c r="B171" s="24" t="n">
        <x:v>76.56353279743193</x:v>
      </x:c>
      <x:c r="C171" s="24" t="n">
        <x:v>64.95616214490695</x:v>
      </x:c>
      <x:c r="D171" s="24" t="n">
        <x:v>61.46167459651905</x:v>
      </x:c>
      <x:c r="E171" s="24" t="n">
        <x:v>70.89000773908177</x:v>
      </x:c>
      <x:c r="F171" s="24" t="n">
        <x:v>65.9813016647914</x:v>
      </x:c>
      <x:c r="G171" s="24" t="n">
        <x:v>62.55109168018957</x:v>
      </x:c>
      <x:c r="H171" s="24" t="n">
        <x:v>76.23923196929474</x:v>
      </x:c>
      <x:c r="I171" s="24" t="n">
        <x:v>63.01490902278675</x:v>
      </x:c>
      <x:c r="J171" s="24" t="n">
        <x:v>71.46660896177767</x:v>
      </x:c>
      <x:c r="K171" s="24" t="n">
        <x:v>71.53278843424111</x:v>
      </x:c>
    </x:row>
    <x:row r="172">
      <x:c r="A172" s="24" t="n">
        <x:v>17</x:v>
      </x:c>
      <x:c r="B172" s="24" t="n">
        <x:v>76.56353279743193</x:v>
      </x:c>
      <x:c r="C172" s="24" t="n">
        <x:v>56.87417890214241</x:v>
      </x:c>
      <x:c r="D172" s="24" t="n">
        <x:v>54.04848858700299</x:v>
      </x:c>
      <x:c r="E172" s="24" t="n">
        <x:v>65.29932974241952</x:v>
      </x:c>
      <x:c r="F172" s="24" t="n">
        <x:v>67.36646942260708</x:v>
      </x:c>
      <x:c r="G172" s="24" t="n">
        <x:v>65.6663798525212</x:v>
      </x:c>
      <x:c r="H172" s="24" t="n">
        <x:v>76.23923196929474</x:v>
      </x:c>
      <x:c r="I172" s="24" t="n">
        <x:v>63.14123828504109</x:v>
      </x:c>
      <x:c r="J172" s="24" t="n">
        <x:v>71.46660896177767</x:v>
      </x:c>
      <x:c r="K172" s="24" t="n">
        <x:v>53.7911211292993</x:v>
      </x:c>
    </x:row>
    <x:row r="173">
      <x:c r="A173" s="24" t="n">
        <x:v>17.1</x:v>
      </x:c>
      <x:c r="B173" s="24" t="n">
        <x:v>74.7078562087209</x:v>
      </x:c>
      <x:c r="C173" s="24" t="n">
        <x:v>52.522990877952246</x:v>
      </x:c>
      <x:c r="D173" s="24" t="n">
        <x:v>66.4704078702974</x:v>
      </x:c>
      <x:c r="E173" s="24" t="n">
        <x:v>63.745614613129064</x:v>
      </x:c>
      <x:c r="F173" s="24" t="n">
        <x:v>67.54653961352439</x:v>
      </x:c>
      <x:c r="G173" s="24" t="n">
        <x:v>65.6663798525212</x:v>
      </x:c>
      <x:c r="H173" s="24" t="n">
        <x:v>75.26025562590608</x:v>
      </x:c>
      <x:c r="I173" s="24" t="n">
        <x:v>66.74320045336079</x:v>
      </x:c>
      <x:c r="J173" s="24" t="n">
        <x:v>70.06477021443447</x:v>
      </x:c>
      <x:c r="K173" s="24" t="n">
        <x:v>64.40435492002564</x:v>
      </x:c>
    </x:row>
    <x:row r="174">
      <x:c r="A174" s="24" t="n">
        <x:v>17.2</x:v>
      </x:c>
      <x:c r="B174" s="24" t="n">
        <x:v>69.73222858736159</x:v>
      </x:c>
      <x:c r="C174" s="24" t="n">
        <x:v>53.2058785700153</x:v>
      </x:c>
      <x:c r="D174" s="24" t="n">
        <x:v>71.43917558361497</x:v>
      </x:c>
      <x:c r="E174" s="24" t="n">
        <x:v>66.1773605668973</x:v>
      </x:c>
      <x:c r="F174" s="24" t="n">
        <x:v>67.54653961352439</x:v>
      </x:c>
      <x:c r="G174" s="24" t="n">
        <x:v>64.94035299067009</x:v>
      </x:c>
      <x:c r="H174" s="24" t="n">
        <x:v>73.32330132208492</x:v>
      </x:c>
      <x:c r="I174" s="24" t="n">
        <x:v>72.74647073389328</x:v>
      </x:c>
      <x:c r="J174" s="24" t="n">
        <x:v>69.51425041297414</x:v>
      </x:c>
      <x:c r="K174" s="24" t="n">
        <x:v>65.30342059775647</x:v>
      </x:c>
    </x:row>
    <x:row r="175">
      <x:c r="A175" s="24" t="n">
        <x:v>17.3</x:v>
      </x:c>
      <x:c r="B175" s="24" t="n">
        <x:v>66.61432252963053</x:v>
      </x:c>
      <x:c r="C175" s="24" t="n">
        <x:v>53.88876626207837</x:v>
      </x:c>
      <x:c r="D175" s="24" t="n">
        <x:v>71.43917558361497</x:v>
      </x:c>
      <x:c r="E175" s="24" t="n">
        <x:v>66.87185635311964</x:v>
      </x:c>
      <x:c r="F175" s="24" t="n">
        <x:v>65.41120368909704</x:v>
      </x:c>
      <x:c r="G175" s="24" t="n">
        <x:v>64.19680004530656</x:v>
      </x:c>
      <x:c r="H175" s="24" t="n">
        <x:v>83.55418460091752</x:v>
      </x:c>
      <x:c r="I175" s="24" t="n">
        <x:v>75.14777884610626</x:v>
      </x:c>
      <x:c r="J175" s="24" t="n">
        <x:v>67.96145447405087</x:v>
      </x:c>
      <x:c r="K175" s="24" t="n">
        <x:v>68.06920583122216</x:v>
      </x:c>
    </x:row>
    <x:row r="176">
      <x:c r="A176" s="24" t="n">
        <x:v>17.400000000000002</x:v>
      </x:c>
      <x:c r="B176" s="24" t="n">
        <x:v>62.96774733774768</x:v>
      </x:c>
      <x:c r="C176" s="24" t="n">
        <x:v>59.24526113877466</x:v>
      </x:c>
      <x:c r="D176" s="24" t="n">
        <x:v>65.98878082222457</x:v>
      </x:c>
      <x:c r="E176" s="24" t="n">
        <x:v>67.05080266353924</x:v>
      </x:c>
      <x:c r="F176" s="24" t="n">
        <x:v>70.9058590927699</x:v>
      </x:c>
      <x:c r="G176" s="24" t="n">
        <x:v>63.518465235693455</x:v>
      </x:c>
      <x:c r="H176" s="24" t="n">
        <x:v>83.55418460091752</x:v>
      </x:c>
      <x:c r="I176" s="24" t="n">
        <x:v>75.1477788461061</x:v>
      </x:c>
      <x:c r="J176" s="24" t="n">
        <x:v>81.18555468784476</x:v>
      </x:c>
      <x:c r="K176" s="24" t="n">
        <x:v>69.01121590168512</x:v>
      </x:c>
    </x:row>
    <x:row r="177">
      <x:c r="A177" s="24" t="n">
        <x:v>17.5</x:v>
      </x:c>
      <x:c r="B177" s="24" t="n">
        <x:v>63.26145729696867</x:v>
      </x:c>
      <x:c r="C177" s="24" t="n">
        <x:v>59.224660701945986</x:v>
      </x:c>
      <x:c r="D177" s="24" t="n">
        <x:v>63.6835420161525</x:v>
      </x:c>
      <x:c r="E177" s="24" t="n">
        <x:v>67.87683216396974</x:v>
      </x:c>
      <x:c r="F177" s="24" t="n">
        <x:v>70.9058590927699</x:v>
      </x:c>
      <x:c r="G177" s="24" t="n">
        <x:v>74.77136546619259</x:v>
      </x:c>
      <x:c r="H177" s="24" t="n">
        <x:v>80.2292708179973</x:v>
      </x:c>
      <x:c r="I177" s="24" t="n">
        <x:v>72.54387099823322</x:v>
      </x:c>
      <x:c r="J177" s="24" t="n">
        <x:v>81.18555468784476</x:v>
      </x:c>
      <x:c r="K177" s="24" t="n">
        <x:v>70.96348012746874</x:v>
      </x:c>
    </x:row>
    <x:row r="178">
      <x:c r="A178" s="24" t="n">
        <x:v>17.6</x:v>
      </x:c>
      <x:c r="B178" s="24" t="n">
        <x:v>66.03141734935754</x:v>
      </x:c>
      <x:c r="C178" s="24" t="n">
        <x:v>50</x:v>
      </x:c>
      <x:c r="D178" s="24" t="n">
        <x:v>63.74347982582015</x:v>
      </x:c>
      <x:c r="E178" s="24" t="n">
        <x:v>67.87683216396974</x:v>
      </x:c>
      <x:c r="F178" s="24" t="n">
        <x:v>85.360850276366</x:v>
      </x:c>
      <x:c r="G178" s="24" t="n">
        <x:v>74.77136546619259</x:v>
      </x:c>
      <x:c r="H178" s="24" t="n">
        <x:v>70.49125553196136</x:v>
      </x:c>
      <x:c r="I178" s="24" t="n">
        <x:v>70.39490938901328</x:v>
      </x:c>
      <x:c r="J178" s="24" t="n">
        <x:v>76.27424730784216</x:v>
      </x:c>
      <x:c r="K178" s="24" t="n">
        <x:v>89.07863176400876</x:v>
      </x:c>
    </x:row>
    <x:row r="179">
      <x:c r="A179" s="24" t="n">
        <x:v>17.7</x:v>
      </x:c>
      <x:c r="B179" s="24" t="n">
        <x:v>66.65144768453679</x:v>
      </x:c>
      <x:c r="C179" s="24" t="n">
        <x:v>50</x:v>
      </x:c>
      <x:c r="D179" s="24" t="n">
        <x:v>65.00506077243729</x:v>
      </x:c>
      <x:c r="E179" s="24" t="n">
        <x:v>67.40557368077623</x:v>
      </x:c>
      <x:c r="F179" s="24" t="n">
        <x:v>85.360850276366</x:v>
      </x:c>
      <x:c r="G179" s="24" t="n">
        <x:v>72.45022328350004</x:v>
      </x:c>
      <x:c r="H179" s="24" t="n">
        <x:v>53.94208390664677</x:v>
      </x:c>
      <x:c r="I179" s="24" t="n">
        <x:v>69.53532474532534</x:v>
      </x:c>
      <x:c r="J179" s="24" t="n">
        <x:v>72.27569062856693</x:v>
      </x:c>
      <x:c r="K179" s="24" t="n">
        <x:v>89.07863176400876</x:v>
      </x:c>
    </x:row>
    <x:row r="180">
      <x:c r="A180" s="24" t="n">
        <x:v>17.8</x:v>
      </x:c>
      <x:c r="B180" s="24" t="n">
        <x:v>66.37074287940521</x:v>
      </x:c>
      <x:c r="C180" s="24" t="n">
        <x:v>73.10451860117277</x:v>
      </x:c>
      <x:c r="D180" s="24" t="n">
        <x:v>65.23744405405927</x:v>
      </x:c>
      <x:c r="E180" s="24" t="n">
        <x:v>67.58608195748008</x:v>
      </x:c>
      <x:c r="F180" s="24" t="n">
        <x:v>80.78166750144528</x:v>
      </x:c>
      <x:c r="G180" s="24" t="n">
        <x:v>58.21067801830182</x:v>
      </x:c>
      <x:c r="H180" s="24" t="n">
        <x:v>50</x:v>
      </x:c>
      <x:c r="I180" s="24" t="n">
        <x:v>69.52913037023791</x:v>
      </x:c>
      <x:c r="J180" s="24" t="n">
        <x:v>69.95928155266647</x:v>
      </x:c>
      <x:c r="K180" s="24" t="n">
        <x:v>84.36642360768204</x:v>
      </x:c>
    </x:row>
    <x:row r="181">
      <x:c r="A181" s="24" t="n">
        <x:v>17.900000000000002</x:v>
      </x:c>
      <x:c r="B181" s="24" t="n">
        <x:v>65.53241754448607</x:v>
      </x:c>
      <x:c r="C181" s="24" t="n">
        <x:v>73.8713036549877</x:v>
      </x:c>
      <x:c r="D181" s="24" t="n">
        <x:v>64.81561166098157</x:v>
      </x:c>
      <x:c r="E181" s="24" t="n">
        <x:v>90.95402813590081</x:v>
      </x:c>
      <x:c r="F181" s="24" t="n">
        <x:v>72.71360083580679</x:v>
      </x:c>
      <x:c r="G181" s="24" t="n">
        <x:v>52.379378633099186</x:v>
      </x:c>
      <x:c r="H181" s="24" t="n">
        <x:v>59.34816520051684</x:v>
      </x:c>
      <x:c r="I181" s="24" t="n">
        <x:v>69.52913037023791</x:v>
      </x:c>
      <x:c r="J181" s="24" t="n">
        <x:v>67.64287247676607</x:v>
      </x:c>
      <x:c r="K181" s="24" t="n">
        <x:v>77.62608088734726</x:v>
      </x:c>
    </x:row>
    <x:row r="182">
      <x:c r="A182" s="24" t="n">
        <x:v>18</x:v>
      </x:c>
      <x:c r="B182" s="24" t="n">
        <x:v>65.53241754448607</x:v>
      </x:c>
      <x:c r="C182" s="24" t="n">
        <x:v>72.87716810009958</x:v>
      </x:c>
      <x:c r="D182" s="24" t="n">
        <x:v>65.79222826808738</x:v>
      </x:c>
      <x:c r="E182" s="24" t="n">
        <x:v>90.95402813590081</x:v>
      </x:c>
      <x:c r="F182" s="24" t="n">
        <x:v>66.61910408506411</x:v>
      </x:c>
      <x:c r="G182" s="24" t="n">
        <x:v>56.345009688264255</x:v>
      </x:c>
      <x:c r="H182" s="24" t="n">
        <x:v>66.82669736093004</x:v>
      </x:c>
      <x:c r="I182" s="24" t="n">
        <x:v>68.57177390453568</x:v>
      </x:c>
      <x:c r="J182" s="24" t="n">
        <x:v>71.98425029812759</x:v>
      </x:c>
      <x:c r="K182" s="24" t="n">
        <x:v>74.14422287730486</x:v>
      </x:c>
    </x:row>
    <x:row r="183">
      <x:c r="A183" s="24" t="n">
        <x:v>18.1</x:v>
      </x:c>
      <x:c r="B183" s="24" t="n">
        <x:v>65.11447584207502</x:v>
      </x:c>
      <x:c r="C183" s="24" t="n">
        <x:v>67.24540475719962</x:v>
      </x:c>
      <x:c r="D183" s="24" t="n">
        <x:v>65.79222826808738</x:v>
      </x:c>
      <x:c r="E183" s="24" t="n">
        <x:v>85.84165282388952</x:v>
      </x:c>
      <x:c r="F183" s="24" t="n">
        <x:v>62.615162469342174</x:v>
      </x:c>
      <x:c r="G183" s="24" t="n">
        <x:v>60.310640743429474</x:v>
      </x:c>
      <x:c r="H183" s="24" t="n">
        <x:v>73.06646848105106</x:v>
      </x:c>
      <x:c r="I183" s="24" t="n">
        <x:v>68.10488420374607</x:v>
      </x:c>
      <x:c r="J183" s="24" t="n">
        <x:v>72.89409089412976</x:v>
      </x:c>
      <x:c r="K183" s="24" t="n">
        <x:v>70.80379033538024</x:v>
      </x:c>
    </x:row>
    <x:row r="184">
      <x:c r="A184" s="24" t="n">
        <x:v>18.2</x:v>
      </x:c>
      <x:c r="B184" s="24" t="n">
        <x:v>64.96656544832825</x:v>
      </x:c>
      <x:c r="C184" s="24" t="n">
        <x:v>60.88678946826682</x:v>
      </x:c>
      <x:c r="D184" s="24" t="n">
        <x:v>65.59839360963383</x:v>
      </x:c>
      <x:c r="E184" s="24" t="n">
        <x:v>77.82774491776513</x:v>
      </x:c>
      <x:c r="F184" s="24" t="n">
        <x:v>50</x:v>
      </x:c>
      <x:c r="G184" s="24" t="n">
        <x:v>62.69001937652852</x:v>
      </x:c>
      <x:c r="H184" s="24" t="n">
        <x:v>76.23006970383243</x:v>
      </x:c>
      <x:c r="I184" s="24" t="n">
        <x:v>70.25247901965372</x:v>
      </x:c>
      <x:c r="J184" s="24" t="n">
        <x:v>72.18486051491848</x:v>
      </x:c>
      <x:c r="K184" s="24" t="n">
        <x:v>75.57614458908239</x:v>
      </x:c>
    </x:row>
    <x:row r="185">
      <x:c r="A185" s="24" t="n">
        <x:v>18.3</x:v>
      </x:c>
      <x:c r="B185" s="24" t="n">
        <x:v>64.96656544832825</x:v>
      </x:c>
      <x:c r="C185" s="24" t="n">
        <x:v>64.51661208583054</x:v>
      </x:c>
      <x:c r="D185" s="24" t="n">
        <x:v>65.59839360963383</x:v>
      </x:c>
      <x:c r="E185" s="24" t="n">
        <x:v>73.21907240002636</x:v>
      </x:c>
      <x:c r="F185" s="24" t="n">
        <x:v>60.72475472968576</x:v>
      </x:c>
      <x:c r="G185" s="24" t="n">
        <x:v>62.69001937652852</x:v>
      </x:c>
      <x:c r="H185" s="24" t="n">
        <x:v>76.23006970383243</x:v>
      </x:c>
      <x:c r="I185" s="24" t="n">
        <x:v>70.25247901965372</x:v>
      </x:c>
      <x:c r="J185" s="24" t="n">
        <x:v>72.53813041826484</x:v>
      </x:c>
      <x:c r="K185" s="24" t="n">
        <x:v>76.06759201310558</x:v>
      </x:c>
    </x:row>
    <x:row r="186">
      <x:c r="A186" s="24" t="n">
        <x:v>18.400000000000002</x:v>
      </x:c>
      <x:c r="B186" s="24" t="n">
        <x:v>65.54283805082096</x:v>
      </x:c>
      <x:c r="C186" s="24" t="n">
        <x:v>64.51661208583056</x:v>
      </x:c>
      <x:c r="D186" s="24" t="n">
        <x:v>65.090649783186</x:v>
      </x:c>
      <x:c r="E186" s="24" t="n">
        <x:v>68.6075818218629</x:v>
      </x:c>
      <x:c r="F186" s="24" t="n">
        <x:v>60.72475472968576</x:v>
      </x:c>
      <x:c r="G186" s="24" t="n">
        <x:v>68.92259187439613</x:v>
      </x:c>
      <x:c r="H186" s="24" t="n">
        <x:v>70.59884496249488</x:v>
      </x:c>
      <x:c r="I186" s="24" t="n">
        <x:v>69.00848024393815</x:v>
      </x:c>
      <x:c r="J186" s="24" t="n">
        <x:v>74.19523709471265</x:v>
      </x:c>
      <x:c r="K186" s="24" t="n">
        <x:v>75.98133782882937</x:v>
      </x:c>
    </x:row>
    <x:row r="187">
      <x:c r="A187" s="24" t="n">
        <x:v>18.5</x:v>
      </x:c>
      <x:c r="B187" s="24" t="n">
        <x:v>66.21418087411934</x:v>
      </x:c>
      <x:c r="C187" s="24" t="n">
        <x:v>65.84699034238213</x:v>
      </x:c>
      <x:c r="D187" s="24" t="n">
        <x:v>65.11985801516781</x:v>
      </x:c>
      <x:c r="E187" s="24" t="n">
        <x:v>68.25691692168188</x:v>
      </x:c>
      <x:c r="F187" s="24" t="n">
        <x:v>67.56724107104503</x:v>
      </x:c>
      <x:c r="G187" s="24" t="n">
        <x:v>68.92259187439613</x:v>
      </x:c>
      <x:c r="H187" s="24" t="n">
        <x:v>70.79431527187863</x:v>
      </x:c>
      <x:c r="I187" s="24" t="n">
        <x:v>81.62205618760183</x:v>
      </x:c>
      <x:c r="J187" s="24" t="n">
        <x:v>74.19523709471265</x:v>
      </x:c>
      <x:c r="K187" s="24" t="n">
        <x:v>66.19913605144971</x:v>
      </x:c>
    </x:row>
    <x:row r="188">
      <x:c r="A188" s="24" t="n">
        <x:v>18.6</x:v>
      </x:c>
      <x:c r="B188" s="24" t="n">
        <x:v>66.44401528629362</x:v>
      </x:c>
      <x:c r="C188" s="24" t="n">
        <x:v>66.30111347593996</x:v>
      </x:c>
      <x:c r="D188" s="24" t="n">
        <x:v>66.34719326980701</x:v>
      </x:c>
      <x:c r="E188" s="24" t="n">
        <x:v>67.61991547960014</x:v>
      </x:c>
      <x:c r="F188" s="24" t="n">
        <x:v>70.50829208669103</x:v>
      </x:c>
      <x:c r="G188" s="24" t="n">
        <x:v>64.75341711694787</x:v>
      </x:c>
      <x:c r="H188" s="24" t="n">
        <x:v>76.67435347233123</x:v>
      </x:c>
      <x:c r="I188" s="24" t="n">
        <x:v>81.90000619807427</x:v>
      </x:c>
      <x:c r="J188" s="24" t="n">
        <x:v>72.18547550819832</x:v>
      </x:c>
      <x:c r="K188" s="24" t="n">
        <x:v>65.725179070721</x:v>
      </x:c>
    </x:row>
    <x:row r="189">
      <x:c r="A189" s="24" t="n">
        <x:v>18.7</x:v>
      </x:c>
      <x:c r="B189" s="24" t="n">
        <x:v>66.99380573285282</x:v>
      </x:c>
      <x:c r="C189" s="24" t="n">
        <x:v>71.92856562700265</x:v>
      </x:c>
      <x:c r="D189" s="24" t="n">
        <x:v>66.34719326980701</x:v>
      </x:c>
      <x:c r="E189" s="24" t="n">
        <x:v>61.110203627487</x:v>
      </x:c>
      <x:c r="F189" s="24" t="n">
        <x:v>70.50829208669103</x:v>
      </x:c>
      <x:c r="G189" s="24" t="n">
        <x:v>61.4857374229668</x:v>
      </x:c>
      <x:c r="H189" s="24" t="n">
        <x:v>76.67435347233123</x:v>
      </x:c>
      <x:c r="I189" s="24" t="n">
        <x:v>78.66599170531082</x:v>
      </x:c>
      <x:c r="J189" s="24" t="n">
        <x:v>70.84083379746417</x:v>
      </x:c>
      <x:c r="K189" s="24" t="n">
        <x:v>69.63394488887104</x:v>
      </x:c>
    </x:row>
    <x:row r="190">
      <x:c r="A190" s="24" t="n">
        <x:v>18.8</x:v>
      </x:c>
      <x:c r="B190" s="24" t="n">
        <x:v>66.80378001754562</x:v>
      </x:c>
      <x:c r="C190" s="24" t="n">
        <x:v>71.92856562700265</x:v>
      </x:c>
      <x:c r="D190" s="24" t="n">
        <x:v>63.08692136318448</x:v>
      </x:c>
      <x:c r="E190" s="24" t="n">
        <x:v>50</x:v>
      </x:c>
      <x:c r="F190" s="24" t="n">
        <x:v>62.04421762359107</x:v>
      </x:c>
      <x:c r="G190" s="24" t="n">
        <x:v>62.893768948073365</x:v>
      </x:c>
      <x:c r="H190" s="24" t="n">
        <x:v>75.98042605165337</x:v>
      </x:c>
      <x:c r="I190" s="24" t="n">
        <x:v>71.78625904911465</x:v>
      </x:c>
      <x:c r="J190" s="24" t="n">
        <x:v>72.20024314729491</x:v>
      </x:c>
      <x:c r="K190" s="24" t="n">
        <x:v>69.63394488887104</x:v>
      </x:c>
    </x:row>
    <x:row r="191">
      <x:c r="A191" s="24" t="n">
        <x:v>18.900000000000002</x:v>
      </x:c>
      <x:c r="B191" s="24" t="n">
        <x:v>64.91382569781565</x:v>
      </x:c>
      <x:c r="C191" s="24" t="n">
        <x:v>67.94221355029987</x:v>
      </x:c>
      <x:c r="D191" s="24" t="n">
        <x:v>82.04443522362212</x:v>
      </x:c>
      <x:c r="E191" s="24" t="n">
        <x:v>62.99088360678443</x:v>
      </x:c>
      <x:c r="F191" s="24" t="n">
        <x:v>50.000000000002224</x:v>
      </x:c>
      <x:c r="G191" s="24" t="n">
        <x:v>62.893768948073365</x:v>
      </x:c>
      <x:c r="H191" s="24" t="n">
        <x:v>76.50395361503028</x:v>
      </x:c>
      <x:c r="I191" s="24" t="n">
        <x:v>69.82516217695222</x:v>
      </x:c>
      <x:c r="J191" s="24"/>
      <x:c r="K191" s="24" t="n">
        <x:v>69.04810961335868</x:v>
      </x:c>
    </x:row>
    <x:row r="192">
      <x:c r="A192" s="24" t="n">
        <x:v>19</x:v>
      </x:c>
      <x:c r="B192" s="24" t="n">
        <x:v>60.9083027697439</x:v>
      </x:c>
      <x:c r="C192" s="24" t="n">
        <x:v>67.94221355029987</x:v>
      </x:c>
      <x:c r="D192" s="24" t="n">
        <x:v>82.04443522362212</x:v>
      </x:c>
      <x:c r="E192" s="24" t="n">
        <x:v>75.38306056355157</x:v>
      </x:c>
      <x:c r="F192" s="24" t="n">
        <x:v>66.11214381019207</x:v>
      </x:c>
      <x:c r="G192" s="24" t="n">
        <x:v>64.48959318803418</x:v>
      </x:c>
      <x:c r="H192" s="24" t="n">
        <x:v>77.34716449718408</x:v>
      </x:c>
      <x:c r="I192" s="24" t="n">
        <x:v>67.86406530478986</x:v>
      </x:c>
      <x:c r="J192" s="24"/>
      <x:c r="K192" s="24" t="n">
        <x:v>65.33272005243859</x:v>
      </x:c>
    </x:row>
    <x:row r="193">
      <x:c r="A193" s="24" t="n">
        <x:v>19.1</x:v>
      </x:c>
      <x:c r="B193" s="24" t="n">
        <x:v>67.39261232365124</x:v>
      </x:c>
      <x:c r="C193" s="24" t="n">
        <x:v>68.3164013912239</x:v>
      </x:c>
      <x:c r="D193" s="24" t="n">
        <x:v>78.02055468649168</x:v>
      </x:c>
      <x:c r="E193" s="24" t="n">
        <x:v>75.38306056355157</x:v>
      </x:c>
      <x:c r="F193" s="24" t="n">
        <x:v>66.11214381019207</x:v>
      </x:c>
      <x:c r="G193" s="24" t="n">
        <x:v>64.65603297246649</x:v>
      </x:c>
      <x:c r="H193" s="24" t="n">
        <x:v>77.34716449718408</x:v>
      </x:c>
      <x:c r="I193" s="24" t="n">
        <x:v>65.90296843262743</x:v>
      </x:c>
      <x:c r="J193" s="24"/>
      <x:c r="K193" s="24" t="n">
        <x:v>88.31831230845938</x:v>
      </x:c>
    </x:row>
    <x:row r="194">
      <x:c r="A194" s="24" t="n">
        <x:v>19.200000000000003</x:v>
      </x:c>
      <x:c r="B194" s="24" t="n">
        <x:v>81.09868249701765</x:v>
      </x:c>
      <x:c r="C194" s="24" t="n">
        <x:v>70.52733527271933</x:v>
      </x:c>
      <x:c r="D194" s="24" t="n">
        <x:v>69.36640367544132</x:v>
      </x:c>
      <x:c r="E194" s="24" t="n">
        <x:v>67.77456570772182</x:v>
      </x:c>
      <x:c r="F194" s="24" t="n">
        <x:v>67.21395266275817</x:v>
      </x:c>
      <x:c r="G194" s="24" t="n">
        <x:v>64.65603297246649</x:v>
      </x:c>
      <x:c r="H194" s="24" t="n">
        <x:v>76.57680847365752</x:v>
      </x:c>
      <x:c r="I194" s="24" t="n">
        <x:v>65.1185296837627</x:v>
      </x:c>
      <x:c r="J194" s="24"/>
      <x:c r="K194" s="24" t="n">
        <x:v>88.31831230845938</x:v>
      </x:c>
    </x:row>
    <x:row r="195">
      <x:c r="A195" s="24" t="n">
        <x:v>19.3</x:v>
      </x:c>
      <x:c r="B195" s="24" t="n">
        <x:v>81.09868249701765</x:v>
      </x:c>
      <x:c r="C195" s="24" t="n">
        <x:v>70.52733527271933</x:v>
      </x:c>
      <x:c r="D195" s="24" t="n">
        <x:v>62.383112946441564</x:v>
      </x:c>
      <x:c r="E195" s="24" t="n">
        <x:v>50</x:v>
      </x:c>
      <x:c r="F195" s="24" t="n">
        <x:v>67.21395266275817</x:v>
      </x:c>
      <x:c r="G195" s="24" t="n">
        <x:v>63.97319924678517</x:v>
      </x:c>
      <x:c r="H195" s="24" t="n">
        <x:v>78.26506398902198</x:v>
      </x:c>
      <x:c r="I195" s="24" t="n">
        <x:v>71.0765039449844</x:v>
      </x:c>
      <x:c r="J195" s="24"/>
      <x:c r="K195" s="24" t="n">
        <x:v>85.10731153525359</x:v>
      </x:c>
    </x:row>
    <x:row r="196">
      <x:c r="A196" s="24" t="n">
        <x:v>19.400000000000002</x:v>
      </x:c>
      <x:c r="B196" s="24" t="n">
        <x:v>70.85908830480616</x:v>
      </x:c>
      <x:c r="C196" s="24" t="n">
        <x:v>68.49112977864989</x:v>
      </x:c>
      <x:c r="D196" s="24" t="n">
        <x:v>50.43024722489365</x:v>
      </x:c>
      <x:c r="E196" s="24" t="n">
        <x:v>50.0000000000014</x:v>
      </x:c>
      <x:c r="F196" s="24" t="n">
        <x:v>65.30011705459205</x:v>
      </x:c>
      <x:c r="G196" s="24" t="n">
        <x:v>64.28761083906097</x:v>
      </x:c>
      <x:c r="H196" s="24" t="n">
        <x:v>78.26506398902198</x:v>
      </x:c>
      <x:c r="I196" s="24" t="n">
        <x:v>74.6512885017174</x:v>
      </x:c>
      <x:c r="J196" s="24"/>
      <x:c r="K196" s="24" t="n">
        <x:v>75.69914454454313</x:v>
      </x:c>
    </x:row>
    <x:row r="197">
      <x:c r="A197" s="24" t="n">
        <x:v>19.5</x:v>
      </x:c>
      <x:c r="B197" s="24" t="n">
        <x:v>61.39878296736139</x:v>
      </x:c>
      <x:c r="C197" s="24" t="n">
        <x:v>70.35052457540641</x:v>
      </x:c>
      <x:c r="D197" s="24" t="n">
        <x:v>52.58148334936153</x:v>
      </x:c>
      <x:c r="E197" s="24" t="n">
        <x:v>64.26200861946283</x:v>
      </x:c>
      <x:c r="F197" s="24" t="n">
        <x:v>67.38917517693173</x:v>
      </x:c>
      <x:c r="G197" s="24" t="n">
        <x:v>65.72262316321343</x:v>
      </x:c>
      <x:c r="H197" s="24" t="n">
        <x:v>74.7768554910286</x:v>
      </x:c>
      <x:c r="I197" s="24" t="n">
        <x:v>74.6512885017174</x:v>
      </x:c>
      <x:c r="J197" s="24"/>
      <x:c r="K197" s="24" t="n">
        <x:v>69.37542986464335</x:v>
      </x:c>
    </x:row>
    <x:row r="198">
      <x:c r="A198" s="24" t="n">
        <x:v>19.6</x:v>
      </x:c>
      <x:c r="B198" s="24" t="n">
        <x:v>52.35949675334105</x:v>
      </x:c>
      <x:c r="C198" s="24" t="n">
        <x:v>73.01740332137462</x:v>
      </x:c>
      <x:c r="D198" s="24" t="n">
        <x:v>54.732719473829476</x:v>
      </x:c>
      <x:c r="E198" s="24" t="n">
        <x:v>65.43523096215607</x:v>
      </x:c>
      <x:c r="F198" s="24" t="n">
        <x:v>68.08500170732415</x:v>
      </x:c>
      <x:c r="G198" s="24" t="n">
        <x:v>65.72262316321343</x:v>
      </x:c>
      <x:c r="H198" s="24" t="n">
        <x:v>74.30003342880457</x:v>
      </x:c>
      <x:c r="I198" s="24" t="n">
        <x:v>72.8505850624527</x:v>
      </x:c>
      <x:c r="J198" s="24"/>
      <x:c r="K198" s="24" t="n">
        <x:v>69.01725402556157</x:v>
      </x:c>
    </x:row>
    <x:row r="199">
      <x:c r="A199" s="24" t="n">
        <x:v>19.700000000000003</x:v>
      </x:c>
      <x:c r="B199" s="24" t="n">
        <x:v>56.659038151631435</x:v>
      </x:c>
      <x:c r="C199" s="24" t="n">
        <x:v>73.01740332137462</x:v>
      </x:c>
      <x:c r="D199" s="24" t="n">
        <x:v>56.88395559829743</x:v>
      </x:c>
      <x:c r="E199" s="24" t="n">
        <x:v>67.15038194981459</x:v>
      </x:c>
      <x:c r="F199" s="24" t="n">
        <x:v>68.08500170732401</x:v>
      </x:c>
      <x:c r="G199" s="24" t="n">
        <x:v>70.49069220242416</x:v>
      </x:c>
      <x:c r="H199" s="24" t="n">
        <x:v>70.76040424668292</x:v>
      </x:c>
      <x:c r="I199" s="24" t="n">
        <x:v>71.00853845995934</x:v>
      </x:c>
      <x:c r="J199" s="24"/>
      <x:c r="K199" s="24" t="n">
        <x:v>69.01725402556157</x:v>
      </x:c>
    </x:row>
    <x:row r="200">
      <x:c r="A200" s="24" t="n">
        <x:v>19.8</x:v>
      </x:c>
      <x:c r="B200" s="24" t="n">
        <x:v>56.659038151631435</x:v>
      </x:c>
      <x:c r="C200" s="24" t="n">
        <x:v>65.97035465458393</x:v>
      </x:c>
      <x:c r="D200" s="24" t="n">
        <x:v>58.17469727297816</x:v>
      </x:c>
      <x:c r="E200" s="24" t="n">
        <x:v>67.96895682571822</x:v>
      </x:c>
      <x:c r="F200" s="24" t="n">
        <x:v>66.62897624735473</x:v>
      </x:c>
      <x:c r="G200" s="24" t="n">
        <x:v>73.5141788035654</x:v>
      </x:c>
      <x:c r="H200" s="24" t="n">
        <x:v>75.56671137591027</x:v>
      </x:c>
      <x:c r="I200" s="24" t="n">
        <x:v>70.33555000880767</x:v>
      </x:c>
      <x:c r="J200" s="24"/>
      <x:c r="K200" s="24" t="n">
        <x:v>68.75618819252307</x:v>
      </x:c>
    </x:row>
    <x:row r="201">
      <x:c r="A201" s="24" t="n">
        <x:v>19.900000000000002</x:v>
      </x:c>
      <x:c r="B201" s="24" t="n">
        <x:v>58.806348282085054</x:v>
      </x:c>
      <x:c r="C201" s="24" t="n">
        <x:v>56.60193639704261</x:v>
      </x:c>
      <x:c r="D201" s="24" t="n">
        <x:v>64.95683449387258</x:v>
      </x:c>
      <x:c r="E201" s="24" t="n">
        <x:v>69.04378133860064</x:v>
      </x:c>
      <x:c r="F201" s="24" t="n">
        <x:v>67.23924838649381</x:v>
      </x:c>
      <x:c r="G201" s="24" t="n">
        <x:v>73.51417880356522</x:v>
      </x:c>
      <x:c r="H201" s="24" t="n">
        <x:v>82.18927948380654</x:v>
      </x:c>
      <x:c r="I201" s="24" t="n">
        <x:v>70.33555000880767</x:v>
      </x:c>
      <x:c r="J201" s="24"/>
      <x:c r="K201" s="24" t="n">
        <x:v>74.49667367595389</x:v>
      </x:c>
    </x:row>
    <x:row r="202">
      <x:c r="A202" s="24" t="n">
        <x:v>20</x:v>
      </x:c>
      <x:c r="B202" s="24" t="n">
        <x:v>58.806348282085054</x:v>
      </x:c>
      <x:c r="C202" s="24" t="n">
        <x:v>54.19338587168717</x:v>
      </x:c>
      <x:c r="D202" s="24" t="n">
        <x:v>71.73897171476669</x:v>
      </x:c>
      <x:c r="E202" s="24" t="n">
        <x:v>69.04378133860064</x:v>
      </x:c>
      <x:c r="F202" s="24" t="n">
        <x:v>83.09321126197767</x:v>
      </x:c>
      <x:c r="G202" s="24" t="n">
        <x:v>60.68600408358394</x:v>
      </x:c>
      <x:c r="H202" s="24" t="n">
        <x:v>81.78155405080187</x:v>
      </x:c>
      <x:c r="I202" s="24" t="n">
        <x:v>68.92251742007437</x:v>
      </x:c>
      <x:c r="J202" s="24"/>
      <x:c r="K202" s="24" t="n">
        <x:v>74.49667367595389</x:v>
      </x:c>
    </x:row>
    <x:row r="203">
      <x:c r="A203" s="24" t="n">
        <x:v>20.1</x:v>
      </x:c>
      <x:c r="B203" s="24" t="n">
        <x:v>63.81725724179439</x:v>
      </x:c>
      <x:c r="C203" s="24" t="n">
        <x:v>54.19338587168717</x:v>
      </x:c>
      <x:c r="D203" s="24" t="n">
        <x:v>71.73897171476669</x:v>
      </x:c>
      <x:c r="E203" s="24" t="n">
        <x:v>69.36062586636774</x:v>
      </x:c>
      <x:c r="F203" s="24" t="n">
        <x:v>83.93537685965583</x:v>
      </x:c>
      <x:c r="G203" s="24" t="n">
        <x:v>51.87389228453825</x:v>
      </x:c>
      <x:c r="H203" s="24" t="n">
        <x:v>71.87917757217555</x:v>
      </x:c>
      <x:c r="I203" s="24" t="n">
        <x:v>69.57036366250426</x:v>
      </x:c>
      <x:c r="J203" s="24"/>
      <x:c r="K203" s="24" t="n">
        <x:v>59.59672189022156</x:v>
      </x:c>
    </x:row>
    <x:row r="204">
      <x:c r="A204" s="24" t="n">
        <x:v>20.200000000000003</x:v>
      </x:c>
      <x:c r="B204" s="24" t="n">
        <x:v>64.0376806426886</x:v>
      </x:c>
      <x:c r="C204" s="24" t="n">
        <x:v>50</x:v>
      </x:c>
      <x:c r="D204" s="24" t="n">
        <x:v>69.51499167640206</x:v>
      </x:c>
      <x:c r="E204" s="24" t="n">
        <x:v>70.42332449207879</x:v>
      </x:c>
      <x:c r="F204" s="24" t="n">
        <x:v>83.8448997870702</x:v>
      </x:c>
      <x:c r="G204" s="24" t="n">
        <x:v>56.55862299588364</x:v>
      </x:c>
      <x:c r="H204" s="24" t="n">
        <x:v>63.42501217886608</x:v>
      </x:c>
      <x:c r="I204" s="24" t="n">
        <x:v>69.57036366250426</x:v>
      </x:c>
      <x:c r="J204" s="24"/>
      <x:c r="K204" s="24" t="n">
        <x:v>61.05169638961279</x:v>
      </x:c>
    </x:row>
    <x:row r="205">
      <x:c r="A205" s="24" t="n">
        <x:v>20.3</x:v>
      </x:c>
      <x:c r="B205" s="24" t="n">
        <x:v>61.40868261462223</x:v>
      </x:c>
      <x:c r="C205" s="24" t="n">
        <x:v>50</x:v>
      </x:c>
      <x:c r="D205" s="24" t="n">
        <x:v>65.6380494493707</x:v>
      </x:c>
      <x:c r="E205" s="24" t="n">
        <x:v>85.38116241401153</x:v>
      </x:c>
      <x:c r="F205" s="24" t="n">
        <x:v>73.89351244522469</x:v>
      </x:c>
      <x:c r="G205" s="24" t="n">
        <x:v>61.243353707228856</x:v>
      </x:c>
      <x:c r="H205" s="24" t="n">
        <x:v>65.3735893206669</x:v>
      </x:c>
      <x:c r="I205" s="24" t="n">
        <x:v>69.30617561656702</x:v>
      </x:c>
      <x:c r="J205" s="24"/>
      <x:c r="K205" s="24" t="n">
        <x:v>65.39365138803902</x:v>
      </x:c>
    </x:row>
    <x:row r="206">
      <x:c r="A206" s="24" t="n">
        <x:v>20.400000000000002</x:v>
      </x:c>
      <x:c r="B206" s="24" t="n">
        <x:v>54.49724400674921</x:v>
      </x:c>
      <x:c r="C206" s="24" t="n">
        <x:v>58.76534444231037</x:v>
      </x:c>
      <x:c r="D206" s="24" t="n">
        <x:v>60.68019031197881</x:v>
      </x:c>
      <x:c r="E206" s="24" t="n">
        <x:v>85.85747107565787</x:v>
      </x:c>
      <x:c r="F206" s="24" t="n">
        <x:v>67.0270408180973</x:v>
      </x:c>
      <x:c r="G206" s="24" t="n">
        <x:v>65.92808441857407</x:v>
      </x:c>
      <x:c r="H206" s="24" t="n">
        <x:v>67.32216646246778</x:v>
      </x:c>
      <x:c r="I206" s="24" t="n">
        <x:v>69.30617561656702</x:v>
      </x:c>
      <x:c r="J206" s="24"/>
      <x:c r="K206" s="24" t="n">
        <x:v>69.13522465196115</x:v>
      </x:c>
    </x:row>
    <x:row r="207">
      <x:c r="A207" s="24" t="n">
        <x:v>20.5</x:v>
      </x:c>
      <x:c r="B207" s="24" t="n">
        <x:v>53.04647660382837</x:v>
      </x:c>
      <x:c r="C207" s="24" t="n">
        <x:v>58.76534444231037</x:v>
      </x:c>
      <x:c r="D207" s="24" t="n">
        <x:v>63.6238144450232</x:v>
      </x:c>
      <x:c r="E207" s="24" t="n">
        <x:v>85.4802152616722</x:v>
      </x:c>
      <x:c r="F207" s="24" t="n">
        <x:v>62.78683898436519</x:v>
      </x:c>
      <x:c r="G207" s="24" t="n">
        <x:v>65.92808441857407</x:v>
      </x:c>
      <x:c r="H207" s="24" t="n">
        <x:v>69.27074360426859</x:v>
      </x:c>
      <x:c r="I207" s="24" t="n">
        <x:v>69.28273488932913</x:v>
      </x:c>
      <x:c r="J207" s="24"/>
      <x:c r="K207" s="24" t="n">
        <x:v>69.13522465196115</x:v>
      </x:c>
    </x:row>
    <x:row r="208">
      <x:c r="A208" s="24" t="n">
        <x:v>20.6</x:v>
      </x:c>
      <x:c r="B208" s="24" t="n">
        <x:v>53.04647660382837</x:v>
      </x:c>
      <x:c r="C208" s="24" t="n">
        <x:v>57.027183848660385</x:v>
      </x:c>
      <x:c r="D208" s="24" t="n">
        <x:v>64.21535274461773</x:v>
      </x:c>
      <x:c r="E208" s="24" t="n">
        <x:v>75.00999908877492</x:v>
      </x:c>
      <x:c r="F208" s="24" t="n">
        <x:v>52.434938766629415</x:v>
      </x:c>
      <x:c r="G208" s="24" t="n">
        <x:v>69.88671715147049</x:v>
      </x:c>
      <x:c r="H208" s="24" t="n">
        <x:v>70.05017446098891</x:v>
      </x:c>
      <x:c r="I208" s="24" t="n">
        <x:v>68.30340184487432</x:v>
      </x:c>
      <x:c r="J208" s="24"/>
      <x:c r="K208" s="24" t="n">
        <x:v>66.58399820671998</x:v>
      </x:c>
    </x:row>
    <x:row r="209">
      <x:c r="A209" s="24" t="n">
        <x:v>20.700000000000003</x:v>
      </x:c>
      <x:c r="B209" s="24" t="n">
        <x:v>72.7971166579465</x:v>
      </x:c>
      <x:c r="C209" s="24" t="n">
        <x:v>57.02718384866076</x:v>
      </x:c>
      <x:c r="D209" s="24" t="n">
        <x:v>64.21535274461765</x:v>
      </x:c>
      <x:c r="E209" s="24" t="n">
        <x:v>68.33065429863296</x:v>
      </x:c>
      <x:c r="F209" s="24" t="n">
        <x:v>56.63705471478491</x:v>
      </x:c>
      <x:c r="G209" s="24" t="n">
        <x:v>70.4238225563828</x:v>
      </x:c>
      <x:c r="H209" s="24" t="n">
        <x:v>75.24380732902716</x:v>
      </x:c>
      <x:c r="I209" s="24" t="n">
        <x:v>80.37016543400492</x:v>
      </x:c>
      <x:c r="J209" s="24"/>
      <x:c r="K209" s="24" t="n">
        <x:v>87.46405668901083</x:v>
      </x:c>
    </x:row>
    <x:row r="210">
      <x:c r="A210" s="24" t="n">
        <x:v>20.8</x:v>
      </x:c>
      <x:c r="B210" s="24" t="n">
        <x:v>76.7472446687693</x:v>
      </x:c>
      <x:c r="C210" s="24" t="n">
        <x:v>73.93228180607892</x:v>
      </x:c>
      <x:c r="D210" s="24" t="n">
        <x:v>62.98755721398582</x:v>
      </x:c>
      <x:c r="E210" s="24" t="n">
        <x:v>59.13415216911547</x:v>
      </x:c>
      <x:c r="F210" s="24" t="n">
        <x:v>61.21846802313986</x:v>
      </x:c>
      <x:c r="G210" s="24" t="n">
        <x:v>69.76280255192795</x:v>
      </x:c>
      <x:c r="H210" s="24" t="n">
        <x:v>75.24380732902716</x:v>
      </x:c>
      <x:c r="I210" s="24" t="n">
        <x:v>81.18112891741983</x:v>
      </x:c>
      <x:c r="J210" s="24"/>
      <x:c r="K210" s="24" t="n">
        <x:v>88.1903153252969</x:v>
      </x:c>
    </x:row>
    <x:row r="211">
      <x:c r="A211" s="24" t="n">
        <x:v>20.900000000000002</x:v>
      </x:c>
      <x:c r="B211" s="24" t="n">
        <x:v>76.10963043890997</x:v>
      </x:c>
      <x:c r="C211" s="24" t="n">
        <x:v>73.93228180607892</x:v>
      </x:c>
      <x:c r="D211" s="24" t="n">
        <x:v>63.918176021866955</x:v>
      </x:c>
      <x:c r="E211" s="24" t="n">
        <x:v>63.74089647372792</x:v>
      </x:c>
      <x:c r="F211" s="24" t="n">
        <x:v>61.218468023139465</x:v>
      </x:c>
      <x:c r="G211" s="24" t="n">
        <x:v>57.825094261393</x:v>
      </x:c>
      <x:c r="H211" s="24" t="n">
        <x:v>73.12259402668117</x:v>
      </x:c>
      <x:c r="I211" s="24" t="n">
        <x:v>80.4906309308408</x:v>
      </x:c>
      <x:c r="J211" s="24"/>
      <x:c r="K211" s="24" t="n">
        <x:v>86.26715331939477</x:v>
      </x:c>
    </x:row>
    <x:row r="212">
      <x:c r="A212" s="24" t="n">
        <x:v>21</x:v>
      </x:c>
      <x:c r="B212" s="24" t="n">
        <x:v>71.66633576165422</x:v>
      </x:c>
      <x:c r="C212" s="24" t="n">
        <x:v>72.574598435803</x:v>
      </x:c>
      <x:c r="D212" s="24" t="n">
        <x:v>63.918176021866955</x:v>
      </x:c>
      <x:c r="E212" s="24" t="n">
        <x:v>65.85627084085255</x:v>
      </x:c>
      <x:c r="F212" s="24" t="n">
        <x:v>50</x:v>
      </x:c>
      <x:c r="G212" s="24" t="n">
        <x:v>62.91873587164153</x:v>
      </x:c>
      <x:c r="H212" s="24" t="n">
        <x:v>65.93666429940231</x:v>
      </x:c>
      <x:c r="I212" s="24" t="n">
        <x:v>72.03693797807618</x:v>
      </x:c>
      <x:c r="J212" s="24"/>
      <x:c r="K212" s="24" t="n">
        <x:v>78.85134586177298</x:v>
      </x:c>
    </x:row>
    <x:row r="213">
      <x:c r="A213" s="24" t="n">
        <x:v>21.1</x:v>
      </x:c>
      <x:c r="B213" s="24" t="n">
        <x:v>66.28270310233889</x:v>
      </x:c>
      <x:c r="C213" s="24" t="n">
        <x:v>67.23828234475614</x:v>
      </x:c>
      <x:c r="D213" s="24" t="n">
        <x:v>64.32429061158375</x:v>
      </x:c>
      <x:c r="E213" s="24" t="n">
        <x:v>65.85627084085255</x:v>
      </x:c>
      <x:c r="F213" s="24" t="n">
        <x:v>71.23838022175568</x:v>
      </x:c>
      <x:c r="G213" s="24" t="n">
        <x:v>63.107585152779905</x:v>
      </x:c>
      <x:c r="H213" s="24" t="n">
        <x:v>73.35773693890198</x:v>
      </x:c>
      <x:c r="I213" s="24" t="n">
        <x:v>70.45004732944585</x:v>
      </x:c>
      <x:c r="J213" s="24"/>
      <x:c r="K213" s="24" t="n">
        <x:v>71.39119718239691</x:v>
      </x:c>
    </x:row>
    <x:row r="214">
      <x:c r="A214" s="24" t="n">
        <x:v>21.200000000000003</x:v>
      </x:c>
      <x:c r="B214" s="24" t="n">
        <x:v>65.01016794435779</x:v>
      </x:c>
      <x:c r="C214" s="24" t="n">
        <x:v>63.52059045060669</x:v>
      </x:c>
      <x:c r="D214" s="24" t="n">
        <x:v>64.88920371512924</x:v>
      </x:c>
      <x:c r="E214" s="24" t="n">
        <x:v>50</x:v>
      </x:c>
      <x:c r="F214" s="24" t="n">
        <x:v>71.23838022175568</x:v>
      </x:c>
      <x:c r="G214" s="24" t="n">
        <x:v>63.107585152779926</x:v>
      </x:c>
      <x:c r="H214" s="24" t="n">
        <x:v>75.45092401990203</x:v>
      </x:c>
      <x:c r="I214" s="24" t="n">
        <x:v>68.86315668081551</x:v>
      </x:c>
      <x:c r="J214" s="24"/>
      <x:c r="K214" s="24" t="n">
        <x:v>69.79967857409727</x:v>
      </x:c>
    </x:row>
    <x:row r="215">
      <x:c r="A215" s="24" t="n">
        <x:v>21.3</x:v>
      </x:c>
      <x:c r="B215" s="24" t="n">
        <x:v>65.16821681891327</x:v>
      </x:c>
      <x:c r="C215" s="24" t="n">
        <x:v>64.32232466633252</x:v>
      </x:c>
      <x:c r="D215" s="24" t="n">
        <x:v>64.88920371512924</x:v>
      </x:c>
      <x:c r="E215" s="24" t="n">
        <x:v>74.9230474134032</x:v>
      </x:c>
      <x:c r="F215" s="24" t="n">
        <x:v>64.79706865367714</x:v>
      </x:c>
      <x:c r="G215" s="24" t="n">
        <x:v>63.818295650155584</x:v>
      </x:c>
      <x:c r="H215" s="24" t="n">
        <x:v>75.45092401990203</x:v>
      </x:c>
      <x:c r="I215" s="24" t="n">
        <x:v>67.27626603218522</x:v>
      </x:c>
      <x:c r="J215" s="24"/>
      <x:c r="K215" s="24" t="n">
        <x:v>69.56373401932791</x:v>
      </x:c>
    </x:row>
    <x:row r="216">
      <x:c r="A216" s="24" t="n">
        <x:v>21.400000000000002</x:v>
      </x:c>
      <x:c r="B216" s="24" t="n">
        <x:v>66.5278058569782</x:v>
      </x:c>
      <x:c r="C216" s="24" t="n">
        <x:v>67.88696650356351</x:v>
      </x:c>
      <x:c r="D216" s="24" t="n">
        <x:v>64.52299065332437</x:v>
      </x:c>
      <x:c r="E216" s="24" t="n">
        <x:v>75.49082722146366</x:v>
      </x:c>
      <x:c r="F216" s="24" t="n">
        <x:v>54.43109555798162</x:v>
      </x:c>
      <x:c r="G216" s="24" t="n">
        <x:v>63.81829565015561</x:v>
      </x:c>
      <x:c r="H216" s="24" t="n">
        <x:v>75.87502103496794</x:v>
      </x:c>
      <x:c r="I216" s="24" t="n">
        <x:v>66.32413164300705</x:v>
      </x:c>
      <x:c r="J216" s="24"/>
      <x:c r="K216" s="24" t="n">
        <x:v>67.38906390877163</x:v>
      </x:c>
    </x:row>
    <x:row r="217">
      <x:c r="A217" s="24" t="n">
        <x:v>21.5</x:v>
      </x:c>
      <x:c r="B217" s="24" t="n">
        <x:v>66.79972366459118</x:v>
      </x:c>
      <x:c r="C217" s="24" t="n">
        <x:v>67.88696650356351</x:v>
      </x:c>
      <x:c r="D217" s="24" t="n">
        <x:v>64.52299065332437</x:v>
      </x:c>
      <x:c r="E217" s="24" t="n">
        <x:v>75.14000133066529</x:v>
      </x:c>
      <x:c r="F217" s="24" t="n">
        <x:v>64.33325010851442</x:v>
      </x:c>
      <x:c r="G217" s="24" t="n">
        <x:v>63.98025607125732</x:v>
      </x:c>
      <x:c r="H217" s="24" t="n">
        <x:v>77.27469675879794</x:v>
      </x:c>
      <x:c r="I217" s="24" t="n">
        <x:v>72.8951892839408</x:v>
      </x:c>
      <x:c r="J217" s="24"/>
      <x:c r="K217" s="24" t="n">
        <x:v>76.23224799183629</x:v>
      </x:c>
    </x:row>
    <x:row r="218">
      <x:c r="A218" s="24" t="n">
        <x:v>21.6</x:v>
      </x:c>
      <x:c r="B218" s="24" t="n">
        <x:v>65.77886433800839</x:v>
      </x:c>
      <x:c r="C218" s="24" t="n">
        <x:v>67.58024171866154</x:v>
      </x:c>
      <x:c r="D218" s="24" t="n">
        <x:v>63.999969218504624</x:v>
      </x:c>
      <x:c r="E218" s="24" t="n">
        <x:v>56.588359774029605</x:v>
      </x:c>
      <x:c r="F218" s="24" t="n">
        <x:v>66.52624797767103</x:v>
      </x:c>
      <x:c r="G218" s="24" t="n">
        <x:v>63.3981327419232</x:v>
      </x:c>
      <x:c r="H218" s="24" t="n">
        <x:v>77.27469675879794</x:v>
      </x:c>
      <x:c r="I218" s="24" t="n">
        <x:v>72.8951892839408</x:v>
      </x:c>
      <x:c r="J218" s="24"/>
      <x:c r="K218" s="24" t="n">
        <x:v>76.23224799183629</x:v>
      </x:c>
    </x:row>
    <x:row r="219">
      <x:c r="A219" s="24" t="n">
        <x:v>21.700000000000003</x:v>
      </x:c>
      <x:c r="B219" s="24" t="n">
        <x:v>67.49482041169335</x:v>
      </x:c>
      <x:c r="C219" s="24" t="n">
        <x:v>68.13715742703755</x:v>
      </x:c>
      <x:c r="D219" s="24" t="n">
        <x:v>63.36557864338507</x:v>
      </x:c>
      <x:c r="E219" s="24" t="n">
        <x:v>59.80330471345377</x:v>
      </x:c>
      <x:c r="F219" s="24" t="n">
        <x:v>66.52624797767103</x:v>
      </x:c>
      <x:c r="G219" s="24" t="n">
        <x:v>65.0129977341507</x:v>
      </x:c>
      <x:c r="H219" s="24" t="n">
        <x:v>75.34876992812343</x:v>
      </x:c>
      <x:c r="I219" s="24" t="n">
        <x:v>71.59874323374437</x:v>
      </x:c>
      <x:c r="J219" s="24"/>
      <x:c r="K219" s="24" t="n">
        <x:v>61.46207603033822</x:v>
      </x:c>
    </x:row>
    <x:row r="220">
      <x:c r="A220" s="24" t="n">
        <x:v>21.8</x:v>
      </x:c>
      <x:c r="B220" s="24" t="n">
        <x:v>67.49482041169335</x:v>
      </x:c>
      <x:c r="C220" s="24" t="n">
        <x:v>68.45738770831619</x:v>
      </x:c>
      <x:c r="D220" s="24" t="n">
        <x:v>58.25451719913262</x:v>
      </x:c>
      <x:c r="E220" s="24" t="n">
        <x:v>67.29054678136421</x:v>
      </x:c>
      <x:c r="F220" s="24" t="n">
        <x:v>65.77191832934258</x:v>
      </x:c>
      <x:c r="G220" s="24" t="n">
        <x:v>65.0129977341507</x:v>
      </x:c>
      <x:c r="H220" s="24" t="n">
        <x:v>75.34876992812343</x:v>
      </x:c>
      <x:c r="I220" s="24" t="n">
        <x:v>68.1372251265108</x:v>
      </x:c>
      <x:c r="J220" s="24"/>
      <x:c r="K220" s="24" t="n">
        <x:v>63.98422419994067</x:v>
      </x:c>
    </x:row>
    <x:row r="221">
      <x:c r="A221" s="24" t="n">
        <x:v>21.900000000000002</x:v>
      </x:c>
      <x:c r="B221" s="24" t="n">
        <x:v>66.35451137128405</x:v>
      </x:c>
      <x:c r="C221" s="24" t="n">
        <x:v>68.3714150462289</x:v>
      </x:c>
      <x:c r="D221" s="24" t="n">
        <x:v>75.81812180214523</x:v>
      </x:c>
      <x:c r="E221" s="24" t="n">
        <x:v>67.63587586437883</x:v>
      </x:c>
      <x:c r="F221" s="24" t="n">
        <x:v>66.03845330445463</x:v>
      </x:c>
      <x:c r="G221" s="24" t="n">
        <x:v>66.49582174431858</x:v>
      </x:c>
      <x:c r="H221" s="24" t="n">
        <x:v>75.51643357307523</x:v>
      </x:c>
      <x:c r="I221" s="24" t="n">
        <x:v>66.91615590673808</x:v>
      </x:c>
      <x:c r="J221" s="24"/>
      <x:c r="K221" s="24" t="n">
        <x:v>67.6868762184779</x:v>
      </x:c>
    </x:row>
    <x:row r="222">
      <x:c r="A222" s="24" t="n">
        <x:v>22</x:v>
      </x:c>
      <x:c r="B222" s="24" t="n">
        <x:v>66.30262520798827</x:v>
      </x:c>
      <x:c r="C222" s="24" t="n">
        <x:v>66.06964918772334</x:v>
      </x:c>
      <x:c r="D222" s="24" t="n">
        <x:v>76.91561935932825</x:v>
      </x:c>
      <x:c r="E222" s="24" t="n">
        <x:v>68.6364797238381</x:v>
      </x:c>
      <x:c r="F222" s="24" t="n">
        <x:v>66.03845330445463</x:v>
      </x:c>
      <x:c r="G222" s="24" t="n">
        <x:v>73.63493799223038</x:v>
      </x:c>
      <x:c r="H222" s="24" t="n">
        <x:v>74.67655398232168</x:v>
      </x:c>
      <x:c r="I222" s="24" t="n">
        <x:v>69.65096179869533</x:v>
      </x:c>
      <x:c r="J222" s="24"/>
      <x:c r="K222" s="24" t="n">
        <x:v>67.6868762184779</x:v>
      </x:c>
    </x:row>
    <x:row r="223">
      <x:c r="A223" s="24" t="n">
        <x:v>22.1</x:v>
      </x:c>
      <x:c r="B223" s="24" t="n">
        <x:v>92.55785977325836</x:v>
      </x:c>
      <x:c r="C223" s="24" t="n">
        <x:v>89.96061334693073</x:v>
      </x:c>
      <x:c r="D223" s="24" t="n">
        <x:v>76.91561935932825</x:v>
      </x:c>
      <x:c r="E223" s="24" t="n">
        <x:v>68.6364797238381</x:v>
      </x:c>
      <x:c r="F223" s="24" t="n">
        <x:v>66.08776775174302</x:v>
      </x:c>
      <x:c r="G223" s="24" t="n">
        <x:v>73.63493799223038</x:v>
      </x:c>
      <x:c r="H223" s="24" t="n">
        <x:v>78.89564871591068</x:v>
      </x:c>
      <x:c r="I223" s="24" t="n">
        <x:v>69.65096179869533</x:v>
      </x:c>
      <x:c r="J223" s="24"/>
      <x:c r="K223" s="24" t="n">
        <x:v>65.46761069547162</x:v>
      </x:c>
    </x:row>
    <x:row r="224">
      <x:c r="A224" s="24" t="n">
        <x:v>22.200000000000003</x:v>
      </x:c>
      <x:c r="B224" s="24" t="n">
        <x:v>92.55785977325836</x:v>
      </x:c>
      <x:c r="C224" s="24" t="n">
        <x:v>89.96061334693073</x:v>
      </x:c>
      <x:c r="D224" s="24" t="n">
        <x:v>68.18885767537674</x:v>
      </x:c>
      <x:c r="E224" s="24" t="n">
        <x:v>67.57547130688236</x:v>
      </x:c>
      <x:c r="F224" s="24" t="n">
        <x:v>67.88896359764045</x:v>
      </x:c>
      <x:c r="G224" s="24" t="n">
        <x:v>64.38927033050426</x:v>
      </x:c>
      <x:c r="H224" s="24" t="n">
        <x:v>85.25354145715954</x:v>
      </x:c>
      <x:c r="I224" s="24" t="n">
        <x:v>69.7413994251584</x:v>
      </x:c>
      <x:c r="J224" s="24"/>
      <x:c r="K224" s="24" t="n">
        <x:v>86.33327513400884</x:v>
      </x:c>
    </x:row>
    <x:row r="225">
      <x:c r="A225" s="24" t="n">
        <x:v>22.3</x:v>
      </x:c>
      <x:c r="B225" s="24" t="n">
        <x:v>86.89453217348802</x:v>
      </x:c>
      <x:c r="C225" s="24" t="n">
        <x:v>84.94882942501914</x:v>
      </x:c>
      <x:c r="D225" s="24" t="n">
        <x:v>56.74123332374528</x:v>
      </x:c>
      <x:c r="E225" s="24" t="n">
        <x:v>69.32459722564305</x:v>
      </x:c>
      <x:c r="F225" s="24" t="n">
        <x:v>67.88896359764045</x:v>
      </x:c>
      <x:c r="G225" s="24" t="n">
        <x:v>50</x:v>
      </x:c>
      <x:c r="H225" s="24" t="n">
        <x:v>85.25354145715954</x:v>
      </x:c>
      <x:c r="I225" s="24" t="n">
        <x:v>69.44671206755098</x:v>
      </x:c>
      <x:c r="J225" s="24"/>
      <x:c r="K225" s="24" t="n">
        <x:v>88.22134993777617</x:v>
      </x:c>
    </x:row>
    <x:row r="226">
      <x:c r="A226" s="24" t="n">
        <x:v>22.400000000000002</x:v>
      </x:c>
      <x:c r="B226" s="24" t="n">
        <x:v>78.66257558779812</x:v>
      </x:c>
      <x:c r="C226" s="24" t="n">
        <x:v>76.31901016804001</x:v>
      </x:c>
      <x:c r="D226" s="24" t="n">
        <x:v>53.27974438829223</x:v>
      </x:c>
      <x:c r="E226" s="24" t="n">
        <x:v>69.32459722564305</x:v>
      </x:c>
      <x:c r="F226" s="24" t="n">
        <x:v>67.6447631934832</x:v>
      </x:c>
      <x:c r="G226" s="24" t="n">
        <x:v>50</x:v>
      </x:c>
      <x:c r="H226" s="24" t="n">
        <x:v>76.25026192404464</x:v>
      </x:c>
      <x:c r="I226" s="24" t="n">
        <x:v>69.69659441128927</x:v>
      </x:c>
      <x:c r="J226" s="24"/>
      <x:c r="K226" s="24" t="n">
        <x:v>88.22134993777576</x:v>
      </x:c>
    </x:row>
    <x:row r="227">
      <x:c r="A227" s="24" t="n">
        <x:v>22.5</x:v>
      </x:c>
      <x:c r="B227" s="24" t="n">
        <x:v>74.2180390796365</x:v>
      </x:c>
      <x:c r="C227" s="24" t="n">
        <x:v>73.32889482502111</x:v>
      </x:c>
      <x:c r="D227" s="24" t="n">
        <x:v>52.00948187965551</x:v>
      </x:c>
      <x:c r="E227" s="24" t="n">
        <x:v>69.28926785426876</x:v>
      </x:c>
      <x:c r="F227" s="24" t="n">
        <x:v>84.11706398640453</x:v>
      </x:c>
      <x:c r="G227" s="24" t="n">
        <x:v>50</x:v>
      </x:c>
      <x:c r="H227" s="24" t="n">
        <x:v>67.72502961449996</x:v>
      </x:c>
      <x:c r="I227" s="24" t="n">
        <x:v>70.66831725014465</x:v>
      </x:c>
      <x:c r="J227" s="24"/>
      <x:c r="K227" s="24" t="n">
        <x:v>78.336228554216</x:v>
      </x:c>
    </x:row>
    <x:row r="228">
      <x:c r="A228" s="24" t="n">
        <x:v>22.6</x:v>
      </x:c>
      <x:c r="B228" s="24" t="n">
        <x:v>72.5862776234733</x:v>
      </x:c>
      <x:c r="C228" s="24" t="n">
        <x:v>72.75545645970786</x:v>
      </x:c>
      <x:c r="D228" s="24" t="n">
        <x:v>55.35861834574814</x:v>
      </x:c>
      <x:c r="E228" s="24" t="n">
        <x:v>72.3394680386157</x:v>
      </x:c>
      <x:c r="F228" s="24" t="n">
        <x:v>87.30851509488022</x:v>
      </x:c>
      <x:c r="G228" s="24" t="n">
        <x:v>58.8820941219373</x:v>
      </x:c>
      <x:c r="H228" s="24" t="n">
        <x:v>50</x:v>
      </x:c>
      <x:c r="I228" s="24" t="n">
        <x:v>70.53984870567</x:v>
      </x:c>
      <x:c r="J228" s="24"/>
      <x:c r="K228" s="24" t="n">
        <x:v>71.77785915494736</x:v>
      </x:c>
    </x:row>
    <x:row r="229">
      <x:c r="A229" s="24" t="n">
        <x:v>22.700000000000003</x:v>
      </x:c>
      <x:c r="B229" s="24" t="n">
        <x:v>71.1367594633625</x:v>
      </x:c>
      <x:c r="C229" s="24" t="n">
        <x:v>64.6821486590956</x:v>
      </x:c>
      <x:c r="D229" s="24" t="n">
        <x:v>58.70775481184077</x:v>
      </x:c>
      <x:c r="E229" s="24" t="n">
        <x:v>73.92632406283744</x:v>
      </x:c>
      <x:c r="F229" s="24" t="n">
        <x:v>87.30851509488022</x:v>
      </x:c>
      <x:c r="G229" s="24" t="n">
        <x:v>62.43493177071209</x:v>
      </x:c>
      <x:c r="H229" s="24" t="n">
        <x:v>57.5106969892237</x:v>
      </x:c>
      <x:c r="I229" s="24" t="n">
        <x:v>70.30624598365691</x:v>
      </x:c>
      <x:c r="J229" s="24"/>
      <x:c r="K229" s="24" t="n">
        <x:v>68.63515884154444</x:v>
      </x:c>
    </x:row>
    <x:row r="230">
      <x:c r="A230" s="24" t="n">
        <x:v>22.8</x:v>
      </x:c>
      <x:c r="B230" s="24" t="n">
        <x:v>68.14361444710359</x:v>
      </x:c>
      <x:c r="C230" s="24" t="n">
        <x:v>64.6821486590956</x:v>
      </x:c>
      <x:c r="D230" s="24" t="n">
        <x:v>60.717236691496275</x:v>
      </x:c>
      <x:c r="E230" s="24" t="n">
        <x:v>81.07899574449812</x:v>
      </x:c>
      <x:c r="F230" s="24" t="n">
        <x:v>77.38007125840983</x:v>
      </x:c>
      <x:c r="G230" s="24" t="n">
        <x:v>67.19056714284184</x:v>
      </x:c>
      <x:c r="H230" s="24" t="n">
        <x:v>65.02139397844714</x:v>
      </x:c>
      <x:c r="I230" s="24" t="n">
        <x:v>67.0757879933964</x:v>
      </x:c>
      <x:c r="J230" s="24"/>
      <x:c r="K230" s="24" t="n">
        <x:v>67.90974449674759</x:v>
      </x:c>
    </x:row>
    <x:row r="231">
      <x:c r="A231" s="24" t="n">
        <x:v>22.900000000000002</x:v>
      </x:c>
      <x:c r="B231" s="24" t="n">
        <x:v>64.75613738225312</x:v>
      </x:c>
      <x:c r="C231" s="24" t="n">
        <x:v>60.19864100028619</x:v>
      </x:c>
      <x:c r="D231" s="24" t="n">
        <x:v>60.7172366914966</x:v>
      </x:c>
      <x:c r="E231" s="24" t="n">
        <x:v>81.07899574449812</x:v>
      </x:c>
      <x:c r="F231" s="24" t="n">
        <x:v>71.4321920628014</x:v>
      </x:c>
      <x:c r="G231" s="24" t="n">
        <x:v>69.5269834975916</x:v>
      </x:c>
      <x:c r="H231" s="24" t="n">
        <x:v>68.02567277413651</x:v>
      </x:c>
      <x:c r="I231" s="24" t="n">
        <x:v>75.76363976808439</x:v>
      </x:c>
      <x:c r="J231" s="24"/>
      <x:c r="K231" s="24" t="n">
        <x:v>66.91860293975833</x:v>
      </x:c>
    </x:row>
    <x:row r="232">
      <x:c r="A232" s="24" t="n">
        <x:v>23</x:v>
      </x:c>
      <x:c r="B232" s="24" t="n">
        <x:v>61.06618703922286</x:v>
      </x:c>
      <x:c r="C232" s="24" t="n">
        <x:v>60.19864100028619</x:v>
      </x:c>
      <x:c r="D232" s="24" t="n">
        <x:v>69.93859397221226</x:v>
      </x:c>
      <x:c r="E232" s="24" t="n">
        <x:v>72.54821428051878</x:v>
      </x:c>
      <x:c r="F232" s="24" t="n">
        <x:v>69.71203086500378</x:v>
      </x:c>
      <x:c r="G232" s="24" t="n">
        <x:v>69.5269834975916</x:v>
      </x:c>
      <x:c r="H232" s="24" t="n">
        <x:v>75.67397737577863</x:v>
      </x:c>
      <x:c r="I232" s="24" t="n">
        <x:v>78.75477710976449</x:v>
      </x:c>
      <x:c r="J232" s="24"/>
      <x:c r="K232" s="24" t="n">
        <x:v>73.62675764331661</x:v>
      </x:c>
    </x:row>
    <x:row r="233">
      <x:c r="A233" s="24" t="n">
        <x:v>23.1</x:v>
      </x:c>
      <x:c r="B233" s="24" t="n">
        <x:v>66.04879185844645</x:v>
      </x:c>
      <x:c r="C233" s="24" t="n">
        <x:v>50</x:v>
      </x:c>
      <x:c r="D233" s="24" t="n">
        <x:v>73.62713688449853</x:v>
      </x:c>
      <x:c r="E233" s="24" t="n">
        <x:v>66.46422276828167</x:v>
      </x:c>
      <x:c r="F233" s="24" t="n">
        <x:v>67.6471116138142</x:v>
      </x:c>
      <x:c r="G233" s="24" t="n">
        <x:v>60.63409703962841</x:v>
      </x:c>
      <x:c r="H233" s="24" t="n">
        <x:v>76.94467407804619</x:v>
      </x:c>
      <x:c r="I233" s="24" t="n">
        <x:v>78.75477710976449</x:v>
      </x:c>
      <x:c r="J233" s="24"/>
      <x:c r="K233" s="24" t="n">
        <x:v>74.96838858402826</x:v>
      </x:c>
    </x:row>
    <x:row r="234">
      <x:c r="A234" s="24" t="n">
        <x:v>23.200000000000003</x:v>
      </x:c>
      <x:c r="B234" s="24" t="n">
        <x:v>66.04879185844636</x:v>
      </x:c>
      <x:c r="C234" s="24" t="n">
        <x:v>58.520996892570984</x:v>
      </x:c>
      <x:c r="D234" s="24" t="n">
        <x:v>73.47353916859691</x:v>
      </x:c>
      <x:c r="E234" s="24" t="n">
        <x:v>59.76033579725823</x:v>
      </x:c>
      <x:c r="F234" s="24" t="n">
        <x:v>63.13035774371649</x:v>
      </x:c>
      <x:c r="G234" s="24" t="n">
        <x:v>63.241254653221326</x:v>
      </x:c>
      <x:c r="H234" s="24" t="n">
        <x:v>75.35174219288794</x:v>
      </x:c>
      <x:c r="I234" s="24" t="n">
        <x:v>73.01337136119754</x:v>
      </x:c>
      <x:c r="J234" s="24"/>
      <x:c r="K234" s="24" t="n">
        <x:v>73.28183432436688</x:v>
      </x:c>
    </x:row>
    <x:row r="235">
      <x:c r="A235" s="24" t="n">
        <x:v>23.3</x:v>
      </x:c>
      <x:c r="B235" s="24" t="n">
        <x:v>61.96275436326558</x:v>
      </x:c>
      <x:c r="C235" s="24" t="n">
        <x:v>73.81939268400725</x:v>
      </x:c>
      <x:c r="D235" s="24" t="n">
        <x:v>68.62314619600568</x:v>
      </x:c>
      <x:c r="E235" s="24" t="n">
        <x:v>50</x:v>
      </x:c>
      <x:c r="F235" s="24" t="n">
        <x:v>64.6999163649453</x:v>
      </x:c>
      <x:c r="G235" s="24" t="n">
        <x:v>64.22930173669626</x:v>
      </x:c>
      <x:c r="H235" s="24" t="n">
        <x:v>67.81194765157717</x:v>
      </x:c>
      <x:c r="I235" s="24" t="n">
        <x:v>71.282497302334</x:v>
      </x:c>
      <x:c r="J235" s="24"/>
      <x:c r="K235" s="24" t="n">
        <x:v>69.1842710882425</x:v>
      </x:c>
    </x:row>
    <x:row r="236">
      <x:c r="A236" s="24" t="n">
        <x:v>23.400000000000002</x:v>
      </x:c>
      <x:c r="B236" s="24" t="n">
        <x:v>52.53145206709111</x:v>
      </x:c>
      <x:c r="C236" s="24" t="n">
        <x:v>73.81939268400725</x:v>
      </x:c>
      <x:c r="D236" s="24" t="n">
        <x:v>61.18434451068428</x:v>
      </x:c>
      <x:c r="E236" s="24" t="n">
        <x:v>50.00000000000136</x:v>
      </x:c>
      <x:c r="F236" s="24" t="n">
        <x:v>62.5737278755053</x:v>
      </x:c>
      <x:c r="G236" s="24" t="n">
        <x:v>64.22930173669626</x:v>
      </x:c>
      <x:c r="H236" s="24" t="n">
        <x:v>72.93418134229373</x:v>
      </x:c>
      <x:c r="I236" s="24" t="n">
        <x:v>69.55162324347037</x:v>
      </x:c>
      <x:c r="J236" s="24"/>
      <x:c r="K236" s="24" t="n">
        <x:v>65.08670785211811</x:v>
      </x:c>
    </x:row>
    <x:row r="237">
      <x:c r="A237" s="24" t="n">
        <x:v>23.5</x:v>
      </x:c>
      <x:c r="B237" s="24" t="n">
        <x:v>76.62997761267174</x:v>
      </x:c>
      <x:c r="C237" s="24" t="n">
        <x:v>70.60422876597116</x:v>
      </x:c>
      <x:c r="D237" s="24" t="n">
        <x:v>60.5075650818307</x:v>
      </x:c>
      <x:c r="E237" s="24" t="n">
        <x:v>65.28302145092184</x:v>
      </x:c>
      <x:c r="F237" s="24" t="n">
        <x:v>67.71876302979463</x:v>
      </x:c>
      <x:c r="G237" s="24" t="n">
        <x:v>63.70056323959953</x:v>
      </x:c>
      <x:c r="H237" s="24" t="n">
        <x:v>73.74576418199075</x:v>
      </x:c>
      <x:c r="I237" s="24" t="n">
        <x:v>67.82074918460683</x:v>
      </x:c>
      <x:c r="J237" s="24"/>
      <x:c r="K237" s="24" t="n">
        <x:v>65.08670785211811</x:v>
      </x:c>
    </x:row>
    <x:row r="238">
      <x:c r="A238" s="24" t="n">
        <x:v>23.6</x:v>
      </x:c>
      <x:c r="B238" s="24" t="n">
        <x:v>76.62997761267174</x:v>
      </x:c>
      <x:c r="C238" s="24" t="n">
        <x:v>64.97146311133298</x:v>
      </x:c>
      <x:c r="D238" s="24" t="n">
        <x:v>62.98707106457741</x:v>
      </x:c>
      <x:c r="E238" s="24" t="n">
        <x:v>65.28302145092184</x:v>
      </x:c>
      <x:c r="F238" s="24" t="n">
        <x:v>68.24033881293863</x:v>
      </x:c>
      <x:c r="G238" s="24" t="n">
        <x:v>63.70056323959953</x:v>
      </x:c>
      <x:c r="H238" s="24" t="n">
        <x:v>75.48428374607555</x:v>
      </x:c>
      <x:c r="I238" s="24" t="n">
        <x:v>66.43604993751599</x:v>
      </x:c>
      <x:c r="J238" s="24"/>
      <x:c r="K238" s="24" t="n">
        <x:v>65.05796560629264</x:v>
      </x:c>
    </x:row>
    <x:row r="239">
      <x:c r="A239" s="24" t="n">
        <x:v>23.700000000000003</x:v>
      </x:c>
      <x:c r="B239" s="24" t="n">
        <x:v>75.76153327152528</x:v>
      </x:c>
      <x:c r="C239" s="24" t="n">
        <x:v>61.807035690574246</x:v>
      </x:c>
      <x:c r="D239" s="24" t="n">
        <x:v>64.08085408299135</x:v>
      </x:c>
      <x:c r="E239" s="24" t="n">
        <x:v>71.92965017014302</x:v>
      </x:c>
      <x:c r="F239" s="24" t="n">
        <x:v>66.99389318869771</x:v>
      </x:c>
      <x:c r="G239" s="24" t="n">
        <x:v>65.46715922045789</x:v>
      </x:c>
      <x:c r="H239" s="24" t="n">
        <x:v>76.10034840376989</x:v>
      </x:c>
      <x:c r="I239" s="24" t="n">
        <x:v>72.46255323291466</x:v>
      </x:c>
      <x:c r="J239" s="24"/>
      <x:c r="K239" s="24" t="n">
        <x:v>66.9626935513567</x:v>
      </x:c>
    </x:row>
    <x:row r="240">
      <x:c r="A240" s="24" t="n">
        <x:v>23.8</x:v>
      </x:c>
      <x:c r="B240" s="24" t="n">
        <x:v>68.97823721051618</x:v>
      </x:c>
      <x:c r="C240" s="24" t="n">
        <x:v>67.39510116569392</x:v>
      </x:c>
      <x:c r="D240" s="24" t="n">
        <x:v>64.08085408299135</x:v>
      </x:c>
      <x:c r="E240" s="24" t="n">
        <x:v>74.7128846153028</x:v>
      </x:c>
      <x:c r="F240" s="24" t="n">
        <x:v>59.7266777371177</x:v>
      </x:c>
      <x:c r="G240" s="24" t="n">
        <x:v>65.502743047632</x:v>
      </x:c>
      <x:c r="H240" s="24" t="n">
        <x:v>76.40012288858927</x:v>
      </x:c>
      <x:c r="I240" s="24" t="n">
        <x:v>73.53833766403176</x:v>
      </x:c>
      <x:c r="J240" s="24"/>
      <x:c r="K240" s="24" t="n">
        <x:v>84.62165926333947</x:v>
      </x:c>
    </x:row>
    <x:row r="241">
      <x:c r="A241" s="24" t="n">
        <x:v>23.900000000000002</x:v>
      </x:c>
      <x:c r="B241" s="24" t="n">
        <x:v>64.4129061340034</x:v>
      </x:c>
      <x:c r="C241" s="24" t="n">
        <x:v>67.39510116569392</x:v>
      </x:c>
      <x:c r="D241" s="24" t="n">
        <x:v>64.64031924765737</x:v>
      </x:c>
      <x:c r="E241" s="24" t="n">
        <x:v>74.7128846153028</x:v>
      </x:c>
      <x:c r="F241" s="24" t="n">
        <x:v>50.00000000000137</x:v>
      </x:c>
      <x:c r="G241" s="24" t="n">
        <x:v>66.16313184502599</x:v>
      </x:c>
      <x:c r="H241" s="24" t="n">
        <x:v>76.68176006032178</x:v>
      </x:c>
      <x:c r="I241" s="24" t="n">
        <x:v>72.8441229612345</x:v>
      </x:c>
      <x:c r="J241" s="24"/>
      <x:c r="K241" s="24" t="n">
        <x:v>88.24886617845237</x:v>
      </x:c>
    </x:row>
    <x:row r="242">
      <x:c r="A242" s="24" t="n">
        <x:v>24</x:v>
      </x:c>
      <x:c r="B242" s="24" t="n">
        <x:v>63.771164404556146</x:v>
      </x:c>
      <x:c r="C242" s="24" t="n">
        <x:v>67.37096712526386</x:v>
      </x:c>
      <x:c r="D242" s="24" t="n">
        <x:v>64.41325966364687</x:v>
      </x:c>
      <x:c r="E242" s="24" t="n">
        <x:v>68.92448228237802</x:v>
      </x:c>
      <x:c r="F242" s="24" t="n">
        <x:v>64.00261717581347</x:v>
      </x:c>
      <x:c r="G242" s="24" t="n">
        <x:v>66.66840017537666</x:v>
      </x:c>
      <x:c r="H242" s="24" t="n">
        <x:v>77.77419198633487</x:v>
      </x:c>
      <x:c r="I242" s="24" t="n">
        <x:v>54.22567436217335</x:v>
      </x:c>
      <x:c r="J242" s="24"/>
      <x:c r="K242" s="24" t="n">
        <x:v>88.24886617845237</x:v>
      </x:c>
    </x:row>
    <x:row r="243">
      <x:c r="A243" s="24" t="n">
        <x:v>24.1</x:v>
      </x:c>
      <x:c r="B243" s="24" t="n">
        <x:v>63.771164404556146</x:v>
      </x:c>
      <x:c r="C243" s="24" t="n">
        <x:v>67.37096712526386</x:v>
      </x:c>
      <x:c r="D243" s="24" t="n">
        <x:v>65.34133006127001</x:v>
      </x:c>
      <x:c r="E243" s="24" t="n">
        <x:v>63.98721527155409</x:v>
      </x:c>
      <x:c r="F243" s="24" t="n">
        <x:v>65.02768553360367</x:v>
      </x:c>
      <x:c r="G243" s="24" t="n">
        <x:v>80.904080950841</x:v>
      </x:c>
      <x:c r="H243" s="24" t="n">
        <x:v>77.77419198633487</x:v>
      </x:c>
      <x:c r="I243" s="24" t="n">
        <x:v>69.95522725331287</x:v>
      </x:c>
      <x:c r="J243" s="24"/>
      <x:c r="K243" s="24" t="n">
        <x:v>82.33954386404052</x:v>
      </x:c>
    </x:row>
    <x:row r="244">
      <x:c r="A244" s="24" t="n">
        <x:v>24.200000000000003</x:v>
      </x:c>
      <x:c r="B244" s="24" t="n">
        <x:v>58.78901371339323</x:v>
      </x:c>
      <x:c r="C244" s="24" t="n">
        <x:v>67.8455475113933</x:v>
      </x:c>
      <x:c r="D244" s="24" t="n">
        <x:v>65.34133006127001</x:v>
      </x:c>
      <x:c r="E244" s="24" t="n">
        <x:v>65.09261017370528</x:v>
      </x:c>
      <x:c r="F244" s="24" t="n">
        <x:v>66.29519917223175</x:v>
      </x:c>
      <x:c r="G244" s="24" t="n">
        <x:v>80.904080950841</x:v>
      </x:c>
      <x:c r="H244" s="24" t="n">
        <x:v>76.56794298671582</x:v>
      </x:c>
      <x:c r="I244" s="24" t="n">
        <x:v>71.2143667351641</x:v>
      </x:c>
      <x:c r="J244" s="24"/>
      <x:c r="K244" s="24" t="n">
        <x:v>73.38844069741087</x:v>
      </x:c>
    </x:row>
    <x:row r="245">
      <x:c r="A245" s="24" t="n">
        <x:v>24.3</x:v>
      </x:c>
      <x:c r="B245" s="24" t="n">
        <x:v>64.2329066905575</x:v>
      </x:c>
      <x:c r="C245" s="24" t="n">
        <x:v>67.8455475113933</x:v>
      </x:c>
      <x:c r="D245" s="24" t="n">
        <x:v>64.9768552617297</x:v>
      </x:c>
      <x:c r="E245" s="24" t="n">
        <x:v>66.72317986232056</x:v>
      </x:c>
      <x:c r="F245" s="24" t="n">
        <x:v>68.21898100123909</x:v>
      </x:c>
      <x:c r="G245" s="24" t="n">
        <x:v>75.77613967600583</x:v>
      </x:c>
      <x:c r="H245" s="24" t="n">
        <x:v>76.12980614862936</x:v>
      </x:c>
      <x:c r="I245" s="24" t="n">
        <x:v>71.08766198957996</x:v>
      </x:c>
      <x:c r="J245" s="24"/>
      <x:c r="K245" s="24" t="n">
        <x:v>71.6542239649661</x:v>
      </x:c>
    </x:row>
    <x:row r="246">
      <x:c r="A246" s="24" t="n">
        <x:v>24.400000000000002</x:v>
      </x:c>
      <x:c r="B246" s="24" t="n">
        <x:v>64.2329066905575</x:v>
      </x:c>
      <x:c r="C246" s="24" t="n">
        <x:v>67.69637811190509</x:v>
      </x:c>
      <x:c r="D246" s="24" t="n">
        <x:v>64.96381656215138</x:v>
      </x:c>
      <x:c r="E246" s="24" t="n">
        <x:v>69.52062994608455</x:v>
      </x:c>
      <x:c r="F246" s="24" t="n">
        <x:v>68.21898100123909</x:v>
      </x:c>
      <x:c r="G246" s="24" t="n">
        <x:v>67.1609454951853</x:v>
      </x:c>
      <x:c r="H246" s="24" t="n">
        <x:v>74.7501835499863</x:v>
      </x:c>
      <x:c r="I246" s="24" t="n">
        <x:v>69.23126207678197</x:v>
      </x:c>
      <x:c r="J246" s="24"/>
      <x:c r="K246" s="24" t="n">
        <x:v>71.65422396496605</x:v>
      </x:c>
    </x:row>
    <x:row r="247">
      <x:c r="A247" s="24" t="n">
        <x:v>24.5</x:v>
      </x:c>
      <x:c r="B247" s="24" t="n">
        <x:v>61.902967100144295</x:v>
      </x:c>
      <x:c r="C247" s="24" t="n">
        <x:v>68.25947608984872</x:v>
      </x:c>
      <x:c r="D247" s="24" t="n">
        <x:v>66.02634221668296</x:v>
      </x:c>
      <x:c r="E247" s="24" t="n">
        <x:v>70.48760098688422</x:v>
      </x:c>
      <x:c r="F247" s="24" t="n">
        <x:v>68.13637880050543</x:v>
      </x:c>
      <x:c r="G247" s="24" t="n">
        <x:v>61.89622396000695</x:v>
      </x:c>
      <x:c r="H247" s="24" t="n">
        <x:v>73.21127764081658</x:v>
      </x:c>
      <x:c r="I247" s="24" t="n">
        <x:v>69.39024366540302</x:v>
      </x:c>
      <x:c r="J247" s="24"/>
      <x:c r="K247" s="24" t="n">
        <x:v>71.29544399002512</x:v>
      </x:c>
    </x:row>
    <x:row r="248">
      <x:c r="A248" s="24" t="n">
        <x:v>24.6</x:v>
      </x:c>
      <x:c r="B248" s="24" t="n">
        <x:v>65.64786908081317</x:v>
      </x:c>
      <x:c r="C248" s="24" t="n">
        <x:v>68.62924475320344</x:v>
      </x:c>
      <x:c r="D248" s="24" t="n">
        <x:v>66.02634221668296</x:v>
      </x:c>
      <x:c r="E248" s="24" t="n">
        <x:v>70.67047984963203</x:v>
      </x:c>
      <x:c r="F248" s="24" t="n">
        <x:v>68.03805182054495</x:v>
      </x:c>
      <x:c r="G248" s="24"/>
      <x:c r="H248" s="24" t="n">
        <x:v>82.60889567825502</x:v>
      </x:c>
      <x:c r="I248" s="24" t="n">
        <x:v>69.56808824233586</x:v>
      </x:c>
      <x:c r="J248" s="24"/>
      <x:c r="K248" s="24" t="n">
        <x:v>73.78615451794516</x:v>
      </x:c>
    </x:row>
    <x:row r="249">
      <x:c r="A249" s="24" t="n">
        <x:v>24.700000000000003</x:v>
      </x:c>
      <x:c r="B249" s="24" t="n">
        <x:v>65.64786908081317</x:v>
      </x:c>
      <x:c r="C249" s="24" t="n">
        <x:v>68.62924475320344</x:v>
      </x:c>
      <x:c r="D249" s="24" t="n">
        <x:v>63.91829233246694</x:v>
      </x:c>
      <x:c r="E249" s="24" t="n">
        <x:v>70.60197229424597</x:v>
      </x:c>
      <x:c r="F249" s="24" t="n">
        <x:v>68.57690456287821</x:v>
      </x:c>
      <x:c r="G249" s="24"/>
      <x:c r="H249" s="24" t="n">
        <x:v>82.60889567825502</x:v>
      </x:c>
      <x:c r="I249" s="24" t="n">
        <x:v>70.03216636389746</x:v>
      </x:c>
      <x:c r="J249" s="24"/>
      <x:c r="K249" s="24" t="n">
        <x:v>73.9019090512745</x:v>
      </x:c>
    </x:row>
    <x:row r="250">
      <x:c r="A250" s="24" t="n">
        <x:v>24.8</x:v>
      </x:c>
      <x:c r="B250" s="24" t="n">
        <x:v>62.14501951544112</x:v>
      </x:c>
      <x:c r="C250" s="24" t="n">
        <x:v>82.87869252033114</x:v>
      </x:c>
      <x:c r="D250" s="24" t="n">
        <x:v>59.7481281919356</x:v>
      </x:c>
      <x:c r="E250" s="24" t="n">
        <x:v>69.47679478095947</x:v>
      </x:c>
      <x:c r="F250" s="24" t="n">
        <x:v>69.17764010657453</x:v>
      </x:c>
      <x:c r="G250" s="24"/>
      <x:c r="H250" s="24" t="n">
        <x:v>78.79558760668445</x:v>
      </x:c>
      <x:c r="I250" s="24" t="n">
        <x:v>70.7658334577863</x:v>
      </x:c>
      <x:c r="J250" s="24"/>
      <x:c r="K250" s="24" t="n">
        <x:v>72.55100961518096</x:v>
      </x:c>
    </x:row>
    <x:row r="251">
      <x:c r="A251" s="24" t="n">
        <x:v>24.900000000000002</x:v>
      </x:c>
      <x:c r="B251" s="24" t="n">
        <x:v>62.86286745308962</x:v>
      </x:c>
      <x:c r="C251" s="24" t="n">
        <x:v>83.25373069210231</x:v>
      </x:c>
      <x:c r="D251" s="24" t="n">
        <x:v>66.46424299246056</x:v>
      </x:c>
      <x:c r="E251" s="24" t="n">
        <x:v>69.77229093722109</x:v>
      </x:c>
      <x:c r="F251" s="24" t="n">
        <x:v>69.17764010657453</x:v>
      </x:c>
      <x:c r="G251" s="24"/>
      <x:c r="H251" s="24" t="n">
        <x:v>70.83790635093517</x:v>
      </x:c>
      <x:c r="I251" s="24" t="n">
        <x:v>69.8004554938519</x:v>
      </x:c>
      <x:c r="J251" s="24"/>
      <x:c r="K251" s="24" t="n">
        <x:v>67.59660809804167</x:v>
      </x:c>
    </x:row>
    <x:row r="252">
      <x:c r="A252" s="24" t="n">
        <x:v>25</x:v>
      </x:c>
      <x:c r="B252" s="24" t="n">
        <x:v>62.86286745308962</x:v>
      </x:c>
      <x:c r="C252" s="24" t="n">
        <x:v>82.45886914293098</x:v>
      </x:c>
      <x:c r="D252" s="24" t="n">
        <x:v>77.42239300542943</x:v>
      </x:c>
      <x:c r="E252" s="24" t="n">
        <x:v>69.77229093722109</x:v>
      </x:c>
      <x:c r="F252" s="24" t="n">
        <x:v>66.92809966397274</x:v>
      </x:c>
      <x:c r="G252" s="24"/>
      <x:c r="H252" s="24" t="n">
        <x:v>70.14044690783636</x:v>
      </x:c>
      <x:c r="I252" s="24" t="n">
        <x:v>66.31456781108614</x:v>
      </x:c>
      <x:c r="J252" s="24"/>
      <x:c r="K252" s="24" t="n">
        <x:v>70.577694547442</x:v>
      </x:c>
    </x:row>
    <x:row r="253">
      <x:c r="A253" s="24" t="n">
        <x:v>25.1</x:v>
      </x:c>
      <x:c r="B253" s="24" t="n">
        <x:v>65.22209396660439</x:v>
      </x:c>
      <x:c r="C253" s="24" t="n">
        <x:v>70.61626037325539</x:v>
      </x:c>
      <x:c r="D253" s="24" t="n">
        <x:v>77.42239300542943</x:v>
      </x:c>
      <x:c r="E253" s="24" t="n">
        <x:v>69.3350650424692</x:v>
      </x:c>
      <x:c r="F253" s="24" t="n">
        <x:v>62.50257344365647</x:v>
      </x:c>
      <x:c r="G253" s="24"/>
      <x:c r="H253" s="24" t="n">
        <x:v>69.44298746473753</x:v>
      </x:c>
      <x:c r="I253" s="24" t="n">
        <x:v>65.26564959595024</x:v>
      </x:c>
      <x:c r="J253" s="24"/>
      <x:c r="K253" s="24" t="n">
        <x:v>70.577694547442</x:v>
      </x:c>
    </x:row>
    <x:row r="254">
      <x:c r="A254" s="24" t="n">
        <x:v>25.200000000000003</x:v>
      </x:c>
      <x:c r="B254" s="24" t="n">
        <x:v>90.90684840375494</x:v>
      </x:c>
      <x:c r="C254" s="24" t="n">
        <x:v>65.82559431081093</x:v>
      </x:c>
      <x:c r="D254" s="24" t="n">
        <x:v>71.18991843939487</x:v>
      </x:c>
      <x:c r="E254" s="24" t="n">
        <x:v>69.77434498247638</x:v>
      </x:c>
      <x:c r="F254" s="24" t="n">
        <x:v>80.68111618283655</x:v>
      </x:c>
      <x:c r="G254" s="24"/>
      <x:c r="H254" s="24" t="n">
        <x:v>68.74552802163869</x:v>
      </x:c>
      <x:c r="I254" s="24" t="n">
        <x:v>64.13480668883727</x:v>
      </x:c>
      <x:c r="J254" s="24"/>
      <x:c r="K254" s="24" t="n">
        <x:v>71.85954001050976</x:v>
      </x:c>
    </x:row>
    <x:row r="255">
      <x:c r="A255" s="24" t="n">
        <x:v>25.3</x:v>
      </x:c>
      <x:c r="B255" s="24" t="n">
        <x:v>92.16387690486954</x:v>
      </x:c>
      <x:c r="C255" s="24" t="n">
        <x:v>63.67657510460215</x:v>
      </x:c>
      <x:c r="D255" s="24" t="n">
        <x:v>62.27788885830638</x:v>
      </x:c>
      <x:c r="E255" s="24" t="n">
        <x:v>77.70395946218248</x:v>
      </x:c>
      <x:c r="F255" s="24" t="n">
        <x:v>80.68111618283655</x:v>
      </x:c>
      <x:c r="G255" s="24"/>
      <x:c r="H255" s="24" t="n">
        <x:v>68.18756046715964</x:v>
      </x:c>
      <x:c r="I255" s="24" t="n">
        <x:v>79.74179527667161</x:v>
      </x:c>
      <x:c r="J255" s="24"/>
      <x:c r="K255" s="24" t="n">
        <x:v>71.85954001050976</x:v>
      </x:c>
    </x:row>
    <x:row r="256">
      <x:c r="A256" s="24" t="n">
        <x:v>25.400000000000002</x:v>
      </x:c>
      <x:c r="B256" s="24" t="n">
        <x:v>92.1638769048691</x:v>
      </x:c>
      <x:c r="C256" s="24" t="n">
        <x:v>50</x:v>
      </x:c>
      <x:c r="D256" s="24" t="n">
        <x:v>52.20528329243418</x:v>
      </x:c>
      <x:c r="E256" s="24" t="n">
        <x:v>77.70395946218248</x:v>
      </x:c>
      <x:c r="F256" s="24" t="n">
        <x:v>76.0313578326053</x:v>
      </x:c>
      <x:c r="G256" s="24"/>
      <x:c r="H256" s="24" t="n">
        <x:v>73.02017052471763</x:v>
      </x:c>
      <x:c r="I256" s="24" t="n">
        <x:v>79.74179527667161</x:v>
      </x:c>
      <x:c r="J256" s="24"/>
      <x:c r="K256" s="24" t="n">
        <x:v>88.08230965328812</x:v>
      </x:c>
    </x:row>
    <x:row r="257">
      <x:c r="A257" s="24" t="n">
        <x:v>25.5</x:v>
      </x:c>
      <x:c r="B257" s="24" t="n">
        <x:v>81.60707747068517</x:v>
      </x:c>
      <x:c r="C257" s="24" t="n">
        <x:v>50</x:v>
      </x:c>
      <x:c r="D257" s="24" t="n">
        <x:v>52.34324467920925</x:v>
      </x:c>
      <x:c r="E257" s="24" t="n">
        <x:v>72.84831695377036</x:v>
      </x:c>
      <x:c r="F257" s="24" t="n">
        <x:v>66.22669284955364</x:v>
      </x:c>
      <x:c r="G257" s="24"/>
      <x:c r="H257" s="24" t="n">
        <x:v>75.50117285581968</x:v>
      </x:c>
      <x:c r="I257" s="24" t="n">
        <x:v>71.82035644597917</x:v>
      </x:c>
      <x:c r="J257" s="24"/>
      <x:c r="K257" s="24" t="n">
        <x:v>88.08230965328812</x:v>
      </x:c>
    </x:row>
    <x:row r="258">
      <x:c r="A258" s="24" t="n">
        <x:v>25.6</x:v>
      </x:c>
      <x:c r="B258" s="24" t="n">
        <x:v>76.43765078426657</x:v>
      </x:c>
      <x:c r="C258" s="24" t="n">
        <x:v>50</x:v>
      </x:c>
      <x:c r="D258" s="24" t="n">
        <x:v>53.758910506307714</x:v>
      </x:c>
      <x:c r="E258" s="24" t="n">
        <x:v>64.16146769502336</x:v>
      </x:c>
      <x:c r="F258" s="24" t="n">
        <x:v>59.40055948288274</x:v>
      </x:c>
      <x:c r="G258" s="24"/>
      <x:c r="H258" s="24" t="n">
        <x:v>75.50117285581968</x:v>
      </x:c>
      <x:c r="I258" s="24" t="n">
        <x:v>57.98658907536599</x:v>
      </x:c>
      <x:c r="J258" s="24"/>
      <x:c r="K258" s="24" t="n">
        <x:v>83.75324600826923</x:v>
      </x:c>
    </x:row>
    <x:row r="259">
      <x:c r="A259" s="24" t="n">
        <x:v>25.700000000000003</x:v>
      </x:c>
      <x:c r="B259" s="24" t="n">
        <x:v>72.63953681561128</x:v>
      </x:c>
      <x:c r="C259" s="24" t="n">
        <x:v>50</x:v>
      </x:c>
      <x:c r="D259" s="24" t="n">
        <x:v>56.11835355147177</x:v>
      </x:c>
      <x:c r="E259" s="24" t="n">
        <x:v>57.08073384751155</x:v>
      </x:c>
      <x:c r="F259" s="24" t="n">
        <x:v>50</x:v>
      </x:c>
      <x:c r="G259" s="24"/>
      <x:c r="H259" s="24" t="n">
        <x:v>67.39663679888525</x:v>
      </x:c>
      <x:c r="I259" s="24" t="n">
        <x:v>50</x:v>
      </x:c>
      <x:c r="J259" s="24"/>
      <x:c r="K259" s="24" t="n">
        <x:v>74.56825053114443</x:v>
      </x:c>
    </x:row>
    <x:row r="260">
      <x:c r="A260" s="24" t="n">
        <x:v>25.8</x:v>
      </x:c>
      <x:c r="B260" s="24" t="n">
        <x:v>71.1152370517163</x:v>
      </x:c>
      <x:c r="C260" s="24" t="n">
        <x:v>50</x:v>
      </x:c>
      <x:c r="D260" s="24" t="n">
        <x:v>58.51775517359966</x:v>
      </x:c>
      <x:c r="E260" s="24" t="n">
        <x:v>50</x:v>
      </x:c>
      <x:c r="F260" s="24" t="n">
        <x:v>50</x:v>
      </x:c>
      <x:c r="G260" s="24"/>
      <x:c r="H260" s="24" t="n">
        <x:v>70.07406283704228</x:v>
      </x:c>
      <x:c r="I260" s="24" t="n">
        <x:v>50</x:v>
      </x:c>
      <x:c r="J260" s="24"/>
      <x:c r="K260" s="24" t="n">
        <x:v>72.25934462196768</x:v>
      </x:c>
    </x:row>
    <x:row r="261">
      <x:c r="A261" s="24" t="n">
        <x:v>25.900000000000002</x:v>
      </x:c>
      <x:c r="B261" s="24" t="n">
        <x:v>69.69410907841194</x:v>
      </x:c>
      <x:c r="C261" s="24" t="n">
        <x:v>74.59125914025618</x:v>
      </x:c>
      <x:c r="D261" s="24" t="n">
        <x:v>59.54144954559307</x:v>
      </x:c>
      <x:c r="E261" s="24" t="n">
        <x:v>56.51240427722793</x:v>
      </x:c>
      <x:c r="F261" s="24" t="n">
        <x:v>62.53474457412554</x:v>
      </x:c>
      <x:c r="G261" s="24"/>
      <x:c r="H261" s="24" t="n">
        <x:v>73.95413740533678</x:v>
      </x:c>
      <x:c r="I261" s="24" t="n">
        <x:v>65.7696974542719</x:v>
      </x:c>
      <x:c r="J261" s="24"/>
      <x:c r="K261" s="24"/>
    </x:row>
    <x:row r="262">
      <x:c r="A262" s="24" t="n">
        <x:v>26</x:v>
      </x:c>
      <x:c r="B262" s="24" t="n">
        <x:v>67.6289486106053</x:v>
      </x:c>
      <x:c r="C262" s="24" t="n">
        <x:v>76.14544347383783</x:v>
      </x:c>
      <x:c r="D262" s="24" t="n">
        <x:v>62.0184505324624</x:v>
      </x:c>
      <x:c r="E262" s="24" t="n">
        <x:v>63.02480855445563</x:v>
      </x:c>
      <x:c r="F262" s="24" t="n">
        <x:v>62.70911816858319</x:v>
      </x:c>
      <x:c r="G262" s="24"/>
      <x:c r="H262" s="24" t="n">
        <x:v>75.27895992162335</x:v>
      </x:c>
      <x:c r="I262" s="24" t="n">
        <x:v>68.76103394451717</x:v>
      </x:c>
      <x:c r="J262" s="24"/>
      <x:c r="K262" s="24"/>
    </x:row>
    <x:row r="263">
      <x:c r="A263" s="24" t="n">
        <x:v>26.1</x:v>
      </x:c>
      <x:c r="B263" s="24" t="n">
        <x:v>68.56265338192016</x:v>
      </x:c>
      <x:c r="C263" s="24" t="n">
        <x:v>75.56966409324889</x:v>
      </x:c>
      <x:c r="D263" s="24" t="n">
        <x:v>68.21095299963596</x:v>
      </x:c>
      <x:c r="E263" s="24" t="n">
        <x:v>65.6297702653467</x:v>
      </x:c>
      <x:c r="F263" s="24" t="n">
        <x:v>65.88068836744547</x:v>
      </x:c>
      <x:c r="G263" s="24"/>
      <x:c r="H263" s="24" t="n">
        <x:v>75.9053764910807</x:v>
      </x:c>
      <x:c r="I263" s="24" t="n">
        <x:v>72.51436238459527</x:v>
      </x:c>
      <x:c r="J263" s="24"/>
      <x:c r="K263" s="24"/>
    </x:row>
    <x:row r="264">
      <x:c r="A264" s="24" t="n">
        <x:v>26.200000000000003</x:v>
      </x:c>
      <x:c r="B264" s="24" t="n">
        <x:v>68.56265338192016</x:v>
      </x:c>
      <x:c r="C264" s="24" t="n">
        <x:v>66.90907499157841</x:v>
      </x:c>
      <x:c r="D264" s="24" t="n">
        <x:v>71.92645447993998</x:v>
      </x:c>
      <x:c r="E264" s="24" t="n">
        <x:v>69.32202648198903</x:v>
      </x:c>
      <x:c r="F264" s="24" t="n">
        <x:v>70.63804366573848</x:v>
      </x:c>
      <x:c r="G264" s="24"/>
      <x:c r="H264" s="24" t="n">
        <x:v>77.03355841523452</x:v>
      </x:c>
      <x:c r="I264" s="24" t="n">
        <x:v>72.5143623845952</x:v>
      </x:c>
      <x:c r="J264" s="24"/>
      <x:c r="K264" s="24"/>
    </x:row>
    <x:row r="265">
      <x:c r="A265" s="24" t="n">
        <x:v>26.3</x:v>
      </x:c>
      <x:c r="B265" s="24" t="n">
        <x:v>63.83882370659528</x:v>
      </x:c>
      <x:c r="C265" s="24" t="n">
        <x:v>62.89285318019817</x:v>
      </x:c>
      <x:c r="D265" s="24" t="n">
        <x:v>71.92645447993998</x:v>
      </x:c>
      <x:c r="E265" s="24" t="n">
        <x:v>75.47578684305921</x:v>
      </x:c>
      <x:c r="F265" s="24" t="n">
        <x:v>70.63804366573848</x:v>
      </x:c>
      <x:c r="G265" s="24"/>
      <x:c r="H265" s="24" t="n">
        <x:v>77.03355841523452</x:v>
      </x:c>
      <x:c r="I265" s="24" t="n">
        <x:v>64.045912917853</x:v>
      </x:c>
      <x:c r="J265" s="24"/>
      <x:c r="K265" s="24"/>
    </x:row>
    <x:row r="266">
      <x:c r="A266" s="24" t="n">
        <x:v>26.400000000000002</x:v>
      </x:c>
      <x:c r="B266" s="24" t="n">
        <x:v>63.500796524445626</x:v>
      </x:c>
      <x:c r="C266" s="24" t="n">
        <x:v>66.86706506309332</x:v>
      </x:c>
      <x:c r="D266" s="24" t="n">
        <x:v>67.449758256773</x:v>
      </x:c>
      <x:c r="E266" s="24" t="n">
        <x:v>75.47578684305921</x:v>
      </x:c>
      <x:c r="F266" s="24" t="n">
        <x:v>60.00934440982473</x:v>
      </x:c>
      <x:c r="G266" s="24"/>
      <x:c r="H266" s="24" t="n">
        <x:v>76.74792608567871</x:v>
      </x:c>
      <x:c r="I266" s="24" t="n">
        <x:v>67.594623946294</x:v>
      </x:c>
      <x:c r="J266" s="24"/>
      <x:c r="K266" s="24"/>
    </x:row>
    <x:row r="267">
      <x:c r="A267" s="24" t="n">
        <x:v>26.5</x:v>
      </x:c>
      <x:c r="B267" s="24" t="n">
        <x:v>62.725979196540614</x:v>
      </x:c>
      <x:c r="C267" s="24" t="n">
        <x:v>67.75434542475114</x:v>
      </x:c>
      <x:c r="D267" s="24" t="n">
        <x:v>61.61733855891856</x:v>
      </x:c>
      <x:c r="E267" s="24" t="n">
        <x:v>73.01117944191074</x:v>
      </x:c>
      <x:c r="F267" s="24" t="n">
        <x:v>55.34013455496321</x:v>
      </x:c>
      <x:c r="G267" s="24"/>
      <x:c r="H267" s="24" t="n">
        <x:v>77.43540938284889</x:v>
      </x:c>
      <x:c r="I267" s="24" t="n">
        <x:v>70.86648115143497</x:v>
      </x:c>
      <x:c r="J267" s="24"/>
      <x:c r="K267" s="24"/>
    </x:row>
    <x:row r="268">
      <x:c r="A268" s="24" t="n">
        <x:v>26.6</x:v>
      </x:c>
      <x:c r="B268" s="24" t="n">
        <x:v>74.12765779297345</x:v>
      </x:c>
      <x:c r="C268" s="24" t="n">
        <x:v>69.59767185502328</x:v>
      </x:c>
      <x:c r="D268" s="24" t="n">
        <x:v>62.0340888347247</x:v>
      </x:c>
      <x:c r="E268" s="24" t="n">
        <x:v>64.95802750327428</x:v>
      </x:c>
      <x:c r="F268" s="24" t="n">
        <x:v>62.31432394827122</x:v>
      </x:c>
      <x:c r="G268" s="24"/>
      <x:c r="H268" s="24" t="n">
        <x:v>77.43540938284889</x:v>
      </x:c>
      <x:c r="I268" s="24" t="n">
        <x:v>70.86648115143497</x:v>
      </x:c>
      <x:c r="J268" s="24"/>
      <x:c r="K268" s="24"/>
    </x:row>
    <x:row r="269">
      <x:c r="A269" s="24" t="n">
        <x:v>26.700000000000003</x:v>
      </x:c>
      <x:c r="B269" s="24" t="n">
        <x:v>75.91301377416488</x:v>
      </x:c>
      <x:c r="C269" s="24" t="n">
        <x:v>69.59767185502328</x:v>
      </x:c>
      <x:c r="D269" s="24" t="n">
        <x:v>64.4138602858448</x:v>
      </x:c>
      <x:c r="E269" s="24" t="n">
        <x:v>64.3229991139958</x:v>
      </x:c>
      <x:c r="F269" s="24" t="n">
        <x:v>65.84228099913635</x:v>
      </x:c>
      <x:c r="G269" s="24"/>
      <x:c r="H269" s="24" t="n">
        <x:v>76.46543213640383</x:v>
      </x:c>
      <x:c r="I269" s="24" t="n">
        <x:v>69.40872702572625</x:v>
      </x:c>
      <x:c r="J269" s="24"/>
      <x:c r="K269" s="24"/>
    </x:row>
    <x:row r="270">
      <x:c r="A270" s="24" t="n">
        <x:v>26.8</x:v>
      </x:c>
      <x:c r="B270" s="24" t="n">
        <x:v>75.91301377416488</x:v>
      </x:c>
      <x:c r="C270" s="24" t="n">
        <x:v>69.61725769076922</x:v>
      </x:c>
      <x:c r="D270" s="24" t="n">
        <x:v>65.38719294569383</x:v>
      </x:c>
      <x:c r="E270" s="24" t="n">
        <x:v>68.09119890099518</x:v>
      </x:c>
      <x:c r="F270" s="24" t="n">
        <x:v>68.29290932826999</x:v>
      </x:c>
      <x:c r="G270" s="24"/>
      <x:c r="H270" s="24" t="n">
        <x:v>74.63797752890862</x:v>
      </x:c>
      <x:c r="I270" s="24" t="n">
        <x:v>69.54874796562056</x:v>
      </x:c>
      <x:c r="J270" s="24"/>
      <x:c r="K270" s="24"/>
    </x:row>
    <x:row r="271">
      <x:c r="A271" s="24" t="n">
        <x:v>26.900000000000002</x:v>
      </x:c>
      <x:c r="B271" s="24" t="n">
        <x:v>73.10860020726257</x:v>
      </x:c>
      <x:c r="C271" s="24" t="n">
        <x:v>69.91695946416615</x:v>
      </x:c>
      <x:c r="D271" s="24" t="n">
        <x:v>65.3091215191503</x:v>
      </x:c>
      <x:c r="E271" s="24" t="n">
        <x:v>68.09119890099518</x:v>
      </x:c>
      <x:c r="F271" s="24" t="n">
        <x:v>68.29290932826999</x:v>
      </x:c>
      <x:c r="G271" s="24"/>
      <x:c r="H271" s="24" t="n">
        <x:v>73.27170865777057</x:v>
      </x:c>
      <x:c r="I271" s="24" t="n">
        <x:v>70.24967900575143</x:v>
      </x:c>
      <x:c r="J271" s="24"/>
      <x:c r="K271" s="24"/>
    </x:row>
    <x:row r="272">
      <x:c r="A272" s="24" t="n">
        <x:v>27</x:v>
      </x:c>
      <x:c r="B272" s="24" t="n">
        <x:v>67.56488640641909</x:v>
      </x:c>
      <x:c r="C272" s="24" t="n">
        <x:v>69.91695946416615</x:v>
      </x:c>
      <x:c r="D272" s="24" t="n">
        <x:v>65.3091215191503</x:v>
      </x:c>
      <x:c r="E272" s="24" t="n">
        <x:v>66.78244476468905</x:v>
      </x:c>
      <x:c r="F272" s="24" t="n">
        <x:v>67.78016270847456</x:v>
      </x:c>
      <x:c r="G272" s="24"/>
      <x:c r="H272" s="24" t="n">
        <x:v>81.62259646199794</x:v>
      </x:c>
      <x:c r="I272" s="24" t="n">
        <x:v>71.29340869911408</x:v>
      </x:c>
      <x:c r="J272" s="24"/>
      <x:c r="K272" s="24"/>
    </x:row>
    <x:row r="273">
      <x:c r="A273" s="24" t="n">
        <x:v>27.1</x:v>
      </x:c>
      <x:c r="B273" s="24" t="n">
        <x:v>64.21803597281051</x:v>
      </x:c>
      <x:c r="C273" s="24" t="n">
        <x:v>69.37135979745254</x:v>
      </x:c>
      <x:c r="D273" s="24" t="n">
        <x:v>63.543401524843304</x:v>
      </x:c>
      <x:c r="E273" s="24" t="n">
        <x:v>68.31187003873083</x:v>
      </x:c>
      <x:c r="F273" s="24" t="n">
        <x:v>67.08982260258497</x:v>
      </x:c>
      <x:c r="G273" s="24"/>
      <x:c r="H273" s="24" t="n">
        <x:v>82.51168101207952</x:v>
      </x:c>
      <x:c r="I273" s="24" t="n">
        <x:v>71.66146459007602</x:v>
      </x:c>
      <x:c r="J273" s="24"/>
      <x:c r="K273" s="24"/>
    </x:row>
    <x:row r="274">
      <x:c r="A274" s="24" t="n">
        <x:v>27.200000000000003</x:v>
      </x:c>
      <x:c r="B274" s="24" t="n">
        <x:v>65.20862601096513</x:v>
      </x:c>
      <x:c r="C274" s="24" t="n">
        <x:v>69.37135979745256</x:v>
      </x:c>
      <x:c r="D274" s="24" t="n">
        <x:v>65.25967123604123</x:v>
      </x:c>
      <x:c r="E274" s="24" t="n">
        <x:v>68.31187003873083</x:v>
      </x:c>
      <x:c r="F274" s="24" t="n">
        <x:v>67.56186296219822</x:v>
      </x:c>
      <x:c r="G274" s="24"/>
      <x:c r="H274" s="24" t="n">
        <x:v>81.76093903000005</x:v>
      </x:c>
      <x:c r="I274" s="24" t="n">
        <x:v>70.74341096904503</x:v>
      </x:c>
      <x:c r="J274" s="24"/>
      <x:c r="K274" s="24"/>
    </x:row>
    <x:row r="275">
      <x:c r="A275" s="24" t="n">
        <x:v>27.3</x:v>
      </x:c>
      <x:c r="B275" s="24" t="n">
        <x:v>62.034640903493255</x:v>
      </x:c>
      <x:c r="C275" s="24" t="n">
        <x:v>70.01038182241135</x:v>
      </x:c>
      <x:c r="D275" s="24" t="n">
        <x:v>65.25967123604123</x:v>
      </x:c>
      <x:c r="E275" s="24" t="n">
        <x:v>66.15547826261614</x:v>
      </x:c>
      <x:c r="F275" s="24" t="n">
        <x:v>67.09377238461511</x:v>
      </x:c>
      <x:c r="G275" s="24"/>
      <x:c r="H275" s="24" t="n">
        <x:v>71.0953438282966</x:v>
      </x:c>
      <x:c r="I275" s="24" t="n">
        <x:v>67.98663748724323</x:v>
      </x:c>
      <x:c r="J275" s="24"/>
      <x:c r="K275" s="24"/>
    </x:row>
    <x:row r="276">
      <x:c r="A276" s="24" t="n">
        <x:v>27.400000000000002</x:v>
      </x:c>
      <x:c r="B276" s="24" t="n">
        <x:v>63.15613654445084</x:v>
      </x:c>
      <x:c r="C276" s="24" t="n">
        <x:v>70.01038182241133</x:v>
      </x:c>
      <x:c r="D276" s="24" t="n">
        <x:v>64.37445218955128</x:v>
      </x:c>
      <x:c r="E276" s="24" t="n">
        <x:v>66.56452027242257</x:v>
      </x:c>
      <x:c r="F276" s="24" t="n">
        <x:v>67.0200701266377</x:v>
      </x:c>
      <x:c r="G276" s="24"/>
      <x:c r="H276" s="24" t="n">
        <x:v>57.98530639985519</x:v>
      </x:c>
      <x:c r="I276" s="24" t="n">
        <x:v>66.82469972037282</x:v>
      </x:c>
      <x:c r="J276" s="24"/>
      <x:c r="K276" s="24"/>
    </x:row>
    <x:row r="277">
      <x:c r="A277" s="24" t="n">
        <x:v>27.5</x:v>
      </x:c>
      <x:c r="B277" s="24" t="n">
        <x:v>63.919478906795675</x:v>
      </x:c>
      <x:c r="C277" s="24" t="n">
        <x:v>77.04445474923696</x:v>
      </x:c>
      <x:c r="D277" s="24" t="n">
        <x:v>64.76239547342485</x:v>
      </x:c>
      <x:c r="E277" s="24" t="n">
        <x:v>70.44840952787304</x:v>
      </x:c>
      <x:c r="F277" s="24" t="n">
        <x:v>67.15509141831029</x:v>
      </x:c>
      <x:c r="G277" s="24"/>
      <x:c r="H277" s="24" t="n">
        <x:v>61.027260647605914</x:v>
      </x:c>
      <x:c r="I277" s="24" t="n">
        <x:v>64.6778385700972</x:v>
      </x:c>
      <x:c r="J277" s="24"/>
      <x:c r="K277" s="24"/>
    </x:row>
    <x:row r="278">
      <x:c r="A278" s="24" t="n">
        <x:v>27.6</x:v>
      </x:c>
      <x:c r="B278" s="24" t="n">
        <x:v>63.919478906795675</x:v>
      </x:c>
      <x:c r="C278" s="24" t="n">
        <x:v>81.42551508049814</x:v>
      </x:c>
      <x:c r="D278" s="24" t="n">
        <x:v>64.53797871295184</x:v>
      </x:c>
      <x:c r="E278" s="24" t="n">
        <x:v>85.22768188526277</x:v>
      </x:c>
      <x:c r="F278" s="24" t="n">
        <x:v>67.15509141831029</x:v>
      </x:c>
      <x:c r="G278" s="24"/>
      <x:c r="H278" s="24" t="n">
        <x:v>64.06921489535674</x:v>
      </x:c>
      <x:c r="I278" s="24" t="n">
        <x:v>79.50942365084194</x:v>
      </x:c>
      <x:c r="J278" s="24"/>
      <x:c r="K278" s="24"/>
    </x:row>
    <x:row r="279">
      <x:c r="A279" s="24" t="n">
        <x:v>27.700000000000003</x:v>
      </x:c>
      <x:c r="B279" s="24" t="n">
        <x:v>65.27913875790259</x:v>
      </x:c>
      <x:c r="C279" s="24" t="n">
        <x:v>81.42551508049814</x:v>
      </x:c>
      <x:c r="D279" s="24" t="n">
        <x:v>64.18859092090105</x:v>
      </x:c>
      <x:c r="E279" s="24" t="n">
        <x:v>85.70227071089602</x:v>
      </x:c>
      <x:c r="F279" s="24" t="n">
        <x:v>63.49938026128179</x:v>
      </x:c>
      <x:c r="G279" s="24"/>
      <x:c r="H279" s="24" t="n">
        <x:v>67.11116914310757</x:v>
      </x:c>
      <x:c r="I279" s="24" t="n">
        <x:v>79.53760774850113</x:v>
      </x:c>
      <x:c r="J279" s="24"/>
      <x:c r="K279" s="24"/>
    </x:row>
    <x:row r="280">
      <x:c r="A280" s="24" t="n">
        <x:v>27.8</x:v>
      </x:c>
      <x:c r="B280" s="24" t="n">
        <x:v>65.9551979291962</x:v>
      </x:c>
      <x:c r="C280" s="24" t="n">
        <x:v>73.13613147347002</x:v>
      </x:c>
      <x:c r="D280" s="24" t="n">
        <x:v>64.18859092090105</x:v>
      </x:c>
      <x:c r="E280" s="24" t="n">
        <x:v>84.98648714215918</x:v>
      </x:c>
      <x:c r="F280" s="24" t="n">
        <x:v>79.16159191621264</x:v>
      </x:c>
      <x:c r="G280" s="24"/>
      <x:c r="H280" s="24" t="n">
        <x:v>67.71955999265761</x:v>
      </x:c>
      <x:c r="I280" s="24" t="n">
        <x:v>76.25442185260734</x:v>
      </x:c>
      <x:c r="J280" s="24"/>
      <x:c r="K280" s="24"/>
    </x:row>
    <x:row r="281">
      <x:c r="A281" s="24" t="n">
        <x:v>27.900000000000002</x:v>
      </x:c>
      <x:c r="B281" s="24" t="n">
        <x:v>63.98061843253101</x:v>
      </x:c>
      <x:c r="C281" s="24" t="n">
        <x:v>62.606375859300876</x:v>
      </x:c>
      <x:c r="D281" s="24" t="n">
        <x:v>81.08237327852899</x:v>
      </x:c>
      <x:c r="E281" s="24" t="n">
        <x:v>77.0718423809531</x:v>
      </x:c>
      <x:c r="F281" s="24" t="n">
        <x:v>79.83485251010521</x:v>
      </x:c>
      <x:c r="G281" s="24"/>
      <x:c r="H281" s="24" t="n">
        <x:v>76.41724260173285</x:v>
      </x:c>
      <x:c r="I281" s="24" t="n">
        <x:v>62.07619491526325</x:v>
      </x:c>
      <x:c r="J281" s="24"/>
      <x:c r="K281" s="24"/>
    </x:row>
    <x:row r="282">
      <x:c r="A282" s="24" t="n">
        <x:v>28</x:v>
      </x:c>
      <x:c r="B282" s="24" t="n">
        <x:v>66.16802993254909</x:v>
      </x:c>
      <x:c r="C282" s="24" t="n">
        <x:v>50</x:v>
      </x:c>
      <x:c r="D282" s="24" t="n">
        <x:v>81.73931353318011</x:v>
      </x:c>
      <x:c r="E282" s="24" t="n">
        <x:v>69.28819667484908</x:v>
      </x:c>
      <x:c r="F282" s="24" t="n">
        <x:v>79.27355051839547</x:v>
      </x:c>
      <x:c r="G282" s="24"/>
      <x:c r="H282" s="24" t="n">
        <x:v>76.41724260173285</x:v>
      </x:c>
      <x:c r="I282" s="24" t="n">
        <x:v>54.76636314829679</x:v>
      </x:c>
      <x:c r="J282" s="24"/>
      <x:c r="K282" s="24"/>
    </x:row>
    <x:row r="283">
      <x:c r="A283" s="24" t="n">
        <x:v>28.1</x:v>
      </x:c>
      <x:c r="B283" s="24" t="n">
        <x:v>66.16802993254909</x:v>
      </x:c>
      <x:c r="C283" s="24" t="n">
        <x:v>50</x:v>
      </x:c>
      <x:c r="D283" s="24" t="n">
        <x:v>79.96642852156938</x:v>
      </x:c>
      <x:c r="E283" s="24" t="n">
        <x:v>64.57204938290312</x:v>
      </x:c>
      <x:c r="F283" s="24" t="n">
        <x:v>69.22037074721817</x:v>
      </x:c>
      <x:c r="G283" s="24"/>
      <x:c r="H283" s="24" t="n">
        <x:v>72.89028754836463</x:v>
      </x:c>
      <x:c r="I283" s="24" t="n">
        <x:v>50</x:v>
      </x:c>
      <x:c r="J283" s="24"/>
      <x:c r="K283" s="24"/>
    </x:row>
    <x:row r="284">
      <x:c r="A284" s="24" t="n">
        <x:v>28.200000000000003</x:v>
      </x:c>
      <x:c r="B284" s="24" t="n">
        <x:v>65.17490406837076</x:v>
      </x:c>
      <x:c r="C284" s="24" t="n">
        <x:v>50</x:v>
      </x:c>
      <x:c r="D284" s="24" t="n">
        <x:v>70.19084830993046</x:v>
      </x:c>
      <x:c r="E284" s="24" t="n">
        <x:v>65.7231980151184</x:v>
      </x:c>
      <x:c r="F284" s="24" t="n">
        <x:v>60.8350172496941</x:v>
      </x:c>
      <x:c r="G284" s="24"/>
      <x:c r="H284" s="24" t="n">
        <x:v>67.52431956302985</x:v>
      </x:c>
      <x:c r="I284" s="24" t="n">
        <x:v>65.75489140721669</x:v>
      </x:c>
      <x:c r="J284" s="24"/>
      <x:c r="K284" s="24"/>
    </x:row>
    <x:row r="285">
      <x:c r="A285" s="24" t="n">
        <x:v>28.3</x:v>
      </x:c>
      <x:c r="B285" s="24" t="n">
        <x:v>63.920853169532414</x:v>
      </x:c>
      <x:c r="C285" s="24" t="n">
        <x:v>50</x:v>
      </x:c>
      <x:c r="D285" s="24" t="n">
        <x:v>61.63329976589634</x:v>
      </x:c>
      <x:c r="E285" s="24" t="n">
        <x:v>65.83528018913933</x:v>
      </x:c>
      <x:c r="F285" s="24" t="n">
        <x:v>60.31326321998737</x:v>
      </x:c>
      <x:c r="G285" s="24"/>
      <x:c r="H285" s="24" t="n">
        <x:v>74.60148804959078</x:v>
      </x:c>
      <x:c r="I285" s="24" t="n">
        <x:v>67.62734598527057</x:v>
      </x:c>
      <x:c r="J285" s="24"/>
      <x:c r="K285" s="24"/>
    </x:row>
    <x:row r="286">
      <x:c r="A286" s="24" t="n">
        <x:v>28.400000000000002</x:v>
      </x:c>
      <x:c r="B286" s="24" t="n">
        <x:v>68.69894591317923</x:v>
      </x:c>
      <x:c r="C286" s="24" t="n">
        <x:v>57.16355115394701</x:v>
      </x:c>
      <x:c r="D286" s="24" t="n">
        <x:v>52.1812227661346</x:v>
      </x:c>
      <x:c r="E286" s="24" t="n">
        <x:v>65.55188473947437</x:v>
      </x:c>
      <x:c r="F286" s="24" t="n">
        <x:v>60.7996643978369</x:v>
      </x:c>
      <x:c r="G286" s="24"/>
      <x:c r="H286" s="24" t="n">
        <x:v>76.31362817943742</x:v>
      </x:c>
      <x:c r="I286" s="24" t="n">
        <x:v>72.83899648280212</x:v>
      </x:c>
      <x:c r="J286" s="24"/>
      <x:c r="K286" s="24"/>
    </x:row>
    <x:row r="287">
      <x:c r="A287" s="24" t="n">
        <x:v>28.5</x:v>
      </x:c>
      <x:c r="B287" s="24" t="n">
        <x:v>91.94949379572503</x:v>
      </x:c>
      <x:c r="C287" s="24" t="n">
        <x:v>58.56859897234677</x:v>
      </x:c>
      <x:c r="D287" s="24" t="n">
        <x:v>50.62320650460989</x:v>
      </x:c>
      <x:c r="E287" s="24" t="n">
        <x:v>50</x:v>
      </x:c>
      <x:c r="F287" s="24" t="n">
        <x:v>61.286065575686415</x:v>
      </x:c>
      <x:c r="G287" s="24"/>
      <x:c r="H287" s="24" t="n">
        <x:v>76.31362817943742</x:v>
      </x:c>
      <x:c r="I287" s="24" t="n">
        <x:v>72.83899648280212</x:v>
      </x:c>
      <x:c r="J287" s="24"/>
      <x:c r="K287" s="24"/>
    </x:row>
    <x:row r="288">
      <x:c r="A288" s="24" t="n">
        <x:v>28.6</x:v>
      </x:c>
      <x:c r="B288" s="24" t="n">
        <x:v>91.94949379572503</x:v>
      </x:c>
      <x:c r="C288" s="24" t="n">
        <x:v>57.65002799972731</x:v>
      </x:c>
      <x:c r="D288" s="24" t="n">
        <x:v>52.26923065406594</x:v>
      </x:c>
      <x:c r="E288" s="24" t="n">
        <x:v>75.727004925153</x:v>
      </x:c>
      <x:c r="F288" s="24" t="n">
        <x:v>61.675186517966026</x:v>
      </x:c>
      <x:c r="G288" s="24"/>
      <x:c r="H288" s="24" t="n">
        <x:v>75.2687788746702</x:v>
      </x:c>
      <x:c r="I288" s="24" t="n">
        <x:v>67.77259246647615</x:v>
      </x:c>
      <x:c r="J288" s="24"/>
      <x:c r="K288" s="24"/>
    </x:row>
    <x:row r="289">
      <x:c r="A289" s="24" t="n">
        <x:v>28.700000000000003</x:v>
      </x:c>
      <x:c r="B289" s="24" t="n">
        <x:v>85.44634292690594</x:v>
      </x:c>
      <x:c r="C289" s="24" t="n">
        <x:v>73.70602542688712</x:v>
      </x:c>
      <x:c r="D289" s="24" t="n">
        <x:v>57.94230728923051</x:v>
      </x:c>
      <x:c r="E289" s="24" t="n">
        <x:v>75.727004925153</x:v>
      </x:c>
      <x:c r="F289" s="24" t="n">
        <x:v>61.67518651796629</x:v>
      </x:c>
      <x:c r="G289" s="24"/>
      <x:c r="H289" s="24" t="n">
        <x:v>75.68402873936705</x:v>
      </x:c>
      <x:c r="I289" s="24" t="n">
        <x:v>61.69187190064311</x:v>
      </x:c>
      <x:c r="J289" s="24"/>
      <x:c r="K289" s="24"/>
    </x:row>
    <x:row r="290">
      <x:c r="A290" s="24" t="n">
        <x:v>28.8</x:v>
      </x:c>
      <x:c r="B290" s="24" t="n">
        <x:v>77.73785693293918</x:v>
      </x:c>
      <x:c r="C290" s="24" t="n">
        <x:v>76.09812284431513</x:v>
      </x:c>
      <x:c r="D290" s="24" t="n">
        <x:v>61.346153270329125</x:v>
      </x:c>
      <x:c r="E290" s="24" t="n">
        <x:v>74.76230538831226</x:v>
      </x:c>
      <x:c r="F290" s="24" t="n">
        <x:v>69.17250032214768</x:v>
      </x:c>
      <x:c r="G290" s="24"/>
      <x:c r="H290" s="24" t="n">
        <x:v>75.68402873936705</x:v>
      </x:c>
      <x:c r="I290" s="24" t="n">
        <x:v>68.63059411318147</x:v>
      </x:c>
      <x:c r="J290" s="24"/>
      <x:c r="K290" s="24"/>
    </x:row>
    <x:row r="291">
      <x:c r="A291" s="24" t="n">
        <x:v>28.900000000000002</x:v>
      </x:c>
      <x:c r="B291" s="24" t="n">
        <x:v>75.12175729597064</x:v>
      </x:c>
      <x:c r="C291" s="24" t="n">
        <x:v>76.0981228443151</x:v>
      </x:c>
      <x:c r="D291" s="24" t="n">
        <x:v>63.929048542311676</x:v>
      </x:c>
      <x:c r="E291" s="24" t="n">
        <x:v>53.93197753086589</x:v>
      </x:c>
      <x:c r="F291" s="24" t="n">
        <x:v>69.17250032214768</x:v>
      </x:c>
      <x:c r="G291" s="24"/>
      <x:c r="H291" s="24" t="n">
        <x:v>75.48397493368805</x:v>
      </x:c>
      <x:c r="I291" s="24" t="n">
        <x:v>71.166597913815</x:v>
      </x:c>
      <x:c r="J291" s="24"/>
      <x:c r="K291" s="24"/>
    </x:row>
    <x:row r="292">
      <x:c r="A292" s="24" t="n">
        <x:v>29</x:v>
      </x:c>
      <x:c r="B292" s="24" t="n">
        <x:v>74.25330025602038</x:v>
      </x:c>
      <x:c r="C292" s="24" t="n">
        <x:v>70.49945000533701</x:v>
      </x:c>
      <x:c r="D292" s="24" t="n">
        <x:v>68.23387399561567</x:v>
      </x:c>
      <x:c r="E292" s="24" t="n">
        <x:v>59.69725073487388</x:v>
      </x:c>
      <x:c r="F292" s="24" t="n">
        <x:v>63.896185145338755</x:v>
      </x:c>
      <x:c r="G292" s="24"/>
      <x:c r="H292" s="24" t="n">
        <x:v>77.4477044245589</x:v>
      </x:c>
      <x:c r="I292" s="24" t="n">
        <x:v>70.9476640161175</x:v>
      </x:c>
      <x:c r="J292" s="24"/>
      <x:c r="K292" s="24"/>
    </x:row>
    <x:row r="293">
      <x:c r="A293" s="24" t="n">
        <x:v>29.1</x:v>
      </x:c>
      <x:c r="B293" s="24" t="n">
        <x:v>72.54751796460354</x:v>
      </x:c>
      <x:c r="C293" s="24" t="n">
        <x:v>66.88472095273852</x:v>
      </x:c>
      <x:c r="D293" s="24" t="n">
        <x:v>71.67773435825886</x:v>
      </x:c>
      <x:c r="E293" s="24" t="n">
        <x:v>64.43897539644713</x:v>
      </x:c>
      <x:c r="F293" s="24" t="n">
        <x:v>52.372162752204474</x:v>
      </x:c>
      <x:c r="G293" s="24"/>
      <x:c r="H293" s="24" t="n">
        <x:v>77.4477044245589</x:v>
      </x:c>
      <x:c r="I293" s="24" t="n">
        <x:v>70.9476640161175</x:v>
      </x:c>
      <x:c r="J293" s="24"/>
      <x:c r="K293" s="24"/>
    </x:row>
    <x:row r="294">
      <x:c r="A294" s="24" t="n">
        <x:v>29.200000000000003</x:v>
      </x:c>
      <x:c r="B294" s="24" t="n">
        <x:v>69.37042646171348</x:v>
      </x:c>
      <x:c r="C294" s="24" t="n">
        <x:v>68.1440109119824</x:v>
      </x:c>
      <x:c r="D294" s="24" t="n">
        <x:v>71.67773435825886</x:v>
      </x:c>
      <x:c r="E294" s="24" t="n">
        <x:v>65.37940429695132</x:v>
      </x:c>
      <x:c r="F294" s="24" t="n">
        <x:v>60.85015522749785</x:v>
      </x:c>
      <x:c r="G294" s="24"/>
      <x:c r="H294" s="24" t="n">
        <x:v>76.25752202944761</x:v>
      </x:c>
      <x:c r="I294" s="24" t="n">
        <x:v>69.97273052060575</x:v>
      </x:c>
      <x:c r="J294" s="24"/>
      <x:c r="K294" s="24"/>
    </x:row>
    <x:row r="295">
      <x:c r="A295" s="24" t="n">
        <x:v>29.3</x:v>
      </x:c>
      <x:c r="B295" s="24" t="n">
        <x:v>69.23449745557443</x:v>
      </x:c>
      <x:c r="C295" s="24" t="n">
        <x:v>70.45518610538826</x:v>
      </x:c>
      <x:c r="D295" s="24" t="n">
        <x:v>69.62239199969218</x:v>
      </x:c>
      <x:c r="E295" s="24" t="n">
        <x:v>66.94528283888384</x:v>
      </x:c>
      <x:c r="F295" s="24" t="n">
        <x:v>64.19274561443774</x:v>
      </x:c>
      <x:c r="G295" s="24"/>
      <x:c r="H295" s="24" t="n">
        <x:v>74.25150595213793</x:v>
      </x:c>
      <x:c r="I295" s="24" t="n">
        <x:v>71.03451410270301</x:v>
      </x:c>
      <x:c r="J295" s="24"/>
      <x:c r="K295" s="24"/>
    </x:row>
    <x:row r="296">
      <x:c r="A296" s="24" t="n">
        <x:v>29.400000000000002</x:v>
      </x:c>
      <x:c r="B296" s="24" t="n">
        <x:v>70.06361302443398</x:v>
      </x:c>
      <x:c r="C296" s="24" t="n">
        <x:v>70.45518610538826</x:v>
      </x:c>
      <x:c r="D296" s="24" t="n">
        <x:v>62.97632217037882</x:v>
      </x:c>
      <x:c r="E296" s="24" t="n">
        <x:v>68.17860007037436</x:v>
      </x:c>
      <x:c r="F296" s="24" t="n">
        <x:v>65.34175733420457</x:v>
      </x:c>
      <x:c r="G296" s="24"/>
      <x:c r="H296" s="24" t="n">
        <x:v>70.16861614945952</x:v>
      </x:c>
      <x:c r="I296" s="24" t="n">
        <x:v>71.52229348658747</x:v>
      </x:c>
      <x:c r="J296" s="24"/>
      <x:c r="K296" s="24"/>
    </x:row>
    <x:row r="297">
      <x:c r="A297" s="24" t="n">
        <x:v>29.5</x:v>
      </x:c>
      <x:c r="B297" s="24" t="n">
        <x:v>68.11111557615419</x:v>
      </x:c>
      <x:c r="C297" s="24" t="n">
        <x:v>70.41756932879554</x:v>
      </x:c>
      <x:c r="D297" s="24" t="n">
        <x:v>60.60939800654541</x:v>
      </x:c>
      <x:c r="E297" s="24" t="n">
        <x:v>68.77970151831624</x:v>
      </x:c>
      <x:c r="F297" s="24" t="n">
        <x:v>65.34175733420457</x:v>
      </x:c>
      <x:c r="G297" s="24"/>
      <x:c r="H297" s="24" t="n">
        <x:v>79.12226007580362</x:v>
      </x:c>
      <x:c r="I297" s="24" t="n">
        <x:v>84.46203811191263</x:v>
      </x:c>
      <x:c r="J297" s="24"/>
      <x:c r="K297" s="24"/>
    </x:row>
    <x:row r="298">
      <x:c r="A298" s="24" t="n">
        <x:v>29.6</x:v>
      </x:c>
      <x:c r="B298" s="24" t="n">
        <x:v>67.15613570543795</x:v>
      </x:c>
      <x:c r="C298" s="24" t="n">
        <x:v>71.49818647101961</x:v>
      </x:c>
      <x:c r="D298" s="24" t="n">
        <x:v>63.078049020062124</x:v>
      </x:c>
      <x:c r="E298" s="24" t="n">
        <x:v>68.77970151831624</x:v>
      </x:c>
      <x:c r="F298" s="24" t="n">
        <x:v>66.52304840834645</x:v>
      </x:c>
      <x:c r="G298" s="24"/>
      <x:c r="H298" s="24" t="n">
        <x:v>83.03146531948191</x:v>
      </x:c>
      <x:c r="I298" s="24" t="n">
        <x:v>87.56007686878637</x:v>
      </x:c>
      <x:c r="J298" s="24"/>
      <x:c r="K298" s="24"/>
    </x:row>
    <x:row r="299">
      <x:c r="A299" s="24" t="n">
        <x:v>29.700000000000003</x:v>
      </x:c>
      <x:c r="B299" s="24" t="n">
        <x:v>65.46767987347816</x:v>
      </x:c>
      <x:c r="C299" s="24" t="n">
        <x:v>71.8822541204201</x:v>
      </x:c>
      <x:c r="D299" s="24" t="n">
        <x:v>64.03311944148275</x:v>
      </x:c>
      <x:c r="E299" s="24" t="n">
        <x:v>68.35082191401824</x:v>
      </x:c>
      <x:c r="F299" s="24" t="n">
        <x:v>68.50739036321448</x:v>
      </x:c>
      <x:c r="G299" s="24"/>
      <x:c r="H299" s="24" t="n">
        <x:v>83.03146531948191</x:v>
      </x:c>
      <x:c r="I299" s="24" t="n">
        <x:v>87.56007686878633</x:v>
      </x:c>
      <x:c r="J299" s="24"/>
      <x:c r="K299" s="24"/>
    </x:row>
    <x:row r="300">
      <x:c r="A300" s="24" t="n">
        <x:v>29.8</x:v>
      </x:c>
      <x:c r="B300" s="24" t="n">
        <x:v>73.4697472371125</x:v>
      </x:c>
      <x:c r="C300" s="24" t="n">
        <x:v>72.01702605525136</x:v>
      </x:c>
      <x:c r="D300" s="24" t="n">
        <x:v>64.12426881550024</x:v>
      </x:c>
      <x:c r="E300" s="24" t="n">
        <x:v>68.35082191401824</x:v>
      </x:c>
      <x:c r="F300" s="24" t="n">
        <x:v>68.50739036321448</x:v>
      </x:c>
      <x:c r="G300" s="24"/>
      <x:c r="H300" s="24" t="n">
        <x:v>73.15098217628602</x:v>
      </x:c>
      <x:c r="I300" s="24" t="n">
        <x:v>77.64431282332083</x:v>
      </x:c>
      <x:c r="J300" s="24"/>
      <x:c r="K300" s="24"/>
    </x:row>
    <x:row r="301">
      <x:c r="A301" s="24" t="n">
        <x:v>29.900000000000002</x:v>
      </x:c>
      <x:c r="B301" s="24" t="n">
        <x:v>77.31423700077762</x:v>
      </x:c>
      <x:c r="C301" s="24" t="n">
        <x:v>72.01702605525134</x:v>
      </x:c>
      <x:c r="D301" s="24" t="n">
        <x:v>64.661083398827</x:v>
      </x:c>
      <x:c r="E301" s="24" t="n">
        <x:v>82.26814163920169</x:v>
      </x:c>
      <x:c r="F301" s="24" t="n">
        <x:v>68.00698240973753</x:v>
      </x:c>
      <x:c r="G301" s="24"/>
      <x:c r="H301" s="24" t="n">
        <x:v>65.84362938655305</x:v>
      </x:c>
      <x:c r="I301" s="24" t="n">
        <x:v>73.0348848945555</x:v>
      </x:c>
      <x:c r="J301" s="24"/>
      <x:c r="K301" s="24"/>
    </x:row>
    <x:row r="302">
      <x:c r="A302" s="24" t="n">
        <x:v>30</x:v>
      </x:c>
      <x:c r="B302" s="24" t="n">
        <x:v>77.31423700077762</x:v>
      </x:c>
      <x:c r="C302" s="24" t="n">
        <x:v>70.68529102461679</x:v>
      </x:c>
      <x:c r="D302" s="24" t="n">
        <x:v>64.70489862726174</x:v>
      </x:c>
      <x:c r="E302" s="24" t="n">
        <x:v>85.06579971011293</x:v>
      </x:c>
      <x:c r="F302" s="24" t="n">
        <x:v>67.39723537981072</x:v>
      </x:c>
      <x:c r="G302" s="24"/>
      <x:c r="H302" s="24" t="n">
        <x:v>66.50084563382386</x:v>
      </x:c>
      <x:c r="I302" s="24" t="n">
        <x:v>62.90883611403251</x:v>
      </x:c>
      <x:c r="J302" s="24"/>
      <x:c r="K302" s="24"/>
    </x:row>
    <x:row r="303">
      <x:c r="A303" s="24" t="n">
        <x:v>30.1</x:v>
      </x:c>
      <x:c r="B303" s="24" t="n">
        <x:v>74.89103187793691</x:v>
      </x:c>
      <x:c r="C303" s="24" t="n">
        <x:v>72.24776595637971</x:v>
      </x:c>
      <x:c r="D303" s="24" t="n">
        <x:v>64.70489862726174</x:v>
      </x:c>
      <x:c r="E303" s="24" t="n">
        <x:v>85.06579971011293</x:v>
      </x:c>
      <x:c r="F303" s="24" t="n">
        <x:v>67.44693015184663</x:v>
      </x:c>
      <x:c r="G303" s="24"/>
      <x:c r="H303" s="24" t="n">
        <x:v>67.15806188109468</x:v>
      </x:c>
      <x:c r="I303" s="24" t="n">
        <x:v>67.24748298730573</x:v>
      </x:c>
      <x:c r="J303" s="24"/>
      <x:c r="K303" s="24"/>
    </x:row>
    <x:row r="304">
      <x:c r="A304" s="24" t="n">
        <x:v>30.200000000000003</x:v>
      </x:c>
      <x:c r="B304" s="24" t="n">
        <x:v>68.24798019892945</x:v>
      </x:c>
      <x:c r="C304" s="24" t="n">
        <x:v>72.24776595637971</x:v>
      </x:c>
      <x:c r="D304" s="24" t="n">
        <x:v>65.48069922876515</x:v>
      </x:c>
      <x:c r="E304" s="24" t="n">
        <x:v>76.32948260513757</x:v>
      </x:c>
      <x:c r="F304" s="24" t="n">
        <x:v>67.14022303176813</x:v>
      </x:c>
      <x:c r="G304" s="24"/>
      <x:c r="H304" s="24" t="n">
        <x:v>67.81527812836552</x:v>
      </x:c>
      <x:c r="I304" s="24" t="n">
        <x:v>68.72807565659045</x:v>
      </x:c>
      <x:c r="J304" s="24"/>
      <x:c r="K304" s="24"/>
    </x:row>
    <x:row r="305">
      <x:c r="A305" s="24" t="n">
        <x:v>30.3</x:v>
      </x:c>
      <x:c r="B305" s="24" t="n">
        <x:v>57.47881232776642</x:v>
      </x:c>
      <x:c r="C305" s="24" t="n">
        <x:v>72.04172229616195</x:v>
      </x:c>
      <x:c r="D305" s="24" t="n">
        <x:v>65.48069922876515</x:v>
      </x:c>
      <x:c r="E305" s="24" t="n">
        <x:v>68.7625599600945</x:v>
      </x:c>
      <x:c r="F305" s="24" t="n">
        <x:v>63.53857746088426</x:v>
      </x:c>
      <x:c r="G305" s="24"/>
      <x:c r="H305" s="24" t="n">
        <x:v>68.209607876728</x:v>
      </x:c>
      <x:c r="I305" s="24" t="n">
        <x:v>75.04436101419655</x:v>
      </x:c>
      <x:c r="J305" s="24"/>
      <x:c r="K305" s="24"/>
    </x:row>
    <x:row r="306">
      <x:c r="A306" s="24" t="n">
        <x:v>30.400000000000002</x:v>
      </x:c>
      <x:c r="B306" s="24" t="n">
        <x:v>60.39940601957355</x:v>
      </x:c>
      <x:c r="C306" s="24" t="n">
        <x:v>81.49759404972971</x:v>
      </x:c>
      <x:c r="D306" s="24" t="n">
        <x:v>64.57151663004423</x:v>
      </x:c>
      <x:c r="E306" s="24" t="n">
        <x:v>62.274066085463026</x:v>
      </x:c>
      <x:c r="F306" s="24" t="n">
        <x:v>61.97919139633487</x:v>
      </x:c>
      <x:c r="G306" s="24"/>
      <x:c r="H306" s="24" t="n">
        <x:v>76.3080781433806</x:v>
      </x:c>
      <x:c r="I306" s="24" t="n">
        <x:v>75.04436101419655</x:v>
      </x:c>
      <x:c r="J306" s="24"/>
      <x:c r="K306" s="24"/>
    </x:row>
    <x:row r="307">
      <x:c r="A307" s="24" t="n">
        <x:v>30.5</x:v>
      </x:c>
      <x:c r="B307" s="24" t="n">
        <x:v>65.05589657051718</x:v>
      </x:c>
      <x:c r="C307" s="24" t="n">
        <x:v>81.49759404972971</x:v>
      </x:c>
      <x:c r="D307" s="24" t="n">
        <x:v>65.51996481123479</x:v>
      </x:c>
      <x:c r="E307" s="24" t="n">
        <x:v>55.35883354373857</x:v>
      </x:c>
      <x:c r="F307" s="24" t="n">
        <x:v>74.06316342464841</x:v>
      </x:c>
      <x:c r="G307" s="24"/>
      <x:c r="H307" s="24" t="n">
        <x:v>76.64162039752486</x:v>
      </x:c>
      <x:c r="I307" s="24" t="n">
        <x:v>72.77035368645201</x:v>
      </x:c>
      <x:c r="J307" s="24"/>
      <x:c r="K307" s="24"/>
    </x:row>
    <x:row r="308">
      <x:c r="A308" s="24" t="n">
        <x:v>30.6</x:v>
      </x:c>
      <x:c r="B308" s="24" t="n">
        <x:v>65.05589657051718</x:v>
      </x:c>
      <x:c r="C308" s="24" t="n">
        <x:v>76.7754607559792</x:v>
      </x:c>
      <x:c r="D308" s="24" t="n">
        <x:v>65.80345173691352</x:v>
      </x:c>
      <x:c r="E308" s="24" t="n">
        <x:v>64.89852251503166</x:v>
      </x:c>
      <x:c r="F308" s="24" t="n">
        <x:v>77.55647546428905</x:v>
      </x:c>
      <x:c r="G308" s="24"/>
      <x:c r="H308" s="24" t="n">
        <x:v>75.18825710966091</x:v>
      </x:c>
      <x:c r="I308" s="24" t="n">
        <x:v>50</x:v>
      </x:c>
      <x:c r="J308" s="24"/>
      <x:c r="K308" s="24"/>
    </x:row>
    <x:row r="309">
      <x:c r="A309" s="24" t="n">
        <x:v>30.700000000000003</x:v>
      </x:c>
      <x:c r="B309" s="24" t="n">
        <x:v>64.63309645898076</x:v>
      </x:c>
      <x:c r="C309" s="24" t="n">
        <x:v>66.52147844628534</x:v>
      </x:c>
      <x:c r="D309" s="24" t="n">
        <x:v>65.49979039615052</x:v>
      </x:c>
      <x:c r="E309" s="24" t="n">
        <x:v>64.89852251503166</x:v>
      </x:c>
      <x:c r="F309" s="24" t="n">
        <x:v>77.55647546428905</x:v>
      </x:c>
      <x:c r="G309" s="24"/>
      <x:c r="H309" s="24" t="n">
        <x:v>63.326774786683984</x:v>
      </x:c>
      <x:c r="I309" s="24" t="n">
        <x:v>71.84305961100597</x:v>
      </x:c>
      <x:c r="J309" s="24"/>
      <x:c r="K309" s="24"/>
    </x:row>
    <x:row r="310">
      <x:c r="A310" s="24" t="n">
        <x:v>30.8</x:v>
      </x:c>
      <x:c r="B310" s="24" t="n">
        <x:v>58.74577930909369</x:v>
      </x:c>
      <x:c r="C310" s="24" t="n">
        <x:v>55.902931856893886</x:v>
      </x:c>
      <x:c r="D310" s="24" t="n">
        <x:v>63.38023694830815</x:v>
      </x:c>
      <x:c r="E310" s="24" t="n">
        <x:v>68.54935544687484</x:v>
      </x:c>
      <x:c r="F310" s="24" t="n">
        <x:v>67.56667933001022</x:v>
      </x:c>
      <x:c r="G310" s="24"/>
      <x:c r="H310" s="24" t="n">
        <x:v>70.76448587354932</x:v>
      </x:c>
      <x:c r="I310" s="24" t="n">
        <x:v>71.84305961100597</x:v>
      </x:c>
      <x:c r="J310" s="24"/>
      <x:c r="K310" s="24"/>
    </x:row>
    <x:row r="311">
      <x:c r="A311" s="24" t="n">
        <x:v>30.900000000000002</x:v>
      </x:c>
      <x:c r="B311" s="24" t="n">
        <x:v>65.00787421539579</x:v>
      </x:c>
      <x:c r="C311" s="24" t="n">
        <x:v>58.16906028311527</x:v>
      </x:c>
      <x:c r="D311" s="24" t="n">
        <x:v>76.66948959807604</x:v>
      </x:c>
      <x:c r="E311" s="24" t="n">
        <x:v>74.67442389397071</x:v>
      </x:c>
      <x:c r="F311" s="24" t="n">
        <x:v>63.86907262984435</x:v>
      </x:c>
      <x:c r="G311" s="24"/>
      <x:c r="H311" s="24" t="n">
        <x:v>74.1863902854125</x:v>
      </x:c>
      <x:c r="I311" s="24" t="n">
        <x:v>69.8044268687595</x:v>
      </x:c>
      <x:c r="J311" s="24"/>
      <x:c r="K311" s="24"/>
    </x:row>
    <x:row r="312">
      <x:c r="A312" s="24" t="n">
        <x:v>31</x:v>
      </x:c>
      <x:c r="B312" s="24" t="n">
        <x:v>65.00787421539579</x:v>
      </x:c>
      <x:c r="C312" s="24" t="n">
        <x:v>58.16789606486117</x:v>
      </x:c>
      <x:c r="D312" s="24" t="n">
        <x:v>79.76203548337162</x:v>
      </x:c>
      <x:c r="E312" s="24" t="n">
        <x:v>76.24221965372955</x:v>
      </x:c>
      <x:c r="F312" s="24" t="n">
        <x:v>63.2557300915139</x:v>
      </x:c>
      <x:c r="G312" s="24"/>
      <x:c r="H312" s="24" t="n">
        <x:v>74.1863902854125</x:v>
      </x:c>
      <x:c r="I312" s="24" t="n">
        <x:v>69.73376445285035</x:v>
      </x:c>
      <x:c r="J312" s="24"/>
      <x:c r="K312" s="24"/>
    </x:row>
    <x:row r="313">
      <x:c r="A313" s="24" t="n">
        <x:v>31.1</x:v>
      </x:c>
      <x:c r="B313" s="24" t="n">
        <x:v>63.5981849668672</x:v>
      </x:c>
      <x:c r="C313" s="24" t="n">
        <x:v>56.56566123388645</x:v>
      </x:c>
      <x:c r="D313" s="24" t="n">
        <x:v>79.76203548337162</x:v>
      </x:c>
      <x:c r="E313" s="24" t="n">
        <x:v>76.24221965372955</x:v>
      </x:c>
      <x:c r="F313" s="24" t="n">
        <x:v>62.642387553183426</x:v>
      </x:c>
      <x:c r="G313" s="24"/>
      <x:c r="H313" s="24" t="n">
        <x:v>74.55333681824041</x:v>
      </x:c>
      <x:c r="I313" s="24" t="n">
        <x:v>68.39039924915932</x:v>
      </x:c>
      <x:c r="J313" s="24"/>
      <x:c r="K313" s="24"/>
    </x:row>
    <x:row r="314">
      <x:c r="A314" s="24" t="n">
        <x:v>31.200000000000003</x:v>
      </x:c>
      <x:c r="B314" s="24" t="n">
        <x:v>63.5981849668672</x:v>
      </x:c>
      <x:c r="C314" s="24" t="n">
        <x:v>55.36398511065546</x:v>
      </x:c>
      <x:c r="D314" s="24" t="n">
        <x:v>71.01392442994329</x:v>
      </x:c>
      <x:c r="E314" s="24" t="n">
        <x:v>63.79341197058881</x:v>
      </x:c>
      <x:c r="F314" s="24" t="n">
        <x:v>62.029045014852954</x:v>
      </x:c>
      <x:c r="G314" s="24"/>
      <x:c r="H314" s="24" t="n">
        <x:v>76.04056156534286</x:v>
      </x:c>
      <x:c r="I314" s="24" t="n">
        <x:v>69.88094391630074</x:v>
      </x:c>
      <x:c r="J314" s="24"/>
      <x:c r="K314" s="24"/>
    </x:row>
    <x:row r="315">
      <x:c r="A315" s="24" t="n">
        <x:v>31.3</x:v>
      </x:c>
      <x:c r="B315" s="24" t="n">
        <x:v>62.315104893406044</x:v>
      </x:c>
      <x:c r="C315" s="24" t="n">
        <x:v>55.36398511065546</x:v>
      </x:c>
      <x:c r="D315" s="24" t="n">
        <x:v>63.294787385583994</x:v>
      </x:c>
      <x:c r="E315" s="24" t="n">
        <x:v>59.51990316547742</x:v>
      </x:c>
      <x:c r="F315" s="24" t="n">
        <x:v>61.415702476522505</x:v>
      </x:c>
      <x:c r="G315" s="24"/>
      <x:c r="H315" s="24" t="n">
        <x:v>76.04056156534286</x:v>
      </x:c>
      <x:c r="I315" s="24" t="n">
        <x:v>72.4519343115326</x:v>
      </x:c>
      <x:c r="J315" s="24"/>
      <x:c r="K315" s="24"/>
    </x:row>
    <x:row r="316">
      <x:c r="A316" s="24" t="n">
        <x:v>31.400000000000002</x:v>
      </x:c>
      <x:c r="B316" s="24" t="n">
        <x:v>62.05209455976941</x:v>
      </x:c>
      <x:c r="C316" s="24" t="n">
        <x:v>50</x:v>
      </x:c>
      <x:c r="D316" s="24" t="n">
        <x:v>53.57576242734604</x:v>
      </x:c>
      <x:c r="E316" s="24" t="n">
        <x:v>66.94320007953536</x:v>
      </x:c>
      <x:c r="F316" s="24" t="n">
        <x:v>61.17036546119032</x:v>
      </x:c>
      <x:c r="G316" s="24"/>
      <x:c r="H316" s="24" t="n">
        <x:v>75.25576535460496</x:v>
      </x:c>
      <x:c r="I316" s="24" t="n">
        <x:v>72.92226410074737</x:v>
      </x:c>
      <x:c r="J316" s="24"/>
      <x:c r="K316" s="24"/>
    </x:row>
    <x:row r="317">
      <x:c r="A317" s="24" t="n">
        <x:v>31.5</x:v>
      </x:c>
      <x:c r="B317" s="24" t="n">
        <x:v>62.05209455976941</x:v>
      </x:c>
      <x:c r="C317" s="24" t="n">
        <x:v>50</x:v>
      </x:c>
      <x:c r="D317" s="24" t="n">
        <x:v>50</x:v>
      </x:c>
      <x:c r="E317" s="24" t="n">
        <x:v>66.94320007953536</x:v>
      </x:c>
      <x:c r="F317" s="24" t="n">
        <x:v>66.08415223360528</x:v>
      </x:c>
      <x:c r="G317" s="24"/>
      <x:c r="H317" s="24" t="n">
        <x:v>76.03909326602722</x:v>
      </x:c>
      <x:c r="I317" s="24" t="n">
        <x:v>89.03852482286837</x:v>
      </x:c>
      <x:c r="J317" s="24"/>
      <x:c r="K317" s="24"/>
    </x:row>
    <x:row r="318">
      <x:c r="A318" s="24" t="n">
        <x:v>31.6</x:v>
      </x:c>
      <x:c r="B318" s="24" t="n">
        <x:v>61.758119047534414</x:v>
      </x:c>
      <x:c r="C318" s="24" t="n">
        <x:v>76.25174310977064</x:v>
      </x:c>
      <x:c r="D318" s="24" t="n">
        <x:v>55.00665072195975</x:v>
      </x:c>
      <x:c r="E318" s="24" t="n">
        <x:v>67.14865768286958</x:v>
      </x:c>
      <x:c r="F318" s="24" t="n">
        <x:v>69.36001008188192</x:v>
      </x:c>
      <x:c r="G318" s="24"/>
      <x:c r="H318" s="24" t="n">
        <x:v>76.46585167242624</x:v>
      </x:c>
      <x:c r="I318" s="24" t="n">
        <x:v>89.03852482286837</x:v>
      </x:c>
      <x:c r="J318" s="24"/>
      <x:c r="K318" s="24"/>
    </x:row>
    <x:row r="319">
      <x:c r="A319" s="24" t="n">
        <x:v>31.700000000000003</x:v>
      </x:c>
      <x:c r="B319" s="24" t="n">
        <x:v>91.50199530399176</x:v>
      </x:c>
      <x:c r="C319" s="24" t="n">
        <x:v>76.25174310977064</x:v>
      </x:c>
      <x:c r="D319" s="24" t="n">
        <x:v>60.0133014439195</x:v>
      </x:c>
      <x:c r="E319" s="24" t="n">
        <x:v>68.0845354840107</x:v>
      </x:c>
      <x:c r="F319" s="24" t="n">
        <x:v>68.88797975808369</x:v>
      </x:c>
      <x:c r="G319" s="24"/>
      <x:c r="H319" s="24" t="n">
        <x:v>76.46585167242611</x:v>
      </x:c>
      <x:c r="I319" s="24" t="n">
        <x:v>81.46310842677833</x:v>
      </x:c>
      <x:c r="J319" s="24"/>
      <x:c r="K319" s="24"/>
    </x:row>
    <x:row r="320">
      <x:c r="A320" s="24" t="n">
        <x:v>31.8</x:v>
      </x:c>
      <x:c r="B320" s="24" t="n">
        <x:v>92.24592627416791</x:v>
      </x:c>
      <x:c r="C320" s="24" t="n">
        <x:v>74.9359718226026</x:v>
      </x:c>
      <x:c r="D320" s="24" t="n">
        <x:v>64.01862202148716</x:v>
      </x:c>
      <x:c r="E320" s="24" t="n">
        <x:v>68.526149880473</x:v>
      </x:c>
      <x:c r="F320" s="24" t="n">
        <x:v>61.445743174738695</x:v>
      </x:c>
      <x:c r="G320" s="24"/>
      <x:c r="H320" s="24" t="n">
        <x:v>73.54324127213087</x:v>
      </x:c>
      <x:c r="I320" s="24" t="n">
        <x:v>75.99641206600897</x:v>
      </x:c>
      <x:c r="J320" s="24"/>
      <x:c r="K320" s="24"/>
    </x:row>
    <x:row r="321">
      <x:c r="A321" s="24" t="n">
        <x:v>31.900000000000002</x:v>
      </x:c>
      <x:c r="B321" s="24" t="n">
        <x:v>90.70457058842017</x:v>
      </x:c>
      <x:c r="C321" s="24" t="n">
        <x:v>68.64822682868453</x:v>
      </x:c>
      <x:c r="D321" s="24" t="n">
        <x:v>64.01862202148716</x:v>
      </x:c>
      <x:c r="E321" s="24" t="n">
        <x:v>68.8077097854767</x:v>
      </x:c>
      <x:c r="F321" s="24" t="n">
        <x:v>61.23212368478434</x:v>
      </x:c>
      <x:c r="G321" s="24"/>
      <x:c r="H321" s="24" t="n">
        <x:v>84.6797785160713</x:v>
      </x:c>
      <x:c r="I321" s="24" t="n">
        <x:v>67.19014764489418</x:v>
      </x:c>
      <x:c r="J321" s="24"/>
      <x:c r="K321" s="24"/>
    </x:row>
    <x:row r="322">
      <x:c r="A322" s="24" t="n">
        <x:v>32</x:v>
      </x:c>
      <x:c r="B322" s="24" t="n">
        <x:v>79.16628472085301</x:v>
      </x:c>
      <x:c r="C322" s="24" t="n">
        <x:v>62.13548571360974</x:v>
      </x:c>
      <x:c r="D322" s="24" t="n">
        <x:v>65.99518002068358</x:v>
      </x:c>
      <x:c r="E322" s="24" t="n">
        <x:v>69.9840249915772</x:v>
      </x:c>
      <x:c r="F322" s="24" t="n">
        <x:v>64.23994608163079</x:v>
      </x:c>
      <x:c r="G322" s="24"/>
      <x:c r="H322" s="24" t="n">
        <x:v>84.6797785160713</x:v>
      </x:c>
      <x:c r="I322" s="24" t="n">
        <x:v>64.01627781403957</x:v>
      </x:c>
      <x:c r="J322" s="24"/>
      <x:c r="K322" s="24"/>
    </x:row>
    <x:row r="323">
      <x:c r="A323" s="24" t="n">
        <x:v>32.1</x:v>
      </x:c>
      <x:c r="B323" s="24" t="n">
        <x:v>75.56277684600622</x:v>
      </x:c>
      <x:c r="C323" s="24" t="n">
        <x:v>64.02327911414292</x:v>
      </x:c>
      <x:c r="D323" s="24" t="n">
        <x:v>68.4658775196792</x:v>
      </x:c>
      <x:c r="E323" s="24" t="n">
        <x:v>70.13718780492928</x:v>
      </x:c>
      <x:c r="F323" s="24" t="n">
        <x:v>66.99384243479693</x:v>
      </x:c>
      <x:c r="G323" s="24"/>
      <x:c r="H323" s="24" t="n">
        <x:v>79.93804099546634</x:v>
      </x:c>
      <x:c r="I323" s="24" t="n">
        <x:v>64.40542920535658</x:v>
      </x:c>
      <x:c r="J323" s="24"/>
      <x:c r="K323" s="24"/>
    </x:row>
    <x:row r="324">
      <x:c r="A324" s="24" t="n">
        <x:v>32.2</x:v>
      </x:c>
      <x:c r="B324" s="24" t="n">
        <x:v>74.239516988171</x:v>
      </x:c>
      <x:c r="C324" s="24" t="n">
        <x:v>68.2453819667654</x:v>
      </x:c>
      <x:c r="D324" s="24" t="n">
        <x:v>69.4541565192774</x:v>
      </x:c>
      <x:c r="E324" s="24" t="n">
        <x:v>72.02531985209983</x:v>
      </x:c>
      <x:c r="F324" s="24" t="n">
        <x:v>66.99384243479693</x:v>
      </x:c>
      <x:c r="G324" s="24"/>
      <x:c r="H324" s="24" t="n">
        <x:v>71.41779970344592</x:v>
      </x:c>
      <x:c r="I324" s="24" t="n">
        <x:v>64.40542920535658</x:v>
      </x:c>
      <x:c r="J324" s="24"/>
      <x:c r="K324" s="24"/>
    </x:row>
    <x:row r="325">
      <x:c r="A325" s="24" t="n">
        <x:v>32.300000000000004</x:v>
      </x:c>
      <x:c r="B325" s="24" t="n">
        <x:v>72.94346555316741</x:v>
      </x:c>
      <x:c r="C325" s="24" t="n">
        <x:v>68.2453819667654</x:v>
      </x:c>
      <x:c r="D325" s="24" t="n">
        <x:v>69.01166152799038</x:v>
      </x:c>
      <x:c r="E325" s="24" t="n">
        <x:v>72.02531985209983</x:v>
      </x:c>
      <x:c r="F325" s="24" t="n">
        <x:v>66.58403119987871</x:v>
      </x:c>
      <x:c r="G325" s="24"/>
      <x:c r="H325" s="24" t="n">
        <x:v>50</x:v>
      </x:c>
      <x:c r="I325" s="24" t="n">
        <x:v>76.89396480525473</x:v>
      </x:c>
      <x:c r="J325" s="24"/>
      <x:c r="K325" s="24"/>
    </x:row>
    <x:row r="326">
      <x:c r="A326" s="24" t="n">
        <x:v>32.4</x:v>
      </x:c>
      <x:c r="B326" s="24" t="n">
        <x:v>69.309883832407</x:v>
      </x:c>
      <x:c r="C326" s="24" t="n">
        <x:v>68.13126015010455</x:v>
      </x:c>
      <x:c r="D326" s="24" t="n">
        <x:v>65.75955472011765</x:v>
      </x:c>
      <x:c r="E326" s="24" t="n">
        <x:v>69.08674611760188</x:v>
      </x:c>
      <x:c r="F326" s="24" t="n">
        <x:v>67.48235218976906</x:v>
      </x:c>
      <x:c r="G326" s="24"/>
      <x:c r="H326" s="24" t="n">
        <x:v>50</x:v>
      </x:c>
      <x:c r="I326" s="24" t="n">
        <x:v>77.65180069931407</x:v>
      </x:c>
      <x:c r="J326" s="24"/>
      <x:c r="K326" s="24"/>
    </x:row>
    <x:row r="327">
      <x:c r="A327" s="24" t="n">
        <x:v>32.5</x:v>
      </x:c>
      <x:c r="B327" s="24" t="n">
        <x:v>68.79648734367412</x:v>
      </x:c>
      <x:c r="C327" s="24" t="n">
        <x:v>69.83103851128651</x:v>
      </x:c>
      <x:c r="D327" s="24" t="n">
        <x:v>62.69102683659288</x:v>
      </x:c>
      <x:c r="E327" s="24" t="n">
        <x:v>78.26128636373866</x:v>
      </x:c>
      <x:c r="F327" s="24" t="n">
        <x:v>67.78297158477008</x:v>
      </x:c>
      <x:c r="G327" s="24"/>
      <x:c r="H327" s="24" t="n">
        <x:v>54.53222568671507</x:v>
      </x:c>
      <x:c r="I327" s="24" t="n">
        <x:v>77.10913124019697</x:v>
      </x:c>
      <x:c r="J327" s="24"/>
      <x:c r="K327" s="24"/>
    </x:row>
    <x:row r="328">
      <x:c r="A328" s="24" t="n">
        <x:v>32.6</x:v>
      </x:c>
      <x:c r="B328" s="24" t="n">
        <x:v>68.55725116165176</x:v>
      </x:c>
      <x:c r="C328" s="24" t="n">
        <x:v>69.83103851128651</x:v>
      </x:c>
      <x:c r="D328" s="24" t="n">
        <x:v>63.054672949834796</x:v>
      </x:c>
      <x:c r="E328" s="24" t="n">
        <x:v>78.26128636373866</x:v>
      </x:c>
      <x:c r="F328" s="24" t="n">
        <x:v>66.6349426817588</x:v>
      </x:c>
      <x:c r="G328" s="24"/>
      <x:c r="H328" s="24" t="n">
        <x:v>68.12890274685867</x:v>
      </x:c>
      <x:c r="I328" s="24" t="n">
        <x:v>50</x:v>
      </x:c>
      <x:c r="J328" s="24"/>
      <x:c r="K328" s="24"/>
    </x:row>
    <x:row r="329">
      <x:c r="A329" s="24" t="n">
        <x:v>32.7</x:v>
      </x:c>
      <x:c r="B329" s="24" t="n">
        <x:v>68.55725116165176</x:v>
      </x:c>
      <x:c r="C329" s="24" t="n">
        <x:v>69.92394533759668</x:v>
      </x:c>
      <x:c r="D329" s="24" t="n">
        <x:v>65.38813229587456</x:v>
      </x:c>
      <x:c r="E329" s="24" t="n">
        <x:v>73.90250154580187</x:v>
      </x:c>
      <x:c r="F329" s="24" t="n">
        <x:v>65.92721127829924</x:v>
      </x:c>
      <x:c r="G329" s="24"/>
      <x:c r="H329" s="24" t="n">
        <x:v>73.51862218006724</x:v>
      </x:c>
      <x:c r="I329" s="24" t="n">
        <x:v>71.05540464031229</x:v>
      </x:c>
      <x:c r="J329" s="24"/>
      <x:c r="K329" s="24"/>
    </x:row>
    <x:row r="330">
      <x:c r="A330" s="24" t="n">
        <x:v>32.800000000000004</x:v>
      </x:c>
      <x:c r="B330" s="24" t="n">
        <x:v>65.09528427668685</x:v>
      </x:c>
      <x:c r="C330" s="24" t="n">
        <x:v>70.50666534070717</x:v>
      </x:c>
      <x:c r="D330" s="24" t="n">
        <x:v>65.38813229587456</x:v>
      </x:c>
      <x:c r="E330" s="24" t="n">
        <x:v>62.07246028066161</x:v>
      </x:c>
      <x:c r="F330" s="24" t="n">
        <x:v>67.94240350023276</x:v>
      </x:c>
      <x:c r="G330" s="24"/>
      <x:c r="H330" s="24" t="n">
        <x:v>75.70837557757812</x:v>
      </x:c>
      <x:c r="I330" s="24" t="n">
        <x:v>72.24905934219034</x:v>
      </x:c>
      <x:c r="J330" s="24"/>
      <x:c r="K330" s="24"/>
    </x:row>
    <x:row r="331">
      <x:c r="A331" s="24" t="n">
        <x:v>32.9</x:v>
      </x:c>
      <x:c r="B331" s="24" t="n">
        <x:v>62.56187310430061</x:v>
      </x:c>
      <x:c r="C331" s="24" t="n">
        <x:v>70.50666534070717</x:v>
      </x:c>
      <x:c r="D331" s="24" t="n">
        <x:v>64.61144421581866</x:v>
      </x:c>
      <x:c r="E331" s="24" t="n">
        <x:v>52.12866316586715</x:v>
      </x:c>
      <x:c r="F331" s="24" t="n">
        <x:v>67.94240350023276</x:v>
      </x:c>
      <x:c r="G331" s="24"/>
      <x:c r="H331" s="24" t="n">
        <x:v>75.70837557757812</x:v>
      </x:c>
      <x:c r="I331" s="24" t="n">
        <x:v>72.24905934219034</x:v>
      </x:c>
      <x:c r="J331" s="24"/>
      <x:c r="K331" s="24"/>
    </x:row>
    <x:row r="332">
      <x:c r="A332" s="24" t="n">
        <x:v>33</x:v>
      </x:c>
      <x:c r="B332" s="24" t="n">
        <x:v>62.165121079906626</x:v>
      </x:c>
      <x:c r="C332" s="24" t="n">
        <x:v>69.97276730340593</x:v>
      </x:c>
      <x:c r="D332" s="24" t="n">
        <x:v>64.51529788172522</x:v>
      </x:c>
      <x:c r="E332" s="24" t="n">
        <x:v>50</x:v>
      </x:c>
      <x:c r="F332" s="24" t="n">
        <x:v>66.87920332602542</x:v>
      </x:c>
      <x:c r="G332" s="24"/>
      <x:c r="H332" s="24" t="n">
        <x:v>66.36997703215998</x:v>
      </x:c>
      <x:c r="I332" s="24" t="n">
        <x:v>68.9763863118931</x:v>
      </x:c>
      <x:c r="J332" s="24"/>
      <x:c r="K332" s="24"/>
    </x:row>
    <x:row r="333">
      <x:c r="A333" s="24" t="n">
        <x:v>33.1</x:v>
      </x:c>
      <x:c r="B333" s="24" t="n">
        <x:v>75.32820764215737</x:v>
      </x:c>
      <x:c r="C333" s="24" t="n">
        <x:v>69.49187479273215</x:v>
      </x:c>
      <x:c r="D333" s="24" t="n">
        <x:v>65.03664582897255</x:v>
      </x:c>
      <x:c r="E333" s="24" t="n">
        <x:v>50</x:v>
      </x:c>
      <x:c r="F333" s="24" t="n">
        <x:v>63.693530244825524</x:v>
      </x:c>
      <x:c r="G333" s="24"/>
      <x:c r="H333" s="24" t="n">
        <x:v>72.21577964415147</x:v>
      </x:c>
      <x:c r="I333" s="24" t="n">
        <x:v>67.42671727518045</x:v>
      </x:c>
      <x:c r="J333" s="24"/>
      <x:c r="K333" s="24"/>
    </x:row>
    <x:row r="334">
      <x:c r="A334" s="24" t="n">
        <x:v>33.2</x:v>
      </x:c>
      <x:c r="B334" s="24" t="n">
        <x:v>76.86870029069598</x:v>
      </x:c>
      <x:c r="C334" s="24" t="n">
        <x:v>80.53159352084822</x:v>
      </x:c>
      <x:c r="D334" s="24" t="n">
        <x:v>65.03664582897255</x:v>
      </x:c>
      <x:c r="E334" s="24" t="n">
        <x:v>64.00753580360043</x:v>
      </x:c>
      <x:c r="F334" s="24" t="n">
        <x:v>60.71796454388567</x:v>
      </x:c>
      <x:c r="G334" s="24"/>
      <x:c r="H334" s="24" t="n">
        <x:v>74.49457954413437</x:v>
      </x:c>
      <x:c r="I334" s="24" t="n">
        <x:v>68.01827258276106</x:v>
      </x:c>
      <x:c r="J334" s="24"/>
      <x:c r="K334" s="24"/>
    </x:row>
    <x:row r="335">
      <x:c r="A335" s="24" t="n">
        <x:v>33.300000000000004</x:v>
      </x:c>
      <x:c r="B335" s="24" t="n">
        <x:v>76.58429731512254</x:v>
      </x:c>
      <x:c r="C335" s="24" t="n">
        <x:v>81.4448890653205</x:v>
      </x:c>
      <x:c r="D335" s="24" t="n">
        <x:v>64.82110384270423</x:v>
      </x:c>
      <x:c r="E335" s="24" t="n">
        <x:v>64.3991015890835</x:v>
      </x:c>
      <x:c r="F335" s="24" t="n">
        <x:v>76.86311290999258</x:v>
      </x:c>
      <x:c r="G335" s="24"/>
      <x:c r="H335" s="24" t="n">
        <x:v>75.47641463187543</x:v>
      </x:c>
      <x:c r="I335" s="24" t="n">
        <x:v>71.55768343464834</x:v>
      </x:c>
      <x:c r="J335" s="24"/>
      <x:c r="K335" s="24"/>
    </x:row>
    <x:row r="336">
      <x:c r="A336" s="24" t="n">
        <x:v>33.4</x:v>
      </x:c>
      <x:c r="B336" s="24" t="n">
        <x:v>74.66791204946105</x:v>
      </x:c>
      <x:c r="C336" s="24" t="n">
        <x:v>81.4448890653205</x:v>
      </x:c>
      <x:c r="D336" s="24" t="n">
        <x:v>65.0911015642481</x:v>
      </x:c>
      <x:c r="E336" s="24" t="n">
        <x:v>60.77171075319068</x:v>
      </x:c>
      <x:c r="F336" s="24" t="n">
        <x:v>76.86311290999258</x:v>
      </x:c>
      <x:c r="G336" s="24"/>
      <x:c r="H336" s="24" t="n">
        <x:v>75.47641463187543</x:v>
      </x:c>
      <x:c r="I336" s="24" t="n">
        <x:v>71.55768343464834</x:v>
      </x:c>
      <x:c r="J336" s="24"/>
      <x:c r="K336" s="24"/>
    </x:row>
    <x:row r="337">
      <x:c r="A337" s="24" t="n">
        <x:v>33.5</x:v>
      </x:c>
      <x:c r="B337" s="24" t="n">
        <x:v>66.8591982732897</x:v>
      </x:c>
      <x:c r="C337" s="24" t="n">
        <x:v>68.78754976993704</x:v>
      </x:c>
      <x:c r="D337" s="24" t="n">
        <x:v>64.98734458203435</x:v>
      </x:c>
      <x:c r="E337" s="24" t="n">
        <x:v>76.43169819934425</x:v>
      </x:c>
      <x:c r="F337" s="24" t="n">
        <x:v>72.63777387407534</x:v>
      </x:c>
      <x:c r="G337" s="24"/>
      <x:c r="H337" s="24" t="n">
        <x:v>75.21929298223841</x:v>
      </x:c>
      <x:c r="I337" s="24" t="n">
        <x:v>90.36817215673341</x:v>
      </x:c>
      <x:c r="J337" s="24"/>
      <x:c r="K337" s="24"/>
    </x:row>
    <x:row r="338">
      <x:c r="A338" s="24" t="n">
        <x:v>33.6</x:v>
      </x:c>
      <x:c r="B338" s="24" t="n">
        <x:v>58.791062016387336</x:v>
      </x:c>
      <x:c r="C338" s="24" t="n">
        <x:v>62.82085072248392</x:v>
      </x:c>
      <x:c r="D338" s="24" t="n">
        <x:v>64.92879718877947</x:v>
      </x:c>
      <x:c r="E338" s="24" t="n">
        <x:v>76.43169819934425</x:v>
      </x:c>
      <x:c r="F338" s="24" t="n">
        <x:v>66.75048137416421</x:v>
      </x:c>
      <x:c r="G338" s="24"/>
      <x:c r="H338" s="24" t="n">
        <x:v>76.42935966859821</x:v>
      </x:c>
      <x:c r="I338" s="24" t="n">
        <x:v>90.36817215673341</x:v>
      </x:c>
      <x:c r="J338" s="24"/>
      <x:c r="K338" s="24"/>
    </x:row>
    <x:row r="339">
      <x:c r="A339" s="24" t="n">
        <x:v>33.7</x:v>
      </x:c>
      <x:c r="B339" s="24" t="n">
        <x:v>64.03169361363936</x:v>
      </x:c>
      <x:c r="C339" s="24" t="n">
        <x:v>54.18238381860818</x:v>
      </x:c>
      <x:c r="D339" s="24" t="n">
        <x:v>63.988905760333175</x:v>
      </x:c>
      <x:c r="E339" s="24" t="n">
        <x:v>72.04966223725415</x:v>
      </x:c>
      <x:c r="F339" s="24" t="n">
        <x:v>65.7522397807546</x:v>
      </x:c>
      <x:c r="G339" s="24"/>
      <x:c r="H339" s="24" t="n">
        <x:v>76.42935966859821</x:v>
      </x:c>
      <x:c r="I339" s="24" t="n">
        <x:v>86.53291211049128</x:v>
      </x:c>
      <x:c r="J339" s="24"/>
      <x:c r="K339" s="24"/>
    </x:row>
    <x:row r="340">
      <x:c r="A340" s="24" t="n">
        <x:v>33.800000000000004</x:v>
      </x:c>
      <x:c r="B340" s="24" t="n">
        <x:v>64.03169361363936</x:v>
      </x:c>
      <x:c r="C340" s="24" t="n">
        <x:v>54.18238381860685</x:v>
      </x:c>
      <x:c r="D340" s="24" t="n">
        <x:v>62.247896902856645</x:v>
      </x:c>
      <x:c r="E340" s="24" t="n">
        <x:v>66.01238338916005</x:v>
      </x:c>
      <x:c r="F340" s="24" t="n">
        <x:v>64.75399818734502</x:v>
      </x:c>
      <x:c r="G340" s="24"/>
      <x:c r="H340" s="24" t="n">
        <x:v>76.39700870710232</x:v>
      </x:c>
      <x:c r="I340" s="24" t="n">
        <x:v>79.77354199132303</x:v>
      </x:c>
      <x:c r="J340" s="24"/>
      <x:c r="K340" s="24"/>
    </x:row>
    <x:row r="341">
      <x:c r="A341" s="24" t="n">
        <x:v>33.9</x:v>
      </x:c>
      <x:c r="B341" s="24" t="n">
        <x:v>59.89477897158126</x:v>
      </x:c>
      <x:c r="C341" s="24" t="n">
        <x:v>50</x:v>
      </x:c>
      <x:c r="D341" s="24" t="n">
        <x:v>58.964915092577066</x:v>
      </x:c>
      <x:c r="E341" s="24" t="n">
        <x:v>66.13047978361193</x:v>
      </x:c>
      <x:c r="F341" s="24" t="n">
        <x:v>63.755756593935494</x:v>
      </x:c>
      <x:c r="G341" s="24"/>
      <x:c r="H341" s="24" t="n">
        <x:v>75.60899958922559</x:v>
      </x:c>
      <x:c r="I341" s="24" t="n">
        <x:v>76.62223242213632</x:v>
      </x:c>
      <x:c r="J341" s="24"/>
      <x:c r="K341" s="24"/>
    </x:row>
    <x:row r="342">
      <x:c r="A342" s="24" t="n">
        <x:v>34</x:v>
      </x:c>
      <x:c r="B342" s="24" t="n">
        <x:v>64.0779982490622</x:v>
      </x:c>
      <x:c r="C342" s="24" t="n">
        <x:v>60.654661002312025</x:v>
      </x:c>
      <x:c r="D342" s="24" t="n">
        <x:v>65.63490258566276</x:v>
      </x:c>
      <x:c r="E342" s="24" t="n">
        <x:v>69.34594830635113</x:v>
      </x:c>
      <x:c r="F342" s="24" t="n">
        <x:v>62.7575150005259</x:v>
      </x:c>
      <x:c r="G342" s="24"/>
      <x:c r="H342" s="24" t="n">
        <x:v>75.59642250726965</x:v>
      </x:c>
      <x:c r="I342" s="24" t="n">
        <x:v>75.70105526114331</x:v>
      </x:c>
      <x:c r="J342" s="24"/>
      <x:c r="K342" s="24"/>
    </x:row>
    <x:row r="343">
      <x:c r="A343" s="24" t="n">
        <x:v>34.1</x:v>
      </x:c>
      <x:c r="B343" s="24" t="n">
        <x:v>64.64133544605161</x:v>
      </x:c>
      <x:c r="C343" s="24" t="n">
        <x:v>60.654661002312025</x:v>
      </x:c>
      <x:c r="D343" s="24" t="n">
        <x:v>77.57470383653157</x:v>
      </x:c>
      <x:c r="E343" s="24" t="n">
        <x:v>69.59530383082063</x:v>
      </x:c>
      <x:c r="F343" s="24" t="n">
        <x:v>61.759273407116304</x:v>
      </x:c>
      <x:c r="G343" s="24"/>
      <x:c r="H343" s="24" t="n">
        <x:v>74.66434909342499</x:v>
      </x:c>
      <x:c r="I343" s="24" t="n">
        <x:v>72.77023185716703</x:v>
      </x:c>
      <x:c r="J343" s="24"/>
      <x:c r="K343" s="24"/>
    </x:row>
    <x:row r="344">
      <x:c r="A344" s="24" t="n">
        <x:v>34.2</x:v>
      </x:c>
      <x:c r="B344" s="24" t="n">
        <x:v>64.64133544605161</x:v>
      </x:c>
      <x:c r="C344" s="24" t="n">
        <x:v>52.040189638406986</x:v>
      </x:c>
      <x:c r="D344" s="24" t="n">
        <x:v>77.57470383653157</x:v>
      </x:c>
      <x:c r="E344" s="24" t="n">
        <x:v>69.69710334225206</x:v>
      </x:c>
      <x:c r="F344" s="24" t="n">
        <x:v>63.41348412962256</x:v>
      </x:c>
      <x:c r="G344" s="24"/>
      <x:c r="H344" s="24" t="n">
        <x:v>83.54139997804924</x:v>
      </x:c>
      <x:c r="I344" s="24" t="n">
        <x:v>75.92544584007305</x:v>
      </x:c>
      <x:c r="J344" s="24"/>
      <x:c r="K344" s="24"/>
    </x:row>
    <x:row r="345">
      <x:c r="A345" s="24" t="n">
        <x:v>34.300000000000004</x:v>
      </x:c>
      <x:c r="B345" s="24" t="n">
        <x:v>64.62929625667635</x:v>
      </x:c>
      <x:c r="C345" s="24" t="n">
        <x:v>62.241137830440465</x:v>
      </x:c>
      <x:c r="D345" s="24" t="n">
        <x:v>73.29301301634302</x:v>
      </x:c>
      <x:c r="E345" s="24" t="n">
        <x:v>69.85888744783864</x:v>
      </x:c>
      <x:c r="F345" s="24" t="n">
        <x:v>69.08490795443177</x:v>
      </x:c>
      <x:c r="G345" s="24"/>
      <x:c r="H345" s="24" t="n">
        <x:v>84.244937234454</x:v>
      </x:c>
      <x:c r="I345" s="24" t="n">
        <x:v>78.39130496507774</x:v>
      </x:c>
      <x:c r="J345" s="24"/>
      <x:c r="K345" s="24"/>
    </x:row>
    <x:row r="346">
      <x:c r="A346" s="24" t="n">
        <x:v>34.4</x:v>
      </x:c>
      <x:c r="B346" s="24" t="n">
        <x:v>64.62929625667635</x:v>
      </x:c>
      <x:c r="C346" s="24" t="n">
        <x:v>72.44208602247322</x:v>
      </x:c>
      <x:c r="D346" s="24" t="n">
        <x:v>63.10785779256121</x:v>
      </x:c>
      <x:c r="E346" s="24" t="n">
        <x:v>69.93758235336941</x:v>
      </x:c>
      <x:c r="F346" s="24" t="n">
        <x:v>69.08490795443177</x:v>
      </x:c>
      <x:c r="G346" s="24"/>
      <x:c r="H346" s="24" t="n">
        <x:v>82.5200804399149</x:v>
      </x:c>
      <x:c r="I346" s="24" t="n">
        <x:v>78.39130496507774</x:v>
      </x:c>
      <x:c r="J346" s="24"/>
      <x:c r="K346" s="24"/>
    </x:row>
    <x:row r="347">
      <x:c r="A347" s="24" t="n">
        <x:v>34.5</x:v>
      </x:c>
      <x:c r="B347" s="24" t="n">
        <x:v>67.02718172149031</x:v>
      </x:c>
      <x:c r="C347" s="24" t="n">
        <x:v>76.52246529928647</x:v>
      </x:c>
      <x:c r="D347" s="24" t="n">
        <x:v>53.67418755906215</x:v>
      </x:c>
      <x:c r="E347" s="24" t="n">
        <x:v>69.93758235336941</x:v>
      </x:c>
      <x:c r="F347" s="24" t="n">
        <x:v>62.60505813976093</x:v>
      </x:c>
      <x:c r="G347" s="24"/>
      <x:c r="H347" s="24" t="n">
        <x:v>72.86056894522035</x:v>
      </x:c>
      <x:c r="I347" s="24" t="n">
        <x:v>66.95283957972279</x:v>
      </x:c>
      <x:c r="J347" s="24"/>
      <x:c r="K347" s="24"/>
    </x:row>
    <x:row r="348">
      <x:c r="A348" s="24" t="n">
        <x:v>34.6</x:v>
      </x:c>
      <x:c r="B348" s="24" t="n">
        <x:v>67.85172316202753</x:v>
      </x:c>
      <x:c r="C348" s="24" t="n">
        <x:v>76.52246529928647</x:v>
      </x:c>
      <x:c r="D348" s="24" t="n">
        <x:v>51.37782033464822</x:v>
      </x:c>
      <x:c r="E348" s="24" t="n">
        <x:v>70.2101472213088</x:v>
      </x:c>
      <x:c r="F348" s="24" t="n">
        <x:v>59.165662557594786</x:v>
      </x:c>
      <x:c r="G348" s="24"/>
      <x:c r="H348" s="24" t="n">
        <x:v>67.32226379614873</x:v>
      </x:c>
      <x:c r="I348" s="24" t="n">
        <x:v>64.3249506732665</x:v>
      </x:c>
      <x:c r="J348" s="24"/>
      <x:c r="K348" s="24"/>
    </x:row>
    <x:row r="349">
      <x:c r="A349" s="24" t="n">
        <x:v>34.7</x:v>
      </x:c>
      <x:c r="B349" s="24" t="n">
        <x:v>67.85172316202753</x:v>
      </x:c>
      <x:c r="C349" s="24" t="n">
        <x:v>69.71106540551699</x:v>
      </x:c>
      <x:c r="D349" s="24" t="n">
        <x:v>50</x:v>
      </x:c>
      <x:c r="E349" s="24" t="n">
        <x:v>70.2101472213088</x:v>
      </x:c>
      <x:c r="F349" s="24" t="n">
        <x:v>63.55527228287782</x:v>
      </x:c>
      <x:c r="G349" s="24"/>
      <x:c r="H349" s="24" t="n">
        <x:v>50</x:v>
      </x:c>
      <x:c r="I349" s="24" t="n">
        <x:v>72.3259986391132</x:v>
      </x:c>
      <x:c r="J349" s="24"/>
      <x:c r="K349" s="24"/>
    </x:row>
    <x:row r="350">
      <x:c r="A350" s="24" t="n">
        <x:v>34.800000000000004</x:v>
      </x:c>
      <x:c r="B350" s="24" t="n">
        <x:v>65.86513817615176</x:v>
      </x:c>
      <x:c r="C350" s="24" t="n">
        <x:v>64.28878302447403</x:v>
      </x:c>
      <x:c r="D350" s="24" t="n">
        <x:v>54.0091901333669</x:v>
      </x:c>
      <x:c r="E350" s="24" t="n">
        <x:v>70.52604529676611</x:v>
      </x:c>
      <x:c r="F350" s="24" t="n">
        <x:v>63.99732966547817</x:v>
      </x:c>
      <x:c r="G350" s="24"/>
      <x:c r="H350" s="24" t="n">
        <x:v>50.00000000000206</x:v>
      </x:c>
      <x:c r="I350" s="24" t="n">
        <x:v>72.3259986391132</x:v>
      </x:c>
      <x:c r="J350" s="24"/>
      <x:c r="K350" s="24"/>
    </x:row>
    <x:row r="351">
      <x:c r="A351" s="24" t="n">
        <x:v>34.9</x:v>
      </x:c>
      <x:c r="B351" s="24" t="n">
        <x:v>65.86513817615176</x:v>
      </x:c>
      <x:c r="C351" s="24" t="n">
        <x:v>65.97697238887962</x:v>
      </x:c>
      <x:c r="D351" s="24" t="n">
        <x:v>59.0206778000749</x:v>
      </x:c>
      <x:c r="E351" s="24" t="n">
        <x:v>82.01709131734822</x:v>
      </x:c>
      <x:c r="F351" s="24" t="n">
        <x:v>64.60569111906386</x:v>
      </x:c>
      <x:c r="G351" s="24"/>
      <x:c r="H351" s="24" t="n">
        <x:v>68.78779012954095</x:v>
      </x:c>
      <x:c r="I351" s="24" t="n">
        <x:v>70.46838122708104</x:v>
      </x:c>
      <x:c r="J351" s="24"/>
      <x:c r="K351" s="24"/>
    </x:row>
    <x:row r="352">
      <x:c r="A352" s="24" t="n">
        <x:v>35</x:v>
      </x:c>
      <x:c r="B352" s="24" t="n">
        <x:v>63.57564229490248</x:v>
      </x:c>
      <x:c r="C352" s="24" t="n">
        <x:v>68.46080143314586</x:v>
      </x:c>
      <x:c r="D352" s="24" t="n">
        <x:v>62.02757040009998</x:v>
      </x:c>
      <x:c r="E352" s="24" t="n">
        <x:v>82.24741885462429</x:v>
      </x:c>
      <x:c r="F352" s="24" t="n">
        <x:v>66.19273912084537</x:v>
      </x:c>
      <x:c r="G352" s="24"/>
      <x:c r="H352" s="24" t="n">
        <x:v>68.78779012954095</x:v>
      </x:c>
      <x:c r="I352" s="24" t="n">
        <x:v>69.63129092619425</x:v>
      </x:c>
      <x:c r="J352" s="24"/>
      <x:c r="K352" s="24"/>
    </x:row>
    <x:row r="353">
      <x:c r="A353" s="24" t="n">
        <x:v>35.1</x:v>
      </x:c>
      <x:c r="B353" s="24" t="n">
        <x:v>78.79738217375936</x:v>
      </x:c>
      <x:c r="C353" s="24" t="n">
        <x:v>68.46080143314586</x:v>
      </x:c>
      <x:c r="D353" s="24" t="n">
        <x:v>62.02757040009998</x:v>
      </x:c>
      <x:c r="E353" s="24" t="n">
        <x:v>79.89140763134266</x:v>
      </x:c>
      <x:c r="F353" s="24" t="n">
        <x:v>66.19273912084537</x:v>
      </x:c>
      <x:c r="G353" s="24"/>
      <x:c r="H353" s="24" t="n">
        <x:v>76.7607616146843</x:v>
      </x:c>
      <x:c r="I353" s="24" t="n">
        <x:v>70.97843669045776</x:v>
      </x:c>
      <x:c r="J353" s="24"/>
      <x:c r="K353" s="24"/>
    </x:row>
    <x:row r="354">
      <x:c r="A354" s="24" t="n">
        <x:v>35.2</x:v>
      </x:c>
      <x:c r="B354" s="24" t="n">
        <x:v>86.19861712220775</x:v>
      </x:c>
      <x:c r="C354" s="24" t="n">
        <x:v>69.28745367632563</x:v>
      </x:c>
      <x:c r="D354" s="24" t="n">
        <x:v>73.24454184457531</x:v>
      </x:c>
      <x:c r="E354" s="24" t="n">
        <x:v>70.07269318841531</x:v>
      </x:c>
      <x:c r="F354" s="24" t="n">
        <x:v>66.02508584976357</x:v>
      </x:c>
      <x:c r="G354" s="24"/>
      <x:c r="H354" s="24" t="n">
        <x:v>76.7607616146843</x:v>
      </x:c>
      <x:c r="I354" s="24" t="n">
        <x:v>73.0045284732779</x:v>
      </x:c>
      <x:c r="J354" s="24"/>
      <x:c r="K354" s="24"/>
    </x:row>
    <x:row r="355">
      <x:c r="A355" s="24" t="n">
        <x:v>35.300000000000004</x:v>
      </x:c>
      <x:c r="B355" s="24" t="n">
        <x:v>86.19861712220775</x:v>
      </x:c>
      <x:c r="C355" s="24" t="n">
        <x:v>69.53992803942747</x:v>
      </x:c>
      <x:c r="D355" s="24" t="n">
        <x:v>73.24454184457531</x:v>
      </x:c>
      <x:c r="E355" s="24" t="n">
        <x:v>61.47497464362095</x:v>
      </x:c>
      <x:c r="F355" s="24" t="n">
        <x:v>66.14933513659722</x:v>
      </x:c>
      <x:c r="G355" s="24"/>
      <x:c r="H355" s="24" t="n">
        <x:v>70.37919066318645</x:v>
      </x:c>
      <x:c r="I355" s="24" t="n">
        <x:v>73.75099562146738</x:v>
      </x:c>
      <x:c r="J355" s="24"/>
      <x:c r="K355" s="24"/>
    </x:row>
    <x:row r="356">
      <x:c r="A356" s="24" t="n">
        <x:v>35.4</x:v>
      </x:c>
      <x:c r="B356" s="24" t="n">
        <x:v>77.29954015262604</x:v>
      </x:c>
      <x:c r="C356" s="24" t="n">
        <x:v>70.22435623769613</x:v>
      </x:c>
      <x:c r="D356" s="24" t="n">
        <x:v>70.47588704849014</x:v>
      </x:c>
      <x:c r="E356" s="24" t="n">
        <x:v>50</x:v>
      </x:c>
      <x:c r="F356" s="24" t="n">
        <x:v>66.14933513659722</x:v>
      </x:c>
      <x:c r="G356" s="24"/>
      <x:c r="H356" s="24" t="n">
        <x:v>63.90063347214106</x:v>
      </x:c>
      <x:c r="I356" s="24" t="n">
        <x:v>73.75099562146738</x:v>
      </x:c>
      <x:c r="J356" s="24"/>
      <x:c r="K356" s="24"/>
    </x:row>
    <x:row r="357">
      <x:c r="A357" s="24" t="n">
        <x:v>35.5</x:v>
      </x:c>
      <x:c r="B357" s="24" t="n">
        <x:v>71.8873595127819</x:v>
      </x:c>
      <x:c r="C357" s="24" t="n">
        <x:v>70.22435623769613</x:v>
      </x:c>
      <x:c r="D357" s="24" t="n">
        <x:v>66.84043181771466</x:v>
      </x:c>
      <x:c r="E357" s="24" t="n">
        <x:v>52.01711175170735</x:v>
      </x:c>
      <x:c r="F357" s="24" t="n">
        <x:v>67.35341217182389</x:v>
      </x:c>
      <x:c r="G357" s="24"/>
      <x:c r="H357" s="24" t="n">
        <x:v>71.24395967286046</x:v>
      </x:c>
      <x:c r="I357" s="24" t="n">
        <x:v>83.6518221757288</x:v>
      </x:c>
      <x:c r="J357" s="24"/>
      <x:c r="K357" s="24"/>
    </x:row>
    <x:row r="358">
      <x:c r="A358" s="24" t="n">
        <x:v>35.6</x:v>
      </x:c>
      <x:c r="B358" s="24" t="n">
        <x:v>63.222932345623875</x:v>
      </x:c>
      <x:c r="C358" s="24" t="n">
        <x:v>69.51699183166531</x:v>
      </x:c>
      <x:c r="D358" s="24" t="n">
        <x:v>62.80197415434701</x:v>
      </x:c>
      <x:c r="E358" s="24" t="n">
        <x:v>65.34454233006917</x:v>
      </x:c>
      <x:c r="F358" s="24" t="n">
        <x:v>86.03335141408868</x:v>
      </x:c>
      <x:c r="G358" s="24"/>
      <x:c r="H358" s="24" t="n">
        <x:v>75.57309272746033</x:v>
      </x:c>
      <x:c r="I358" s="24" t="n">
        <x:v>84.89681113965516</x:v>
      </x:c>
      <x:c r="J358" s="24"/>
      <x:c r="K358" s="24"/>
    </x:row>
    <x:row r="359">
      <x:c r="A359" s="24" t="n">
        <x:v>35.7</x:v>
      </x:c>
      <x:c r="B359" s="24" t="n">
        <x:v>63.222932345623875</x:v>
      </x:c>
      <x:c r="C359" s="24" t="n">
        <x:v>69.88395337422205</x:v>
      </x:c>
      <x:c r="D359" s="24" t="n">
        <x:v>64.17040832085428</x:v>
      </x:c>
      <x:c r="E359" s="24" t="n">
        <x:v>66.81165294873477</x:v>
      </x:c>
      <x:c r="F359" s="24" t="n">
        <x:v>86.7450389570626</x:v>
      </x:c>
      <x:c r="G359" s="24"/>
      <x:c r="H359" s="24" t="n">
        <x:v>75.57309272746033</x:v>
      </x:c>
      <x:c r="I359" s="24" t="n">
        <x:v>83.99764267911482</x:v>
      </x:c>
      <x:c r="J359" s="24"/>
      <x:c r="K359" s="24"/>
    </x:row>
    <x:row r="360">
      <x:c r="A360" s="24" t="n">
        <x:v>35.800000000000004</x:v>
      </x:c>
      <x:c r="B360" s="24" t="n">
        <x:v>60.72119920625879</x:v>
      </x:c>
      <x:c r="C360" s="24" t="n">
        <x:v>69.88395337422205</x:v>
      </x:c>
      <x:c r="D360" s="24" t="n">
        <x:v>64.44840509996217</x:v>
      </x:c>
      <x:c r="E360" s="24" t="n">
        <x:v>64.73090089862917</x:v>
      </x:c>
      <x:c r="F360" s="24" t="n">
        <x:v>86.74503895706168</x:v>
      </x:c>
      <x:c r="G360" s="24"/>
      <x:c r="H360" s="24" t="n">
        <x:v>75.36710307614598</x:v>
      </x:c>
      <x:c r="I360" s="24" t="n">
        <x:v>74.78948721229035</x:v>
      </x:c>
      <x:c r="J360" s="24"/>
      <x:c r="K360" s="24"/>
    </x:row>
    <x:row r="361">
      <x:c r="A361" s="24" t="n">
        <x:v>35.9</x:v>
      </x:c>
      <x:c r="B361" s="24" t="n">
        <x:v>61.894821516811085</x:v>
      </x:c>
      <x:c r="C361" s="24" t="n">
        <x:v>70.07735457224186</x:v>
      </x:c>
      <x:c r="D361" s="24" t="n">
        <x:v>64.75159046802669</x:v>
      </x:c>
      <x:c r="E361" s="24" t="n">
        <x:v>74.23132354614478</x:v>
      </x:c>
      <x:c r="F361" s="24" t="n">
        <x:v>73.81179329144202</x:v>
      </x:c>
      <x:c r="G361" s="24"/>
      <x:c r="H361" s="24" t="n">
        <x:v>75.54475037592198</x:v>
      </x:c>
      <x:c r="I361" s="24" t="n">
        <x:v>65.50521829133422</x:v>
      </x:c>
      <x:c r="J361" s="24"/>
      <x:c r="K361" s="24"/>
    </x:row>
    <x:row r="362">
      <x:c r="A362" s="24" t="n">
        <x:v>36</x:v>
      </x:c>
      <x:c r="B362" s="24" t="n">
        <x:v>63.06844382736347</x:v>
      </x:c>
      <x:c r="C362" s="24" t="n">
        <x:v>70.07735457224186</x:v>
      </x:c>
      <x:c r="D362" s="24" t="n">
        <x:v>63.77953205060002</x:v>
      </x:c>
      <x:c r="E362" s="24" t="n">
        <x:v>75.09001664435328</x:v>
      </x:c>
      <x:c r="F362" s="24" t="n">
        <x:v>71.58111075190033</x:v>
      </x:c>
      <x:c r="G362" s="24"/>
      <x:c r="H362" s="24" t="n">
        <x:v>76.17954612423381</x:v>
      </x:c>
      <x:c r="I362" s="24" t="n">
        <x:v>50</x:v>
      </x:c>
      <x:c r="J362" s="24"/>
      <x:c r="K362" s="24"/>
    </x:row>
    <x:row r="363">
      <x:c r="A363" s="24" t="n">
        <x:v>36.1</x:v>
      </x:c>
      <x:c r="B363" s="24" t="n">
        <x:v>64.24206613791586</x:v>
      </x:c>
      <x:c r="C363" s="24" t="n">
        <x:v>69.05511259880582</x:v>
      </x:c>
      <x:c r="D363" s="24" t="n">
        <x:v>64.3240497667952</x:v>
      </x:c>
      <x:c r="E363" s="24" t="n">
        <x:v>74.80092017649368</x:v>
      </x:c>
      <x:c r="F363" s="24" t="n">
        <x:v>70.98420009987828</x:v>
      </x:c>
      <x:c r="G363" s="24"/>
      <x:c r="H363" s="24" t="n">
        <x:v>76.17954612423381</x:v>
      </x:c>
      <x:c r="I363" s="24" t="n">
        <x:v>67.27755450939719</x:v>
      </x:c>
      <x:c r="J363" s="24"/>
      <x:c r="K363" s="24"/>
    </x:row>
    <x:row r="364">
      <x:c r="A364" s="24" t="n">
        <x:v>36.2</x:v>
      </x:c>
      <x:c r="B364" s="24" t="n">
        <x:v>62.1403934753351</x:v>
      </x:c>
      <x:c r="C364" s="24" t="n">
        <x:v>74.72224556368025</x:v>
      </x:c>
      <x:c r="D364" s="24" t="n">
        <x:v>64.68586790918773</x:v>
      </x:c>
      <x:c r="E364" s="24" t="n">
        <x:v>63.057846370959666</x:v>
      </x:c>
      <x:c r="F364" s="24" t="n">
        <x:v>66.58941008264182</x:v>
      </x:c>
      <x:c r="G364" s="24"/>
      <x:c r="H364" s="24" t="n">
        <x:v>76.06981553279765</x:v>
      </x:c>
      <x:c r="I364" s="24" t="n">
        <x:v>67.27755450939719</x:v>
      </x:c>
      <x:c r="J364" s="24"/>
      <x:c r="K364" s="24"/>
    </x:row>
    <x:row r="365">
      <x:c r="A365" s="24" t="n">
        <x:v>36.300000000000004</x:v>
      </x:c>
      <x:c r="B365" s="24" t="n">
        <x:v>52.58354806394185</x:v>
      </x:c>
      <x:c r="C365" s="24" t="n">
        <x:v>74.72224556368025</x:v>
      </x:c>
      <x:c r="D365" s="24" t="n">
        <x:v>64.93084418953785</x:v>
      </x:c>
      <x:c r="E365" s="24" t="n">
        <x:v>65.21129759404312</x:v>
      </x:c>
      <x:c r="F365" s="24" t="n">
        <x:v>65.04813915617311</x:v>
      </x:c>
      <x:c r="G365" s="24"/>
      <x:c r="H365" s="24" t="n">
        <x:v>76.06981553279765</x:v>
      </x:c>
      <x:c r="I365" s="24" t="n">
        <x:v>62.48156817942855</x:v>
      </x:c>
      <x:c r="J365" s="24"/>
      <x:c r="K365" s="24"/>
    </x:row>
    <x:row r="366">
      <x:c r="A366" s="24" t="n">
        <x:v>36.4</x:v>
      </x:c>
      <x:c r="B366" s="24" t="n">
        <x:v>59.74869658953316</x:v>
      </x:c>
      <x:c r="C366" s="24" t="n">
        <x:v>66.70514452530298</x:v>
      </x:c>
      <x:c r="D366" s="24" t="n">
        <x:v>64.70570818853119</x:v>
      </x:c>
      <x:c r="E366" s="24" t="n">
        <x:v>67.2561410593408</x:v>
      </x:c>
      <x:c r="F366" s="24" t="n">
        <x:v>65.04813915617311</x:v>
      </x:c>
      <x:c r="G366" s="24"/>
      <x:c r="H366" s="24" t="n">
        <x:v>74.58406304220308</x:v>
      </x:c>
      <x:c r="I366" s="24" t="n">
        <x:v>75.34935845951073</x:v>
      </x:c>
      <x:c r="J366" s="24"/>
      <x:c r="K366" s="24"/>
    </x:row>
    <x:row r="367">
      <x:c r="A367" s="24" t="n">
        <x:v>36.5</x:v>
      </x:c>
      <x:c r="B367" s="24" t="n">
        <x:v>66.91384511512499</x:v>
      </x:c>
      <x:c r="C367" s="24" t="n">
        <x:v>61.48361010569854</x:v>
      </x:c>
      <x:c r="D367" s="24" t="n">
        <x:v>65.07414346967865</x:v>
      </x:c>
      <x:c r="E367" s="24" t="n">
        <x:v>67.2561410593408</x:v>
      </x:c>
      <x:c r="F367" s="24" t="n">
        <x:v>60.10813438664252</x:v>
      </x:c>
      <x:c r="G367" s="24"/>
      <x:c r="H367" s="24" t="n">
        <x:v>73.69596114106348</x:v>
      </x:c>
      <x:c r="I367" s="24" t="n">
        <x:v>75.34935845951073</x:v>
      </x:c>
      <x:c r="J367" s="24"/>
      <x:c r="K367" s="24"/>
    </x:row>
    <x:row r="368">
      <x:c r="A368" s="24" t="n">
        <x:v>36.6</x:v>
      </x:c>
      <x:c r="B368" s="24" t="n">
        <x:v>74.0789936407168</x:v>
      </x:c>
      <x:c r="C368" s="24" t="n">
        <x:v>63.37430252548481</x:v>
      </x:c>
      <x:c r="D368" s="24" t="n">
        <x:v>65.48434230922275</x:v>
      </x:c>
      <x:c r="E368" s="24" t="n">
        <x:v>68.96092776222456</x:v>
      </x:c>
      <x:c r="F368" s="24" t="n">
        <x:v>50</x:v>
      </x:c>
      <x:c r="G368" s="24"/>
      <x:c r="H368" s="24" t="n">
        <x:v>69.70607009577837</x:v>
      </x:c>
      <x:c r="I368" s="24" t="n">
        <x:v>69.47515418443385</x:v>
      </x:c>
      <x:c r="J368" s="24"/>
      <x:c r="K368" s="24"/>
    </x:row>
    <x:row r="369">
      <x:c r="A369" s="24" t="n">
        <x:v>36.7</x:v>
      </x:c>
      <x:c r="B369" s="24" t="n">
        <x:v>75.51202334583486</x:v>
      </x:c>
      <x:c r="C369" s="24" t="n">
        <x:v>63.37430252548481</x:v>
      </x:c>
      <x:c r="D369" s="24" t="n">
        <x:v>66.25444733417741</x:v>
      </x:c>
      <x:c r="E369" s="24" t="n">
        <x:v>69.1966400258495</x:v>
      </x:c>
      <x:c r="F369" s="24" t="n">
        <x:v>69.44486087085147</x:v>
      </x:c>
      <x:c r="G369" s="24"/>
      <x:c r="H369" s="24" t="n">
        <x:v>77.1322254449236</x:v>
      </x:c>
      <x:c r="I369" s="24" t="n">
        <x:v>66.3763967150852</x:v>
      </x:c>
      <x:c r="J369" s="24"/>
      <x:c r="K369" s="24"/>
    </x:row>
    <x:row r="370">
      <x:c r="A370" s="24" t="n">
        <x:v>36.800000000000004</x:v>
      </x:c>
      <x:c r="B370" s="24" t="n">
        <x:v>75.01789194480943</x:v>
      </x:c>
      <x:c r="C370" s="24" t="n">
        <x:v>50</x:v>
      </x:c>
      <x:c r="D370" s="24" t="n">
        <x:v>66.25444733417741</x:v>
      </x:c>
      <x:c r="E370" s="24" t="n">
        <x:v>70.1579206105098</x:v>
      </x:c>
      <x:c r="F370" s="24" t="n">
        <x:v>69.44486087085147</x:v>
      </x:c>
      <x:c r="G370" s="24"/>
      <x:c r="H370" s="24" t="n">
        <x:v>81.51214433985344</x:v>
      </x:c>
      <x:c r="I370" s="24" t="n">
        <x:v>71.7772109134674</x:v>
      </x:c>
      <x:c r="J370" s="24"/>
      <x:c r="K370" s="24"/>
    </x:row>
    <x:row r="371">
      <x:c r="A371" s="24" t="n">
        <x:v>36.9</x:v>
      </x:c>
      <x:c r="B371" s="24" t="n">
        <x:v>70.73013178728038</x:v>
      </x:c>
      <x:c r="C371" s="24" t="n">
        <x:v>53.64388579162064</x:v>
      </x:c>
      <x:c r="D371" s="24" t="n">
        <x:v>64.31398669296662</x:v>
      </x:c>
      <x:c r="E371" s="24" t="n">
        <x:v>70.1579206105098</x:v>
      </x:c>
      <x:c r="F371" s="24" t="n">
        <x:v>64.49057073788441</x:v>
      </x:c>
      <x:c r="G371" s="24"/>
      <x:c r="H371" s="24" t="n">
        <x:v>81.51214433985344</x:v>
      </x:c>
      <x:c r="I371" s="24" t="n">
        <x:v>71.79207042639204</x:v>
      </x:c>
      <x:c r="J371" s="24"/>
      <x:c r="K371" s="24"/>
    </x:row>
    <x:row r="372">
      <x:c r="A372" s="24" t="n">
        <x:v>37</x:v>
      </x:c>
      <x:c r="B372" s="24" t="n">
        <x:v>64.98048626232561</x:v>
      </x:c>
      <x:c r="C372" s="24" t="n">
        <x:v>62.753600270672564</x:v>
      </x:c>
      <x:c r="D372" s="24" t="n">
        <x:v>60.77156207424815</x:v>
      </x:c>
      <x:c r="E372" s="24" t="n">
        <x:v>70.0834645746933</x:v>
      </x:c>
      <x:c r="F372" s="24" t="n">
        <x:v>50</x:v>
      </x:c>
      <x:c r="G372" s="24"/>
      <x:c r="H372" s="24" t="n">
        <x:v>71.39039561713604</x:v>
      </x:c>
      <x:c r="I372" s="24" t="n">
        <x:v>71.79207042639204</x:v>
      </x:c>
      <x:c r="J372" s="24"/>
      <x:c r="K372" s="24"/>
    </x:row>
    <x:row r="373">
      <x:c r="A373" s="24" t="n">
        <x:v>37.1</x:v>
      </x:c>
      <x:c r="B373" s="24" t="n">
        <x:v>65.25517500868473</x:v>
      </x:c>
      <x:c r="C373" s="24" t="n">
        <x:v>62.753600270672564</x:v>
      </x:c>
      <x:c r="D373" s="24" t="n">
        <x:v>77.00967055459492</x:v>
      </x:c>
      <x:c r="E373" s="24" t="n">
        <x:v>69.89117040798256</x:v>
      </x:c>
      <x:c r="F373" s="24" t="n">
        <x:v>50</x:v>
      </x:c>
      <x:c r="G373" s="24"/>
      <x:c r="H373" s="24" t="n">
        <x:v>62.24509428617573</x:v>
      </x:c>
      <x:c r="I373" s="24" t="n">
        <x:v>71.4341817037375</x:v>
      </x:c>
      <x:c r="J373" s="24"/>
      <x:c r="K373" s="24"/>
    </x:row>
    <x:row r="374">
      <x:c r="A374" s="24" t="n">
        <x:v>37.2</x:v>
      </x:c>
      <x:c r="B374" s="24" t="n">
        <x:v>66.6773708627874</x:v>
      </x:c>
      <x:c r="C374" s="24" t="n">
        <x:v>60.66730041404724</x:v>
      </x:c>
      <x:c r="D374" s="24" t="n">
        <x:v>78.3348773283717</x:v>
      </x:c>
      <x:c r="E374" s="24" t="n">
        <x:v>70.47309981692811</x:v>
      </x:c>
      <x:c r="F374" s="24" t="n">
        <x:v>64.5626109243734</x:v>
      </x:c>
      <x:c r="G374" s="24"/>
      <x:c r="H374" s="24" t="n">
        <x:v>64.4650637036507</x:v>
      </x:c>
      <x:c r="I374" s="24" t="n">
        <x:v>71.92049214542196</x:v>
      </x:c>
      <x:c r="J374" s="24"/>
      <x:c r="K374" s="24"/>
    </x:row>
    <x:row r="375">
      <x:c r="A375" s="24" t="n">
        <x:v>37.300000000000004</x:v>
      </x:c>
      <x:c r="B375" s="24" t="n">
        <x:v>67.4327319875074</x:v>
      </x:c>
      <x:c r="C375" s="24" t="n">
        <x:v>50</x:v>
      </x:c>
      <x:c r="D375" s="24" t="n">
        <x:v>78.33487732837078</x:v>
      </x:c>
      <x:c r="E375" s="24" t="n">
        <x:v>70.47309981692811</x:v>
      </x:c>
      <x:c r="F375" s="24" t="n">
        <x:v>65.40790343165955</x:v>
      </x:c>
      <x:c r="G375" s="24"/>
      <x:c r="H375" s="24" t="n">
        <x:v>66.68503312112567</x:v>
      </x:c>
      <x:c r="I375" s="24" t="n">
        <x:v>72.7427766130028</x:v>
      </x:c>
      <x:c r="J375" s="24"/>
      <x:c r="K375" s="24"/>
    </x:row>
    <x:row r="376">
      <x:c r="A376" s="24" t="n">
        <x:v>37.4</x:v>
      </x:c>
      <x:c r="B376" s="24" t="n">
        <x:v>66.7943288695438</x:v>
      </x:c>
      <x:c r="C376" s="24" t="n">
        <x:v>74.58380350210146</x:v>
      </x:c>
      <x:c r="D376" s="24" t="n">
        <x:v>67.72245838746215</x:v>
      </x:c>
      <x:c r="E376" s="24" t="n">
        <x:v>71.3731923619468</x:v>
      </x:c>
      <x:c r="F376" s="24" t="n">
        <x:v>65.40790343165955</x:v>
      </x:c>
      <x:c r="G376" s="24"/>
      <x:c r="H376" s="24" t="n">
        <x:v>68.90500253860048</x:v>
      </x:c>
      <x:c r="I376" s="24" t="n">
        <x:v>73.64001090454597</x:v>
      </x:c>
      <x:c r="J376" s="24"/>
      <x:c r="K376" s="24"/>
    </x:row>
    <x:row r="377">
      <x:c r="A377" s="24" t="n">
        <x:v>37.5</x:v>
      </x:c>
      <x:c r="B377" s="24" t="n">
        <x:v>64.70057109427057</x:v>
      </x:c>
      <x:c r="C377" s="24" t="n">
        <x:v>75.86503768620844</x:v>
      </x:c>
      <x:c r="D377" s="24" t="n">
        <x:v>57.47837693991917</x:v>
      </x:c>
      <x:c r="E377" s="24" t="n">
        <x:v>77.00230869719658</x:v>
      </x:c>
      <x:c r="F377" s="24" t="n">
        <x:v>62.97528920492549</x:v>
      </x:c>
      <x:c r="G377" s="24"/>
      <x:c r="H377" s="24" t="n">
        <x:v>70.2369841890855</x:v>
      </x:c>
      <x:c r="I377" s="24" t="n">
        <x:v>73.64001090454597</x:v>
      </x:c>
      <x:c r="J377" s="24"/>
      <x:c r="K377" s="24"/>
    </x:row>
    <x:row r="378">
      <x:c r="A378" s="24" t="n">
        <x:v>37.6</x:v>
      </x:c>
      <x:c r="B378" s="24" t="n">
        <x:v>64.70057109427057</x:v>
      </x:c>
      <x:c r="C378" s="24" t="n">
        <x:v>75.44649196963653</x:v>
      </x:c>
      <x:c r="D378" s="24" t="n">
        <x:v>53.92799430486643</x:v>
      </x:c>
      <x:c r="E378" s="24" t="n">
        <x:v>77.00230869719658</x:v>
      </x:c>
      <x:c r="F378" s="24" t="n">
        <x:v>66.06847849502387</x:v>
      </x:c>
      <x:c r="G378" s="24"/>
      <x:c r="H378" s="24" t="n">
        <x:v>74.01799449726502</x:v>
      </x:c>
      <x:c r="I378" s="24" t="n">
        <x:v>79.93529792319666</x:v>
      </x:c>
      <x:c r="J378" s="24"/>
      <x:c r="K378" s="24"/>
    </x:row>
    <x:row r="379">
      <x:c r="A379" s="24" t="n">
        <x:v>37.7</x:v>
      </x:c>
      <x:c r="B379" s="24" t="n">
        <x:v>63.126289584642095</x:v>
      </x:c>
      <x:c r="C379" s="24" t="n">
        <x:v>70.23532102933828</x:v>
      </x:c>
      <x:c r="D379" s="24" t="n">
        <x:v>50</x:v>
      </x:c>
      <x:c r="E379" s="24" t="n">
        <x:v>69.15361616867068</x:v>
      </x:c>
      <x:c r="F379" s="24" t="n">
        <x:v>66.79928867368127</x:v>
      </x:c>
      <x:c r="G379" s="24"/>
      <x:c r="H379" s="24" t="n">
        <x:v>74.76941645250548</x:v>
      </x:c>
      <x:c r="I379" s="24" t="n">
        <x:v>84.15664204825364</x:v>
      </x:c>
      <x:c r="J379" s="24"/>
      <x:c r="K379" s="24"/>
    </x:row>
    <x:row r="380">
      <x:c r="A380" s="24" t="n">
        <x:v>37.800000000000004</x:v>
      </x:c>
      <x:c r="B380" s="24" t="n">
        <x:v>63.97524828359465</x:v>
      </x:c>
      <x:c r="C380" s="24" t="n">
        <x:v>63.13296653830883</x:v>
      </x:c>
      <x:c r="D380" s="24" t="n">
        <x:v>50</x:v>
      </x:c>
      <x:c r="E380" s="24" t="n">
        <x:v>57.665141926868564</x:v>
      </x:c>
      <x:c r="F380" s="24" t="n">
        <x:v>66.14165152932256</x:v>
      </x:c>
      <x:c r="G380" s="24"/>
      <x:c r="H380" s="24" t="n">
        <x:v>74.08143959510727</x:v>
      </x:c>
      <x:c r="I380" s="24" t="n">
        <x:v>84.15664204825364</x:v>
      </x:c>
      <x:c r="J380" s="24"/>
      <x:c r="K380" s="24"/>
    </x:row>
    <x:row r="381">
      <x:c r="A381" s="24" t="n">
        <x:v>37.9</x:v>
      </x:c>
      <x:c r="B381" s="24" t="n">
        <x:v>63.97524828359465</x:v>
      </x:c>
      <x:c r="C381" s="24" t="n">
        <x:v>65.94121776117225</x:v>
      </x:c>
      <x:c r="D381" s="24" t="n">
        <x:v>53.722198881456976</x:v>
      </x:c>
      <x:c r="E381" s="24" t="n">
        <x:v>64.19862389355939</x:v>
      </x:c>
      <x:c r="F381" s="24" t="n">
        <x:v>66.24148324593355</x:v>
      </x:c>
      <x:c r="G381" s="24"/>
      <x:c r="H381" s="24" t="n">
        <x:v>63.13886557374512</x:v>
      </x:c>
      <x:c r="I381" s="24" t="n">
        <x:v>77.0612636986366</x:v>
      </x:c>
      <x:c r="J381" s="24"/>
      <x:c r="K381" s="24"/>
    </x:row>
    <x:row r="382">
      <x:c r="A382" s="24" t="n">
        <x:v>38</x:v>
      </x:c>
      <x:c r="B382" s="24" t="n">
        <x:v>66.17488023126236</x:v>
      </x:c>
      <x:c r="C382" s="24" t="n">
        <x:v>68.12900600039907</x:v>
      </x:c>
      <x:c r="D382" s="24" t="n">
        <x:v>62.638756145522066</x:v>
      </x:c>
      <x:c r="E382" s="24" t="n">
        <x:v>64.19862389355939</x:v>
      </x:c>
      <x:c r="F382" s="24" t="n">
        <x:v>82.11541408542648</x:v>
      </x:c>
      <x:c r="G382" s="24"/>
      <x:c r="H382" s="24" t="n">
        <x:v>69.54404472325291</x:v>
      </x:c>
      <x:c r="I382" s="24" t="n">
        <x:v>67.74604547423633</x:v>
      </x:c>
      <x:c r="J382" s="24"/>
      <x:c r="K382" s="24"/>
    </x:row>
    <x:row r="383">
      <x:c r="A383" s="24" t="n">
        <x:v>38.1</x:v>
      </x:c>
      <x:c r="B383" s="24" t="n">
        <x:v>66.17488023126236</x:v>
      </x:c>
      <x:c r="C383" s="24" t="n">
        <x:v>69.10021098669316</x:v>
      </x:c>
      <x:c r="D383" s="24" t="n">
        <x:v>62.638756145522066</x:v>
      </x:c>
      <x:c r="E383" s="24" t="n">
        <x:v>64.33288976086993</x:v>
      </x:c>
      <x:c r="F383" s="24" t="n">
        <x:v>86.44706753100849</x:v>
      </x:c>
      <x:c r="G383" s="24"/>
      <x:c r="H383" s="24" t="n">
        <x:v>72.37165809686175</x:v>
      </x:c>
      <x:c r="I383" s="24" t="n">
        <x:v>50</x:v>
      </x:c>
      <x:c r="J383" s="24"/>
      <x:c r="K383" s="24"/>
    </x:row>
    <x:row r="384">
      <x:c r="A384" s="24" t="n">
        <x:v>38.2</x:v>
      </x:c>
      <x:c r="B384" s="24" t="n">
        <x:v>63.145857552725126</x:v>
      </x:c>
      <x:c r="C384" s="24" t="n">
        <x:v>69.10021098669316</x:v>
      </x:c>
      <x:c r="D384" s="24" t="n">
        <x:v>63.13739783499517</x:v>
      </x:c>
      <x:c r="E384" s="24" t="n">
        <x:v>64.50072209500813</x:v>
      </x:c>
      <x:c r="F384" s="24" t="n">
        <x:v>86.44706753100849</x:v>
      </x:c>
      <x:c r="G384" s="24"/>
      <x:c r="H384" s="24" t="n">
        <x:v>73.7627429014409</x:v>
      </x:c>
      <x:c r="I384" s="24" t="n">
        <x:v>58.75865816334238</x:v>
      </x:c>
      <x:c r="J384" s="24"/>
      <x:c r="K384" s="24"/>
    </x:row>
    <x:row r="385">
      <x:c r="A385" s="24" t="n">
        <x:v>38.300000000000004</x:v>
      </x:c>
      <x:c r="B385" s="24" t="n">
        <x:v>64.3739673952123</x:v>
      </x:c>
      <x:c r="C385" s="24" t="n">
        <x:v>68.71560947813968</x:v>
      </x:c>
      <x:c r="D385" s="24" t="n">
        <x:v>70.47223030271543</x:v>
      </x:c>
      <x:c r="E385" s="24" t="n">
        <x:v>64.50072209500874</x:v>
      </x:c>
      <x:c r="F385" s="24" t="n">
        <x:v>78.48087649396712</x:v>
      </x:c>
      <x:c r="G385" s="24"/>
      <x:c r="H385" s="24" t="n">
        <x:v>74.63519486137332</x:v>
      </x:c>
      <x:c r="I385" s="24" t="n">
        <x:v>67.51731632668373</x:v>
      </x:c>
      <x:c r="J385" s="24"/>
      <x:c r="K385" s="24"/>
    </x:row>
    <x:row r="386">
      <x:c r="A386" s="24" t="n">
        <x:v>38.400000000000006</x:v>
      </x:c>
      <x:c r="B386" s="24" t="n">
        <x:v>65.03037764846829</x:v>
      </x:c>
      <x:c r="C386" s="24" t="n">
        <x:v>68.71560947813967</x:v>
      </x:c>
      <x:c r="D386" s="24" t="n">
        <x:v>71.1591073910607</x:v>
      </x:c>
      <x:c r="E386" s="24" t="n">
        <x:v>73.15360433046833</x:v>
      </x:c>
      <x:c r="F386" s="24" t="n">
        <x:v>71.16378593586091</x:v>
      </x:c>
      <x:c r="G386" s="24"/>
      <x:c r="H386" s="24" t="n">
        <x:v>74.63519486137366</x:v>
      </x:c>
      <x:c r="I386" s="24" t="n">
        <x:v>67.51731632668182</x:v>
      </x:c>
      <x:c r="J386" s="24"/>
      <x:c r="K386" s="24"/>
    </x:row>
    <x:row r="387">
      <x:c r="A387" s="24" t="n">
        <x:v>38.5</x:v>
      </x:c>
      <x:c r="B387" s="24" t="n">
        <x:v>64.8539318421368</x:v>
      </x:c>
      <x:c r="C387" s="24" t="n">
        <x:v>68.65332922916605</x:v>
      </x:c>
      <x:c r="D387" s="24" t="n">
        <x:v>71.1591073910607</x:v>
      </x:c>
      <x:c r="E387" s="24" t="n">
        <x:v>76.61475722465143</x:v>
      </x:c>
      <x:c r="F387" s="24" t="n">
        <x:v>70.17804479411637</x:v>
      </x:c>
      <x:c r="G387" s="24"/>
      <x:c r="H387" s="24" t="n">
        <x:v>75.6132451299164</x:v>
      </x:c>
      <x:c r="I387" s="24" t="n">
        <x:v>78.28098807897098</x:v>
      </x:c>
      <x:c r="J387" s="24"/>
      <x:c r="K387" s="24"/>
    </x:row>
    <x:row r="388">
      <x:c r="A388" s="24" t="n">
        <x:v>38.6</x:v>
      </x:c>
      <x:c r="B388" s="24" t="n">
        <x:v>86.72705636967626</x:v>
      </x:c>
      <x:c r="C388" s="24" t="n">
        <x:v>68.89690363392558</x:v>
      </x:c>
      <x:c r="D388" s="24" t="n">
        <x:v>65.26073293360241</x:v>
      </x:c>
      <x:c r="E388" s="24" t="n">
        <x:v>76.61475722465143</x:v>
      </x:c>
      <x:c r="F388" s="24" t="n">
        <x:v>68.31786495194578</x:v>
      </x:c>
      <x:c r="G388" s="24"/>
      <x:c r="H388" s="24" t="n">
        <x:v>75.46987512927522</x:v>
      </x:c>
      <x:c r="I388" s="24" t="n">
        <x:v>78.28098807897098</x:v>
      </x:c>
      <x:c r="J388" s="24"/>
      <x:c r="K388" s="24"/>
    </x:row>
    <x:row r="389">
      <x:c r="A389" s="24" t="n">
        <x:v>38.7</x:v>
      </x:c>
      <x:c r="B389" s="24" t="n">
        <x:v>86.72705636967626</x:v>
      </x:c>
      <x:c r="C389" s="24" t="n">
        <x:v>90.99944227835972</x:v>
      </x:c>
      <x:c r="D389" s="24" t="n">
        <x:v>59.58806246365525</x:v>
      </x:c>
      <x:c r="E389" s="24" t="n">
        <x:v>71.15040893201073</x:v>
      </x:c>
      <x:c r="F389" s="24" t="n">
        <x:v>65.22256208780391</x:v>
      </x:c>
      <x:c r="G389" s="24"/>
      <x:c r="H389" s="24" t="n">
        <x:v>75.46987512927522</x:v>
      </x:c>
      <x:c r="I389" s="24" t="n">
        <x:v>76.86486219830832</x:v>
      </x:c>
      <x:c r="J389" s="24"/>
      <x:c r="K389" s="24"/>
    </x:row>
    <x:row r="390">
      <x:c r="A390" s="24" t="n">
        <x:v>38.800000000000004</x:v>
      </x:c>
      <x:c r="B390" s="24" t="n">
        <x:v>84.72515617837136</x:v>
      </x:c>
      <x:c r="C390" s="24" t="n">
        <x:v>90.99944227835972</x:v>
      </x:c>
      <x:c r="D390" s="24" t="n">
        <x:v>62.3969178741319</x:v>
      </x:c>
      <x:c r="E390" s="24" t="n">
        <x:v>63.03254439271953</x:v>
      </x:c>
      <x:c r="F390" s="24" t="n">
        <x:v>63.271309015761865</x:v>
      </x:c>
      <x:c r="G390" s="24"/>
      <x:c r="H390" s="24" t="n">
        <x:v>75.25031733723551</x:v>
      </x:c>
      <x:c r="I390" s="24" t="n">
        <x:v>50.000000000004</x:v>
      </x:c>
      <x:c r="J390" s="24"/>
      <x:c r="K390" s="24"/>
    </x:row>
    <x:row r="391">
      <x:c r="A391" s="24" t="n">
        <x:v>38.900000000000006</x:v>
      </x:c>
      <x:c r="B391" s="24" t="n">
        <x:v>74.40786598976261</x:v>
      </x:c>
      <x:c r="C391" s="24" t="n">
        <x:v>87.0688781134418</x:v>
      </x:c>
      <x:c r="D391" s="24" t="n">
        <x:v>63.80500097891673</x:v>
      </x:c>
      <x:c r="E391" s="24" t="n">
        <x:v>66.24856723505431</x:v>
      </x:c>
      <x:c r="F391" s="24" t="n">
        <x:v>62.46332928282219</x:v>
      </x:c>
      <x:c r="G391" s="24"/>
      <x:c r="H391" s="24" t="n">
        <x:v>74.48434571767032</x:v>
      </x:c>
      <x:c r="I391" s="24" t="n">
        <x:v>70.16671734584094</x:v>
      </x:c>
      <x:c r="J391" s="24"/>
      <x:c r="K391" s="24"/>
    </x:row>
    <x:row r="392">
      <x:c r="A392" s="24" t="n">
        <x:v>39</x:v>
      </x:c>
      <x:c r="B392" s="24" t="n">
        <x:v>64.38088399198807</x:v>
      </x:c>
      <x:c r="C392" s="24" t="n">
        <x:v>76.71851630368727</x:v>
      </x:c>
      <x:c r="D392" s="24" t="n">
        <x:v>63.974595244708794</x:v>
      </x:c>
      <x:c r="E392" s="24" t="n">
        <x:v>67.38348286914297</x:v>
      </x:c>
      <x:c r="F392" s="24" t="n">
        <x:v>62.92405858225502</x:v>
      </x:c>
      <x:c r="G392" s="24"/>
      <x:c r="H392" s="24" t="n">
        <x:v>73.49804557937927</x:v>
      </x:c>
      <x:c r="I392" s="24" t="n">
        <x:v>72.13082211832423</x:v>
      </x:c>
      <x:c r="J392" s="24"/>
      <x:c r="K392" s="24"/>
    </x:row>
    <x:row r="393">
      <x:c r="A393" s="24" t="n">
        <x:v>39.1</x:v>
      </x:c>
      <x:c r="B393" s="24" t="n">
        <x:v>63.19111768652664</x:v>
      </x:c>
      <x:c r="C393" s="24" t="n">
        <x:v>74.60972463637214</x:v>
      </x:c>
      <x:c r="D393" s="24" t="n">
        <x:v>63.989662979349966</x:v>
      </x:c>
      <x:c r="E393" s="24" t="n">
        <x:v>67.38348286914297</x:v>
      </x:c>
      <x:c r="F393" s="24" t="n">
        <x:v>67.38560411846095</x:v>
      </x:c>
      <x:c r="G393" s="24"/>
      <x:c r="H393" s="24" t="n">
        <x:v>72.19128348891785</x:v>
      </x:c>
      <x:c r="I393" s="24" t="n">
        <x:v>72.13082211832423</x:v>
      </x:c>
      <x:c r="J393" s="24"/>
      <x:c r="K393" s="24"/>
    </x:row>
    <x:row r="394">
      <x:c r="A394" s="24" t="n">
        <x:v>39.2</x:v>
      </x:c>
      <x:c r="B394" s="24" t="n">
        <x:v>53.09946742714736</x:v>
      </x:c>
      <x:c r="C394" s="24" t="n">
        <x:v>74.60972463637214</x:v>
      </x:c>
      <x:c r="D394" s="24" t="n">
        <x:v>63.989662979349966</x:v>
      </x:c>
      <x:c r="E394" s="24" t="n">
        <x:v>67.73638742510767</x:v>
      </x:c>
      <x:c r="F394" s="24" t="n">
        <x:v>65.6766474359653</x:v>
      </x:c>
      <x:c r="G394" s="24"/>
      <x:c r="H394" s="24" t="n">
        <x:v>63.47029495365402</x:v>
      </x:c>
      <x:c r="I394" s="24" t="n">
        <x:v>71.78473290692392</x:v>
      </x:c>
      <x:c r="J394" s="24"/>
      <x:c r="K394" s="24"/>
    </x:row>
    <x:row r="395">
      <x:c r="A395" s="24" t="n">
        <x:v>39.300000000000004</x:v>
      </x:c>
      <x:c r="B395" s="24" t="n">
        <x:v>61.72781021607345</x:v>
      </x:c>
      <x:c r="C395" s="24" t="n">
        <x:v>65.30720291566001</x:v>
      </x:c>
      <x:c r="D395" s="24" t="n">
        <x:v>64.28727802699848</x:v>
      </x:c>
      <x:c r="E395" s="24" t="n">
        <x:v>67.90282193229638</x:v>
      </x:c>
      <x:c r="F395" s="24" t="n">
        <x:v>50</x:v>
      </x:c>
      <x:c r="G395" s="24"/>
      <x:c r="H395" s="24" t="n">
        <x:v>81.74916934925322</x:v>
      </x:c>
      <x:c r="I395" s="24" t="n">
        <x:v>72.55358217233254</x:v>
      </x:c>
      <x:c r="J395" s="24"/>
      <x:c r="K395" s="24"/>
    </x:row>
    <x:row r="396">
      <x:c r="A396" s="24" t="n">
        <x:v>39.400000000000006</x:v>
      </x:c>
      <x:c r="B396" s="24" t="n">
        <x:v>61.72781021607345</x:v>
      </x:c>
      <x:c r="C396" s="24" t="n">
        <x:v>65.30720291566001</x:v>
      </x:c>
      <x:c r="D396" s="24" t="n">
        <x:v>64.28727802699848</x:v>
      </x:c>
      <x:c r="E396" s="24" t="n">
        <x:v>69.48597747647177</x:v>
      </x:c>
      <x:c r="F396" s="24" t="n">
        <x:v>50.00000000000044</x:v>
      </x:c>
      <x:c r="G396" s="24"/>
      <x:c r="H396" s="24" t="n">
        <x:v>81.74916934925322</x:v>
      </x:c>
      <x:c r="I396" s="24" t="n">
        <x:v>72.55358217233258</x:v>
      </x:c>
      <x:c r="J396" s="24"/>
      <x:c r="K396" s="24"/>
    </x:row>
    <x:row r="397">
      <x:c r="A397" s="24" t="n">
        <x:v>39.5</x:v>
      </x:c>
      <x:c r="B397" s="24" t="n">
        <x:v>64.62579974727205</x:v>
      </x:c>
      <x:c r="C397" s="24" t="n">
        <x:v>60.20898450049181</x:v>
      </x:c>
      <x:c r="D397" s="24" t="n">
        <x:v>62.377556790373426</x:v>
      </x:c>
      <x:c r="E397" s="24" t="n">
        <x:v>69.48597747647177</x:v>
      </x:c>
      <x:c r="F397" s="24" t="n">
        <x:v>64.17960616125765</x:v>
      </x:c>
      <x:c r="G397" s="24"/>
      <x:c r="H397" s="24" t="n">
        <x:v>73.46048412721427</x:v>
      </x:c>
      <x:c r="I397" s="24" t="n">
        <x:v>73.80036497204793</x:v>
      </x:c>
      <x:c r="J397" s="24"/>
      <x:c r="K397" s="24"/>
    </x:row>
    <x:row r="398">
      <x:c r="A398" s="24" t="n">
        <x:v>39.6</x:v>
      </x:c>
      <x:c r="B398" s="24" t="n">
        <x:v>64.62579974727205</x:v>
      </x:c>
      <x:c r="C398" s="24" t="n">
        <x:v>60.20898450049181</x:v>
      </x:c>
      <x:c r="D398" s="24" t="n">
        <x:v>62.95998471687048</x:v>
      </x:c>
      <x:c r="E398" s="24" t="n">
        <x:v>68.39230428761104</x:v>
      </x:c>
      <x:c r="F398" s="24" t="n">
        <x:v>65.12988993692204</x:v>
      </x:c>
      <x:c r="G398" s="24"/>
      <x:c r="H398" s="24" t="n">
        <x:v>65.46677916858638</x:v>
      </x:c>
      <x:c r="I398" s="24" t="n">
        <x:v>73.80036497204793</x:v>
      </x:c>
      <x:c r="J398" s="24"/>
      <x:c r="K398" s="24"/>
    </x:row>
    <x:row r="399">
      <x:c r="A399" s="24" t="n">
        <x:v>39.7</x:v>
      </x:c>
      <x:c r="B399" s="24" t="n">
        <x:v>60.133548520919646</x:v>
      </x:c>
      <x:c r="C399" s="24" t="n">
        <x:v>50</x:v>
      </x:c>
      <x:c r="D399" s="24" t="n">
        <x:v>82.98980774907852</x:v>
      </x:c>
      <x:c r="E399" s="24" t="n">
        <x:v>91.47870486616966</x:v>
      </x:c>
      <x:c r="F399" s="24" t="n">
        <x:v>65.12988993692204</x:v>
      </x:c>
      <x:c r="G399" s="24"/>
      <x:c r="H399" s="24" t="n">
        <x:v>54.92436644784834</x:v>
      </x:c>
      <x:c r="I399" s="24" t="n">
        <x:v>72.22318305667311</x:v>
      </x:c>
      <x:c r="J399" s="24"/>
      <x:c r="K399" s="24"/>
    </x:row>
    <x:row r="400">
      <x:c r="A400" s="24" t="n">
        <x:v>39.800000000000004</x:v>
      </x:c>
      <x:c r="B400" s="24" t="n">
        <x:v>57.52049636317548</x:v>
      </x:c>
      <x:c r="C400" s="24" t="n">
        <x:v>50</x:v>
      </x:c>
      <x:c r="D400" s="24" t="n">
        <x:v>87.88915527494896</x:v>
      </x:c>
      <x:c r="E400" s="24" t="n">
        <x:v>91.47870486616966</x:v>
      </x:c>
      <x:c r="F400" s="24" t="n">
        <x:v>65.29961781060643</x:v>
      </x:c>
      <x:c r="G400" s="24"/>
      <x:c r="H400" s="24" t="n">
        <x:v>50</x:v>
      </x:c>
      <x:c r="I400" s="24" t="n">
        <x:v>69.65773919247493</x:v>
      </x:c>
      <x:c r="J400" s="24"/>
      <x:c r="K400" s="24"/>
    </x:row>
    <x:row r="401">
      <x:c r="A401" s="24" t="n">
        <x:v>39.900000000000006</x:v>
      </x:c>
      <x:c r="B401" s="24" t="n">
        <x:v>58.008026781340746</x:v>
      </x:c>
      <x:c r="C401" s="24" t="n">
        <x:v>74.61174907702812</x:v>
      </x:c>
      <x:c r="D401" s="24" t="n">
        <x:v>87.88915527494896</x:v>
      </x:c>
      <x:c r="E401" s="24" t="n">
        <x:v>84.73993108784364</x:v>
      </x:c>
      <x:c r="F401" s="24" t="n">
        <x:v>65.29961781060668</x:v>
      </x:c>
      <x:c r="G401" s="24"/>
      <x:c r="H401" s="24" t="n">
        <x:v>55.58026739312551</x:v>
      </x:c>
      <x:c r="I401" s="24" t="n">
        <x:v>84.1947859916348</x:v>
      </x:c>
      <x:c r="J401" s="24"/>
      <x:c r="K401" s="24"/>
    </x:row>
    <x:row r="402">
      <x:c r="A402" s="24" t="n">
        <x:v>40</x:v>
      </x:c>
      <x:c r="B402" s="24" t="n">
        <x:v>76.34062312899948</x:v>
      </x:c>
      <x:c r="C402" s="24" t="n">
        <x:v>74.61174907702812</x:v>
      </x:c>
      <x:c r="D402" s="24" t="n">
        <x:v>80.15078305770611</x:v>
      </x:c>
      <x:c r="E402" s="24" t="n">
        <x:v>77.41337034086473</x:v>
      </x:c>
      <x:c r="F402" s="24" t="n">
        <x:v>66.80262615326654</x:v>
      </x:c>
      <x:c r="G402" s="24"/>
      <x:c r="H402" s="24" t="n">
        <x:v>69.53093587593632</x:v>
      </x:c>
      <x:c r="I402" s="24" t="n">
        <x:v>84.1947859916348</x:v>
      </x:c>
      <x:c r="J402" s="24"/>
      <x:c r="K402" s="24"/>
    </x:row>
    <x:row r="403">
      <x:c r="A403" s="24" t="n">
        <x:v>40.1</x:v>
      </x:c>
      <x:c r="B403" s="24" t="n">
        <x:v>77.05730906012366</x:v>
      </x:c>
      <x:c r="C403" s="24" t="n">
        <x:v>71.45769590780645</x:v>
      </x:c>
      <x:c r="D403" s="24" t="n">
        <x:v>73.2625504273608</x:v>
      </x:c>
      <x:c r="E403" s="24" t="n">
        <x:v>73.8183304448462</x:v>
      </x:c>
      <x:c r="F403" s="24" t="n">
        <x:v>67.45077571817419</x:v>
      </x:c>
      <x:c r="G403" s="24"/>
      <x:c r="H403" s="24" t="n">
        <x:v>73.89704896582883</x:v>
      </x:c>
      <x:c r="I403" s="24" t="n">
        <x:v>76.8615264015734</x:v>
      </x:c>
      <x:c r="J403" s="24"/>
      <x:c r="K403" s="24"/>
    </x:row>
    <x:row r="404">
      <x:c r="A404" s="24" t="n">
        <x:v>40.2</x:v>
      </x:c>
      <x:c r="B404" s="24" t="n">
        <x:v>77.05730906012366</x:v>
      </x:c>
      <x:c r="C404" s="24" t="n">
        <x:v>65.20574711553041</x:v>
      </x:c>
      <x:c r="D404" s="24" t="n">
        <x:v>71.09437238073696</x:v>
      </x:c>
      <x:c r="E404" s="24" t="n">
        <x:v>69.95797303407997</x:v>
      </x:c>
      <x:c r="F404" s="24" t="n">
        <x:v>67.45077571817419</x:v>
      </x:c>
      <x:c r="G404" s="24"/>
      <x:c r="H404" s="24" t="n">
        <x:v>75.39702016933924</x:v>
      </x:c>
      <x:c r="I404" s="24" t="n">
        <x:v>65.18710501263699</x:v>
      </x:c>
      <x:c r="J404" s="24"/>
      <x:c r="K404" s="24"/>
    </x:row>
    <x:row r="405">
      <x:c r="A405" s="24" t="n">
        <x:v>40.300000000000004</x:v>
      </x:c>
      <x:c r="B405" s="24" t="n">
        <x:v>73.14896482422252</x:v>
      </x:c>
      <x:c r="C405" s="24" t="n">
        <x:v>50</x:v>
      </x:c>
      <x:c r="D405" s="24" t="n">
        <x:v>69.02840405069541</x:v>
      </x:c>
      <x:c r="E405" s="24" t="n">
        <x:v>69.95797303407997</x:v>
      </x:c>
      <x:c r="F405" s="24" t="n">
        <x:v>67.29753949118327</x:v>
      </x:c>
      <x:c r="G405" s="24"/>
      <x:c r="H405" s="24" t="n">
        <x:v>75.39702016933855</x:v>
      </x:c>
      <x:c r="I405" s="24" t="n">
        <x:v>50</x:v>
      </x:c>
      <x:c r="J405" s="24"/>
      <x:c r="K405" s="24"/>
    </x:row>
    <x:row r="406">
      <x:c r="A406" s="24" t="n">
        <x:v>40.400000000000006</x:v>
      </x:c>
      <x:c r="B406" s="24" t="n">
        <x:v>67.16216838026679</x:v>
      </x:c>
      <x:c r="C406" s="24" t="n">
        <x:v>67.50511516415034</x:v>
      </x:c>
      <x:c r="D406" s="24" t="n">
        <x:v>67.80248717794261</x:v>
      </x:c>
      <x:c r="E406" s="24" t="n">
        <x:v>66.97176552587884</x:v>
      </x:c>
      <x:c r="F406" s="24" t="n">
        <x:v>66.2392651949784</x:v>
      </x:c>
      <x:c r="G406" s="24"/>
      <x:c r="H406" s="24" t="n">
        <x:v>68.3386921877821</x:v>
      </x:c>
      <x:c r="I406" s="24" t="n">
        <x:v>50.00000000000117</x:v>
      </x:c>
      <x:c r="J406" s="24"/>
      <x:c r="K406" s="24"/>
    </x:row>
    <x:row r="407">
      <x:c r="A407" s="24" t="n">
        <x:v>40.5</x:v>
      </x:c>
      <x:c r="B407" s="24" t="n">
        <x:v>58.817726503621046</x:v>
      </x:c>
      <x:c r="C407" s="24" t="n">
        <x:v>68.20507915029337</x:v>
      </x:c>
      <x:c r="D407" s="24" t="n">
        <x:v>63.919405789825475</x:v>
      </x:c>
      <x:c r="E407" s="24" t="n">
        <x:v>53.87991821283271</x:v>
      </x:c>
      <x:c r="F407" s="24" t="n">
        <x:v>83.11273180764758</x:v>
      </x:c>
      <x:c r="G407" s="24"/>
      <x:c r="H407" s="24" t="n">
        <x:v>70.21646893146979</x:v>
      </x:c>
      <x:c r="I407" s="24" t="n">
        <x:v>66.47914801323891</x:v>
      </x:c>
      <x:c r="J407" s="24"/>
      <x:c r="K407" s="24"/>
    </x:row>
    <x:row r="408">
      <x:c r="A408" s="24" t="n">
        <x:v>40.6</x:v>
      </x:c>
      <x:c r="B408" s="24" t="n">
        <x:v>63.905440569631686</x:v>
      </x:c>
      <x:c r="C408" s="24" t="n">
        <x:v>68.20507915029337</x:v>
      </x:c>
      <x:c r="D408" s="24" t="n">
        <x:v>63.919405789825475</x:v>
      </x:c>
      <x:c r="E408" s="24" t="n">
        <x:v>50.92051363591597</x:v>
      </x:c>
      <x:c r="F408" s="24" t="n">
        <x:v>83.11273180764758</x:v>
      </x:c>
      <x:c r="G408" s="24"/>
      <x:c r="H408" s="24" t="n">
        <x:v>75.74396786661188</x:v>
      </x:c>
      <x:c r="I408" s="24" t="n">
        <x:v>73.52010071523144</x:v>
      </x:c>
      <x:c r="J408" s="24"/>
      <x:c r="K408" s="24"/>
    </x:row>
    <x:row r="409">
      <x:c r="A409" s="24" t="n">
        <x:v>40.7</x:v>
      </x:c>
      <x:c r="B409" s="24" t="n">
        <x:v>66.31986461593219</x:v>
      </x:c>
      <x:c r="C409" s="24" t="n">
        <x:v>68.05558255827158</x:v>
      </x:c>
      <x:c r="D409" s="24" t="n">
        <x:v>62.21806610934506</x:v>
      </x:c>
      <x:c r="E409" s="24" t="n">
        <x:v>68.94940629766353</x:v>
      </x:c>
      <x:c r="F409" s="24" t="n">
        <x:v>77.77249676543593</x:v>
      </x:c>
      <x:c r="G409" s="24"/>
      <x:c r="H409" s="24" t="n">
        <x:v>75.9366205484679</x:v>
      </x:c>
      <x:c r="I409" s="24" t="n">
        <x:v>75.70060185196256</x:v>
      </x:c>
      <x:c r="J409" s="24"/>
      <x:c r="K409" s="24"/>
    </x:row>
    <x:row r="410">
      <x:c r="A410" s="24" t="n">
        <x:v>40.800000000000004</x:v>
      </x:c>
      <x:c r="B410" s="24" t="n">
        <x:v>66.3198646159319</x:v>
      </x:c>
      <x:c r="C410" s="24" t="n">
        <x:v>67.91578969118785</x:v>
      </x:c>
      <x:c r="D410" s="24" t="n">
        <x:v>53.705799695511004</x:v>
      </x:c>
      <x:c r="E410" s="24" t="n">
        <x:v>75.20740141884448</x:v>
      </x:c>
      <x:c r="F410" s="24" t="n">
        <x:v>69.97309961487584</x:v>
      </x:c>
      <x:c r="G410" s="24"/>
      <x:c r="H410" s="24" t="n">
        <x:v>75.93662054846772</x:v>
      </x:c>
      <x:c r="I410" s="24" t="n">
        <x:v>75.70060185196235</x:v>
      </x:c>
      <x:c r="J410" s="24"/>
      <x:c r="K410" s="24"/>
    </x:row>
    <x:row r="411">
      <x:c r="A411" s="24" t="n">
        <x:v>40.900000000000006</x:v>
      </x:c>
      <x:c r="B411" s="24" t="n">
        <x:v>63.47360361591497</x:v>
      </x:c>
      <x:c r="C411" s="24" t="n">
        <x:v>68.5727619731675</x:v>
      </x:c>
      <x:c r="D411" s="24" t="n">
        <x:v>68.53922138352934</x:v>
      </x:c>
      <x:c r="E411" s="24" t="n">
        <x:v>75.20740141884448</x:v>
      </x:c>
      <x:c r="F411" s="24" t="n">
        <x:v>64.7149200983356</x:v>
      </x:c>
      <x:c r="G411" s="24"/>
      <x:c r="H411" s="24" t="n">
        <x:v>74.84775277264639</x:v>
      </x:c>
      <x:c r="I411" s="24" t="n">
        <x:v>60.45780859696971</x:v>
      </x:c>
      <x:c r="J411" s="24"/>
      <x:c r="K411" s="24"/>
    </x:row>
    <x:row r="412">
      <x:c r="A412" s="24" t="n">
        <x:v>41</x:v>
      </x:c>
      <x:c r="B412" s="24" t="n">
        <x:v>65.10968877116387</x:v>
      </x:c>
      <x:c r="C412" s="24" t="n">
        <x:v>68.5727619731675</x:v>
      </x:c>
      <x:c r="D412" s="24" t="n">
        <x:v>71.38081739362866</x:v>
      </x:c>
      <x:c r="E412" s="24" t="n">
        <x:v>63.989268353937746</x:v>
      </x:c>
      <x:c r="F412" s="24" t="n">
        <x:v>57.15445678849679</x:v>
      </x:c>
      <x:c r="G412" s="24"/>
      <x:c r="H412" s="24" t="n">
        <x:v>76.76047285729206</x:v>
      </x:c>
      <x:c r="I412" s="24" t="n">
        <x:v>66.87863303788276</x:v>
      </x:c>
      <x:c r="J412" s="24"/>
      <x:c r="K412" s="24"/>
    </x:row>
    <x:row r="413">
      <x:c r="A413" s="24" t="n">
        <x:v>41.1</x:v>
      </x:c>
      <x:c r="B413" s="24" t="n">
        <x:v>64.95290146729874</x:v>
      </x:c>
      <x:c r="C413" s="24" t="n">
        <x:v>69.58553330503075</x:v>
      </x:c>
      <x:c r="D413" s="24" t="n">
        <x:v>71.38081739362866</x:v>
      </x:c>
      <x:c r="E413" s="24" t="n">
        <x:v>62.74433966054342</x:v>
      </x:c>
      <x:c r="F413" s="24" t="n">
        <x:v>50</x:v>
      </x:c>
      <x:c r="G413" s="24"/>
      <x:c r="H413" s="24" t="n">
        <x:v>76.76047285729206</x:v>
      </x:c>
      <x:c r="I413" s="24" t="n">
        <x:v>70.16572121750312</x:v>
      </x:c>
      <x:c r="J413" s="24"/>
      <x:c r="K413" s="24"/>
    </x:row>
    <x:row r="414">
      <x:c r="A414" s="24" t="n">
        <x:v>41.2</x:v>
      </x:c>
      <x:c r="B414" s="24" t="n">
        <x:v>65.94284040955985</x:v>
      </x:c>
      <x:c r="C414" s="24" t="n">
        <x:v>69.58553330503075</x:v>
      </x:c>
      <x:c r="D414" s="24" t="n">
        <x:v>60.90211740472454</x:v>
      </x:c>
      <x:c r="E414" s="24" t="n">
        <x:v>64.76590246566326</x:v>
      </x:c>
      <x:c r="F414" s="24" t="n">
        <x:v>57.38466105787431</x:v>
      </x:c>
      <x:c r="G414" s="24"/>
      <x:c r="H414" s="24" t="n">
        <x:v>75.97155008158396</x:v>
      </x:c>
      <x:c r="I414" s="24" t="n">
        <x:v>72.90464759961178</x:v>
      </x:c>
      <x:c r="J414" s="24"/>
      <x:c r="K414" s="24"/>
    </x:row>
    <x:row r="415">
      <x:c r="A415" s="24" t="n">
        <x:v>41.300000000000004</x:v>
      </x:c>
      <x:c r="B415" s="24" t="n">
        <x:v>65.94284040955985</x:v>
      </x:c>
      <x:c r="C415" s="24" t="n">
        <x:v>68.51585925198401</x:v>
      </x:c>
      <x:c r="D415" s="24" t="n">
        <x:v>50</x:v>
      </x:c>
      <x:c r="E415" s="24" t="n">
        <x:v>66.58605447929757</x:v>
      </x:c>
      <x:c r="F415" s="24" t="n">
        <x:v>59.84621474383183</x:v>
      </x:c>
      <x:c r="G415" s="24"/>
      <x:c r="H415" s="24" t="n">
        <x:v>76.30057642407208</x:v>
      </x:c>
      <x:c r="I415" s="24" t="n">
        <x:v>72.90464759961178</x:v>
      </x:c>
      <x:c r="J415" s="24"/>
      <x:c r="K415" s="24"/>
    </x:row>
    <x:row r="416">
      <x:c r="A416" s="24" t="n">
        <x:v>41.400000000000006</x:v>
      </x:c>
      <x:c r="B416" s="24" t="n">
        <x:v>64.80552224291887</x:v>
      </x:c>
      <x:c r="C416" s="24" t="n">
        <x:v>82.61979851062762</x:v>
      </x:c>
      <x:c r="D416" s="24" t="n">
        <x:v>55.33215844389641</x:v>
      </x:c>
      <x:c r="E416" s="24" t="n">
        <x:v>67.8519768731322</x:v>
      </x:c>
      <x:c r="F416" s="24" t="n">
        <x:v>50</x:v>
      </x:c>
      <x:c r="G416" s="24"/>
      <x:c r="H416" s="24" t="n">
        <x:v>76.30057642407208</x:v>
      </x:c>
      <x:c r="I416" s="24" t="n">
        <x:v>70.32375139521741</x:v>
      </x:c>
      <x:c r="J416" s="24"/>
      <x:c r="K416" s="24"/>
    </x:row>
    <x:row r="417">
      <x:c r="A417" s="24" t="n">
        <x:v>41.5</x:v>
      </x:c>
      <x:c r="B417" s="24" t="n">
        <x:v>67.38884646906298</x:v>
      </x:c>
      <x:c r="C417" s="24" t="n">
        <x:v>84.19036815028126</x:v>
      </x:c>
      <x:c r="D417" s="24" t="n">
        <x:v>62.44426952362546</x:v>
      </x:c>
      <x:c r="E417" s="24" t="n">
        <x:v>67.8519768731322</x:v>
      </x:c>
      <x:c r="F417" s="24" t="n">
        <x:v>59.9348647595982</x:v>
      </x:c>
      <x:c r="G417" s="24"/>
      <x:c r="H417" s="24" t="n">
        <x:v>74.46792813477751</x:v>
      </x:c>
      <x:c r="I417" s="24" t="n">
        <x:v>72.47968406072052</x:v>
      </x:c>
      <x:c r="J417" s="24"/>
      <x:c r="K417" s="24"/>
    </x:row>
    <x:row r="418">
      <x:c r="A418" s="24" t="n">
        <x:v>41.6</x:v>
      </x:c>
      <x:c r="B418" s="24" t="n">
        <x:v>67.38884646906298</x:v>
      </x:c>
      <x:c r="C418" s="24" t="n">
        <x:v>84.19036815028126</x:v>
      </x:c>
      <x:c r="D418" s="24" t="n">
        <x:v>62.5198587922955</x:v>
      </x:c>
      <x:c r="E418" s="24" t="n">
        <x:v>67.3566227263334</x:v>
      </x:c>
      <x:c r="F418" s="24" t="n">
        <x:v>69.8697295191964</x:v>
      </x:c>
      <x:c r="G418" s="24"/>
      <x:c r="H418" s="24" t="n">
        <x:v>71.90834408973444</x:v>
      </x:c>
      <x:c r="I418" s="24" t="n">
        <x:v>73.03294154621102</x:v>
      </x:c>
      <x:c r="J418" s="24"/>
      <x:c r="K418" s="24"/>
    </x:row>
    <x:row r="419">
      <x:c r="A419" s="24" t="n">
        <x:v>41.7</x:v>
      </x:c>
      <x:c r="B419" s="24" t="n">
        <x:v>66.9999247782104</x:v>
      </x:c>
      <x:c r="C419" s="24" t="n">
        <x:v>74.50749147051236</x:v>
      </x:c>
      <x:c r="D419" s="24" t="n">
        <x:v>62.40463181946859</x:v>
      </x:c>
      <x:c r="E419" s="24" t="n">
        <x:v>69.32725638281607</x:v>
      </x:c>
      <x:c r="F419" s="24" t="n">
        <x:v>69.8697295191964</x:v>
      </x:c>
      <x:c r="G419" s="24"/>
      <x:c r="H419" s="24" t="n">
        <x:v>66.52541564334626</x:v>
      </x:c>
      <x:c r="I419" s="24" t="n">
        <x:v>73.03666090329463</x:v>
      </x:c>
      <x:c r="J419" s="24"/>
      <x:c r="K419" s="24"/>
    </x:row>
    <x:row r="420">
      <x:c r="A420" s="24" t="n">
        <x:v>41.800000000000004</x:v>
      </x:c>
      <x:c r="B420" s="24" t="n">
        <x:v>68.35904100296662</x:v>
      </x:c>
      <x:c r="C420" s="24" t="n">
        <x:v>67.37258735371663</x:v>
      </x:c>
      <x:c r="D420" s="24" t="n">
        <x:v>60.660067006019425</x:v>
      </x:c>
      <x:c r="E420" s="24" t="n">
        <x:v>69.32725638281593</x:v>
      </x:c>
      <x:c r="F420" s="24" t="n">
        <x:v>58.604911880185995</x:v>
      </x:c>
      <x:c r="G420" s="24"/>
      <x:c r="H420" s="24" t="n">
        <x:v>82.27122390143523</x:v>
      </x:c>
      <x:c r="I420" s="24" t="n">
        <x:v>73.18887739309795</x:v>
      </x:c>
      <x:c r="J420" s="24"/>
      <x:c r="K420" s="24"/>
    </x:row>
    <x:row r="421">
      <x:c r="A421" s="24" t="n">
        <x:v>41.900000000000006</x:v>
      </x:c>
      <x:c r="B421" s="24" t="n">
        <x:v>68.35904100296662</x:v>
      </x:c>
      <x:c r="C421" s="24" t="n">
        <x:v>66.90143535642818</x:v>
      </x:c>
      <x:c r="D421" s="24" t="n">
        <x:v>60.660067006019254</x:v>
      </x:c>
      <x:c r="E421" s="24" t="n">
        <x:v>69.8516384845229</x:v>
      </x:c>
      <x:c r="F421" s="24" t="n">
        <x:v>55.84106782591446</x:v>
      </x:c>
      <x:c r="G421" s="24"/>
      <x:c r="H421" s="24" t="n">
        <x:v>82.3530627828916</x:v>
      </x:c>
      <x:c r="I421" s="24" t="n">
        <x:v>73.18887739309795</x:v>
      </x:c>
      <x:c r="J421" s="24"/>
      <x:c r="K421" s="24"/>
    </x:row>
    <x:row r="422">
      <x:c r="A422" s="24" t="n">
        <x:v>42</x:v>
      </x:c>
      <x:c r="B422" s="24" t="n">
        <x:v>65.83959619754792</x:v>
      </x:c>
      <x:c r="C422" s="24" t="n">
        <x:v>60.81659710162897</x:v>
      </x:c>
      <x:c r="D422" s="24" t="n">
        <x:v>60.00527804797167</x:v>
      </x:c>
      <x:c r="E422" s="24" t="n">
        <x:v>70.21670386556215</x:v>
      </x:c>
      <x:c r="F422" s="24" t="n">
        <x:v>61.52967047431092</x:v>
      </x:c>
      <x:c r="G422" s="24"/>
      <x:c r="H422" s="24" t="n">
        <x:v>79.55874350672579</x:v>
      </x:c>
      <x:c r="I422" s="24" t="n">
        <x:v>70.22935494265478</x:v>
      </x:c>
      <x:c r="J422" s="24"/>
      <x:c r="K422" s="24"/>
    </x:row>
    <x:row r="423">
      <x:c r="A423" s="24" t="n">
        <x:v>42.1</x:v>
      </x:c>
      <x:c r="B423" s="24" t="n">
        <x:v>82.02538604927207</x:v>
      </x:c>
      <x:c r="C423" s="24" t="n">
        <x:v>58.84493784367291</x:v>
      </x:c>
      <x:c r="D423" s="24" t="n">
        <x:v>59.31652474638302</x:v>
      </x:c>
      <x:c r="E423" s="24" t="n">
        <x:v>85.09747546448617</x:v>
      </x:c>
      <x:c r="F423" s="24" t="n">
        <x:v>65.64119596619915</x:v>
      </x:c>
      <x:c r="G423" s="24"/>
      <x:c r="H423" s="24" t="n">
        <x:v>66.23200864216203</x:v>
      </x:c>
      <x:c r="I423" s="24" t="n">
        <x:v>83.50024429212166</x:v>
      </x:c>
      <x:c r="J423" s="24"/>
      <x:c r="K423" s="24"/>
    </x:row>
    <x:row r="424">
      <x:c r="A424" s="24" t="n">
        <x:v>42.2</x:v>
      </x:c>
      <x:c r="B424" s="24" t="n">
        <x:v>84.59099953924401</x:v>
      </x:c>
      <x:c r="C424" s="24" t="n">
        <x:v>59.181306933272324</x:v>
      </x:c>
      <x:c r="D424" s="24" t="n">
        <x:v>62.255898891687934</x:v>
      </x:c>
      <x:c r="E424" s="24" t="n">
        <x:v>85.2268229311935</x:v>
      </x:c>
      <x:c r="F424" s="24" t="n">
        <x:v>65.64119596619915</x:v>
      </x:c>
      <x:c r="G424" s="24"/>
      <x:c r="H424" s="24" t="n">
        <x:v>54.105339855814265</x:v>
      </x:c>
      <x:c r="I424" s="24" t="n">
        <x:v>83.9691683819135</x:v>
      </x:c>
      <x:c r="J424" s="24"/>
      <x:c r="K424" s="24"/>
    </x:row>
    <x:row r="425">
      <x:c r="A425" s="24" t="n">
        <x:v>42.300000000000004</x:v>
      </x:c>
      <x:c r="B425" s="24" t="n">
        <x:v>84.59099953924401</x:v>
      </x:c>
      <x:c r="C425" s="24" t="n">
        <x:v>59.18130693327113</x:v>
      </x:c>
      <x:c r="D425" s="24" t="n">
        <x:v>62.25589889168854</x:v>
      </x:c>
      <x:c r="E425" s="24" t="n">
        <x:v>82.50571283559744</x:v>
      </x:c>
      <x:c r="F425" s="24" t="n">
        <x:v>64.59877120528141</x:v>
      </x:c>
      <x:c r="G425" s="24"/>
      <x:c r="H425" s="24" t="n">
        <x:v>50</x:v>
      </x:c>
      <x:c r="I425" s="24" t="n">
        <x:v>82.80070750207348</x:v>
      </x:c>
      <x:c r="J425" s="24"/>
      <x:c r="K425" s="24"/>
    </x:row>
    <x:row r="426">
      <x:c r="A426" s="24" t="n">
        <x:v>42.400000000000006</x:v>
      </x:c>
      <x:c r="B426" s="24" t="n">
        <x:v>76.48836058070586</x:v>
      </x:c>
      <x:c r="C426" s="24" t="n">
        <x:v>50</x:v>
      </x:c>
      <x:c r="D426" s="24" t="n">
        <x:v>64.78837523082973</x:v>
      </x:c>
      <x:c r="E426" s="24" t="n">
        <x:v>72.22070388450655</x:v>
      </x:c>
      <x:c r="F426" s="24" t="n">
        <x:v>65.92412444607457</x:v>
      </x:c>
      <x:c r="G426" s="24"/>
      <x:c r="H426" s="24" t="n">
        <x:v>52.71292077560851</x:v>
      </x:c>
      <x:c r="I426" s="24" t="n">
        <x:v>72.27608585455792</x:v>
      </x:c>
      <x:c r="J426" s="24"/>
      <x:c r="K426" s="24"/>
    </x:row>
    <x:row r="427">
      <x:c r="A427" s="24" t="n">
        <x:v>42.5</x:v>
      </x:c>
      <x:c r="B427" s="24" t="n">
        <x:v>68.83671568325612</x:v>
      </x:c>
      <x:c r="C427" s="24" t="n">
        <x:v>74.51776985060222</x:v>
      </x:c>
      <x:c r="D427" s="24" t="n">
        <x:v>87.73350376406805</x:v>
      </x:c>
      <x:c r="E427" s="24" t="n">
        <x:v>67.63455488312205</x:v>
      </x:c>
      <x:c r="F427" s="24" t="n">
        <x:v>66.30020244385341</x:v>
      </x:c>
      <x:c r="G427" s="24"/>
      <x:c r="H427" s="24" t="n">
        <x:v>66.27752465364814</x:v>
      </x:c>
      <x:c r="I427" s="24" t="n">
        <x:v>60.01680643594775</x:v>
      </x:c>
      <x:c r="J427" s="24"/>
      <x:c r="K427" s="24"/>
    </x:row>
    <x:row r="428">
      <x:c r="A428" s="24" t="n">
        <x:v>42.6</x:v>
      </x:c>
      <x:c r="B428" s="24" t="n">
        <x:v>66.38087541282916</x:v>
      </x:c>
      <x:c r="C428" s="24" t="n">
        <x:v>76.35097636533297</x:v>
      </x:c>
      <x:c r="D428" s="24" t="n">
        <x:v>87.73350376406805</x:v>
      </x:c>
      <x:c r="E428" s="24" t="n">
        <x:v>66.7757967365461</x:v>
      </x:c>
      <x:c r="F428" s="24" t="n">
        <x:v>65.73486031796958</x:v>
      </x:c>
      <x:c r="G428" s="24"/>
      <x:c r="H428" s="24" t="n">
        <x:v>68.99044542925665</x:v>
      </x:c>
      <x:c r="I428" s="24" t="n">
        <x:v>50</x:v>
      </x:c>
      <x:c r="J428" s="24"/>
      <x:c r="K428" s="24"/>
    </x:row>
    <x:row r="429">
      <x:c r="A429" s="24" t="n">
        <x:v>42.7</x:v>
      </x:c>
      <x:c r="B429" s="24" t="n">
        <x:v>65.35269953238668</x:v>
      </x:c>
      <x:c r="C429" s="24" t="n">
        <x:v>76.35097636533297</x:v>
      </x:c>
      <x:c r="D429" s="24" t="n">
        <x:v>83.93035765111279</x:v>
      </x:c>
      <x:c r="E429" s="24" t="n">
        <x:v>65.91703858997015</x:v>
      </x:c>
      <x:c r="F429" s="24" t="n">
        <x:v>66.6494207988157</x:v>
      </x:c>
      <x:c r="G429" s="24"/>
      <x:c r="H429" s="24" t="n">
        <x:v>77.07313684373732</x:v>
      </x:c>
      <x:c r="I429" s="24" t="n">
        <x:v>67.33095494995212</x:v>
      </x:c>
      <x:c r="J429" s="24"/>
      <x:c r="K429" s="24"/>
    </x:row>
    <x:row r="430">
      <x:c r="A430" s="24" t="n">
        <x:v>42.800000000000004</x:v>
      </x:c>
      <x:c r="B430" s="24" t="n">
        <x:v>64.95342959222097</x:v>
      </x:c>
      <x:c r="C430" s="24" t="n">
        <x:v>70.51247660396338</x:v>
      </x:c>
      <x:c r="D430" s="24" t="n">
        <x:v>75.44902256850688</x:v>
      </x:c>
      <x:c r="E430" s="24" t="n">
        <x:v>65.40178370202463</x:v>
      </x:c>
      <x:c r="F430" s="24" t="n">
        <x:v>68.0566272871168</x:v>
      </x:c>
      <x:c r="G430" s="24"/>
      <x:c r="H430" s="24" t="n">
        <x:v>77.07313684373732</x:v>
      </x:c>
      <x:c r="I430" s="24" t="n">
        <x:v>67.46308781652003</x:v>
      </x:c>
      <x:c r="J430" s="24"/>
      <x:c r="K430" s="24"/>
    </x:row>
    <x:row r="431">
      <x:c r="A431" s="24" t="n">
        <x:v>42.900000000000006</x:v>
      </x:c>
      <x:c r="B431" s="24" t="n">
        <x:v>65.06513274343702</x:v>
      </x:c>
      <x:c r="C431" s="24" t="n">
        <x:v>61.20550700212295</x:v>
      </x:c>
      <x:c r="D431" s="24" t="n">
        <x:v>74.01905757146979</x:v>
      </x:c>
      <x:c r="E431" s="24" t="n">
        <x:v>65.40178370202462</x:v>
      </x:c>
      <x:c r="F431" s="24" t="n">
        <x:v>68.0566272871168</x:v>
      </x:c>
      <x:c r="G431" s="24"/>
      <x:c r="H431" s="24" t="n">
        <x:v>69.73686871477126</x:v>
      </x:c>
      <x:c r="I431" s="24" t="n">
        <x:v>74.96299329966527</x:v>
      </x:c>
      <x:c r="J431" s="24"/>
      <x:c r="K431" s="24"/>
    </x:row>
    <x:row r="432">
      <x:c r="A432" s="24" t="n">
        <x:v>43</x:v>
      </x:c>
      <x:c r="B432" s="24" t="n">
        <x:v>65.6236484995171</x:v>
      </x:c>
      <x:c r="C432" s="24" t="n">
        <x:v>64.39001682803493</x:v>
      </x:c>
      <x:c r="D432" s="24" t="n">
        <x:v>72.32374590458673</x:v>
      </x:c>
      <x:c r="E432" s="24" t="n">
        <x:v>67.38090762011204</x:v>
      </x:c>
      <x:c r="F432" s="24" t="n">
        <x:v>82.66327598725684</x:v>
      </x:c>
      <x:c r="G432" s="24"/>
      <x:c r="H432" s="24" t="n">
        <x:v>66.92228257963876</x:v>
      </x:c>
      <x:c r="I432" s="24" t="n">
        <x:v>74.96299329966527</x:v>
      </x:c>
      <x:c r="J432" s="24"/>
      <x:c r="K432" s="24"/>
    </x:row>
    <x:row r="433">
      <x:c r="A433" s="24" t="n">
        <x:v>43.1</x:v>
      </x:c>
      <x:c r="B433" s="24" t="n">
        <x:v>67.81753125097825</x:v>
      </x:c>
      <x:c r="C433" s="24" t="n">
        <x:v>67.47008074445068</x:v>
      </x:c>
      <x:c r="D433" s="24" t="n">
        <x:v>70.72794698407394</x:v>
      </x:c>
      <x:c r="E433" s="24" t="n">
        <x:v>75.37315260522868</x:v>
      </x:c>
      <x:c r="F433" s="24" t="n">
        <x:v>83.04645193162258</x:v>
      </x:c>
      <x:c r="G433" s="24"/>
      <x:c r="H433" s="24" t="n">
        <x:v>73.34615683607406</x:v>
      </x:c>
      <x:c r="I433" s="24" t="n">
        <x:v>50</x:v>
      </x:c>
      <x:c r="J433" s="24"/>
      <x:c r="K433" s="24"/>
    </x:row>
    <x:row r="434">
      <x:c r="A434" s="24" t="n">
        <x:v>43.2</x:v>
      </x:c>
      <x:c r="B434" s="24" t="n">
        <x:v>67.81753125097825</x:v>
      </x:c>
      <x:c r="C434" s="24" t="n">
        <x:v>67.76080602971714</x:v>
      </x:c>
      <x:c r="D434" s="24" t="n">
        <x:v>65.3151762454679</x:v>
      </x:c>
      <x:c r="E434" s="24" t="n">
        <x:v>75.37315260522868</x:v>
      </x:c>
      <x:c r="F434" s="24" t="n">
        <x:v>82.9771193116669</x:v>
      </x:c>
      <x:c r="G434" s="24"/>
      <x:c r="H434" s="24" t="n">
        <x:v>76.25717478360316</x:v>
      </x:c>
      <x:c r="I434" s="24" t="n">
        <x:v>64.77850053226773</x:v>
      </x:c>
      <x:c r="J434" s="24"/>
      <x:c r="K434" s="24"/>
    </x:row>
    <x:row r="435">
      <x:c r="A435" s="24" t="n">
        <x:v>43.300000000000004</x:v>
      </x:c>
      <x:c r="B435" s="24" t="n">
        <x:v>65.97055812803613</x:v>
      </x:c>
      <x:c r="C435" s="24" t="n">
        <x:v>69.4239765819215</x:v>
      </x:c>
      <x:c r="D435" s="24" t="n">
        <x:v>65.90819014146344</x:v>
      </x:c>
      <x:c r="E435" s="24" t="n">
        <x:v>70.12480530249825</x:v>
      </x:c>
      <x:c r="F435" s="24" t="n">
        <x:v>73.71988530134034</x:v>
      </x:c>
      <x:c r="G435" s="24"/>
      <x:c r="H435" s="24" t="n">
        <x:v>76.72982061834631</x:v>
      </x:c>
      <x:c r="I435" s="24" t="n">
        <x:v>71.94935411558761</x:v>
      </x:c>
      <x:c r="J435" s="24"/>
      <x:c r="K435" s="24"/>
    </x:row>
    <x:row r="436">
      <x:c r="A436" s="24" t="n">
        <x:v>43.400000000000006</x:v>
      </x:c>
      <x:c r="B436" s="24"/>
      <x:c r="C436" s="24" t="n">
        <x:v>69.4239765819215</x:v>
      </x:c>
      <x:c r="D436" s="24" t="n">
        <x:v>65.90819014146324</x:v>
      </x:c>
      <x:c r="E436" s="24" t="n">
        <x:v>63.95575482866617</x:v>
      </x:c>
      <x:c r="F436" s="24" t="n">
        <x:v>64.51491073488215</x:v>
      </x:c>
      <x:c r="G436" s="24"/>
      <x:c r="H436" s="24" t="n">
        <x:v>76.7298206183461</x:v>
      </x:c>
      <x:c r="I436" s="24" t="n">
        <x:v>71.94935411558761</x:v>
      </x:c>
      <x:c r="J436" s="24"/>
      <x:c r="K436" s="24"/>
    </x:row>
    <x:row r="437">
      <x:c r="A437" s="24" t="n">
        <x:v>43.5</x:v>
      </x:c>
      <x:c r="B437" s="24"/>
      <x:c r="C437" s="24" t="n">
        <x:v>69.27997499805505</x:v>
      </x:c>
      <x:c r="D437" s="24" t="n">
        <x:v>62.43493369986244</x:v>
      </x:c>
      <x:c r="E437" s="24" t="n">
        <x:v>59.170603732759034</x:v>
      </x:c>
      <x:c r="F437" s="24" t="n">
        <x:v>61.872653273590295</x:v>
      </x:c>
      <x:c r="G437" s="24"/>
      <x:c r="H437" s="24" t="n">
        <x:v>75.6225697957602</x:v>
      </x:c>
      <x:c r="I437" s="24" t="n">
        <x:v>71.75107072192199</x:v>
      </x:c>
      <x:c r="J437" s="24"/>
      <x:c r="K437" s="24"/>
    </x:row>
    <x:row r="438">
      <x:c r="A438" s="24" t="n">
        <x:v>43.6</x:v>
      </x:c>
      <x:c r="B438" s="24"/>
      <x:c r="C438" s="24" t="n">
        <x:v>69.27997499805505</x:v>
      </x:c>
      <x:c r="D438" s="24" t="n">
        <x:v>72.91693368243918</x:v>
      </x:c>
      <x:c r="E438" s="24" t="n">
        <x:v>66.60832012214969</x:v>
      </x:c>
      <x:c r="F438" s="24" t="n">
        <x:v>50</x:v>
      </x:c>
      <x:c r="G438" s="24"/>
      <x:c r="H438" s="24" t="n">
        <x:v>76.35395246136865</x:v>
      </x:c>
      <x:c r="I438" s="24" t="n">
        <x:v>72.64304951389327</x:v>
      </x:c>
      <x:c r="J438" s="24"/>
      <x:c r="K438" s="24"/>
    </x:row>
    <x:row r="439">
      <x:c r="A439" s="24" t="n">
        <x:v>43.7</x:v>
      </x:c>
      <x:c r="B439" s="24"/>
      <x:c r="C439" s="24" t="n">
        <x:v>68.82681122428198</x:v>
      </x:c>
      <x:c r="D439" s="24" t="n">
        <x:v>72.91693368243918</x:v>
      </x:c>
      <x:c r="E439" s="24" t="n">
        <x:v>66.60832012214969</x:v>
      </x:c>
      <x:c r="F439" s="24" t="n">
        <x:v>59.74610644206175</x:v>
      </x:c>
      <x:c r="G439" s="24"/>
      <x:c r="H439" s="24" t="n">
        <x:v>76.35395246136865</x:v>
      </x:c>
      <x:c r="I439" s="24" t="n">
        <x:v>72.64304951389327</x:v>
      </x:c>
      <x:c r="J439" s="24"/>
      <x:c r="K439" s="24"/>
    </x:row>
    <x:row r="440">
      <x:c r="A440" s="24" t="n">
        <x:v>43.800000000000004</x:v>
      </x:c>
      <x:c r="B440" s="24"/>
      <x:c r="C440" s="24" t="n">
        <x:v>68.58171152655751</x:v>
      </x:c>
      <x:c r="D440" s="24" t="n">
        <x:v>69.65637963756289</x:v>
      </x:c>
      <x:c r="E440" s="24" t="n">
        <x:v>67.36552667537404</x:v>
      </x:c>
      <x:c r="F440" s="24" t="n">
        <x:v>63.644549018886316</x:v>
      </x:c>
      <x:c r="G440" s="24"/>
      <x:c r="H440" s="24" t="n">
        <x:v>76.58524432656544</x:v>
      </x:c>
      <x:c r="I440" s="24" t="n">
        <x:v>73.10269135285365</x:v>
      </x:c>
      <x:c r="J440" s="24"/>
      <x:c r="K440" s="24"/>
    </x:row>
    <x:row r="441">
      <x:c r="A441" s="24" t="n">
        <x:v>43.900000000000006</x:v>
      </x:c>
      <x:c r="B441" s="24"/>
      <x:c r="C441" s="24" t="n">
        <x:v>68.58171152655751</x:v>
      </x:c>
      <x:c r="D441" s="24" t="n">
        <x:v>62.6353589503499</x:v>
      </x:c>
      <x:c r="E441" s="24" t="n">
        <x:v>67.93590643393784</x:v>
      </x:c>
      <x:c r="F441" s="24" t="n">
        <x:v>63.21403531076052</x:v>
      </x:c>
      <x:c r="G441" s="24"/>
      <x:c r="H441" s="24" t="n">
        <x:v>77.11463085403389</x:v>
      </x:c>
      <x:c r="I441" s="24" t="n">
        <x:v>73.10269135285365</x:v>
      </x:c>
      <x:c r="J441" s="24"/>
      <x:c r="K441" s="24"/>
    </x:row>
    <x:row r="442">
      <x:c r="A442" s="24" t="n">
        <x:v>44</x:v>
      </x:c>
      <x:c r="B442" s="24"/>
      <x:c r="C442" s="24" t="n">
        <x:v>68.10870466567543</x:v>
      </x:c>
      <x:c r="D442" s="24" t="n">
        <x:v>50</x:v>
      </x:c>
      <x:c r="E442" s="24" t="n">
        <x:v>68.19123155630157</x:v>
      </x:c>
      <x:c r="F442" s="24" t="n">
        <x:v>67.60049540958408</x:v>
      </x:c>
      <x:c r="G442" s="24"/>
      <x:c r="H442" s="24" t="n">
        <x:v>77.11463085403389</x:v>
      </x:c>
      <x:c r="I442" s="24" t="n">
        <x:v>73.02057868616873</x:v>
      </x:c>
      <x:c r="J442" s="24"/>
      <x:c r="K442" s="24"/>
    </x:row>
    <x:row r="443">
      <x:c r="A443" s="24" t="n">
        <x:v>44.1</x:v>
      </x:c>
      <x:c r="B443" s="24"/>
      <x:c r="C443" s="24" t="n">
        <x:v>68.66169288103656</x:v>
      </x:c>
      <x:c r="D443" s="24" t="n">
        <x:v>50.83479379817862</x:v>
      </x:c>
      <x:c r="E443" s="24" t="n">
        <x:v>69.02797314886325</x:v>
      </x:c>
      <x:c r="F443" s="24" t="n">
        <x:v>67.60049540958408</x:v>
      </x:c>
      <x:c r="G443" s="24"/>
      <x:c r="H443" s="24" t="n">
        <x:v>80.54176055623984</x:v>
      </x:c>
      <x:c r="I443" s="24" t="n">
        <x:v>70.50712975378761</x:v>
      </x:c>
      <x:c r="J443" s="24"/>
      <x:c r="K443" s="24"/>
    </x:row>
    <x:row r="444">
      <x:c r="A444" s="24" t="n">
        <x:v>44.2</x:v>
      </x:c>
      <x:c r="B444" s="24"/>
      <x:c r="C444" s="24" t="n">
        <x:v>80.28055984701757</x:v>
      </x:c>
      <x:c r="D444" s="24" t="n">
        <x:v>61.94930798489099</x:v>
      </x:c>
      <x:c r="E444" s="24" t="n">
        <x:v>69.53839736555459</x:v>
      </x:c>
      <x:c r="F444" s="24" t="n">
        <x:v>63.6772535959131</x:v>
      </x:c>
      <x:c r="G444" s="24"/>
      <x:c r="H444" s="24" t="n">
        <x:v>84.51938831536259</x:v>
      </x:c>
      <x:c r="I444" s="24" t="n">
        <x:v>68.52648711593389</x:v>
      </x:c>
      <x:c r="J444" s="24"/>
      <x:c r="K444" s="24"/>
    </x:row>
    <x:row r="445">
      <x:c r="A445" s="24" t="n">
        <x:v>44.300000000000004</x:v>
      </x:c>
      <x:c r="B445" s="24"/>
      <x:c r="C445" s="24" t="n">
        <x:v>80.28055984701757</x:v>
      </x:c>
      <x:c r="D445" s="24" t="n">
        <x:v>63.60717402992974</x:v>
      </x:c>
      <x:c r="E445" s="24" t="n">
        <x:v>69.17859835279978</x:v>
      </x:c>
      <x:c r="F445" s="24" t="n">
        <x:v>51.78157932196565</x:v>
      </x:c>
      <x:c r="G445" s="24"/>
      <x:c r="H445" s="24" t="n">
        <x:v>84.51938831536252</x:v>
      </x:c>
      <x:c r="I445" s="24" t="n">
        <x:v>79.99614911362362</x:v>
      </x:c>
      <x:c r="J445" s="24"/>
      <x:c r="K445" s="24"/>
    </x:row>
    <x:row r="446">
      <x:c r="A446" s="24" t="n">
        <x:v>44.400000000000006</x:v>
      </x:c>
      <x:c r="B446" s="24"/>
      <x:c r="C446" s="24" t="n">
        <x:v>72.45618740628956</x:v>
      </x:c>
      <x:c r="D446" s="24" t="n">
        <x:v>63.35045309757826</x:v>
      </x:c>
      <x:c r="E446" s="24" t="n">
        <x:v>69.49177772642983</x:v>
      </x:c>
      <x:c r="F446" s="24" t="n">
        <x:v>62.211616042300804</x:v>
      </x:c>
      <x:c r="G446" s="24"/>
      <x:c r="H446" s="24" t="n">
        <x:v>75.83974852365571</x:v>
      </x:c>
      <x:c r="I446" s="24" t="n">
        <x:v>81.00170686290528</x:v>
      </x:c>
      <x:c r="J446" s="24"/>
      <x:c r="K446" s="24"/>
    </x:row>
    <x:row r="447">
      <x:c r="A447" s="24" t="n">
        <x:v>44.5</x:v>
      </x:c>
      <x:c r="B447" s="24"/>
      <x:c r="C447" s="24" t="n">
        <x:v>62.63507779539814</x:v>
      </x:c>
      <x:c r="D447" s="24" t="n">
        <x:v>60.7702623398961</x:v>
      </x:c>
      <x:c r="E447" s="24" t="n">
        <x:v>79.40954139140453</x:v>
      </x:c>
      <x:c r="F447" s="24" t="n">
        <x:v>62.40330675411741</x:v>
      </x:c>
      <x:c r="G447" s="24"/>
      <x:c r="H447" s="24" t="n">
        <x:v>64.1648505036585</x:v>
      </x:c>
      <x:c r="I447" s="24" t="n">
        <x:v>80.85508563281577</x:v>
      </x:c>
      <x:c r="J447" s="24"/>
      <x:c r="K447" s="24"/>
    </x:row>
    <x:row r="448">
      <x:c r="A448" s="24" t="n">
        <x:v>44.6</x:v>
      </x:c>
      <x:c r="B448" s="24"/>
      <x:c r="C448" s="24" t="n">
        <x:v>61.1525912965604</x:v>
      </x:c>
      <x:c r="D448" s="24" t="n">
        <x:v>61.593728802927046</x:v>
      </x:c>
      <x:c r="E448" s="24" t="n">
        <x:v>81.22572283678917</x:v>
      </x:c>
      <x:c r="F448" s="24" t="n">
        <x:v>65.35727535980956</x:v>
      </x:c>
      <x:c r="G448" s="24"/>
      <x:c r="H448" s="24" t="n">
        <x:v>50</x:v>
      </x:c>
      <x:c r="I448" s="24" t="n">
        <x:v>72.17548242671585</x:v>
      </x:c>
      <x:c r="J448" s="24"/>
      <x:c r="K448" s="24"/>
    </x:row>
    <x:row r="449">
      <x:c r="A449" s="24" t="n">
        <x:v>44.7</x:v>
      </x:c>
      <x:c r="B449" s="24"/>
      <x:c r="C449" s="24" t="n">
        <x:v>61.1525912965604</x:v>
      </x:c>
      <x:c r="D449" s="24" t="n">
        <x:v>61.593728802927046</x:v>
      </x:c>
      <x:c r="E449" s="24" t="n">
        <x:v>81.22572283678917</x:v>
      </x:c>
      <x:c r="F449" s="24" t="n">
        <x:v>66.57684871676676</x:v>
      </x:c>
      <x:c r="G449" s="24"/>
      <x:c r="H449" s="24" t="n">
        <x:v>50</x:v>
      </x:c>
      <x:c r="I449" s="24" t="n">
        <x:v>64.92469851400762</x:v>
      </x:c>
      <x:c r="J449" s="24"/>
      <x:c r="K449" s="24"/>
    </x:row>
    <x:row r="450">
      <x:c r="A450" s="24" t="n">
        <x:v>44.800000000000004</x:v>
      </x:c>
      <x:c r="B450" s="24"/>
      <x:c r="C450" s="24" t="n">
        <x:v>55.79500625308731</x:v>
      </x:c>
      <x:c r="D450" s="24" t="n">
        <x:v>63.48991278201221</x:v>
      </x:c>
      <x:c r="E450" s="24" t="n">
        <x:v>69.14015823916137</x:v>
      </x:c>
      <x:c r="F450" s="24" t="n">
        <x:v>66.62592217226248</x:v>
      </x:c>
      <x:c r="G450" s="24"/>
      <x:c r="H450" s="24" t="n">
        <x:v>65.93994236202819</x:v>
      </x:c>
      <x:c r="I450" s="24" t="n">
        <x:v>56.35949107899833</x:v>
      </x:c>
      <x:c r="J450" s="24"/>
      <x:c r="K450" s="24"/>
    </x:row>
    <x:row r="451">
      <x:c r="A451" s="24" t="n">
        <x:v>44.900000000000006</x:v>
      </x:c>
      <x:c r="B451" s="24"/>
      <x:c r="C451" s="24" t="n">
        <x:v>59.18765754046815</x:v>
      </x:c>
      <x:c r="D451" s="24" t="n">
        <x:v>63.48991278201221</x:v>
      </x:c>
      <x:c r="E451" s="24" t="n">
        <x:v>65.38570973963547</x:v>
      </x:c>
      <x:c r="F451" s="24" t="n">
        <x:v>66.62592217226246</x:v>
      </x:c>
      <x:c r="G451" s="24"/>
      <x:c r="H451" s="24" t="n">
        <x:v>66.59355101388348</x:v>
      </x:c>
      <x:c r="I451" s="24" t="n">
        <x:v>66.09549676889534</x:v>
      </x:c>
      <x:c r="J451" s="24"/>
      <x:c r="K451" s="24"/>
    </x:row>
    <x:row r="452">
      <x:c r="A452" s="24" t="n">
        <x:v>45</x:v>
      </x:c>
      <x:c r="B452" s="24"/>
      <x:c r="C452" s="24" t="n">
        <x:v>61.901778570372485</x:v>
      </x:c>
      <x:c r="D452" s="24" t="n">
        <x:v>60.71129761051971</x:v>
      </x:c>
      <x:c r="E452" s="24" t="n">
        <x:v>60.65970503330264</x:v>
      </x:c>
      <x:c r="F452" s="24" t="n">
        <x:v>66.49663646268489</x:v>
      </x:c>
      <x:c r="G452" s="24"/>
      <x:c r="H452" s="24" t="n">
        <x:v>76.59733488394852</x:v>
      </x:c>
      <x:c r="I452" s="24" t="n">
        <x:v>69.81100159858099</x:v>
      </x:c>
      <x:c r="J452" s="24"/>
      <x:c r="K452" s="24"/>
    </x:row>
    <x:row r="453">
      <x:c r="A453" s="24" t="n">
        <x:v>45.1</x:v>
      </x:c>
      <x:c r="B453" s="24"/>
      <x:c r="C453" s="24" t="n">
        <x:v>61.901778570372485</x:v>
      </x:c>
      <x:c r="D453" s="24" t="n">
        <x:v>63.446490435109446</x:v>
      </x:c>
      <x:c r="E453" s="24" t="n">
        <x:v>71.71714791076869</x:v>
      </x:c>
      <x:c r="F453" s="24" t="n">
        <x:v>67.29190333941443</x:v>
      </x:c>
      <x:c r="G453" s="24"/>
      <x:c r="H453" s="24" t="n">
        <x:v>76.59733488394852</x:v>
      </x:c>
      <x:c r="I453" s="24" t="n">
        <x:v>69.81100159858099</x:v>
      </x:c>
      <x:c r="J453" s="24"/>
      <x:c r="K453" s="24"/>
    </x:row>
    <x:row r="454">
      <x:c r="A454" s="24" t="n">
        <x:v>45.2</x:v>
      </x:c>
      <x:c r="B454" s="24"/>
      <x:c r="C454" s="24" t="n">
        <x:v>60.57805940773821</x:v>
      </x:c>
      <x:c r="D454" s="24" t="n">
        <x:v>86.86237636812962</x:v>
      </x:c>
      <x:c r="E454" s="24" t="n">
        <x:v>72.3035874863522</x:v>
      </x:c>
      <x:c r="F454" s="24" t="n">
        <x:v>67.29190333941443</x:v>
      </x:c>
      <x:c r="G454" s="24"/>
      <x:c r="H454" s="24" t="n">
        <x:v>75.22793196769001</x:v>
      </x:c>
      <x:c r="I454" s="24" t="n">
        <x:v>77.37236276482358</x:v>
      </x:c>
      <x:c r="J454" s="24"/>
      <x:c r="K454" s="24"/>
    </x:row>
    <x:row r="455">
      <x:c r="A455" s="24" t="n">
        <x:v>45.300000000000004</x:v>
      </x:c>
      <x:c r="B455" s="24"/>
      <x:c r="C455" s="24" t="n">
        <x:v>60.04857174268856</x:v>
      </x:c>
      <x:c r="D455" s="24" t="n">
        <x:v>88.06761152119319</x:v>
      </x:c>
      <x:c r="E455" s="24" t="n">
        <x:v>72.7975018647184</x:v>
      </x:c>
      <x:c r="F455" s="24" t="n">
        <x:v>66.58344242835038</x:v>
      </x:c>
      <x:c r="G455" s="24"/>
      <x:c r="H455" s="24" t="n">
        <x:v>66.2547858537855</x:v>
      </x:c>
      <x:c r="I455" s="24" t="n">
        <x:v>77.37236276482358</x:v>
      </x:c>
      <x:c r="J455" s="24"/>
      <x:c r="K455" s="24"/>
    </x:row>
    <x:row r="456">
      <x:c r="A456" s="24" t="n">
        <x:v>45.400000000000006</x:v>
      </x:c>
      <x:c r="B456" s="24"/>
      <x:c r="C456" s="24" t="n">
        <x:v>74.6217821943505</x:v>
      </x:c>
      <x:c r="D456" s="24" t="n">
        <x:v>88.06761152119223</x:v>
      </x:c>
      <x:c r="E456" s="24" t="n">
        <x:v>71.6098542729212</x:v>
      </x:c>
      <x:c r="F456" s="24" t="n">
        <x:v>64.60603016709783</x:v>
      </x:c>
      <x:c r="G456" s="24"/>
      <x:c r="H456" s="24" t="n">
        <x:v>74.51890069673233</x:v>
      </x:c>
      <x:c r="I456" s="24" t="n">
        <x:v>72.64188291971082</x:v>
      </x:c>
      <x:c r="J456" s="24"/>
      <x:c r="K456" s="24"/>
    </x:row>
    <x:row r="457">
      <x:c r="A457" s="24" t="n">
        <x:v>45.5</x:v>
      </x:c>
      <x:c r="B457" s="24"/>
      <x:c r="C457" s="24" t="n">
        <x:v>74.6217821943505</x:v>
      </x:c>
      <x:c r="D457" s="24" t="n">
        <x:v>78.21157237331359</x:v>
      </x:c>
      <x:c r="E457" s="24" t="n">
        <x:v>73.64197652443247</x:v>
      </x:c>
      <x:c r="F457" s="24" t="n">
        <x:v>64.568966846707</x:v>
      </x:c>
      <x:c r="G457" s="24"/>
      <x:c r="H457" s="24" t="n">
        <x:v>75.0980448334916</x:v>
      </x:c>
      <x:c r="I457" s="24" t="n">
        <x:v>55.03237758637706</x:v>
      </x:c>
      <x:c r="J457" s="24"/>
      <x:c r="K457" s="24"/>
    </x:row>
    <x:row r="458">
      <x:c r="A458" s="24" t="n">
        <x:v>45.6</x:v>
      </x:c>
      <x:c r="B458" s="24"/>
      <x:c r="C458" s="24" t="n">
        <x:v>71.42990087031762</x:v>
      </x:c>
      <x:c r="D458" s="24" t="n">
        <x:v>71.61551428481324</x:v>
      </x:c>
      <x:c r="E458" s="24" t="n">
        <x:v>74.2517317685467</x:v>
      </x:c>
      <x:c r="F458" s="24" t="n">
        <x:v>74.72148339357639</x:v>
      </x:c>
      <x:c r="G458" s="24"/>
      <x:c r="H458" s="24" t="n">
        <x:v>75.936149166643</x:v>
      </x:c>
      <x:c r="I458" s="24" t="n">
        <x:v>73.5362803169669</x:v>
      </x:c>
      <x:c r="J458" s="24"/>
      <x:c r="K458" s="24"/>
    </x:row>
    <x:row r="459">
      <x:c r="A459" s="24" t="n">
        <x:v>45.7</x:v>
      </x:c>
      <x:c r="B459" s="24"/>
      <x:c r="C459" s="24" t="n">
        <x:v>68.09577539631049</x:v>
      </x:c>
      <x:c r="D459" s="24" t="n">
        <x:v>70.04077743867973</x:v>
      </x:c>
      <x:c r="E459" s="24" t="n">
        <x:v>74.24992480460574</x:v>
      </x:c>
      <x:c r="F459" s="24" t="n">
        <x:v>78.62427587462317</x:v>
      </x:c>
      <x:c r="G459" s="24"/>
      <x:c r="H459" s="24" t="n">
        <x:v>76.33854144266377</x:v>
      </x:c>
      <x:c r="I459" s="24" t="n">
        <x:v>73.5362803169669</x:v>
      </x:c>
      <x:c r="J459" s="24"/>
      <x:c r="K459" s="24"/>
    </x:row>
    <x:row r="460">
      <x:c r="A460" s="24" t="n">
        <x:v>45.800000000000004</x:v>
      </x:c>
      <x:c r="B460" s="24"/>
      <x:c r="C460" s="24" t="n">
        <x:v>66.01146720922014</x:v>
      </x:c>
      <x:c r="D460" s="24" t="n">
        <x:v>66.74694579067727</x:v>
      </x:c>
      <x:c r="E460" s="24" t="n">
        <x:v>62.609045757216734</x:v>
      </x:c>
      <x:c r="F460" s="24" t="n">
        <x:v>78.62427587462317</x:v>
      </x:c>
      <x:c r="G460" s="24"/>
      <x:c r="H460" s="24" t="n">
        <x:v>76.3659510662503</x:v>
      </x:c>
      <x:c r="I460" s="24" t="n">
        <x:v>72.94760997580657</x:v>
      </x:c>
      <x:c r="J460" s="24"/>
      <x:c r="K460" s="24"/>
    </x:row>
    <x:row r="461">
      <x:c r="A461" s="24" t="n">
        <x:v>45.900000000000006</x:v>
      </x:c>
      <x:c r="B461" s="24"/>
      <x:c r="C461" s="24" t="n">
        <x:v>66.44519593026337</x:v>
      </x:c>
      <x:c r="D461" s="24" t="n">
        <x:v>64.74242494163812</x:v>
      </x:c>
      <x:c r="E461" s="24" t="n">
        <x:v>50.00000000000392</x:v>
      </x:c>
      <x:c r="F461" s="24" t="n">
        <x:v>68.42742612871967</x:v>
      </x:c>
      <x:c r="G461" s="24"/>
      <x:c r="H461" s="24" t="n">
        <x:v>75.57644461416308</x:v>
      </x:c>
      <x:c r="I461" s="24" t="n">
        <x:v>70.91798242975277</x:v>
      </x:c>
      <x:c r="J461" s="24"/>
      <x:c r="K461" s="24"/>
    </x:row>
    <x:row r="462">
      <x:c r="A462" s="24" t="n">
        <x:v>46</x:v>
      </x:c>
      <x:c r="B462" s="24"/>
      <x:c r="C462" s="24" t="n">
        <x:v>67.5643960604778</x:v>
      </x:c>
      <x:c r="D462" s="24" t="n">
        <x:v>63.3960940860389</x:v>
      </x:c>
      <x:c r="E462" s="24" t="n">
        <x:v>62.7766283539125</x:v>
      </x:c>
      <x:c r="F462" s="24" t="n">
        <x:v>61.023922236924456</x:v>
      </x:c>
      <x:c r="G462" s="24"/>
      <x:c r="H462" s="24" t="n">
        <x:v>73.69077212875457</x:v>
      </x:c>
      <x:c r="I462" s="24" t="n">
        <x:v>70.68112495010702</x:v>
      </x:c>
      <x:c r="J462" s="24"/>
      <x:c r="K462" s="24"/>
    </x:row>
    <x:row r="463">
      <x:c r="A463" s="24" t="n">
        <x:v>46.1</x:v>
      </x:c>
      <x:c r="B463" s="24"/>
      <x:c r="C463" s="24" t="n">
        <x:v>67.67517287100861</x:v>
      </x:c>
      <x:c r="D463" s="24" t="n">
        <x:v>63.3960940860389</x:v>
      </x:c>
      <x:c r="E463" s="24" t="n">
        <x:v>67.84548831192804</x:v>
      </x:c>
      <x:c r="F463" s="24" t="n">
        <x:v>60.993115825203404</x:v>
      </x:c>
      <x:c r="G463" s="24"/>
      <x:c r="H463" s="24" t="n">
        <x:v>77.02498866160377</x:v>
      </x:c>
      <x:c r="I463" s="24" t="n">
        <x:v>70.80512351790432</x:v>
      </x:c>
      <x:c r="J463" s="24"/>
      <x:c r="K463" s="24"/>
    </x:row>
    <x:row r="464">
      <x:c r="A464" s="24" t="n">
        <x:v>46.2</x:v>
      </x:c>
      <x:c r="B464" s="24"/>
      <x:c r="C464" s="24" t="n">
        <x:v>67.67517287100861</x:v>
      </x:c>
      <x:c r="D464" s="24" t="n">
        <x:v>58.352398742033245</x:v>
      </x:c>
      <x:c r="E464" s="24" t="n">
        <x:v>67.84548831192804</x:v>
      </x:c>
      <x:c r="F464" s="24" t="n">
        <x:v>60.96230941348235</x:v>
      </x:c>
      <x:c r="G464" s="24"/>
      <x:c r="H464" s="24" t="n">
        <x:v>77.02498866160377</x:v>
      </x:c>
      <x:c r="I464" s="24" t="n">
        <x:v>86.3901527657479</x:v>
      </x:c>
      <x:c r="J464" s="24"/>
      <x:c r="K464" s="24"/>
    </x:row>
    <x:row r="465">
      <x:c r="A465" s="24" t="n">
        <x:v>46.300000000000004</x:v>
      </x:c>
      <x:c r="B465" s="24"/>
      <x:c r="C465" s="24" t="n">
        <x:v>67.45038634708563</x:v>
      </x:c>
      <x:c r="D465" s="24" t="n">
        <x:v>50</x:v>
      </x:c>
      <x:c r="E465" s="24" t="n">
        <x:v>69.07662674775192</x:v>
      </x:c>
      <x:c r="F465" s="24" t="n">
        <x:v>60.93150300176131</x:v>
      </x:c>
      <x:c r="G465" s="24"/>
      <x:c r="H465" s="24" t="n">
        <x:v>75.79656365870002</x:v>
      </x:c>
      <x:c r="I465" s="24" t="n">
        <x:v>90.98583886109873</x:v>
      </x:c>
      <x:c r="J465" s="24"/>
      <x:c r="K465" s="24"/>
    </x:row>
    <x:row r="466">
      <x:c r="A466" s="24" t="n">
        <x:v>46.400000000000006</x:v>
      </x:c>
      <x:c r="B466" s="24"/>
      <x:c r="C466" s="24" t="n">
        <x:v>67.45038634708563</x:v>
      </x:c>
      <x:c r="D466" s="24" t="n">
        <x:v>72.30367153981432</x:v>
      </x:c>
      <x:c r="E466" s="24" t="n">
        <x:v>69.07662674775192</x:v>
      </x:c>
      <x:c r="F466" s="24" t="n">
        <x:v>60.900696590040255</x:v>
      </x:c>
      <x:c r="G466" s="24"/>
      <x:c r="H466" s="24" t="n">
        <x:v>74.01550541780091</x:v>
      </x:c>
      <x:c r="I466" s="24" t="n">
        <x:v>90.98583886109873</x:v>
      </x:c>
      <x:c r="J466" s="24"/>
      <x:c r="K466" s="24"/>
    </x:row>
    <x:row r="467">
      <x:c r="A467" s="24" t="n">
        <x:v>46.5</x:v>
      </x:c>
      <x:c r="B467" s="24"/>
      <x:c r="C467" s="24" t="n">
        <x:v>67.31713129549338</x:v>
      </x:c>
      <x:c r="D467" s="24" t="n">
        <x:v>73.10078059706925</x:v>
      </x:c>
      <x:c r="E467" s="24" t="n">
        <x:v>68.89531145250793</x:v>
      </x:c>
      <x:c r="F467" s="24" t="n">
        <x:v>60.88837402535184</x:v>
      </x:c>
      <x:c r="G467" s="24"/>
      <x:c r="H467" s="24" t="n">
        <x:v>85.43750836477977</x:v>
      </x:c>
      <x:c r="I467" s="24" t="n">
        <x:v>83.45570699466616</x:v>
      </x:c>
      <x:c r="J467" s="24"/>
      <x:c r="K467" s="24"/>
    </x:row>
    <x:row r="468">
      <x:c r="A468" s="24" t="n">
        <x:v>46.6</x:v>
      </x:c>
      <x:c r="B468" s="24"/>
      <x:c r="C468" s="24" t="n">
        <x:v>67.23005192182704</x:v>
      </x:c>
      <x:c r="D468" s="24" t="n">
        <x:v>71.52429752596976</x:v>
      </x:c>
      <x:c r="E468" s="24" t="n">
        <x:v>68.89531145250793</x:v>
      </x:c>
      <x:c r="F468" s="24" t="n">
        <x:v>66.49000261047591</x:v>
      </x:c>
      <x:c r="G468" s="24"/>
      <x:c r="H468" s="24" t="n">
        <x:v>85.43750836477977</x:v>
      </x:c>
      <x:c r="I468" s="24" t="n">
        <x:v>78.63602995613628</x:v>
      </x:c>
      <x:c r="J468" s="24"/>
      <x:c r="K468" s="24"/>
    </x:row>
    <x:row r="469">
      <x:c r="A469" s="24" t="n">
        <x:v>46.7</x:v>
      </x:c>
      <x:c r="B469" s="24"/>
      <x:c r="C469" s="24" t="n">
        <x:v>67.74666583827025</x:v>
      </x:c>
      <x:c r="D469" s="24" t="n">
        <x:v>60.45613935730424</x:v>
      </x:c>
      <x:c r="E469" s="24" t="n">
        <x:v>72.54400689549485</x:v>
      </x:c>
      <x:c r="F469" s="24" t="n">
        <x:v>69.29081690303795</x:v>
      </x:c>
      <x:c r="G469" s="24"/>
      <x:c r="H469" s="24" t="n">
        <x:v>79.85434076381893</x:v>
      </x:c>
      <x:c r="I469" s="24" t="n">
        <x:v>76.65925761651748</x:v>
      </x:c>
      <x:c r="J469" s="24"/>
      <x:c r="K469" s="24"/>
    </x:row>
    <x:row r="470">
      <x:c r="A470" s="24" t="n">
        <x:v>46.800000000000004</x:v>
      </x:c>
      <x:c r="B470" s="24"/>
      <x:c r="C470" s="24" t="n">
        <x:v>68.23568213609543</x:v>
      </x:c>
      <x:c r="D470" s="24" t="n">
        <x:v>50</x:v>
      </x:c>
      <x:c r="E470" s="24" t="n">
        <x:v>72.54400689549485</x:v>
      </x:c>
      <x:c r="F470" s="24" t="n">
        <x:v>68.40848972969687</x:v>
      </x:c>
      <x:c r="G470" s="24"/>
      <x:c r="H470" s="24" t="n">
        <x:v>70.91507311398303</x:v>
      </x:c>
      <x:c r="I470" s="24" t="n">
        <x:v>76.65925761651698</x:v>
      </x:c>
      <x:c r="J470" s="24"/>
      <x:c r="K470" s="24"/>
    </x:row>
    <x:row r="471">
      <x:c r="A471" s="24" t="n">
        <x:v>46.900000000000006</x:v>
      </x:c>
      <x:c r="B471" s="24"/>
      <x:c r="C471" s="24" t="n">
        <x:v>68.72438283007897</x:v>
      </x:c>
      <x:c r="D471" s="24" t="n">
        <x:v>61.35148413012655</x:v>
      </x:c>
      <x:c r="E471" s="24" t="n">
        <x:v>71.8611803592024</x:v>
      </x:c>
      <x:c r="F471" s="24" t="n">
        <x:v>57.76431939242977</x:v>
      </x:c>
      <x:c r="G471" s="24"/>
      <x:c r="H471" s="24" t="n">
        <x:v>50</x:v>
      </x:c>
      <x:c r="I471" s="24" t="n">
        <x:v>75.25487545078879</x:v>
      </x:c>
      <x:c r="J471" s="24"/>
      <x:c r="K471" s="24"/>
    </x:row>
    <x:row r="472">
      <x:c r="A472" s="24" t="n">
        <x:v>47</x:v>
      </x:c>
      <x:c r="B472" s="24"/>
      <x:c r="C472" s="24" t="n">
        <x:v>79.24623543072204</x:v>
      </x:c>
      <x:c r="D472" s="24" t="n">
        <x:v>62.90081979466099</x:v>
      </x:c>
      <x:c r="E472" s="24" t="n">
        <x:v>72.08500278120694</x:v>
      </x:c>
      <x:c r="F472" s="24" t="n">
        <x:v>57.76431939242977</x:v>
      </x:c>
      <x:c r="G472" s="24"/>
      <x:c r="H472" s="24" t="n">
        <x:v>50</x:v>
      </x:c>
      <x:c r="I472" s="24" t="n">
        <x:v>72.4642522365044</x:v>
      </x:c>
      <x:c r="J472" s="24"/>
      <x:c r="K472" s="24"/>
    </x:row>
    <x:row r="473">
      <x:c r="A473" s="24" t="n">
        <x:v>47.1</x:v>
      </x:c>
      <x:c r="B473" s="24"/>
      <x:c r="C473" s="24" t="n">
        <x:v>79.47478641132946</x:v>
      </x:c>
      <x:c r="D473" s="24" t="n">
        <x:v>63.63305665134693</x:v>
      </x:c>
      <x:c r="E473" s="24" t="n">
        <x:v>79.22868486830974</x:v>
      </x:c>
      <x:c r="F473" s="24" t="n">
        <x:v>62.916775700933094</x:v>
      </x:c>
      <x:c r="G473" s="24"/>
      <x:c r="H473" s="24" t="n">
        <x:v>60.684509196307005</x:v>
      </x:c>
      <x:c r="I473" s="24" t="n">
        <x:v>77.43662214590037</x:v>
      </x:c>
      <x:c r="J473" s="24"/>
      <x:c r="K473" s="24"/>
    </x:row>
    <x:row r="474">
      <x:c r="A474" s="24" t="n">
        <x:v>47.2</x:v>
      </x:c>
      <x:c r="B474" s="24"/>
      <x:c r="C474" s="24" t="n">
        <x:v>77.40982612934046</x:v>
      </x:c>
      <x:c r="D474" s="24" t="n">
        <x:v>63.63305665134693</x:v>
      </x:c>
      <x:c r="E474" s="24" t="n">
        <x:v>79.22868486830974</x:v>
      </x:c>
      <x:c r="F474" s="24" t="n">
        <x:v>66.39916047575323</x:v>
      </x:c>
      <x:c r="G474" s="24"/>
      <x:c r="H474" s="24" t="n">
        <x:v>68.69789109353678</x:v>
      </x:c>
      <x:c r="I474" s="24" t="n">
        <x:v>77.92125570617655</x:v>
      </x:c>
      <x:c r="J474" s="24"/>
      <x:c r="K474" s="24"/>
    </x:row>
    <x:row r="475">
      <x:c r="A475" s="24" t="n">
        <x:v>47.300000000000004</x:v>
      </x:c>
      <x:c r="B475" s="24"/>
      <x:c r="C475" s="24" t="n">
        <x:v>67.58115597828618</x:v>
      </x:c>
      <x:c r="D475" s="24" t="n">
        <x:v>62.63465747020338</x:v>
      </x:c>
      <x:c r="E475" s="24" t="n">
        <x:v>73.89181913467014</x:v>
      </x:c>
      <x:c r="F475" s="24" t="n">
        <x:v>66.39916047575323</x:v>
      </x:c>
      <x:c r="G475" s="24"/>
      <x:c r="H475" s="24" t="n">
        <x:v>73.6509228691167</x:v>
      </x:c>
      <x:c r="I475" s="24" t="n">
        <x:v>77.20343478965097</x:v>
      </x:c>
      <x:c r="J475" s="24"/>
      <x:c r="K475" s="24"/>
    </x:row>
    <x:row r="476">
      <x:c r="A476" s="24" t="n">
        <x:v>47.400000000000006</x:v>
      </x:c>
      <x:c r="B476" s="24"/>
      <x:c r="C476" s="24" t="n">
        <x:v>50</x:v>
      </x:c>
      <x:c r="D476" s="24" t="n">
        <x:v>64.09408169154126</x:v>
      </x:c>
      <x:c r="E476" s="24" t="n">
        <x:v>67.5122711232648</x:v>
      </x:c>
      <x:c r="F476" s="24" t="n">
        <x:v>66.33182863312712</x:v>
      </x:c>
      <x:c r="G476" s="24"/>
      <x:c r="H476" s="24" t="n">
        <x:v>75.81936342591163</x:v>
      </x:c>
      <x:c r="I476" s="24" t="n">
        <x:v>59.89475292332234</x:v>
      </x:c>
      <x:c r="J476" s="24"/>
      <x:c r="K476" s="24"/>
    </x:row>
    <x:row r="477">
      <x:c r="A477" s="24" t="n">
        <x:v>47.5</x:v>
      </x:c>
      <x:c r="B477" s="24"/>
      <x:c r="C477" s="24" t="n">
        <x:v>50</x:v>
      </x:c>
      <x:c r="D477" s="24" t="n">
        <x:v>64.57506496304626</x:v>
      </x:c>
      <x:c r="E477" s="24" t="n">
        <x:v>64.61214273945828</x:v>
      </x:c>
      <x:c r="F477" s="24" t="n">
        <x:v>67.29429113346885</x:v>
      </x:c>
      <x:c r="G477" s="24"/>
      <x:c r="H477" s="24" t="n">
        <x:v>75.81936342591163</x:v>
      </x:c>
      <x:c r="I477" s="24" t="n">
        <x:v>64.48990806326785</x:v>
      </x:c>
      <x:c r="J477" s="24"/>
      <x:c r="K477" s="24"/>
    </x:row>
    <x:row r="478">
      <x:c r="A478" s="24" t="n">
        <x:v>47.6</x:v>
      </x:c>
      <x:c r="B478" s="24"/>
      <x:c r="C478" s="24" t="n">
        <x:v>59.30388062000097</x:v>
      </x:c>
      <x:c r="D478" s="24" t="n">
        <x:v>64.6859285297212</x:v>
      </x:c>
      <x:c r="E478" s="24" t="n">
        <x:v>50</x:v>
      </x:c>
      <x:c r="F478" s="24" t="n">
        <x:v>67.29429113346885</x:v>
      </x:c>
      <x:c r="G478" s="24"/>
      <x:c r="H478" s="24" t="n">
        <x:v>65.04452980358718</x:v>
      </x:c>
      <x:c r="I478" s="24" t="n">
        <x:v>68.96050211138368</x:v>
      </x:c>
      <x:c r="J478" s="24"/>
      <x:c r="K478" s="24"/>
    </x:row>
    <x:row r="479">
      <x:c r="A479" s="24" t="n">
        <x:v>47.7</x:v>
      </x:c>
      <x:c r="B479" s="24"/>
      <x:c r="C479" s="24" t="n">
        <x:v>62.80423519986093</x:v>
      </x:c>
      <x:c r="D479" s="24" t="n">
        <x:v>66.39533856839518</x:v>
      </x:c>
      <x:c r="E479" s="24" t="n">
        <x:v>50</x:v>
      </x:c>
      <x:c r="F479" s="24" t="n">
        <x:v>66.25416311188971</x:v>
      </x:c>
      <x:c r="G479" s="24"/>
      <x:c r="H479" s="24" t="n">
        <x:v>71.98147402212136</x:v>
      </x:c>
      <x:c r="I479" s="24" t="n">
        <x:v>68.96050211138368</x:v>
      </x:c>
      <x:c r="J479" s="24"/>
      <x:c r="K479" s="24"/>
    </x:row>
    <x:row r="480">
      <x:c r="A480" s="24" t="n">
        <x:v>47.800000000000004</x:v>
      </x:c>
      <x:c r="B480" s="24"/>
      <x:c r="C480" s="24" t="n">
        <x:v>62.80423519986093</x:v>
      </x:c>
      <x:c r="D480" s="24" t="n">
        <x:v>66.39533856839518</x:v>
      </x:c>
      <x:c r="E480" s="24" t="n">
        <x:v>56.15863730371188</x:v>
      </x:c>
      <x:c r="F480" s="24" t="n">
        <x:v>66.70829191012014</x:v>
      </x:c>
      <x:c r="G480" s="24"/>
      <x:c r="H480" s="24" t="n">
        <x:v>74.91727553069849</x:v>
      </x:c>
      <x:c r="I480" s="24" t="n">
        <x:v>70.1148642705103</x:v>
      </x:c>
      <x:c r="J480" s="24"/>
      <x:c r="K480" s="24"/>
    </x:row>
    <x:row r="481">
      <x:c r="A481" s="24" t="n">
        <x:v>47.900000000000006</x:v>
      </x:c>
      <x:c r="B481" s="24"/>
      <x:c r="C481" s="24" t="n">
        <x:v>61.04858185738375</x:v>
      </x:c>
      <x:c r="D481" s="24" t="n">
        <x:v>65.88709787712948</x:v>
      </x:c>
      <x:c r="E481" s="24" t="n">
        <x:v>71.552632139289</x:v>
      </x:c>
      <x:c r="F481" s="24" t="n">
        <x:v>67.77782924730164</x:v>
      </x:c>
      <x:c r="G481" s="24"/>
      <x:c r="H481" s="24" t="n">
        <x:v>74.91727553069849</x:v>
      </x:c>
      <x:c r="I481" s="24" t="n">
        <x:v>70.2644026150032</x:v>
      </x:c>
      <x:c r="J481" s="24"/>
      <x:c r="K481" s="24"/>
    </x:row>
    <x:row r="482">
      <x:c r="A482" s="24" t="n">
        <x:v>48</x:v>
      </x:c>
      <x:c r="B482" s="24"/>
      <x:c r="C482" s="24" t="n">
        <x:v>51.64015699133739</x:v>
      </x:c>
      <x:c r="D482" s="24" t="n">
        <x:v>65.88709787712948</x:v>
      </x:c>
      <x:c r="E482" s="24" t="n">
        <x:v>72.47535476205438</x:v>
      </x:c>
      <x:c r="F482" s="24" t="n">
        <x:v>67.77782924730164</x:v>
      </x:c>
      <x:c r="G482" s="24"/>
      <x:c r="H482" s="24" t="n">
        <x:v>74.84208656420313</x:v>
      </x:c>
      <x:c r="I482" s="24" t="n">
        <x:v>70.2644026150032</x:v>
      </x:c>
      <x:c r="J482" s="24"/>
      <x:c r="K482" s="24"/>
    </x:row>
    <x:row r="483">
      <x:c r="A483" s="24" t="n">
        <x:v>48.1</x:v>
      </x:c>
      <x:c r="B483" s="24"/>
      <x:c r="C483" s="24" t="n">
        <x:v>50</x:v>
      </x:c>
      <x:c r="D483" s="24" t="n">
        <x:v>85.75507562541748</x:v>
      </x:c>
      <x:c r="E483" s="24" t="n">
        <x:v>76.85425169642306</x:v>
      </x:c>
      <x:c r="F483" s="24" t="n">
        <x:v>66.93237509996865</x:v>
      </x:c>
      <x:c r="G483" s="24"/>
      <x:c r="H483" s="24" t="n">
        <x:v>74.3057598522731</x:v>
      </x:c>
      <x:c r="I483" s="24" t="n">
        <x:v>71.09653409293018</x:v>
      </x:c>
      <x:c r="J483" s="24"/>
      <x:c r="K483" s="24"/>
    </x:row>
    <x:row r="484">
      <x:c r="A484" s="24" t="n">
        <x:v>48.2</x:v>
      </x:c>
      <x:c r="B484" s="24"/>
      <x:c r="C484" s="24" t="n">
        <x:v>74.01836784255597</x:v>
      </x:c>
      <x:c r="D484" s="24" t="n">
        <x:v>85.75507562541748</x:v>
      </x:c>
      <x:c r="E484" s="24" t="n">
        <x:v>76.85425169642306</x:v>
      </x:c>
      <x:c r="F484" s="24" t="n">
        <x:v>60.27069061356975</x:v>
      </x:c>
      <x:c r="G484" s="24"/>
      <x:c r="H484" s="24" t="n">
        <x:v>77.10295360247714</x:v>
      </x:c>
      <x:c r="I484" s="24" t="n">
        <x:v>71.3555781912606</x:v>
      </x:c>
      <x:c r="J484" s="24"/>
      <x:c r="K484" s="24"/>
    </x:row>
    <x:row r="485">
      <x:c r="A485" s="24" t="n">
        <x:v>48.300000000000004</x:v>
      </x:c>
      <x:c r="B485" s="24"/>
      <x:c r="C485" s="24" t="n">
        <x:v>74.86197781217324</x:v>
      </x:c>
      <x:c r="D485" s="24" t="n">
        <x:v>77.67328002717225</x:v>
      </x:c>
      <x:c r="E485" s="24" t="n">
        <x:v>72.13604877342024</x:v>
      </x:c>
      <x:c r="F485" s="24" t="n">
        <x:v>79.60842934803121</x:v>
      </x:c>
      <x:c r="G485" s="24"/>
      <x:c r="H485" s="24" t="n">
        <x:v>77.28937665226528</x:v>
      </x:c>
      <x:c r="I485" s="24" t="n">
        <x:v>88.26235379662623</x:v>
      </x:c>
      <x:c r="J485" s="24"/>
      <x:c r="K485" s="24"/>
    </x:row>
    <x:row r="486">
      <x:c r="A486" s="24" t="n">
        <x:v>48.400000000000006</x:v>
      </x:c>
      <x:c r="B486" s="24"/>
      <x:c r="C486" s="24" t="n">
        <x:v>74.05310403452256</x:v>
      </x:c>
      <x:c r="D486" s="24" t="n">
        <x:v>70.22766549940013</x:v>
      </x:c>
      <x:c r="E486" s="24" t="n">
        <x:v>66.6636699745654</x:v>
      </x:c>
      <x:c r="F486" s="24" t="n">
        <x:v>79.60842934803121</x:v>
      </x:c>
      <x:c r="G486" s="24"/>
      <x:c r="H486" s="24" t="n">
        <x:v>76.9885403983998</x:v>
      </x:c>
      <x:c r="I486" s="24" t="n">
        <x:v>88.26235379662623</x:v>
      </x:c>
      <x:c r="J486" s="24"/>
      <x:c r="K486" s="24"/>
    </x:row>
    <x:row r="487">
      <x:c r="A487" s="24" t="n">
        <x:v>48.5</x:v>
      </x:c>
      <x:c r="B487" s="24"/>
      <x:c r="C487" s="24" t="n">
        <x:v>67.83869903729966</x:v>
      </x:c>
      <x:c r="D487" s="24" t="n">
        <x:v>65.39430112722741</x:v>
      </x:c>
      <x:c r="E487" s="24" t="n">
        <x:v>63.66984795216706</x:v>
      </x:c>
      <x:c r="F487" s="24" t="n">
        <x:v>75.20580522388073</x:v>
      </x:c>
      <x:c r="G487" s="24"/>
      <x:c r="H487" s="24" t="n">
        <x:v>76.93621972670805</x:v>
      </x:c>
      <x:c r="I487" s="24" t="n">
        <x:v>84.31833428052278</x:v>
      </x:c>
      <x:c r="J487" s="24"/>
      <x:c r="K487" s="24"/>
    </x:row>
    <x:row r="488">
      <x:c r="A488" s="24" t="n">
        <x:v>48.6</x:v>
      </x:c>
      <x:c r="B488" s="24"/>
      <x:c r="C488" s="24" t="n">
        <x:v>63.69599338619631</x:v>
      </x:c>
      <x:c r="D488" s="24" t="n">
        <x:v>59.645154654329396</x:v>
      </x:c>
      <x:c r="E488" s="24" t="n">
        <x:v>65.8046186412513</x:v>
      </x:c>
      <x:c r="F488" s="24" t="n">
        <x:v>65.57450117926567</x:v>
      </x:c>
      <x:c r="G488" s="24"/>
      <x:c r="H488" s="24" t="n">
        <x:v>76.60214984033777</x:v>
      </x:c>
      <x:c r="I488" s="24" t="n">
        <x:v>74.40883212919493</x:v>
      </x:c>
      <x:c r="J488" s="24"/>
      <x:c r="K488" s="24"/>
    </x:row>
    <x:row r="489">
      <x:c r="A489" s="24" t="n">
        <x:v>48.7</x:v>
      </x:c>
      <x:c r="B489" s="24"/>
      <x:c r="C489" s="24" t="n">
        <x:v>66.19674254802815</x:v>
      </x:c>
      <x:c r="D489" s="24" t="n">
        <x:v>57.68958142760468</x:v>
      </x:c>
      <x:c r="E489" s="24" t="n">
        <x:v>66.1127045430617</x:v>
      </x:c>
      <x:c r="F489" s="24" t="n">
        <x:v>52.57537711715547</x:v>
      </x:c>
      <x:c r="G489" s="24"/>
      <x:c r="H489" s="24" t="n">
        <x:v>75.67167184250623</x:v>
      </x:c>
      <x:c r="I489" s="24" t="n">
        <x:v>69.51705766011588</x:v>
      </x:c>
      <x:c r="J489" s="24"/>
      <x:c r="K489" s="24"/>
    </x:row>
    <x:row r="490">
      <x:c r="A490" s="24" t="n">
        <x:v>48.800000000000004</x:v>
      </x:c>
      <x:c r="B490" s="24"/>
      <x:c r="C490" s="24" t="n">
        <x:v>68.56920246101313</x:v>
      </x:c>
      <x:c r="D490" s="24" t="n">
        <x:v>57.331719976706296</x:v>
      </x:c>
      <x:c r="E490" s="24" t="n">
        <x:v>68.21241199006894</x:v>
      </x:c>
      <x:c r="F490" s="24" t="n">
        <x:v>50</x:v>
      </x:c>
      <x:c r="G490" s="24"/>
      <x:c r="H490" s="24" t="n">
        <x:v>75.04628748681073</x:v>
      </x:c>
      <x:c r="I490" s="24" t="n">
        <x:v>50.000000000005436</x:v>
      </x:c>
      <x:c r="J490" s="24"/>
      <x:c r="K490" s="24"/>
    </x:row>
    <x:row r="491">
      <x:c r="A491" s="24" t="n">
        <x:v>48.900000000000006</x:v>
      </x:c>
      <x:c r="B491" s="24"/>
      <x:c r="C491" s="24" t="n">
        <x:v>68.69258786473614</x:v>
      </x:c>
      <x:c r="D491" s="24" t="n">
        <x:v>63.394574290383005</x:v>
      </x:c>
      <x:c r="E491" s="24" t="n">
        <x:v>68.21241199006894</x:v>
      </x:c>
      <x:c r="F491" s="24" t="n">
        <x:v>50</x:v>
      </x:c>
      <x:c r="G491" s="24"/>
      <x:c r="H491" s="24" t="n">
        <x:v>73.36145612779453</x:v>
      </x:c>
      <x:c r="I491" s="24" t="n">
        <x:v>68.47587046796659</x:v>
      </x:c>
      <x:c r="J491" s="24"/>
      <x:c r="K491" s="24"/>
    </x:row>
    <x:row r="492">
      <x:c r="A492" s="24" t="n">
        <x:v>49</x:v>
      </x:c>
      <x:c r="B492" s="24"/>
      <x:c r="C492" s="24" t="n">
        <x:v>68.76082215553826</x:v>
      </x:c>
      <x:c r="D492" s="24" t="n">
        <x:v>63.394574290383005</x:v>
      </x:c>
      <x:c r="E492" s="24" t="n">
        <x:v>67.63692501566007</x:v>
      </x:c>
      <x:c r="F492" s="24" t="n">
        <x:v>53.23527631486305</x:v>
      </x:c>
      <x:c r="G492" s="24"/>
      <x:c r="H492" s="24" t="n">
        <x:v>84.02725550354644</x:v>
      </x:c>
      <x:c r="I492" s="24" t="n">
        <x:v>70.16777801859652</x:v>
      </x:c>
      <x:c r="J492" s="24"/>
      <x:c r="K492" s="24"/>
    </x:row>
    <x:row r="493">
      <x:c r="A493" s="24" t="n">
        <x:v>49.1</x:v>
      </x:c>
      <x:c r="B493" s="24"/>
      <x:c r="C493" s="24" t="n">
        <x:v>68.76082215553826</x:v>
      </x:c>
      <x:c r="D493" s="24" t="n">
        <x:v>53.90534115954349</x:v>
      </x:c>
      <x:c r="E493" s="24" t="n">
        <x:v>67.73511918752573</x:v>
      </x:c>
      <x:c r="F493" s="24" t="n">
        <x:v>58.08819078715792</x:v>
      </x:c>
      <x:c r="G493" s="24"/>
      <x:c r="H493" s="24" t="n">
        <x:v>84.03659604226854</x:v>
      </x:c>
      <x:c r="I493" s="24" t="n">
        <x:v>76.83580435505127</x:v>
      </x:c>
      <x:c r="J493" s="24"/>
      <x:c r="K493" s="24"/>
    </x:row>
    <x:row r="494">
      <x:c r="A494" s="24" t="n">
        <x:v>49.2</x:v>
      </x:c>
      <x:c r="B494" s="24"/>
      <x:c r="C494" s="24" t="n">
        <x:v>66.98000593125172</x:v>
      </x:c>
      <x:c r="D494" s="24" t="n">
        <x:v>60.78251953335727</x:v>
      </x:c>
      <x:c r="E494" s="24" t="n">
        <x:v>68.38271559806601</x:v>
      </x:c>
      <x:c r="F494" s="24" t="n">
        <x:v>64.49458294731926</x:v>
      </x:c>
      <x:c r="G494" s="24"/>
      <x:c r="H494" s="24" t="n">
        <x:v>81.88171783328832</x:v>
      </x:c>
      <x:c r="I494" s="24" t="n">
        <x:v>76.83580435505127</x:v>
      </x:c>
      <x:c r="J494" s="24"/>
      <x:c r="K494" s="24"/>
    </x:row>
    <x:row r="495">
      <x:c r="A495" s="24" t="n">
        <x:v>49.300000000000004</x:v>
      </x:c>
      <x:c r="B495" s="24"/>
      <x:c r="C495" s="24" t="n">
        <x:v>68.49162357987217</x:v>
      </x:c>
      <x:c r="D495" s="24" t="n">
        <x:v>71.09828709407549</x:v>
      </x:c>
      <x:c r="E495" s="24" t="n">
        <x:v>69.38752559499221</x:v>
      </x:c>
      <x:c r="F495" s="24" t="n">
        <x:v>67.61904992553974</x:v>
      </x:c>
      <x:c r="G495" s="24"/>
      <x:c r="H495" s="24" t="n">
        <x:v>71.29886823874854</x:v>
      </x:c>
      <x:c r="I495" s="24" t="n">
        <x:v>50</x:v>
      </x:c>
      <x:c r="J495" s="24"/>
      <x:c r="K495" s="24"/>
    </x:row>
    <x:row r="496">
      <x:c r="A496" s="24" t="n">
        <x:v>49.400000000000006</x:v>
      </x:c>
      <x:c r="B496" s="24"/>
      <x:c r="C496" s="24" t="n">
        <x:v>68.49162357987217</x:v>
      </x:c>
      <x:c r="D496" s="24" t="n">
        <x:v>71.09828709407547</x:v>
      </x:c>
      <x:c r="E496" s="24" t="n">
        <x:v>86.73382777319605</x:v>
      </x:c>
      <x:c r="F496" s="24" t="n">
        <x:v>67.61904992553974</x:v>
      </x:c>
      <x:c r="G496" s="24"/>
      <x:c r="H496" s="24" t="n">
        <x:v>51.37640399892957</x:v>
      </x:c>
      <x:c r="I496" s="24" t="n">
        <x:v>66.14256751448893</x:v>
      </x:c>
      <x:c r="J496" s="24"/>
      <x:c r="K496" s="24"/>
    </x:row>
    <x:row r="497">
      <x:c r="A497" s="24" t="n">
        <x:v>49.5</x:v>
      </x:c>
      <x:c r="B497" s="24"/>
      <x:c r="C497" s="24" t="n">
        <x:v>67.81524477006514</x:v>
      </x:c>
      <x:c r="D497" s="24" t="n">
        <x:v>64.75994798817305</x:v>
      </x:c>
      <x:c r="E497" s="24" t="n">
        <x:v>86.73382777319605</x:v>
      </x:c>
      <x:c r="F497" s="24" t="n">
        <x:v>59.580066886615114</x:v>
      </x:c>
      <x:c r="G497" s="24"/>
      <x:c r="H497" s="24" t="n">
        <x:v>58.25842399357596</x:v>
      </x:c>
      <x:c r="I497" s="24" t="n">
        <x:v>72.03990066614395</x:v>
      </x:c>
      <x:c r="J497" s="24"/>
      <x:c r="K497" s="24"/>
    </x:row>
    <x:row r="498">
      <x:c r="A498" s="24" t="n">
        <x:v>49.6</x:v>
      </x:c>
      <x:c r="B498" s="24"/>
      <x:c r="C498" s="24" t="n">
        <x:v>66.80562800175328</x:v>
      </x:c>
      <x:c r="D498" s="24" t="n">
        <x:v>51.88180101764843</x:v>
      </x:c>
      <x:c r="E498" s="24" t="n">
        <x:v>83.57363126924432</x:v>
      </x:c>
      <x:c r="F498" s="24" t="n">
        <x:v>56.94969112261571</x:v>
      </x:c>
      <x:c r="G498" s="24"/>
      <x:c r="H498" s="24" t="n">
        <x:v>65.14044398822284</x:v>
      </x:c>
      <x:c r="I498" s="24" t="n">
        <x:v>72.03990066614395</x:v>
      </x:c>
      <x:c r="J498" s="24"/>
      <x:c r="K498" s="24"/>
    </x:row>
    <x:row r="499">
      <x:c r="A499" s="24" t="n">
        <x:v>49.7</x:v>
      </x:c>
      <x:c r="B499" s="24"/>
      <x:c r="C499" s="24" t="n">
        <x:v>66.80562800175328</x:v>
      </x:c>
      <x:c r="D499" s="24" t="n">
        <x:v>60.906545866563555</x:v>
      </x:c>
      <x:c r="E499" s="24" t="n">
        <x:v>74.69310143679354</x:v>
      </x:c>
      <x:c r="F499" s="24" t="n">
        <x:v>64.00620413400752</x:v>
      </x:c>
      <x:c r="G499" s="24"/>
      <x:c r="H499" s="24" t="n">
        <x:v>70.64605998394015</x:v>
      </x:c>
      <x:c r="I499" s="24" t="n">
        <x:v>71.80302793836466</x:v>
      </x:c>
      <x:c r="J499" s="24"/>
      <x:c r="K499" s="24"/>
    </x:row>
    <x:row r="500">
      <x:c r="A500" s="24" t="n">
        <x:v>49.800000000000004</x:v>
      </x:c>
      <x:c r="B500" s="24"/>
      <x:c r="C500" s="24" t="n">
        <x:v>65.84491896381277</x:v>
      </x:c>
      <x:c r="D500" s="24" t="n">
        <x:v>64.13677962970107</x:v>
      </x:c>
      <x:c r="E500" s="24" t="n">
        <x:v>69.17894778723162</x:v>
      </x:c>
      <x:c r="F500" s="24" t="n">
        <x:v>65.08577420433276</x:v>
      </x:c>
      <x:c r="G500" s="24"/>
      <x:c r="H500" s="24" t="n">
        <x:v>70.64605998394138</x:v>
      </x:c>
      <x:c r="I500" s="24" t="n">
        <x:v>70.24320129207214</x:v>
      </x:c>
      <x:c r="J500" s="24"/>
      <x:c r="K500" s="24"/>
    </x:row>
    <x:row r="501">
      <x:c r="A501" s="24" t="n">
        <x:v>49.900000000000006</x:v>
      </x:c>
      <x:c r="B501" s="24"/>
      <x:c r="C501" s="24" t="n">
        <x:v>68.3642303590411</x:v>
      </x:c>
      <x:c r="D501" s="24" t="n">
        <x:v>64.13677962970107</x:v>
      </x:c>
      <x:c r="E501" s="24" t="n">
        <x:v>62.58237891557874</x:v>
      </x:c>
      <x:c r="F501" s="24" t="n">
        <x:v>65.0857742043326</x:v>
      </x:c>
      <x:c r="G501" s="24"/>
      <x:c r="H501" s="24" t="n">
        <x:v>77.06630981055866</x:v>
      </x:c>
      <x:c r="I501" s="24" t="n">
        <x:v>70.23061543126113</x:v>
      </x:c>
      <x:c r="J501" s="24"/>
      <x:c r="K501" s="24"/>
    </x:row>
    <x:row r="502">
      <x:c r="A502" s="24" t="n">
        <x:v>50</x:v>
      </x:c>
      <x:c r="B502" s="24"/>
      <x:c r="C502" s="24" t="n">
        <x:v>75.76275062159147</x:v>
      </x:c>
      <x:c r="D502" s="24" t="n">
        <x:v>64.7332279127355</x:v>
      </x:c>
      <x:c r="E502" s="24" t="n">
        <x:v>66.74562235200804</x:v>
      </x:c>
      <x:c r="F502" s="24" t="n">
        <x:v>66.04678464791732</x:v>
      </x:c>
      <x:c r="G502" s="24"/>
      <x:c r="H502" s="24" t="n">
        <x:v>77.06630981055866</x:v>
      </x:c>
      <x:c r="I502" s="24" t="n">
        <x:v>70.3920740850467</x:v>
      </x:c>
      <x:c r="J502" s="24"/>
      <x:c r="K502" s="24"/>
    </x:row>
    <x:row r="503">
      <x:c r="A503" s="24" t="n">
        <x:v>50.1</x:v>
      </x:c>
      <x:c r="B503" s="24"/>
      <x:c r="C503" s="24" t="n">
        <x:v>75.76275062159147</x:v>
      </x:c>
      <x:c r="D503" s="24" t="n">
        <x:v>65.46914544092228</x:v>
      </x:c>
      <x:c r="E503" s="24" t="n">
        <x:v>66.74562235200804</x:v>
      </x:c>
      <x:c r="F503" s="24" t="n">
        <x:v>66.68671209292326</x:v>
      </x:c>
      <x:c r="G503" s="24"/>
      <x:c r="H503" s="24" t="n">
        <x:v>71.76743309487736</x:v>
      </x:c>
      <x:c r="I503" s="24" t="n">
        <x:v>72.13629624231315</x:v>
      </x:c>
      <x:c r="J503" s="24"/>
      <x:c r="K503" s="24"/>
    </x:row>
    <x:row r="504">
      <x:c r="A504" s="24" t="n">
        <x:v>50.2</x:v>
      </x:c>
      <x:c r="B504" s="24"/>
      <x:c r="C504" s="24" t="n">
        <x:v>64.54547266162687</x:v>
      </x:c>
      <x:c r="D504" s="24" t="n">
        <x:v>65.46914544092228</x:v>
      </x:c>
      <x:c r="E504" s="24" t="n">
        <x:v>65.06970598740902</x:v>
      </x:c>
      <x:c r="F504" s="24" t="n">
        <x:v>67.16997734656566</x:v>
      </x:c>
      <x:c r="G504" s="24"/>
      <x:c r="H504" s="24" t="n">
        <x:v>74.7793269355067</x:v>
      </x:c>
      <x:c r="I504" s="24" t="n">
        <x:v>88.78808513275504</x:v>
      </x:c>
      <x:c r="J504" s="24"/>
      <x:c r="K504" s="24"/>
    </x:row>
    <x:row r="505">
      <x:c r="A505" s="24" t="n">
        <x:v>50.300000000000004</x:v>
      </x:c>
      <x:c r="B505" s="24"/>
      <x:c r="C505" s="24" t="n">
        <x:v>59.85812477398551</x:v>
      </x:c>
      <x:c r="D505" s="24" t="n">
        <x:v>66.5616496460559</x:v>
      </x:c>
      <x:c r="E505" s="24" t="n">
        <x:v>70.84473799253189</x:v>
      </x:c>
      <x:c r="F505" s="24" t="n">
        <x:v>67.16997734656547</x:v>
      </x:c>
      <x:c r="G505" s="24"/>
      <x:c r="H505" s="24" t="n">
        <x:v>75.69724519560546</x:v>
      </x:c>
      <x:c r="I505" s="24" t="n">
        <x:v>89.31359549543852</x:v>
      </x:c>
      <x:c r="J505" s="24"/>
      <x:c r="K505" s="24"/>
    </x:row>
    <x:row r="506">
      <x:c r="A506" s="24" t="n">
        <x:v>50.400000000000006</x:v>
      </x:c>
      <x:c r="B506" s="24"/>
      <x:c r="C506" s="24" t="n">
        <x:v>61.511228416968876</x:v>
      </x:c>
      <x:c r="D506" s="24" t="n">
        <x:v>66.5616496460559</x:v>
      </x:c>
      <x:c r="E506" s="24" t="n">
        <x:v>75.74376276545887</x:v>
      </x:c>
      <x:c r="F506" s="24" t="n">
        <x:v>66.86146271500809</x:v>
      </x:c>
      <x:c r="G506" s="24"/>
      <x:c r="H506" s="24" t="n">
        <x:v>75.92674945964418</x:v>
      </x:c>
      <x:c r="I506" s="24" t="n">
        <x:v>87.91774090530448</x:v>
      </x:c>
      <x:c r="J506" s="24"/>
      <x:c r="K506" s="24"/>
    </x:row>
    <x:row r="507">
      <x:c r="A507" s="24" t="n">
        <x:v>50.5</x:v>
      </x:c>
      <x:c r="B507" s="24"/>
      <x:c r="C507" s="24" t="n">
        <x:v>63.617434011533575</x:v>
      </x:c>
      <x:c r="D507" s="24" t="n">
        <x:v>65.76301131754539</x:v>
      </x:c>
      <x:c r="E507" s="24" t="n">
        <x:v>75.74376276545887</x:v>
      </x:c>
      <x:c r="F507" s="24" t="n">
        <x:v>66.86146271500809</x:v>
      </x:c>
      <x:c r="G507" s="24"/>
      <x:c r="H507" s="24" t="n">
        <x:v>75.50276033489378</x:v>
      </x:c>
      <x:c r="I507" s="24" t="n">
        <x:v>78.238018975063</x:v>
      </x:c>
      <x:c r="J507" s="24"/>
      <x:c r="K507" s="24"/>
    </x:row>
    <x:row r="508">
      <x:c r="A508" s="24" t="n">
        <x:v>50.6</x:v>
      </x:c>
      <x:c r="B508" s="24"/>
      <x:c r="C508" s="24" t="n">
        <x:v>63.617434011533575</x:v>
      </x:c>
      <x:c r="D508" s="24" t="n">
        <x:v>65.76301131754539</x:v>
      </x:c>
      <x:c r="E508" s="24" t="n">
        <x:v>71.87543272505565</x:v>
      </x:c>
      <x:c r="F508" s="24" t="n">
        <x:v>66.61258780552045</x:v>
      </x:c>
      <x:c r="G508" s="24"/>
      <x:c r="H508" s="24" t="n">
        <x:v>75.84191035438252</x:v>
      </x:c>
      <x:c r="I508" s="24" t="n">
        <x:v>70.97129420046758</x:v>
      </x:c>
      <x:c r="J508" s="24"/>
      <x:c r="K508" s="24"/>
    </x:row>
    <x:row r="509">
      <x:c r="A509" s="24" t="n">
        <x:v>50.7</x:v>
      </x:c>
      <x:c r="B509" s="24"/>
      <x:c r="C509" s="24" t="n">
        <x:v>59.721314700518434</x:v>
      </x:c>
      <x:c r="D509" s="24" t="n">
        <x:v>66.2687156515559</x:v>
      </x:c>
      <x:c r="E509" s="24" t="n">
        <x:v>69.12304236208531</x:v>
      </x:c>
      <x:c r="F509" s="24" t="n">
        <x:v>62.701477040746965</x:v>
      </x:c>
      <x:c r="G509" s="24"/>
      <x:c r="H509" s="24" t="n">
        <x:v>75.84191035438252</x:v>
      </x:c>
      <x:c r="I509" s="24" t="n">
        <x:v>67.49505684242975</x:v>
      </x:c>
      <x:c r="J509" s="24"/>
      <x:c r="K509" s="24"/>
    </x:row>
    <x:row r="510">
      <x:c r="A510" s="24" t="n">
        <x:v>50.800000000000004</x:v>
      </x:c>
      <x:c r="B510" s="24"/>
      <x:c r="C510" s="24" t="n">
        <x:v>51.94426294010327</x:v>
      </x:c>
      <x:c r="D510" s="24" t="n">
        <x:v>67.02890867014398</x:v>
      </x:c>
      <x:c r="E510" s="24" t="n">
        <x:v>67.97003443302724</x:v>
      </x:c>
      <x:c r="F510" s="24" t="n">
        <x:v>60.50474793188512</x:v>
      </x:c>
      <x:c r="G510" s="24"/>
      <x:c r="H510" s="24" t="n">
        <x:v>77.05310856870922</x:v>
      </x:c>
      <x:c r="I510" s="24" t="n">
        <x:v>63.35847154317647</x:v>
      </x:c>
      <x:c r="J510" s="24"/>
      <x:c r="K510" s="24"/>
    </x:row>
    <x:row r="511">
      <x:c r="A511" s="24" t="n">
        <x:v>50.900000000000006</x:v>
      </x:c>
      <x:c r="B511" s="24"/>
      <x:c r="C511" s="24" t="n">
        <x:v>50</x:v>
      </x:c>
      <x:c r="D511" s="24" t="n">
        <x:v>66.06956611292725</x:v>
      </x:c>
      <x:c r="E511" s="24" t="n">
        <x:v>68.97711047169221</x:v>
      </x:c>
      <x:c r="F511" s="24" t="n">
        <x:v>59.7274712657838</x:v>
      </x:c>
      <x:c r="G511" s="24"/>
      <x:c r="H511" s="24" t="n">
        <x:v>77.05310856870922</x:v>
      </x:c>
      <x:c r="I511" s="24" t="n">
        <x:v>63.01821672191087</x:v>
      </x:c>
      <x:c r="J511" s="24"/>
      <x:c r="K511" s="24"/>
    </x:row>
    <x:row r="512">
      <x:c r="A512" s="24" t="n">
        <x:v>51</x:v>
      </x:c>
      <x:c r="B512" s="24"/>
      <x:c r="C512" s="24" t="n">
        <x:v>50</x:v>
      </x:c>
      <x:c r="D512" s="24" t="n">
        <x:v>81.45558182044047</x:v>
      </x:c>
      <x:c r="E512" s="24" t="n">
        <x:v>69.45769644637762</x:v>
      </x:c>
      <x:c r="F512" s="24" t="n">
        <x:v>74.86030441211005</x:v>
      </x:c>
      <x:c r="G512" s="24"/>
      <x:c r="H512" s="24" t="n">
        <x:v>75.75053706703847</x:v>
      </x:c>
      <x:c r="I512" s="24" t="n">
        <x:v>68.31678212911783</x:v>
      </x:c>
      <x:c r="J512" s="24"/>
      <x:c r="K512" s="24"/>
    </x:row>
    <x:row r="513">
      <x:c r="A513" s="24" t="n">
        <x:v>51.1</x:v>
      </x:c>
      <x:c r="B513" s="24"/>
      <x:c r="C513" s="24" t="n">
        <x:v>64.10079340432078</x:v>
      </x:c>
      <x:c r="D513" s="24" t="n">
        <x:v>81.88660435970328</x:v>
      </x:c>
      <x:c r="E513" s="24" t="n">
        <x:v>69.48258953211302</x:v>
      </x:c>
      <x:c r="F513" s="24" t="n">
        <x:v>76.38052676496713</x:v>
      </x:c>
      <x:c r="G513" s="24"/>
      <x:c r="H513" s="24" t="n">
        <x:v>76.56459940028407</x:v>
      </x:c>
      <x:c r="I513" s="24" t="n">
        <x:v>77.94667785670877</x:v>
      </x:c>
      <x:c r="J513" s="24"/>
      <x:c r="K513" s="24"/>
    </x:row>
    <x:row r="514">
      <x:c r="A514" s="24" t="n">
        <x:v>51.2</x:v>
      </x:c>
      <x:c r="B514" s="24"/>
      <x:c r="C514" s="24" t="n">
        <x:v>73.211877082747</x:v>
      </x:c>
      <x:c r="D514" s="24" t="n">
        <x:v>80.54055565845255</x:v>
      </x:c>
      <x:c r="E514" s="24"/>
      <x:c r="F514" s="24" t="n">
        <x:v>76.38052676496713</x:v>
      </x:c>
      <x:c r="G514" s="24"/>
      <x:c r="H514" s="24" t="n">
        <x:v>76.56459940028407</x:v>
      </x:c>
      <x:c r="I514" s="24" t="n">
        <x:v>77.94667785670877</x:v>
      </x:c>
      <x:c r="J514" s="24"/>
      <x:c r="K514" s="24"/>
    </x:row>
    <x:row r="515">
      <x:c r="A515" s="24" t="n">
        <x:v>51.300000000000004</x:v>
      </x:c>
      <x:c r="B515" s="24"/>
      <x:c r="C515" s="24" t="n">
        <x:v>73.211877082747</x:v>
      </x:c>
      <x:c r="D515" s="24" t="n">
        <x:v>69.98528282374293</x:v>
      </x:c>
      <x:c r="E515" s="24"/>
      <x:c r="F515" s="24" t="n">
        <x:v>65.84089334648986</x:v>
      </x:c>
      <x:c r="G515" s="24"/>
      <x:c r="H515" s="24" t="n">
        <x:v>72.8851884722174</x:v>
      </x:c>
      <x:c r="I515" s="24" t="n">
        <x:v>70.97085116510327</x:v>
      </x:c>
      <x:c r="J515" s="24"/>
      <x:c r="K515" s="24"/>
    </x:row>
    <x:row r="516">
      <x:c r="A516" s="24" t="n">
        <x:v>51.400000000000006</x:v>
      </x:c>
      <x:c r="B516" s="24"/>
      <x:c r="C516" s="24" t="n">
        <x:v>72.29319333742443</x:v>
      </x:c>
      <x:c r="D516" s="24" t="n">
        <x:v>64.38477819522902</x:v>
      </x:c>
      <x:c r="E516" s="24"/>
      <x:c r="F516" s="24" t="n">
        <x:v>61.86351564064679</x:v>
      </x:c>
      <x:c r="G516" s="24"/>
      <x:c r="H516" s="24" t="n">
        <x:v>68.80028774656314</x:v>
      </x:c>
      <x:c r="I516" s="24" t="n">
        <x:v>67.14688366775123</x:v>
      </x:c>
      <x:c r="J516" s="24"/>
      <x:c r="K516" s="24"/>
    </x:row>
    <x:row r="517">
      <x:c r="A517" s="24" t="n">
        <x:v>51.5</x:v>
      </x:c>
      <x:c r="B517" s="24"/>
      <x:c r="C517" s="24" t="n">
        <x:v>65.86646001577526</x:v>
      </x:c>
      <x:c r="D517" s="24" t="n">
        <x:v>58.38011049132822</x:v>
      </x:c>
      <x:c r="E517" s="24"/>
      <x:c r="F517" s="24" t="n">
        <x:v>61.13221789409398</x:v>
      </x:c>
      <x:c r="G517" s="24"/>
      <x:c r="H517" s="24" t="n">
        <x:v>73.89821183890031</x:v>
      </x:c>
      <x:c r="I517" s="24" t="n">
        <x:v>72.34445013561164</x:v>
      </x:c>
      <x:c r="J517" s="24"/>
      <x:c r="K517" s="24"/>
    </x:row>
    <x:row r="518">
      <x:c r="A518" s="24" t="n">
        <x:v>51.6</x:v>
      </x:c>
      <x:c r="B518" s="24"/>
      <x:c r="C518" s="24" t="n">
        <x:v>63.98136784256354</x:v>
      </x:c>
      <x:c r="D518" s="24" t="n">
        <x:v>54.570969358906225</x:v>
      </x:c>
      <x:c r="E518" s="24"/>
      <x:c r="F518" s="24" t="n">
        <x:v>60.40092014754112</x:v>
      </x:c>
      <x:c r="G518" s="24"/>
      <x:c r="H518" s="24" t="n">
        <x:v>82.85125305475447</x:v>
      </x:c>
      <x:c r="I518" s="24" t="n">
        <x:v>72.88277062031392</x:v>
      </x:c>
      <x:c r="J518" s="24"/>
      <x:c r="K518" s="24"/>
    </x:row>
    <x:row r="519">
      <x:c r="A519" s="24" t="n">
        <x:v>51.7</x:v>
      </x:c>
      <x:c r="B519" s="24"/>
      <x:c r="C519" s="24" t="n">
        <x:v>66.4540359564317</x:v>
      </x:c>
      <x:c r="D519" s="24" t="n">
        <x:v>50.76182822648424</x:v>
      </x:c>
      <x:c r="E519" s="24"/>
      <x:c r="F519" s="24" t="n">
        <x:v>59.66962240098826</x:v>
      </x:c>
      <x:c r="G519" s="24"/>
      <x:c r="H519" s="24" t="n">
        <x:v>82.85125305475447</x:v>
      </x:c>
      <x:c r="I519" s="24" t="n">
        <x:v>72.88277062031392</x:v>
      </x:c>
      <x:c r="J519" s="24"/>
      <x:c r="K519" s="24"/>
    </x:row>
    <x:row r="520">
      <x:c r="A520" s="24" t="n">
        <x:v>51.800000000000004</x:v>
      </x:c>
      <x:c r="B520" s="24"/>
      <x:c r="C520" s="24" t="n">
        <x:v>68.04466474712605</x:v>
      </x:c>
      <x:c r="D520" s="24" t="n">
        <x:v>58.435876255048605</x:v>
      </x:c>
      <x:c r="E520" s="24"/>
      <x:c r="F520" s="24" t="n">
        <x:v>58.938324654435405</x:v>
      </x:c>
      <x:c r="G520" s="24"/>
      <x:c r="H520" s="24" t="n">
        <x:v>73.338524556739</x:v>
      </x:c>
      <x:c r="I520" s="24" t="n">
        <x:v>70.6340789120814</x:v>
      </x:c>
      <x:c r="J520" s="24"/>
      <x:c r="K520" s="24"/>
    </x:row>
    <x:row r="521">
      <x:c r="A521" s="24" t="n">
        <x:v>51.900000000000006</x:v>
      </x:c>
      <x:c r="B521" s="24"/>
      <x:c r="C521" s="24" t="n">
        <x:v>68.51710506358084</x:v>
      </x:c>
      <x:c r="D521" s="24" t="n">
        <x:v>62.653814382572534</x:v>
      </x:c>
      <x:c r="E521" s="24"/>
      <x:c r="F521" s="24" t="n">
        <x:v>58.64580555581427</x:v>
      </x:c>
      <x:c r="G521" s="24"/>
      <x:c r="H521" s="24" t="n">
        <x:v>59.56490684098908</x:v>
      </x:c>
      <x:c r="I521" s="24" t="n">
        <x:v>72.3577706821161</x:v>
      </x:c>
      <x:c r="J521" s="24"/>
      <x:c r="K521" s="24"/>
    </x:row>
    <x:row r="522">
      <x:c r="A522" s="24" t="n">
        <x:v>52</x:v>
      </x:c>
      <x:c r="B522" s="24"/>
      <x:c r="C522" s="24" t="n">
        <x:v>69.00208947828102</x:v>
      </x:c>
      <x:c r="D522" s="24" t="n">
        <x:v>59.96313041319414</x:v>
      </x:c>
      <x:c r="E522" s="24"/>
      <x:c r="F522" s="24" t="n">
        <x:v>63.76781994778933</x:v>
      </x:c>
      <x:c r="G522" s="24"/>
      <x:c r="H522" s="24" t="n">
        <x:v>62.46891944938936</x:v>
      </x:c>
      <x:c r="I522" s="24" t="n">
        <x:v>72.74513675237134</x:v>
      </x:c>
      <x:c r="J522" s="24"/>
      <x:c r="K522" s="24"/>
    </x:row>
    <x:row r="523">
      <x:c r="A523" s="24" t="n">
        <x:v>52.1</x:v>
      </x:c>
      <x:c r="B523" s="24"/>
      <x:c r="C523" s="24" t="n">
        <x:v>69.35277123988712</x:v>
      </x:c>
      <x:c r="D523" s="24" t="n">
        <x:v>56.78052386932002</x:v>
      </x:c>
      <x:c r="E523" s="24"/>
      <x:c r="F523" s="24" t="n">
        <x:v>70.17033793775838</x:v>
      </x:c>
      <x:c r="G523" s="24"/>
      <x:c r="H523" s="24" t="n">
        <x:v>65.37293205778985</x:v>
      </x:c>
      <x:c r="I523" s="24" t="n">
        <x:v>73.58871667461844</x:v>
      </x:c>
      <x:c r="J523" s="24"/>
      <x:c r="K523" s="24"/>
    </x:row>
    <x:row r="524">
      <x:c r="A524" s="24" t="n">
        <x:v>52.2</x:v>
      </x:c>
      <x:c r="B524" s="24"/>
      <x:c r="C524" s="24" t="n">
        <x:v>69.35277123988712</x:v>
      </x:c>
      <x:c r="D524" s="24" t="n">
        <x:v>71.59462386446408</x:v>
      </x:c>
      <x:c r="E524" s="24"/>
      <x:c r="F524" s="24" t="n">
        <x:v>70.17033793775838</x:v>
      </x:c>
      <x:c r="G524" s="24"/>
      <x:c r="H524" s="24" t="n">
        <x:v>68.27694466619035</x:v>
      </x:c>
      <x:c r="I524" s="24" t="n">
        <x:v>73.58871667461844</x:v>
      </x:c>
      <x:c r="J524" s="24"/>
      <x:c r="K524" s="24"/>
    </x:row>
    <x:row r="525">
      <x:c r="A525" s="24" t="n">
        <x:v>52.300000000000004</x:v>
      </x:c>
      <x:c r="B525" s="24"/>
      <x:c r="C525" s="24" t="n">
        <x:v>68.79049195702048</x:v>
      </x:c>
      <x:c r="D525" s="24" t="n">
        <x:v>71.59462386446408</x:v>
      </x:c>
      <x:c r="E525" s="24"/>
      <x:c r="F525" s="24" t="n">
        <x:v>65.61509372349408</x:v>
      </x:c>
      <x:c r="G525" s="24"/>
      <x:c r="H525" s="24" t="n">
        <x:v>69.4385497095505</x:v>
      </x:c>
      <x:c r="I525" s="24" t="n">
        <x:v>82.824415955994</x:v>
      </x:c>
      <x:c r="J525" s="24"/>
      <x:c r="K525" s="24"/>
    </x:row>
    <x:row r="526">
      <x:c r="A526" s="24" t="n">
        <x:v>52.400000000000006</x:v>
      </x:c>
      <x:c r="B526" s="24"/>
      <x:c r="C526" s="24" t="n">
        <x:v>68.67076723304942</x:v>
      </x:c>
      <x:c r="D526" s="24" t="n">
        <x:v>70.7074873908012</x:v>
      </x:c>
      <x:c r="E526" s="24"/>
      <x:c r="F526" s="24" t="n">
        <x:v>58.357661673827586</x:v>
      </x:c>
      <x:c r="G526" s="24"/>
      <x:c r="H526" s="24" t="n">
        <x:v>75.1435777685023</x:v>
      </x:c>
      <x:c r="I526" s="24" t="n">
        <x:v>84.52286974764631</x:v>
      </x:c>
      <x:c r="J526" s="24"/>
      <x:c r="K526" s="24"/>
    </x:row>
    <x:row r="527">
      <x:c r="A527" s="24" t="n">
        <x:v>52.5</x:v>
      </x:c>
      <x:c r="B527" s="24"/>
      <x:c r="C527" s="24" t="n">
        <x:v>68.5376532989649</x:v>
      </x:c>
      <x:c r="D527" s="24" t="n">
        <x:v>63.729965076308865</x:v>
      </x:c>
      <x:c r="E527" s="24"/>
      <x:c r="F527" s="24" t="n">
        <x:v>60.65113307439968</x:v>
      </x:c>
      <x:c r="G527" s="24"/>
      <x:c r="H527" s="24" t="n">
        <x:v>75.1435777685023</x:v>
      </x:c>
      <x:c r="I527" s="24" t="n">
        <x:v>84.52286974764631</x:v>
      </x:c>
      <x:c r="J527" s="24"/>
      <x:c r="K527" s="24"/>
    </x:row>
    <x:row r="528">
      <x:c r="A528" s="24" t="n">
        <x:v>52.6</x:v>
      </x:c>
      <x:c r="B528" s="24"/>
      <x:c r="C528" s="24" t="n">
        <x:v>68.36267431650603</x:v>
      </x:c>
      <x:c r="D528" s="24" t="n">
        <x:v>61.27985049944138</x:v>
      </x:c>
      <x:c r="E528" s="24"/>
      <x:c r="F528" s="24" t="n">
        <x:v>63.22949604131746</x:v>
      </x:c>
      <x:c r="G528" s="24"/>
      <x:c r="H528" s="24" t="n">
        <x:v>73.1175403417628</x:v>
      </x:c>
      <x:c r="I528" s="24" t="n">
        <x:v>76.67769656692184</x:v>
      </x:c>
      <x:c r="J528" s="24"/>
      <x:c r="K528" s="24"/>
    </x:row>
    <x:row r="529">
      <x:c r="A529" s="24" t="n">
        <x:v>52.7</x:v>
      </x:c>
      <x:c r="B529" s="24"/>
      <x:c r="C529" s="24" t="n">
        <x:v>69.77191809091815</x:v>
      </x:c>
      <x:c r="D529" s="24" t="n">
        <x:v>65.07472649687051</x:v>
      </x:c>
      <x:c r="E529" s="24"/>
      <x:c r="F529" s="24" t="n">
        <x:v>65.17651778162136</x:v>
      </x:c>
      <x:c r="G529" s="24"/>
      <x:c r="H529" s="24" t="n">
        <x:v>66.26996384561167</x:v>
      </x:c>
      <x:c r="I529" s="24" t="n">
        <x:v>61.17359825385665</x:v>
      </x:c>
      <x:c r="J529" s="24"/>
      <x:c r="K529" s="24"/>
    </x:row>
    <x:row r="530">
      <x:c r="A530" s="24" t="n">
        <x:v>52.800000000000004</x:v>
      </x:c>
      <x:c r="B530" s="24"/>
      <x:c r="C530" s="24" t="n">
        <x:v>69.8180064489797</x:v>
      </x:c>
      <x:c r="D530" s="24" t="n">
        <x:v>65.6646131309201</x:v>
      </x:c>
      <x:c r="E530" s="24"/>
      <x:c r="F530" s="24" t="n">
        <x:v>65.85950208057685</x:v>
      </x:c>
      <x:c r="G530" s="24"/>
      <x:c r="H530" s="24" t="n">
        <x:v>74.34435995651063</x:v>
      </x:c>
      <x:c r="I530" s="24" t="n">
        <x:v>50</x:v>
      </x:c>
      <x:c r="J530" s="24"/>
      <x:c r="K530" s="24"/>
    </x:row>
    <x:row r="531">
      <x:c r="A531" s="24" t="n">
        <x:v>52.900000000000006</x:v>
      </x:c>
      <x:c r="B531" s="24"/>
      <x:c r="C531" s="24" t="n">
        <x:v>77.50041606312607</x:v>
      </x:c>
      <x:c r="D531" s="24" t="n">
        <x:v>65.66461313091997</x:v>
      </x:c>
      <x:c r="E531" s="24"/>
      <x:c r="F531" s="24" t="n">
        <x:v>66.39596685251125</x:v>
      </x:c>
      <x:c r="G531" s="24"/>
      <x:c r="H531" s="24" t="n">
        <x:v>74.89263895357566</x:v>
      </x:c>
      <x:c r="I531" s="24" t="n">
        <x:v>67.37187350954586</x:v>
      </x:c>
      <x:c r="J531" s="24"/>
      <x:c r="K531" s="24"/>
    </x:row>
    <x:row r="532">
      <x:c r="A532" s="24" t="n">
        <x:v>53</x:v>
      </x:c>
      <x:c r="B532" s="24"/>
      <x:c r="C532" s="24" t="n">
        <x:v>77.50041606312607</x:v>
      </x:c>
      <x:c r="D532" s="24" t="n">
        <x:v>65.17879271468678</x:v>
      </x:c>
      <x:c r="E532" s="24"/>
      <x:c r="F532" s="24" t="n">
        <x:v>66.60020513666431</x:v>
      </x:c>
      <x:c r="G532" s="24"/>
      <x:c r="H532" s="24" t="n">
        <x:v>75.56037888281391</x:v>
      </x:c>
      <x:c r="I532" s="24" t="n">
        <x:v>68.38003650140683</x:v>
      </x:c>
      <x:c r="J532" s="24"/>
      <x:c r="K532" s="24"/>
    </x:row>
    <x:row r="533">
      <x:c r="A533" s="24" t="n">
        <x:v>53.1</x:v>
      </x:c>
      <x:c r="B533" s="24"/>
      <x:c r="C533" s="24" t="n">
        <x:v>73.59814697640152</x:v>
      </x:c>
      <x:c r="D533" s="24" t="n">
        <x:v>65.17879271468678</x:v>
      </x:c>
      <x:c r="E533" s="24"/>
      <x:c r="F533" s="24" t="n">
        <x:v>66.90695210727486</x:v>
      </x:c>
      <x:c r="G533" s="24"/>
      <x:c r="H533" s="24" t="n">
        <x:v>75.70641397586989</x:v>
      </x:c>
      <x:c r="I533" s="24" t="n">
        <x:v>74.511237405953</x:v>
      </x:c>
      <x:c r="J533" s="24"/>
      <x:c r="K533" s="24"/>
    </x:row>
    <x:row r="534">
      <x:c r="A534" s="24" t="n">
        <x:v>53.2</x:v>
      </x:c>
      <x:c r="B534" s="24"/>
      <x:c r="C534" s="24" t="n">
        <x:v>65.76068835585177</x:v>
      </x:c>
      <x:c r="D534" s="24" t="n">
        <x:v>65.67993974072172</x:v>
      </x:c>
      <x:c r="E534" s="24"/>
      <x:c r="F534" s="24" t="n">
        <x:v>67.16429389445679</x:v>
      </x:c>
      <x:c r="G534" s="24"/>
      <x:c r="H534" s="24" t="n">
        <x:v>75.67622558614296</x:v>
      </x:c>
      <x:c r="I534" s="24" t="n">
        <x:v>74.511237405953</x:v>
      </x:c>
      <x:c r="J534" s="24"/>
      <x:c r="K534" s="24"/>
    </x:row>
    <x:row r="535">
      <x:c r="A535" s="24" t="n">
        <x:v>53.300000000000004</x:v>
      </x:c>
      <x:c r="B535" s="24"/>
      <x:c r="C535" s="24" t="n">
        <x:v>59.63645969564588</x:v>
      </x:c>
      <x:c r="D535" s="24" t="n">
        <x:v>65.67993974072155</x:v>
      </x:c>
      <x:c r="E535" s="24"/>
      <x:c r="F535" s="24" t="n">
        <x:v>67.37392635674536</x:v>
      </x:c>
      <x:c r="G535" s="24"/>
      <x:c r="H535" s="24" t="n">
        <x:v>77.00468021481592</x:v>
      </x:c>
      <x:c r="I535" s="24" t="n">
        <x:v>67.52658018742991</x:v>
      </x:c>
      <x:c r="J535" s="24"/>
      <x:c r="K535" s="24"/>
    </x:row>
    <x:row r="536">
      <x:c r="A536" s="24" t="n">
        <x:v>53.400000000000006</x:v>
      </x:c>
      <x:c r="B536" s="24"/>
      <x:c r="C536" s="24" t="n">
        <x:v>51.650145687497975</x:v>
      </x:c>
      <x:c r="D536" s="24" t="n">
        <x:v>65.65618483046723</x:v>
      </x:c>
      <x:c r="E536" s="24"/>
      <x:c r="F536" s="24" t="n">
        <x:v>67.75479899412655</x:v>
      </x:c>
      <x:c r="G536" s="24"/>
      <x:c r="H536" s="24" t="n">
        <x:v>77.00468021481592</x:v>
      </x:c>
      <x:c r="I536" s="24" t="n">
        <x:v>66.17272302697103</x:v>
      </x:c>
      <x:c r="J536" s="24"/>
      <x:c r="K536" s="24"/>
    </x:row>
    <x:row r="537">
      <x:c r="A537" s="24" t="n">
        <x:v>53.5</x:v>
      </x:c>
      <x:c r="B537" s="24"/>
      <x:c r="C537" s="24" t="n">
        <x:v>50.77954791932986</x:v>
      </x:c>
      <x:c r="D537" s="24" t="n">
        <x:v>65.65618483046723</x:v>
      </x:c>
      <x:c r="E537" s="24"/>
      <x:c r="F537" s="24" t="n">
        <x:v>67.13710553634495</x:v>
      </x:c>
      <x:c r="G537" s="24"/>
      <x:c r="H537" s="24" t="n">
        <x:v>76.7399965691661</x:v>
      </x:c>
      <x:c r="I537" s="24" t="n">
        <x:v>67.69171033204692</x:v>
      </x:c>
      <x:c r="J537" s="24"/>
      <x:c r="K537" s="24"/>
    </x:row>
    <x:row r="538">
      <x:c r="A538" s="24" t="n">
        <x:v>53.6</x:v>
      </x:c>
      <x:c r="B538" s="24"/>
      <x:c r="C538" s="24" t="n">
        <x:v>54.67728751597859</x:v>
      </x:c>
      <x:c r="D538" s="24" t="n">
        <x:v>65.89902262246521</x:v>
      </x:c>
      <x:c r="E538" s="24"/>
      <x:c r="F538" s="24" t="n">
        <x:v>62.93072406039083</x:v>
      </x:c>
      <x:c r="G538" s="24"/>
      <x:c r="H538" s="24" t="n">
        <x:v>76.66072270367783</x:v>
      </x:c>
      <x:c r="I538" s="24" t="n">
        <x:v>71.54765530853591</x:v>
      </x:c>
      <x:c r="J538" s="24"/>
      <x:c r="K538" s="24"/>
    </x:row>
    <x:row r="539">
      <x:c r="A539" s="24" t="n">
        <x:v>53.7</x:v>
      </x:c>
      <x:c r="B539" s="24"/>
      <x:c r="C539" s="24" t="n">
        <x:v>58.575027112627325</x:v>
      </x:c>
      <x:c r="D539" s="24" t="n">
        <x:v>65.89902262246521</x:v>
      </x:c>
      <x:c r="E539" s="24"/>
      <x:c r="F539" s="24" t="n">
        <x:v>60.051408441018225</x:v>
      </x:c>
      <x:c r="G539" s="24"/>
      <x:c r="H539" s="24" t="n">
        <x:v>76.66072270367783</x:v>
      </x:c>
      <x:c r="I539" s="24" t="n">
        <x:v>71.54765530853591</x:v>
      </x:c>
      <x:c r="J539" s="24"/>
      <x:c r="K539" s="24"/>
    </x:row>
    <x:row r="540">
      <x:c r="A540" s="24" t="n">
        <x:v>53.800000000000004</x:v>
      </x:c>
      <x:c r="B540" s="24"/>
      <x:c r="C540" s="24" t="n">
        <x:v>62.47276670927606</x:v>
      </x:c>
      <x:c r="D540" s="24" t="n">
        <x:v>64.61019901661915</x:v>
      </x:c>
      <x:c r="E540" s="24"/>
      <x:c r="F540" s="24" t="n">
        <x:v>71.17924856154424</x:v>
      </x:c>
      <x:c r="G540" s="24"/>
      <x:c r="H540" s="24" t="n">
        <x:v>75.44085607509444</x:v>
      </x:c>
      <x:c r="I540" s="24" t="n">
        <x:v>71.43310782785372</x:v>
      </x:c>
      <x:c r="J540" s="24"/>
      <x:c r="K540" s="24"/>
    </x:row>
    <x:row r="541">
      <x:c r="A541" s="24" t="n">
        <x:v>53.900000000000006</x:v>
      </x:c>
      <x:c r="B541" s="24"/>
      <x:c r="C541" s="24" t="n">
        <x:v>66.37050630592479</x:v>
      </x:c>
      <x:c r="D541" s="24" t="n">
        <x:v>63.83516489775409</x:v>
      </x:c>
      <x:c r="E541" s="24"/>
      <x:c r="F541" s="24" t="n">
        <x:v>76.40620922538056</x:v>
      </x:c>
      <x:c r="G541" s="24"/>
      <x:c r="H541" s="24" t="n">
        <x:v>93.0725738915998</x:v>
      </x:c>
      <x:c r="I541" s="24" t="n">
        <x:v>71.64320116029018</x:v>
      </x:c>
      <x:c r="J541" s="24"/>
      <x:c r="K541" s="24"/>
    </x:row>
    <x:row r="542">
      <x:c r="A542" s="24" t="n">
        <x:v>54</x:v>
      </x:c>
      <x:c r="B542" s="24"/>
      <x:c r="C542" s="24" t="n">
        <x:v>70.26824590257326</x:v>
      </x:c>
      <x:c r="D542" s="24" t="n">
        <x:v>77.16558646159531</x:v>
      </x:c>
      <x:c r="E542" s="24"/>
      <x:c r="F542" s="24" t="n">
        <x:v>76.40620922538056</x:v>
      </x:c>
      <x:c r="G542" s="24"/>
      <x:c r="H542" s="24" t="n">
        <x:v>93.0725738915998</x:v>
      </x:c>
      <x:c r="I542" s="24" t="n">
        <x:v>72.54297468013081</x:v>
      </x:c>
      <x:c r="J542" s="24"/>
      <x:c r="K542" s="24"/>
    </x:row>
    <x:row r="543">
      <x:c r="A543" s="24" t="n">
        <x:v>54.1</x:v>
      </x:c>
      <x:c r="B543" s="24"/>
      <x:c r="C543" s="24" t="n">
        <x:v>74.16598549922199</x:v>
      </x:c>
      <x:c r="D543" s="24" t="n">
        <x:v>80.30399449979086</x:v>
      </x:c>
      <x:c r="E543" s="24"/>
      <x:c r="F543" s="24" t="n">
        <x:v>66.93860223197274</x:v>
      </x:c>
      <x:c r="G543" s="24"/>
      <x:c r="H543" s="24" t="n">
        <x:v>86.8541384209511</x:v>
      </x:c>
      <x:c r="I543" s="24" t="n">
        <x:v>74.72734780596528</x:v>
      </x:c>
      <x:c r="J543" s="24"/>
      <x:c r="K543" s="24"/>
    </x:row>
    <x:row r="544">
      <x:c r="A544" s="24" t="n">
        <x:v>54.2</x:v>
      </x:c>
      <x:c r="B544" s="24"/>
      <x:c r="C544" s="24" t="n">
        <x:v>74.94553341855156</x:v>
      </x:c>
      <x:c r="D544" s="24" t="n">
        <x:v>80.30399449979086</x:v>
      </x:c>
      <x:c r="E544" s="24"/>
      <x:c r="F544" s="24" t="n">
        <x:v>56.41955281342567</x:v>
      </x:c>
      <x:c r="G544" s="24"/>
      <x:c r="H544" s="24" t="n">
        <x:v>80.15119415234527</x:v>
      </x:c>
      <x:c r="I544" s="24" t="n">
        <x:v>74.72734780596528</x:v>
      </x:c>
      <x:c r="J544" s="24"/>
      <x:c r="K544" s="24"/>
    </x:row>
    <x:row r="545">
      <x:c r="A545" s="24" t="n">
        <x:v>54.300000000000004</x:v>
      </x:c>
      <x:c r="B545" s="24"/>
      <x:c r="C545" s="24" t="n">
        <x:v>74.36669740019123</x:v>
      </x:c>
      <x:c r="D545" s="24" t="n">
        <x:v>72.96691055220398</x:v>
      </x:c>
      <x:c r="E545" s="24"/>
      <x:c r="F545" s="24" t="n">
        <x:v>54.444305793909926</x:v>
      </x:c>
      <x:c r="G545" s="24"/>
      <x:c r="H545" s="24" t="n">
        <x:v>77.02420286236412</x:v>
      </x:c>
      <x:c r="I545" s="24" t="n">
        <x:v>71.75469169276269</x:v>
      </x:c>
      <x:c r="J545" s="24"/>
      <x:c r="K545" s="24"/>
    </x:row>
    <x:row r="546">
      <x:c r="A546" s="24" t="n">
        <x:v>54.400000000000006</x:v>
      </x:c>
      <x:c r="B546" s="24"/>
      <x:c r="C546" s="24" t="n">
        <x:v>68.2811459607659</x:v>
      </x:c>
      <x:c r="D546" s="24" t="n">
        <x:v>63.76385145726443</x:v>
      </x:c>
      <x:c r="E546" s="24"/>
      <x:c r="F546" s="24" t="n">
        <x:v>51.975247019515386</x:v>
      </x:c>
      <x:c r="G546" s="24"/>
      <x:c r="H546" s="24" t="n">
        <x:v>77.02420286236395</x:v>
      </x:c>
      <x:c r="I546" s="24" t="n">
        <x:v>78.12707217887962</x:v>
      </x:c>
      <x:c r="J546" s="24"/>
      <x:c r="K546" s="24"/>
    </x:row>
    <x:row r="547">
      <x:c r="A547" s="24" t="n">
        <x:v>54.5</x:v>
      </x:c>
      <x:c r="B547" s="24"/>
      <x:c r="C547" s="24" t="n">
        <x:v>63.62529967429702</x:v>
      </x:c>
      <x:c r="D547" s="24" t="n">
        <x:v>53.09515668014649</x:v>
      </x:c>
      <x:c r="E547" s="24"/>
      <x:c r="F547" s="24" t="n">
        <x:v>51.57065199594949</x:v>
      </x:c>
      <x:c r="G547" s="24"/>
      <x:c r="H547" s="24" t="n">
        <x:v>73.14947042836053</x:v>
      </x:c>
      <x:c r="I547" s="24" t="n">
        <x:v>84.70390654424475</x:v>
      </x:c>
      <x:c r="J547" s="24"/>
      <x:c r="K547" s="24"/>
    </x:row>
    <x:row r="548">
      <x:c r="A548" s="24" t="n">
        <x:v>54.6</x:v>
      </x:c>
      <x:c r="B548" s="24"/>
      <x:c r="C548" s="24" t="n">
        <x:v>65.99186585273877</x:v>
      </x:c>
      <x:c r="D548" s="24" t="n">
        <x:v>50</x:v>
      </x:c>
      <x:c r="E548" s="24"/>
      <x:c r="F548" s="24" t="n">
        <x:v>59.423911975695844</x:v>
      </x:c>
      <x:c r="G548" s="24"/>
      <x:c r="H548" s="24" t="n">
        <x:v>72.73137178836477</x:v>
      </x:c>
      <x:c r="I548" s="24" t="n">
        <x:v>84.70390654424475</x:v>
      </x:c>
      <x:c r="J548" s="24"/>
      <x:c r="K548" s="24"/>
    </x:row>
    <x:row r="549">
      <x:c r="A549" s="24" t="n">
        <x:v>54.7</x:v>
      </x:c>
      <x:c r="B549" s="24"/>
      <x:c r="C549" s="24" t="n">
        <x:v>68.19025808421806</x:v>
      </x:c>
      <x:c r="D549" s="24" t="n">
        <x:v>50</x:v>
      </x:c>
      <x:c r="E549" s="24"/>
      <x:c r="F549" s="24" t="n">
        <x:v>62.56521596759427</x:v>
      </x:c>
      <x:c r="G549" s="24"/>
      <x:c r="H549" s="24" t="n">
        <x:v>75.88888294696426</x:v>
      </x:c>
      <x:c r="I549" s="24" t="n">
        <x:v>74.91245861694182</x:v>
      </x:c>
      <x:c r="J549" s="24"/>
      <x:c r="K549" s="24"/>
    </x:row>
    <x:row r="550">
      <x:c r="A550" s="24" t="n">
        <x:v>54.800000000000004</x:v>
      </x:c>
      <x:c r="B550" s="24"/>
      <x:c r="C550" s="24" t="n">
        <x:v>68.19025808421806</x:v>
      </x:c>
      <x:c r="D550" s="24" t="n">
        <x:v>50.00000000000155</x:v>
      </x:c>
      <x:c r="E550" s="24"/>
      <x:c r="F550" s="24" t="n">
        <x:v>69.52518163981627</x:v>
      </x:c>
      <x:c r="G550" s="24"/>
      <x:c r="H550" s="24" t="n">
        <x:v>77.92849245128403</x:v>
      </x:c>
      <x:c r="I550" s="24" t="n">
        <x:v>66.75840026943291</x:v>
      </x:c>
      <x:c r="J550" s="24"/>
      <x:c r="K550" s="24"/>
    </x:row>
    <x:row r="551">
      <x:c r="A551" s="24" t="n">
        <x:v>54.900000000000006</x:v>
      </x:c>
      <x:c r="B551" s="24"/>
      <x:c r="C551" s="24" t="n">
        <x:v>68.15005374752272</x:v>
      </x:c>
      <x:c r="D551" s="24" t="n">
        <x:v>62.78797247037791</x:v>
      </x:c>
      <x:c r="E551" s="24"/>
      <x:c r="F551" s="24" t="n">
        <x:v>70.54865803506932</x:v>
      </x:c>
      <x:c r="G551" s="24"/>
      <x:c r="H551" s="24" t="n">
        <x:v>77.9284924512832</x:v>
      </x:c>
      <x:c r="I551" s="24" t="n">
        <x:v>50</x:v>
      </x:c>
      <x:c r="J551" s="24"/>
      <x:c r="K551" s="24"/>
    </x:row>
    <x:row r="552">
      <x:c r="A552" s="24" t="n">
        <x:v>55</x:v>
      </x:c>
      <x:c r="B552" s="24"/>
      <x:c r="C552" s="24" t="n">
        <x:v>68.78037839108461</x:v>
      </x:c>
      <x:c r="D552" s="24" t="n">
        <x:v>62.78797247037791</x:v>
      </x:c>
      <x:c r="E552" s="24"/>
      <x:c r="F552" s="24" t="n">
        <x:v>70.3560289277315</x:v>
      </x:c>
      <x:c r="G552" s="24"/>
      <x:c r="H552" s="24" t="n">
        <x:v>50</x:v>
      </x:c>
      <x:c r="I552" s="24" t="n">
        <x:v>50</x:v>
      </x:c>
      <x:c r="J552" s="24"/>
      <x:c r="K552" s="24"/>
    </x:row>
    <x:row r="553">
      <x:c r="A553" s="24" t="n">
        <x:v>55.1</x:v>
      </x:c>
      <x:c r="B553" s="24"/>
      <x:c r="C553" s="24" t="n">
        <x:v>68.78037839108461</x:v>
      </x:c>
      <x:c r="D553" s="24" t="n">
        <x:v>69.7536139352558</x:v>
      </x:c>
      <x:c r="E553" s="24"/>
      <x:c r="F553" s="24" t="n">
        <x:v>61.36585495453619</x:v>
      </x:c>
      <x:c r="G553" s="24"/>
      <x:c r="H553" s="24" t="n">
        <x:v>70.46665513178701</x:v>
      </x:c>
      <x:c r="I553" s="24" t="n">
        <x:v>61.347712262803114</x:v>
      </x:c>
      <x:c r="J553" s="24"/>
      <x:c r="K553" s="24"/>
    </x:row>
    <x:row r="554">
      <x:c r="A554" s="24" t="n">
        <x:v>55.2</x:v>
      </x:c>
      <x:c r="B554" s="24"/>
      <x:c r="C554" s="24" t="n">
        <x:v>69.31386318303973</x:v>
      </x:c>
      <x:c r="D554" s="24" t="n">
        <x:v>72.87223186555096</x:v>
      </x:c>
      <x:c r="E554" s="24"/>
      <x:c r="F554" s="24" t="n">
        <x:v>58.11428926040288</x:v>
      </x:c>
      <x:c r="G554" s="24"/>
      <x:c r="H554" s="24" t="n">
        <x:v>72.13803399590424</x:v>
      </x:c>
      <x:c r="I554" s="24" t="n">
        <x:v>76.43272710407524</x:v>
      </x:c>
      <x:c r="J554" s="24"/>
      <x:c r="K554" s="24"/>
    </x:row>
    <x:row r="555">
      <x:c r="A555" s="24" t="n">
        <x:v>55.300000000000004</x:v>
      </x:c>
      <x:c r="B555" s="24"/>
      <x:c r="C555" s="24" t="n">
        <x:v>70.1282010554818</x:v>
      </x:c>
      <x:c r="D555" s="24" t="n">
        <x:v>72.87223186555075</x:v>
      </x:c>
      <x:c r="E555" s="24"/>
      <x:c r="F555" s="24" t="n">
        <x:v>65.3221881321262</x:v>
      </x:c>
      <x:c r="G555" s="24"/>
      <x:c r="H555" s="24" t="n">
        <x:v>75.27580402903598</x:v>
      </x:c>
      <x:c r="I555" s="24" t="n">
        <x:v>77.46788312699496</x:v>
      </x:c>
      <x:c r="J555" s="24"/>
      <x:c r="K555" s="24"/>
    </x:row>
    <x:row r="556">
      <x:c r="A556" s="24" t="n">
        <x:v>55.400000000000006</x:v>
      </x:c>
      <x:c r="B556" s="24"/>
      <x:c r="C556" s="24" t="n">
        <x:v>70.02424394584718</x:v>
      </x:c>
      <x:c r="D556" s="24" t="n">
        <x:v>68.79954965457736</x:v>
      </x:c>
      <x:c r="E556" s="24"/>
      <x:c r="F556" s="24" t="n">
        <x:v>65.9496333980815</x:v>
      </x:c>
      <x:c r="G556" s="24"/>
      <x:c r="H556" s="24" t="n">
        <x:v>75.27580402903574</x:v>
      </x:c>
      <x:c r="I556" s="24" t="n">
        <x:v>76.76808322017257</x:v>
      </x:c>
      <x:c r="J556" s="24"/>
      <x:c r="K556" s="24"/>
    </x:row>
    <x:row r="557">
      <x:c r="A557" s="24" t="n">
        <x:v>55.5</x:v>
      </x:c>
      <x:c r="B557" s="24"/>
      <x:c r="C557" s="24" t="n">
        <x:v>70.02424394584718</x:v>
      </x:c>
      <x:c r="D557" s="24" t="n">
        <x:v>63.69038709332966</x:v>
      </x:c>
      <x:c r="E557" s="24"/>
      <x:c r="F557" s="24" t="n">
        <x:v>65.9496333980815</x:v>
      </x:c>
      <x:c r="G557" s="24"/>
      <x:c r="H557" s="24" t="n">
        <x:v>74.75094649562914</x:v>
      </x:c>
      <x:c r="I557" s="24" t="n">
        <x:v>66.8607661024009</x:v>
      </x:c>
      <x:c r="J557" s="24"/>
      <x:c r="K557" s="24"/>
    </x:row>
    <x:row r="558">
      <x:c r="A558" s="24" t="n">
        <x:v>55.6</x:v>
      </x:c>
      <x:c r="B558" s="24"/>
      <x:c r="C558" s="24" t="n">
        <x:v>70.90568183673105</x:v>
      </x:c>
      <x:c r="D558" s="24" t="n">
        <x:v>63.06377962035385</x:v>
      </x:c>
      <x:c r="E558" s="24"/>
      <x:c r="F558" s="24" t="n">
        <x:v>65.17525611239782</x:v>
      </x:c>
      <x:c r="G558" s="24"/>
      <x:c r="H558" s="24" t="n">
        <x:v>74.75094649562914</x:v>
      </x:c>
      <x:c r="I558" s="24" t="n">
        <x:v>69.88172086930157</x:v>
      </x:c>
      <x:c r="J558" s="24"/>
      <x:c r="K558" s="24"/>
    </x:row>
    <x:row r="559">
      <x:c r="A559" s="24" t="n">
        <x:v>55.7</x:v>
      </x:c>
      <x:c r="B559" s="24"/>
      <x:c r="C559" s="24" t="n">
        <x:v>70.90568183673105</x:v>
      </x:c>
      <x:c r="D559" s="24" t="n">
        <x:v>63.52594885872736</x:v>
      </x:c>
      <x:c r="E559" s="24"/>
      <x:c r="F559" s="24" t="n">
        <x:v>66.00921018340564</x:v>
      </x:c>
      <x:c r="G559" s="24"/>
      <x:c r="H559" s="24" t="n">
        <x:v>75.68555251384839</x:v>
      </x:c>
      <x:c r="I559" s="24" t="n">
        <x:v>72.31281743717213</x:v>
      </x:c>
      <x:c r="J559" s="24"/>
      <x:c r="K559" s="24"/>
    </x:row>
    <x:row r="560">
      <x:c r="A560" s="24" t="n">
        <x:v>55.800000000000004</x:v>
      </x:c>
      <x:c r="B560" s="24"/>
      <x:c r="C560" s="24" t="n">
        <x:v>75.83464065810108</x:v>
      </x:c>
      <x:c r="D560" s="24" t="n">
        <x:v>64.46462531473883</x:v>
      </x:c>
      <x:c r="E560" s="24"/>
      <x:c r="F560" s="24" t="n">
        <x:v>67.35547309717364</x:v>
      </x:c>
      <x:c r="G560" s="24"/>
      <x:c r="H560" s="24" t="n">
        <x:v>76.56504309790638</x:v>
      </x:c>
      <x:c r="I560" s="24" t="n">
        <x:v>72.35293299963375</x:v>
      </x:c>
      <x:c r="J560" s="24"/>
      <x:c r="K560" s="24"/>
    </x:row>
    <x:row r="561">
      <x:c r="A561" s="24" t="n">
        <x:v>55.900000000000006</x:v>
      </x:c>
      <x:c r="B561" s="24"/>
      <x:c r="C561" s="24" t="n">
        <x:v>76.69548121510815</x:v>
      </x:c>
      <x:c r="D561" s="24" t="n">
        <x:v>64.46462531473883</x:v>
      </x:c>
      <x:c r="E561" s="24"/>
      <x:c r="F561" s="24" t="n">
        <x:v>67.35547309717364</x:v>
      </x:c>
      <x:c r="G561" s="24"/>
      <x:c r="H561" s="24" t="n">
        <x:v>77.2849749704551</x:v>
      </x:c>
      <x:c r="I561" s="24" t="n">
        <x:v>72.35293299963375</x:v>
      </x:c>
      <x:c r="J561" s="24"/>
      <x:c r="K561" s="24"/>
    </x:row>
    <x:row r="562">
      <x:c r="A562" s="24" t="n">
        <x:v>56</x:v>
      </x:c>
      <x:c r="B562" s="24"/>
      <x:c r="C562" s="24" t="n">
        <x:v>75.79571949337985</x:v>
      </x:c>
      <x:c r="D562" s="24" t="n">
        <x:v>64.93026497450292</x:v>
      </x:c>
      <x:c r="E562" s="24"/>
      <x:c r="F562" s="24" t="n">
        <x:v>66.74805322939321</x:v>
      </x:c>
      <x:c r="G562" s="24"/>
      <x:c r="H562" s="24" t="n">
        <x:v>77.2849749704551</x:v>
      </x:c>
      <x:c r="I562" s="24" t="n">
        <x:v>70.76255172977747</x:v>
      </x:c>
      <x:c r="J562" s="24"/>
      <x:c r="K562" s="24"/>
    </x:row>
    <x:row r="563">
      <x:c r="A563" s="24" t="n">
        <x:v>56.1</x:v>
      </x:c>
      <x:c r="B563" s="24"/>
      <x:c r="C563" s="24" t="n">
        <x:v>62.75120568603927</x:v>
      </x:c>
      <x:c r="D563" s="24" t="n">
        <x:v>64.93026497450292</x:v>
      </x:c>
      <x:c r="E563" s="24"/>
      <x:c r="F563" s="24" t="n">
        <x:v>67.6480459269708</x:v>
      </x:c>
      <x:c r="G563" s="24"/>
      <x:c r="H563" s="24" t="n">
        <x:v>76.18173972325897</x:v>
      </x:c>
      <x:c r="I563" s="24" t="n">
        <x:v>71.9392777395858</x:v>
      </x:c>
      <x:c r="J563" s="24"/>
      <x:c r="K563" s="24"/>
    </x:row>
    <x:row r="564">
      <x:c r="A564" s="24" t="n">
        <x:v>56.2</x:v>
      </x:c>
      <x:c r="B564" s="24"/>
      <x:c r="C564" s="24" t="n">
        <x:v>53.016285632300026</x:v>
      </x:c>
      <x:c r="D564" s="24" t="n">
        <x:v>65.0058132440339</x:v>
      </x:c>
      <x:c r="E564" s="24"/>
      <x:c r="F564" s="24" t="n">
        <x:v>66.82886869843092</x:v>
      </x:c>
      <x:c r="G564" s="24"/>
      <x:c r="H564" s="24" t="n">
        <x:v>85.17921154994255</x:v>
      </x:c>
      <x:c r="I564" s="24" t="n">
        <x:v>72.14456562393124</x:v>
      </x:c>
      <x:c r="J564" s="24"/>
      <x:c r="K564" s="24"/>
    </x:row>
    <x:row r="565">
      <x:c r="A565" s="24" t="n">
        <x:v>56.300000000000004</x:v>
      </x:c>
      <x:c r="B565" s="24"/>
      <x:c r="C565" s="24" t="n">
        <x:v>53.016285632300026</x:v>
      </x:c>
      <x:c r="D565" s="24" t="n">
        <x:v>65.47042018235337</x:v>
      </x:c>
      <x:c r="E565" s="24"/>
      <x:c r="F565" s="24" t="n">
        <x:v>65.53953770098676</x:v>
      </x:c>
      <x:c r="G565" s="24"/>
      <x:c r="H565" s="24" t="n">
        <x:v>85.17921154994255</x:v>
      </x:c>
      <x:c r="I565" s="24" t="n">
        <x:v>72.14456562393124</x:v>
      </x:c>
      <x:c r="J565" s="24"/>
      <x:c r="K565" s="24"/>
    </x:row>
    <x:row r="566">
      <x:c r="A566" s="24" t="n">
        <x:v>56.400000000000006</x:v>
      </x:c>
      <x:c r="B566" s="24"/>
      <x:c r="C566" s="24" t="n">
        <x:v>50</x:v>
      </x:c>
      <x:c r="D566" s="24" t="n">
        <x:v>65.47042018235335</x:v>
      </x:c>
      <x:c r="E566" s="24"/>
      <x:c r="F566" s="24" t="n">
        <x:v>63.31514980675935</x:v>
      </x:c>
      <x:c r="G566" s="24"/>
      <x:c r="H566" s="24" t="n">
        <x:v>82.61253148490938</x:v>
      </x:c>
      <x:c r="I566" s="24" t="n">
        <x:v>71.80511327320973</x:v>
      </x:c>
      <x:c r="J566" s="24"/>
      <x:c r="K566" s="24"/>
    </x:row>
    <x:row r="567">
      <x:c r="A567" s="24" t="n">
        <x:v>56.5</x:v>
      </x:c>
      <x:c r="B567" s="24"/>
      <x:c r="C567" s="24" t="n">
        <x:v>50</x:v>
      </x:c>
      <x:c r="D567" s="24" t="n">
        <x:v>64.97245680469372</x:v>
      </x:c>
      <x:c r="E567" s="24"/>
      <x:c r="F567" s="24" t="n">
        <x:v>79.86923434543255</x:v>
      </x:c>
      <x:c r="G567" s="24"/>
      <x:c r="H567" s="24" t="n">
        <x:v>74.37472798543212</x:v>
      </x:c>
      <x:c r="I567" s="24" t="n">
        <x:v>70.42201993624025</x:v>
      </x:c>
      <x:c r="J567" s="24"/>
      <x:c r="K567" s="24"/>
    </x:row>
    <x:row r="568">
      <x:c r="A568" s="24" t="n">
        <x:v>56.6</x:v>
      </x:c>
      <x:c r="B568" s="24"/>
      <x:c r="C568" s="24" t="n">
        <x:v>63.196399690011376</x:v>
      </x:c>
      <x:c r="D568" s="24" t="n">
        <x:v>66.84086894938108</x:v>
      </x:c>
      <x:c r="E568" s="24"/>
      <x:c r="F568" s="24" t="n">
        <x:v>79.86923434543255</x:v>
      </x:c>
      <x:c r="G568" s="24"/>
      <x:c r="H568" s="24" t="n">
        <x:v>69.6211797720551</x:v>
      </x:c>
      <x:c r="I568" s="24" t="n">
        <x:v>84.1782047035799</x:v>
      </x:c>
      <x:c r="J568" s="24"/>
      <x:c r="K568" s="24"/>
    </x:row>
    <x:row r="569">
      <x:c r="A569" s="24" t="n">
        <x:v>56.7</x:v>
      </x:c>
      <x:c r="B569" s="24"/>
      <x:c r="C569" s="24" t="n">
        <x:v>63.196399690011376</x:v>
      </x:c>
      <x:c r="D569" s="24" t="n">
        <x:v>66.9054361639386</x:v>
      </x:c>
      <x:c r="E569" s="24"/>
      <x:c r="F569" s="24" t="n">
        <x:v>75.16724009656008</x:v>
      </x:c>
      <x:c r="G569" s="24"/>
      <x:c r="H569" s="24"/>
      <x:c r="I569" s="24" t="n">
        <x:v>84.1782047035799</x:v>
      </x:c>
      <x:c r="J569" s="24"/>
      <x:c r="K569" s="24"/>
    </x:row>
    <x:row r="570">
      <x:c r="A570" s="24" t="n">
        <x:v>56.800000000000004</x:v>
      </x:c>
      <x:c r="B570" s="24"/>
      <x:c r="C570" s="24" t="n">
        <x:v>61.608198149802725</x:v>
      </x:c>
      <x:c r="D570" s="24" t="n">
        <x:v>65.768296072108</x:v>
      </x:c>
      <x:c r="E570" s="24"/>
      <x:c r="F570" s="24" t="n">
        <x:v>65.50521453683999</x:v>
      </x:c>
      <x:c r="G570" s="24"/>
      <x:c r="H570" s="24"/>
      <x:c r="I570" s="24" t="n">
        <x:v>79.81310456453441</x:v>
      </x:c>
      <x:c r="J570" s="24"/>
      <x:c r="K570" s="24"/>
    </x:row>
    <x:row r="571">
      <x:c r="A571" s="24" t="n">
        <x:v>56.900000000000006</x:v>
      </x:c>
      <x:c r="B571" s="24"/>
      <x:c r="C571" s="24" t="n">
        <x:v>50.26259133498843</x:v>
      </x:c>
      <x:c r="D571" s="24" t="n">
        <x:v>64.91502363111415</x:v>
      </x:c>
      <x:c r="E571" s="24"/>
      <x:c r="F571" s="24" t="n">
        <x:v>56.052292396599114</x:v>
      </x:c>
      <x:c r="G571" s="24"/>
      <x:c r="H571" s="24"/>
      <x:c r="I571" s="24" t="n">
        <x:v>71.63493748432835</x:v>
      </x:c>
      <x:c r="J571" s="24"/>
      <x:c r="K571" s="24"/>
    </x:row>
    <x:row r="572">
      <x:c r="A572" s="24" t="n">
        <x:v>57</x:v>
      </x:c>
      <x:c r="B572" s="24"/>
      <x:c r="C572" s="24" t="n">
        <x:v>68.30211047834595</x:v>
      </x:c>
      <x:c r="D572" s="24" t="n">
        <x:v>64.19644261590443</x:v>
      </x:c>
      <x:c r="E572" s="24"/>
      <x:c r="F572" s="24" t="n">
        <x:v>56.052292396599114</x:v>
      </x:c>
      <x:c r="G572" s="24"/>
      <x:c r="H572" s="24"/>
      <x:c r="I572" s="24" t="n">
        <x:v>62.25091830301183</x:v>
      </x:c>
      <x:c r="J572" s="24"/>
      <x:c r="K572" s="24"/>
    </x:row>
    <x:row r="573">
      <x:c r="A573" s="24" t="n">
        <x:v>57.1</x:v>
      </x:c>
      <x:c r="B573" s="24"/>
      <x:c r="C573" s="24" t="n">
        <x:v>74.14847143658558</x:v>
      </x:c>
      <x:c r="D573" s="24" t="n">
        <x:v>78.77104087450313</x:v>
      </x:c>
      <x:c r="E573" s="24"/>
      <x:c r="F573" s="24" t="n">
        <x:v>51.75136388032511</x:v>
      </x:c>
      <x:c r="G573" s="24"/>
      <x:c r="H573" s="24"/>
      <x:c r="I573" s="24" t="n">
        <x:v>50</x:v>
      </x:c>
      <x:c r="J573" s="24"/>
      <x:c r="K573" s="24"/>
    </x:row>
    <x:row r="574">
      <x:c r="A574" s="24" t="n">
        <x:v>57.2</x:v>
      </x:c>
      <x:c r="B574" s="24"/>
      <x:c r="C574" s="24" t="n">
        <x:v>74.14847143658558</x:v>
      </x:c>
      <x:c r="D574" s="24" t="n">
        <x:v>78.77104087450313</x:v>
      </x:c>
      <x:c r="E574" s="24"/>
      <x:c r="F574" s="24" t="n">
        <x:v>60.50818328194941</x:v>
      </x:c>
      <x:c r="G574" s="24"/>
      <x:c r="H574" s="24"/>
      <x:c r="I574" s="24" t="n">
        <x:v>69.98763329778504</x:v>
      </x:c>
      <x:c r="J574" s="24"/>
      <x:c r="K574" s="24"/>
    </x:row>
    <x:row r="575">
      <x:c r="A575" s="24" t="n">
        <x:v>57.300000000000004</x:v>
      </x:c>
      <x:c r="B575" s="24"/>
      <x:c r="C575" s="24" t="n">
        <x:v>72.41639973367535</x:v>
      </x:c>
      <x:c r="D575" s="24" t="n">
        <x:v>74.77324923270011</x:v>
      </x:c>
      <x:c r="E575" s="24"/>
      <x:c r="F575" s="24" t="n">
        <x:v>62.893590267994895</x:v>
      </x:c>
      <x:c r="G575" s="24"/>
      <x:c r="H575" s="24"/>
      <x:c r="I575" s="24" t="n">
        <x:v>69.98763329778504</x:v>
      </x:c>
      <x:c r="J575" s="24"/>
      <x:c r="K575" s="24"/>
    </x:row>
    <x:row r="576">
      <x:c r="A576" s="24" t="n">
        <x:v>57.400000000000006</x:v>
      </x:c>
      <x:c r="B576" s="24"/>
      <x:c r="C576" s="24" t="n">
        <x:v>66.05021966548536</x:v>
      </x:c>
      <x:c r="D576" s="24" t="n">
        <x:v>65.30831338130221</x:v>
      </x:c>
      <x:c r="E576" s="24"/>
      <x:c r="F576" s="24" t="n">
        <x:v>62.893590267995855</x:v>
      </x:c>
      <x:c r="G576" s="24"/>
      <x:c r="H576" s="24"/>
      <x:c r="I576" s="24" t="n">
        <x:v>72.85554232315714</x:v>
      </x:c>
      <x:c r="J576" s="24"/>
      <x:c r="K576" s="24"/>
    </x:row>
    <x:row r="577">
      <x:c r="A577" s="24" t="n">
        <x:v>57.5</x:v>
      </x:c>
      <x:c r="B577" s="24"/>
      <x:c r="C577" s="24" t="n">
        <x:v>65.75120865822814</x:v>
      </x:c>
      <x:c r="D577" s="24" t="n">
        <x:v>62.35509562259993</x:v>
      </x:c>
      <x:c r="E577" s="24"/>
      <x:c r="F577" s="24" t="n">
        <x:v>68.34345923435387</x:v>
      </x:c>
      <x:c r="G577" s="24"/>
      <x:c r="H577" s="24"/>
      <x:c r="I577" s="24" t="n">
        <x:v>76.81656898761653</x:v>
      </x:c>
      <x:c r="J577" s="24"/>
      <x:c r="K577" s="24"/>
    </x:row>
    <x:row r="578">
      <x:c r="A578" s="24" t="n">
        <x:v>57.6</x:v>
      </x:c>
      <x:c r="B578" s="24"/>
      <x:c r="C578" s="24" t="n">
        <x:v>66.45872163279687</x:v>
      </x:c>
      <x:c r="D578" s="24" t="n">
        <x:v>62.269119910484115</x:v>
      </x:c>
      <x:c r="E578" s="24"/>
      <x:c r="F578" s="24" t="n">
        <x:v>68.34345923435387</x:v>
      </x:c>
      <x:c r="G578" s="24"/>
      <x:c r="H578" s="24"/>
      <x:c r="I578" s="24" t="n">
        <x:v>76.81656898761653</x:v>
      </x:c>
      <x:c r="J578" s="24"/>
      <x:c r="K578" s="24"/>
    </x:row>
    <x:row r="579">
      <x:c r="A579" s="24" t="n">
        <x:v>57.7</x:v>
      </x:c>
      <x:c r="B579" s="24"/>
      <x:c r="C579" s="24" t="n">
        <x:v>67.26143098185999</x:v>
      </x:c>
      <x:c r="D579" s="24"/>
      <x:c r="E579" s="24"/>
      <x:c r="F579" s="24" t="n">
        <x:v>61.29390766731337</x:v>
      </x:c>
      <x:c r="G579" s="24"/>
      <x:c r="H579" s="24"/>
      <x:c r="I579" s="24" t="n">
        <x:v>65.51967940079686</x:v>
      </x:c>
      <x:c r="J579" s="24"/>
      <x:c r="K579" s="24"/>
    </x:row>
    <x:row r="580">
      <x:c r="A580" s="24" t="n">
        <x:v>57.800000000000004</x:v>
      </x:c>
      <x:c r="B580" s="24"/>
      <x:c r="C580" s="24" t="n">
        <x:v>68.66374368967882</x:v>
      </x:c>
      <x:c r="D580" s="24"/>
      <x:c r="E580" s="24"/>
      <x:c r="F580" s="24" t="n">
        <x:v>56.75263723913864</x:v>
      </x:c>
      <x:c r="G580" s="24"/>
      <x:c r="H580" s="24"/>
      <x:c r="I580" s="24" t="n">
        <x:v>65.97525119677262</x:v>
      </x:c>
      <x:c r="J580" s="24"/>
      <x:c r="K580" s="24"/>
    </x:row>
    <x:row r="581">
      <x:c r="A581" s="24" t="n">
        <x:v>57.900000000000006</x:v>
      </x:c>
      <x:c r="B581" s="24"/>
      <x:c r="C581" s="24" t="n">
        <x:v>68.66374368967882</x:v>
      </x:c>
      <x:c r="D581" s="24"/>
      <x:c r="E581" s="24"/>
      <x:c r="F581" s="24" t="n">
        <x:v>64.47533643176807</x:v>
      </x:c>
      <x:c r="G581" s="24"/>
      <x:c r="H581" s="24"/>
      <x:c r="I581" s="24" t="n">
        <x:v>71.65365680275714</x:v>
      </x:c>
      <x:c r="J581" s="24"/>
      <x:c r="K581" s="24"/>
    </x:row>
    <x:row r="582">
      <x:c r="A582" s="24" t="n">
        <x:v>58</x:v>
      </x:c>
      <x:c r="B582" s="24"/>
      <x:c r="C582" s="24" t="n">
        <x:v>67.87109852865494</x:v>
      </x:c>
      <x:c r="D582" s="24"/>
      <x:c r="E582" s="24"/>
      <x:c r="F582" s="24" t="n">
        <x:v>65.31916505829976</x:v>
      </x:c>
      <x:c r="G582" s="24"/>
      <x:c r="H582" s="24"/>
      <x:c r="I582" s="24" t="n">
        <x:v>72.9640967396528</x:v>
      </x:c>
      <x:c r="J582" s="24"/>
      <x:c r="K582" s="24"/>
    </x:row>
    <x:row r="583">
      <x:c r="A583" s="24" t="n">
        <x:v>58.1</x:v>
      </x:c>
      <x:c r="B583" s="24"/>
      <x:c r="C583" s="24" t="n">
        <x:v>68.78169798673004</x:v>
      </x:c>
      <x:c r="D583" s="24"/>
      <x:c r="E583" s="24"/>
      <x:c r="F583" s="24" t="n">
        <x:v>64.98603958588257</x:v>
      </x:c>
      <x:c r="G583" s="24"/>
      <x:c r="H583" s="24"/>
      <x:c r="I583" s="24" t="n">
        <x:v>73.27627400060815</x:v>
      </x:c>
      <x:c r="J583" s="24"/>
      <x:c r="K583" s="24"/>
    </x:row>
    <x:row r="584">
      <x:c r="A584" s="24" t="n">
        <x:v>58.2</x:v>
      </x:c>
      <x:c r="B584" s="24"/>
      <x:c r="C584" s="24" t="n">
        <x:v>69.39844456091743</x:v>
      </x:c>
      <x:c r="D584" s="24"/>
      <x:c r="E584" s="24"/>
      <x:c r="F584" s="24" t="n">
        <x:v>64.98603958588257</x:v>
      </x:c>
      <x:c r="G584" s="24"/>
      <x:c r="H584" s="24"/>
      <x:c r="I584" s="24" t="n">
        <x:v>73.27627400060815</x:v>
      </x:c>
      <x:c r="J584" s="24"/>
      <x:c r="K584" s="24"/>
    </x:row>
    <x:row r="585">
      <x:c r="A585" s="24" t="n">
        <x:v>58.300000000000004</x:v>
      </x:c>
      <x:c r="B585" s="24"/>
      <x:c r="C585" s="24" t="n">
        <x:v>69.12670461537034</x:v>
      </x:c>
      <x:c r="D585" s="24"/>
      <x:c r="E585" s="24"/>
      <x:c r="F585" s="24" t="n">
        <x:v>66.24382076707546</x:v>
      </x:c>
      <x:c r="G585" s="24"/>
      <x:c r="H585" s="24"/>
      <x:c r="I585" s="24" t="n">
        <x:v>72.62757945491148</x:v>
      </x:c>
      <x:c r="J585" s="24"/>
      <x:c r="K585" s="24"/>
    </x:row>
    <x:row r="586">
      <x:c r="A586" s="24" t="n">
        <x:v>58.400000000000006</x:v>
      </x:c>
      <x:c r="B586" s="24"/>
      <x:c r="C586" s="24" t="n">
        <x:v>85.04331815096405</x:v>
      </x:c>
      <x:c r="D586" s="24"/>
      <x:c r="E586" s="24"/>
      <x:c r="F586" s="24" t="n">
        <x:v>66.47422155751178</x:v>
      </x:c>
      <x:c r="G586" s="24"/>
      <x:c r="H586" s="24"/>
      <x:c r="I586" s="24" t="n">
        <x:v>73.66441016959539</x:v>
      </x:c>
      <x:c r="J586" s="24"/>
      <x:c r="K586" s="24"/>
    </x:row>
    <x:row r="587">
      <x:c r="A587" s="24" t="n">
        <x:v>58.5</x:v>
      </x:c>
      <x:c r="B587" s="24"/>
      <x:c r="C587" s="24" t="n">
        <x:v>89.7898720675935</x:v>
      </x:c>
      <x:c r="D587" s="24"/>
      <x:c r="E587" s="24"/>
      <x:c r="F587" s="24" t="n">
        <x:v>66.62230332465057</x:v>
      </x:c>
      <x:c r="G587" s="24"/>
      <x:c r="H587" s="24"/>
      <x:c r="I587" s="24" t="n">
        <x:v>73.66441016959539</x:v>
      </x:c>
      <x:c r="J587" s="24"/>
      <x:c r="K587" s="24"/>
    </x:row>
    <x:row r="588">
      <x:c r="A588" s="24" t="n">
        <x:v>58.6</x:v>
      </x:c>
      <x:c r="B588" s="24"/>
      <x:c r="C588" s="24" t="n">
        <x:v>89.7898720675935</x:v>
      </x:c>
      <x:c r="D588" s="24"/>
      <x:c r="E588" s="24"/>
      <x:c r="F588" s="24" t="n">
        <x:v>66.71914942609345</x:v>
      </x:c>
      <x:c r="G588" s="24"/>
      <x:c r="H588" s="24"/>
      <x:c r="I588" s="24" t="n">
        <x:v>72.42555311318769</x:v>
      </x:c>
      <x:c r="J588" s="24"/>
      <x:c r="K588" s="24"/>
    </x:row>
    <x:row r="589">
      <x:c r="A589" s="24" t="n">
        <x:v>58.7</x:v>
      </x:c>
      <x:c r="B589" s="24"/>
      <x:c r="C589" s="24" t="n">
        <x:v>82.05280058698752</x:v>
      </x:c>
      <x:c r="D589" s="24"/>
      <x:c r="E589" s="24"/>
      <x:c r="F589" s="24" t="n">
        <x:v>66.71914942609345</x:v>
      </x:c>
      <x:c r="G589" s="24"/>
      <x:c r="H589" s="24"/>
      <x:c r="I589" s="24" t="n">
        <x:v>70.06834279595199</x:v>
      </x:c>
      <x:c r="J589" s="24"/>
      <x:c r="K589" s="24"/>
    </x:row>
    <x:row r="590">
      <x:c r="A590" s="24" t="n">
        <x:v>58.800000000000004</x:v>
      </x:c>
      <x:c r="B590" s="24"/>
      <x:c r="C590" s="24" t="n">
        <x:v>75.09303262223602</x:v>
      </x:c>
      <x:c r="D590" s="24"/>
      <x:c r="E590" s="24"/>
      <x:c r="F590" s="24" t="n">
        <x:v>67.34183991474384</x:v>
      </x:c>
      <x:c r="G590" s="24"/>
      <x:c r="H590" s="24"/>
      <x:c r="I590" s="24" t="n">
        <x:v>83.60685800303982</x:v>
      </x:c>
      <x:c r="J590" s="24"/>
      <x:c r="K590" s="24"/>
    </x:row>
    <x:row r="591">
      <x:c r="A591" s="24" t="n">
        <x:v>58.900000000000006</x:v>
      </x:c>
      <x:c r="B591" s="24"/>
      <x:c r="C591" s="24" t="n">
        <x:v>72.93683987537325</x:v>
      </x:c>
      <x:c r="D591" s="24"/>
      <x:c r="E591" s="24"/>
      <x:c r="F591" s="24" t="n">
        <x:v>67.34183991474384</x:v>
      </x:c>
      <x:c r="G591" s="24"/>
      <x:c r="H591" s="24"/>
      <x:c r="I591" s="24" t="n">
        <x:v>84.44826061258117</x:v>
      </x:c>
      <x:c r="J591" s="24"/>
      <x:c r="K591" s="24"/>
    </x:row>
    <x:row r="592">
      <x:c r="A592" s="24" t="n">
        <x:v>59</x:v>
      </x:c>
      <x:c r="B592" s="24"/>
      <x:c r="C592" s="24" t="n">
        <x:v>71.363187380961</x:v>
      </x:c>
      <x:c r="D592" s="24"/>
      <x:c r="E592" s="24"/>
      <x:c r="F592" s="24" t="n">
        <x:v>64.21260554321512</x:v>
      </x:c>
      <x:c r="G592" s="24"/>
      <x:c r="H592" s="24"/>
      <x:c r="I592" s="24" t="n">
        <x:v>83.36225808041456</x:v>
      </x:c>
      <x:c r="J592" s="24"/>
      <x:c r="K592" s="24"/>
    </x:row>
    <x:row r="593">
      <x:c r="A593" s="24" t="n">
        <x:v>59.1</x:v>
      </x:c>
      <x:c r="B593" s="24"/>
      <x:c r="C593" s="24" t="n">
        <x:v>67.31216487016343</x:v>
      </x:c>
      <x:c r="D593" s="24"/>
      <x:c r="E593" s="24"/>
      <x:c r="F593" s="24" t="n">
        <x:v>78.41061190603003</x:v>
      </x:c>
      <x:c r="G593" s="24"/>
      <x:c r="H593" s="24"/>
      <x:c r="I593" s="24" t="n">
        <x:v>72.93760821189211</x:v>
      </x:c>
      <x:c r="J593" s="24"/>
      <x:c r="K593" s="24"/>
    </x:row>
    <x:row r="594">
      <x:c r="A594" s="24" t="n">
        <x:v>59.2</x:v>
      </x:c>
      <x:c r="B594" s="24"/>
      <x:c r="C594" s="24" t="n">
        <x:v>67.31216487016343</x:v>
      </x:c>
      <x:c r="D594" s="24"/>
      <x:c r="E594" s="24"/>
      <x:c r="F594" s="24" t="n">
        <x:v>79.73272510326842</x:v>
      </x:c>
      <x:c r="G594" s="24"/>
      <x:c r="H594" s="24"/>
      <x:c r="I594" s="24" t="n">
        <x:v>62.484102371014586</x:v>
      </x:c>
      <x:c r="J594" s="24"/>
      <x:c r="K594" s="24"/>
    </x:row>
    <x:row r="595">
      <x:c r="A595" s="24" t="n">
        <x:v>59.300000000000004</x:v>
      </x:c>
      <x:c r="B595" s="24"/>
      <x:c r="C595" s="24" t="n">
        <x:v>50</x:v>
      </x:c>
      <x:c r="D595" s="24"/>
      <x:c r="E595" s="24"/>
      <x:c r="F595" s="24" t="n">
        <x:v>79.73272510326757</x:v>
      </x:c>
      <x:c r="G595" s="24"/>
      <x:c r="H595" s="24"/>
      <x:c r="I595" s="24" t="n">
        <x:v>50</x:v>
      </x:c>
      <x:c r="J595" s="24"/>
      <x:c r="K595" s="24"/>
    </x:row>
    <x:row r="596">
      <x:c r="A596" s="24" t="n">
        <x:v>59.400000000000006</x:v>
      </x:c>
      <x:c r="B596" s="24"/>
      <x:c r="C596" s="24" t="n">
        <x:v>50</x:v>
      </x:c>
      <x:c r="D596" s="24"/>
      <x:c r="E596" s="24"/>
      <x:c r="F596" s="24" t="n">
        <x:v>68.52068822136775</x:v>
      </x:c>
      <x:c r="G596" s="24"/>
      <x:c r="H596" s="24"/>
      <x:c r="I596" s="24" t="n">
        <x:v>69.09606870020467</x:v>
      </x:c>
      <x:c r="J596" s="24"/>
      <x:c r="K596" s="24"/>
    </x:row>
    <x:row r="597">
      <x:c r="A597" s="24" t="n">
        <x:v>59.5</x:v>
      </x:c>
      <x:c r="B597" s="24"/>
      <x:c r="C597" s="24" t="n">
        <x:v>50</x:v>
      </x:c>
      <x:c r="D597" s="24"/>
      <x:c r="E597" s="24"/>
      <x:c r="F597" s="24" t="n">
        <x:v>54.06029913380108</x:v>
      </x:c>
      <x:c r="G597" s="24"/>
      <x:c r="H597" s="24"/>
      <x:c r="I597" s="24" t="n">
        <x:v>70.0837248722389</x:v>
      </x:c>
      <x:c r="J597" s="24"/>
      <x:c r="K597" s="24"/>
    </x:row>
    <x:row r="598">
      <x:c r="A598" s="24" t="n">
        <x:v>59.6</x:v>
      </x:c>
      <x:c r="B598" s="24"/>
      <x:c r="C598" s="24" t="n">
        <x:v>70.25493557174605</x:v>
      </x:c>
      <x:c r="D598" s="24"/>
      <x:c r="E598" s="24"/>
      <x:c r="F598" s="24" t="n">
        <x:v>50</x:v>
      </x:c>
      <x:c r="G598" s="24"/>
      <x:c r="H598" s="24"/>
      <x:c r="I598" s="24" t="n">
        <x:v>66.44748021147583</x:v>
      </x:c>
      <x:c r="J598" s="24"/>
      <x:c r="K598" s="24"/>
    </x:row>
    <x:row r="599">
      <x:c r="A599" s="24" t="n">
        <x:v>59.7</x:v>
      </x:c>
      <x:c r="B599" s="24"/>
      <x:c r="C599" s="24" t="n">
        <x:v>74.4710734559857</x:v>
      </x:c>
      <x:c r="D599" s="24"/>
      <x:c r="E599" s="24"/>
      <x:c r="F599" s="24" t="n">
        <x:v>52.09219691724953</x:v>
      </x:c>
      <x:c r="G599" s="24"/>
      <x:c r="H599" s="24"/>
      <x:c r="I599" s="24" t="n">
        <x:v>78.57988753500075</x:v>
      </x:c>
      <x:c r="J599" s="24"/>
      <x:c r="K599" s="24"/>
    </x:row>
    <x:row r="600">
      <x:c r="A600" s="24" t="n">
        <x:v>59.800000000000004</x:v>
      </x:c>
      <x:c r="B600" s="24"/>
      <x:c r="C600" s="24" t="n">
        <x:v>74.4710734559857</x:v>
      </x:c>
      <x:c r="D600" s="24"/>
      <x:c r="E600" s="24"/>
      <x:c r="F600" s="24" t="n">
        <x:v>57.322689210372616</x:v>
      </x:c>
      <x:c r="G600" s="24"/>
      <x:c r="H600" s="24"/>
      <x:c r="I600" s="24" t="n">
        <x:v>78.57988753500075</x:v>
      </x:c>
      <x:c r="J600" s="24"/>
      <x:c r="K600" s="24"/>
    </x:row>
    <x:row r="601">
      <x:c r="A601" s="24" t="n">
        <x:v>59.900000000000006</x:v>
      </x:c>
      <x:c r="B601" s="24"/>
      <x:c r="C601" s="24" t="n">
        <x:v>69.49148657899933</x:v>
      </x:c>
      <x:c r="D601" s="24"/>
      <x:c r="E601" s="24"/>
      <x:c r="F601" s="24" t="n">
        <x:v>62.553181503495324</x:v>
      </x:c>
      <x:c r="G601" s="24"/>
      <x:c r="H601" s="24"/>
      <x:c r="I601" s="24" t="n">
        <x:v>74.03236755759501</x:v>
      </x:c>
      <x:c r="J601" s="24"/>
      <x:c r="K601" s="24"/>
    </x:row>
    <x:row r="602">
      <x:c r="A602" s="24" t="n">
        <x:v>60</x:v>
      </x:c>
      <x:c r="B602" s="24"/>
      <x:c r="C602" s="24" t="n">
        <x:v>58.73188453130194</x:v>
      </x:c>
      <x:c r="D602" s="24"/>
      <x:c r="E602" s="24"/>
      <x:c r="F602" s="24" t="n">
        <x:v>62.553181503495324</x:v>
      </x:c>
      <x:c r="G602" s="24"/>
      <x:c r="H602" s="24"/>
      <x:c r="I602" s="24" t="n">
        <x:v>61.263134359030474</x:v>
      </x:c>
      <x:c r="J602" s="24"/>
      <x:c r="K602" s="24"/>
    </x:row>
    <x:row r="603">
      <x:c r="A603" s="24" t="n">
        <x:v>60.1</x:v>
      </x:c>
      <x:c r="B603" s="24"/>
      <x:c r="C603" s="24" t="n">
        <x:v>61.28974523658503</x:v>
      </x:c>
      <x:c r="D603" s="24"/>
      <x:c r="E603" s="24"/>
      <x:c r="F603" s="24" t="n">
        <x:v>69.8177771330803</x:v>
      </x:c>
      <x:c r="G603" s="24"/>
      <x:c r="H603" s="24"/>
      <x:c r="I603" s="24" t="n">
        <x:v>72.25261642088367</x:v>
      </x:c>
      <x:c r="J603" s="24"/>
      <x:c r="K603" s="24"/>
    </x:row>
    <x:row r="604">
      <x:c r="A604" s="24" t="n">
        <x:v>60.2</x:v>
      </x:c>
      <x:c r="B604" s="24"/>
      <x:c r="C604" s="24" t="n">
        <x:v>67.61897898264844</x:v>
      </x:c>
      <x:c r="D604" s="24"/>
      <x:c r="E604" s="24"/>
      <x:c r="F604" s="24" t="n">
        <x:v>69.8177771330803</x:v>
      </x:c>
      <x:c r="G604" s="24"/>
      <x:c r="H604" s="24"/>
      <x:c r="I604" s="24" t="n">
        <x:v>72.54469249959834</x:v>
      </x:c>
      <x:c r="J604" s="24"/>
      <x:c r="K604" s="24"/>
    </x:row>
    <x:row r="605">
      <x:c r="A605" s="24" t="n">
        <x:v>60.300000000000004</x:v>
      </x:c>
      <x:c r="B605" s="24"/>
      <x:c r="C605" s="24" t="n">
        <x:v>67.61897898264844</x:v>
      </x:c>
      <x:c r="D605" s="24"/>
      <x:c r="E605" s="24"/>
      <x:c r="F605" s="24" t="n">
        <x:v>67.38104299569798</x:v>
      </x:c>
      <x:c r="G605" s="24"/>
      <x:c r="H605" s="24"/>
      <x:c r="I605" s="24" t="n">
        <x:v>73.05595428188029</x:v>
      </x:c>
      <x:c r="J605" s="24"/>
      <x:c r="K605" s="24"/>
    </x:row>
    <x:row r="606">
      <x:c r="A606" s="24" t="n">
        <x:v>60.400000000000006</x:v>
      </x:c>
      <x:c r="B606" s="24"/>
      <x:c r="C606" s="24" t="n">
        <x:v>66.63210187640537</x:v>
      </x:c>
      <x:c r="D606" s="24"/>
      <x:c r="E606" s="24"/>
      <x:c r="F606" s="24" t="n">
        <x:v>58.022954728986925</x:v>
      </x:c>
      <x:c r="G606" s="24"/>
      <x:c r="H606" s="24"/>
      <x:c r="I606" s="24" t="n">
        <x:v>73.64329424732267</x:v>
      </x:c>
      <x:c r="J606" s="24"/>
      <x:c r="K606" s="24"/>
    </x:row>
    <x:row r="607">
      <x:c r="A607" s="24" t="n">
        <x:v>60.5</x:v>
      </x:c>
      <x:c r="B607" s="24"/>
      <x:c r="C607" s="24" t="n">
        <x:v>66.93445594983405</x:v>
      </x:c>
      <x:c r="D607" s="24"/>
      <x:c r="E607" s="24"/>
      <x:c r="F607" s="24" t="n">
        <x:v>62.4392693390174</x:v>
      </x:c>
      <x:c r="G607" s="24"/>
      <x:c r="H607" s="24"/>
      <x:c r="I607" s="24" t="n">
        <x:v>73.64329424732267</x:v>
      </x:c>
      <x:c r="J607" s="24"/>
      <x:c r="K607" s="24"/>
    </x:row>
    <x:row r="608">
      <x:c r="A608" s="24" t="n">
        <x:v>60.6</x:v>
      </x:c>
      <x:c r="B608" s="24"/>
      <x:c r="C608" s="24" t="n">
        <x:v>67.17184658043092</x:v>
      </x:c>
      <x:c r="D608" s="24"/>
      <x:c r="E608" s="24"/>
      <x:c r="F608" s="24" t="n">
        <x:v>65.6256783988693</x:v>
      </x:c>
      <x:c r="G608" s="24"/>
      <x:c r="H608" s="24"/>
      <x:c r="I608" s="24" t="n">
        <x:v>72.81036428382848</x:v>
      </x:c>
      <x:c r="J608" s="24"/>
      <x:c r="K608" s="24"/>
    </x:row>
    <x:row r="609">
      <x:c r="A609" s="24" t="n">
        <x:v>60.7</x:v>
      </x:c>
      <x:c r="B609" s="24"/>
      <x:c r="C609" s="24" t="n">
        <x:v>67.17184658043092</x:v>
      </x:c>
      <x:c r="D609" s="24"/>
      <x:c r="E609" s="24"/>
      <x:c r="F609" s="24" t="n">
        <x:v>65.84177465056422</x:v>
      </x:c>
      <x:c r="G609" s="24"/>
      <x:c r="H609" s="24"/>
      <x:c r="I609" s="24" t="n">
        <x:v>73.66387971706894</x:v>
      </x:c>
      <x:c r="J609" s="24"/>
      <x:c r="K609" s="24"/>
    </x:row>
    <x:row r="610">
      <x:c r="A610" s="24" t="n">
        <x:v>60.800000000000004</x:v>
      </x:c>
      <x:c r="B610" s="24"/>
      <x:c r="C610" s="24" t="n">
        <x:v>69.86520409149692</x:v>
      </x:c>
      <x:c r="D610" s="24"/>
      <x:c r="E610" s="24"/>
      <x:c r="F610" s="24" t="n">
        <x:v>65.84177465056422</x:v>
      </x:c>
      <x:c r="G610" s="24"/>
      <x:c r="H610" s="24"/>
      <x:c r="I610" s="24" t="n">
        <x:v>73.66387971706894</x:v>
      </x:c>
      <x:c r="J610" s="24"/>
      <x:c r="K610" s="24"/>
    </x:row>
    <x:row r="611">
      <x:c r="A611" s="24" t="n">
        <x:v>60.900000000000006</x:v>
      </x:c>
      <x:c r="B611" s="24"/>
      <x:c r="C611" s="24" t="n">
        <x:v>70.07195701954251</x:v>
      </x:c>
      <x:c r="D611" s="24"/>
      <x:c r="E611" s="24"/>
      <x:c r="F611" s="24" t="n">
        <x:v>66.37849215890772</x:v>
      </x:c>
      <x:c r="G611" s="24"/>
      <x:c r="H611" s="24"/>
      <x:c r="I611" s="24" t="n">
        <x:v>70.6556573896062</x:v>
      </x:c>
      <x:c r="J611" s="24"/>
      <x:c r="K611" s="24"/>
    </x:row>
    <x:row r="612">
      <x:c r="A612" s="24" t="n">
        <x:v>61</x:v>
      </x:c>
      <x:c r="B612" s="24"/>
      <x:c r="C612" s="24" t="n">
        <x:v>69.56813790708698</x:v>
      </x:c>
      <x:c r="D612" s="24"/>
      <x:c r="E612" s="24"/>
      <x:c r="F612" s="24" t="n">
        <x:v>67.08464376402507</x:v>
      </x:c>
      <x:c r="G612" s="24"/>
      <x:c r="H612" s="24"/>
      <x:c r="I612" s="24" t="n">
        <x:v>70.6556573896062</x:v>
      </x:c>
      <x:c r="J612" s="24"/>
      <x:c r="K612" s="24"/>
    </x:row>
    <x:row r="613">
      <x:c r="A613" s="24" t="n">
        <x:v>61.1</x:v>
      </x:c>
      <x:c r="B613" s="24"/>
      <x:c r="C613" s="24" t="n">
        <x:v>66.95609602187179</x:v>
      </x:c>
      <x:c r="D613" s="24"/>
      <x:c r="E613" s="24"/>
      <x:c r="F613" s="24" t="n">
        <x:v>67.08464376402507</x:v>
      </x:c>
      <x:c r="G613" s="24"/>
      <x:c r="H613" s="24"/>
      <x:c r="I613" s="24" t="n">
        <x:v>78.7027784393602</x:v>
      </x:c>
      <x:c r="J613" s="24"/>
      <x:c r="K613" s="24"/>
    </x:row>
    <x:row r="614">
      <x:c r="A614" s="24" t="n">
        <x:v>61.2</x:v>
      </x:c>
      <x:c r="B614" s="24"/>
      <x:c r="C614" s="24" t="n">
        <x:v>82.53298230517665</x:v>
      </x:c>
      <x:c r="D614" s="24"/>
      <x:c r="E614" s="24"/>
      <x:c r="F614" s="24" t="n">
        <x:v>66.79243962829585</x:v>
      </x:c>
      <x:c r="G614" s="24"/>
      <x:c r="H614" s="24"/>
      <x:c r="I614" s="24" t="n">
        <x:v>80.76486691439149</x:v>
      </x:c>
      <x:c r="J614" s="24"/>
      <x:c r="K614" s="24"/>
    </x:row>
    <x:row r="615">
      <x:c r="A615" s="24" t="n">
        <x:v>61.300000000000004</x:v>
      </x:c>
      <x:c r="B615" s="24"/>
      <x:c r="C615" s="24" t="n">
        <x:v>82.53298230517665</x:v>
      </x:c>
      <x:c r="D615" s="24"/>
      <x:c r="E615" s="24"/>
      <x:c r="F615" s="24" t="n">
        <x:v>66.91180563399134</x:v>
      </x:c>
      <x:c r="G615" s="24"/>
      <x:c r="H615" s="24"/>
      <x:c r="I615" s="24" t="n">
        <x:v>80.76486691439148</x:v>
      </x:c>
      <x:c r="J615" s="24"/>
      <x:c r="K615" s="24"/>
    </x:row>
    <x:row r="616">
      <x:c r="A616" s="24" t="n">
        <x:v>61.400000000000006</x:v>
      </x:c>
      <x:c r="B616" s="24"/>
      <x:c r="C616" s="24" t="n">
        <x:v>77.58260596190078</x:v>
      </x:c>
      <x:c r="D616" s="24"/>
      <x:c r="E616" s="24"/>
      <x:c r="F616" s="24" t="n">
        <x:v>68.71299071250267</x:v>
      </x:c>
      <x:c r="G616" s="24"/>
      <x:c r="H616" s="24"/>
      <x:c r="I616" s="24" t="n">
        <x:v>70.61692657839843</x:v>
      </x:c>
      <x:c r="J616" s="24"/>
      <x:c r="K616" s="24"/>
    </x:row>
    <x:row r="617">
      <x:c r="A617" s="24" t="n">
        <x:v>61.5</x:v>
      </x:c>
      <x:c r="B617" s="24"/>
      <x:c r="C617" s="24" t="n">
        <x:v>69.7200103758535</x:v>
      </x:c>
      <x:c r="D617" s="24"/>
      <x:c r="E617" s="24"/>
      <x:c r="F617" s="24" t="n">
        <x:v>68.71299071250267</x:v>
      </x:c>
      <x:c r="G617" s="24"/>
      <x:c r="H617" s="24"/>
      <x:c r="I617" s="24" t="n">
        <x:v>50</x:v>
      </x:c>
      <x:c r="J617" s="24"/>
      <x:c r="K617" s="24"/>
    </x:row>
    <x:row r="618">
      <x:c r="A618" s="24" t="n">
        <x:v>61.6</x:v>
      </x:c>
      <x:c r="B618" s="24"/>
      <x:c r="C618" s="24" t="n">
        <x:v>62.6023684295194</x:v>
      </x:c>
      <x:c r="D618" s="24"/>
      <x:c r="E618" s="24"/>
      <x:c r="F618" s="24" t="n">
        <x:v>65.0065862073666</x:v>
      </x:c>
      <x:c r="G618" s="24"/>
      <x:c r="H618" s="24"/>
      <x:c r="I618" s="24" t="n">
        <x:v>50</x:v>
      </x:c>
      <x:c r="J618" s="24"/>
      <x:c r="K618" s="24"/>
    </x:row>
    <x:row r="619">
      <x:c r="A619" s="24" t="n">
        <x:v>61.7</x:v>
      </x:c>
      <x:c r="B619" s="24"/>
      <x:c r="C619" s="24" t="n">
        <x:v>61.1959321470576</x:v>
      </x:c>
      <x:c r="D619" s="24"/>
      <x:c r="E619" s="24"/>
      <x:c r="F619" s="24" t="n">
        <x:v>60.152739837028534</x:v>
      </x:c>
      <x:c r="G619" s="24"/>
      <x:c r="H619" s="24"/>
      <x:c r="I619" s="24" t="n">
        <x:v>50</x:v>
      </x:c>
      <x:c r="J619" s="24"/>
      <x:c r="K619" s="24"/>
    </x:row>
    <x:row r="620">
      <x:c r="A620" s="24" t="n">
        <x:v>61.800000000000004</x:v>
      </x:c>
      <x:c r="B620" s="24"/>
      <x:c r="C620" s="24" t="n">
        <x:v>59.789495864595786</x:v>
      </x:c>
      <x:c r="D620" s="24"/>
      <x:c r="E620" s="24"/>
      <x:c r="F620" s="24" t="n">
        <x:v>70.54416393533732</x:v>
      </x:c>
      <x:c r="G620" s="24"/>
      <x:c r="H620" s="24"/>
      <x:c r="I620" s="24" t="n">
        <x:v>67.0120544726285</x:v>
      </x:c>
      <x:c r="J620" s="24"/>
      <x:c r="K620" s="24"/>
    </x:row>
    <x:row r="621">
      <x:c r="A621" s="24" t="n">
        <x:v>61.900000000000006</x:v>
      </x:c>
      <x:c r="B621" s="24"/>
      <x:c r="C621" s="24" t="n">
        <x:v>59.885766075034795</x:v>
      </x:c>
      <x:c r="D621" s="24"/>
      <x:c r="E621" s="24"/>
      <x:c r="F621" s="24" t="n">
        <x:v>78.23385233669487</x:v>
      </x:c>
      <x:c r="G621" s="24"/>
      <x:c r="H621" s="24"/>
      <x:c r="I621" s="24" t="n">
        <x:v>77.73168431287618</x:v>
      </x:c>
      <x:c r="J621" s="24"/>
      <x:c r="K621" s="24"/>
    </x:row>
    <x:row r="622">
      <x:c r="A622" s="24" t="n">
        <x:v>62</x:v>
      </x:c>
      <x:c r="B622" s="24"/>
      <x:c r="C622" s="24" t="n">
        <x:v>59.885766075034795</x:v>
      </x:c>
      <x:c r="D622" s="24"/>
      <x:c r="E622" s="24"/>
      <x:c r="F622" s="24" t="n">
        <x:v>78.23385233669487</x:v>
      </x:c>
      <x:c r="G622" s="24"/>
      <x:c r="H622" s="24"/>
      <x:c r="I622" s="24" t="n">
        <x:v>77.75849557100244</x:v>
      </x:c>
      <x:c r="J622" s="24"/>
      <x:c r="K622" s="24"/>
    </x:row>
    <x:row r="623">
      <x:c r="A623" s="24" t="n">
        <x:v>62.1</x:v>
      </x:c>
      <x:c r="B623" s="24"/>
      <x:c r="C623" s="24" t="n">
        <x:v>59.53381547725718</x:v>
      </x:c>
      <x:c r="D623" s="24"/>
      <x:c r="E623" s="24"/>
      <x:c r="F623" s="24" t="n">
        <x:v>70.9574797918913</x:v>
      </x:c>
      <x:c r="G623" s="24"/>
      <x:c r="H623" s="24"/>
      <x:c r="I623" s="24" t="n">
        <x:v>76.5783003544019</x:v>
      </x:c>
      <x:c r="J623" s="24"/>
      <x:c r="K623" s="24"/>
    </x:row>
    <x:row r="624">
      <x:c r="A624" s="24" t="n">
        <x:v>62.2</x:v>
      </x:c>
      <x:c r="B624" s="24"/>
      <x:c r="C624" s="24" t="n">
        <x:v>57.51079749591227</x:v>
      </x:c>
      <x:c r="D624" s="24"/>
      <x:c r="E624" s="24"/>
      <x:c r="F624" s="24" t="n">
        <x:v>58.27360885916857</x:v>
      </x:c>
      <x:c r="G624" s="24"/>
      <x:c r="H624" s="24"/>
      <x:c r="I624" s="24" t="n">
        <x:v>59.55615885968258</x:v>
      </x:c>
      <x:c r="J624" s="24"/>
      <x:c r="K624" s="24"/>
    </x:row>
    <x:row r="625">
      <x:c r="A625" s="24" t="n">
        <x:v>62.300000000000004</x:v>
      </x:c>
      <x:c r="B625" s="24"/>
      <x:c r="C625" s="24" t="n">
        <x:v>70.02879332243242</x:v>
      </x:c>
      <x:c r="D625" s="24"/>
      <x:c r="E625" s="24"/>
      <x:c r="F625" s="24" t="n">
        <x:v>54.727776490953346</x:v>
      </x:c>
      <x:c r="G625" s="24"/>
      <x:c r="H625" s="24"/>
      <x:c r="I625" s="24" t="n">
        <x:v>67.98702269059969</x:v>
      </x:c>
      <x:c r="J625" s="24"/>
      <x:c r="K625" s="24"/>
    </x:row>
    <x:row r="626">
      <x:c r="A626" s="24" t="n">
        <x:v>62.400000000000006</x:v>
      </x:c>
      <x:c r="B626" s="24"/>
      <x:c r="C626" s="24" t="n">
        <x:v>72.53239248773592</x:v>
      </x:c>
      <x:c r="D626" s="24"/>
      <x:c r="E626" s="24"/>
      <x:c r="F626" s="24" t="n">
        <x:v>50</x:v>
      </x:c>
      <x:c r="G626" s="24"/>
      <x:c r="H626" s="24"/>
      <x:c r="I626" s="24" t="n">
        <x:v>74.14825984502883</x:v>
      </x:c>
      <x:c r="J626" s="24"/>
      <x:c r="K626" s="24"/>
    </x:row>
    <x:row r="627">
      <x:c r="A627" s="24" t="n">
        <x:v>62.5</x:v>
      </x:c>
      <x:c r="B627" s="24"/>
      <x:c r="C627" s="24" t="n">
        <x:v>70.83051616935104</x:v>
      </x:c>
      <x:c r="D627" s="24"/>
      <x:c r="E627" s="24"/>
      <x:c r="F627" s="24" t="n">
        <x:v>54.23351905450461</x:v>
      </x:c>
      <x:c r="G627" s="24"/>
      <x:c r="H627" s="24"/>
      <x:c r="I627" s="24" t="n">
        <x:v>74.14825984502883</x:v>
      </x:c>
      <x:c r="J627" s="24"/>
      <x:c r="K627" s="24"/>
    </x:row>
    <x:row r="628">
      <x:c r="A628" s="24" t="n">
        <x:v>62.6</x:v>
      </x:c>
      <x:c r="B628" s="24"/>
      <x:c r="C628" s="24" t="n">
        <x:v>59.734781495289695</x:v>
      </x:c>
      <x:c r="D628" s="24"/>
      <x:c r="E628" s="24"/>
      <x:c r="F628" s="24" t="n">
        <x:v>59.525417872635565</x:v>
      </x:c>
      <x:c r="G628" s="24"/>
      <x:c r="H628" s="24"/>
      <x:c r="I628" s="24" t="n">
        <x:v>72.12988663385391</x:v>
      </x:c>
      <x:c r="J628" s="24"/>
      <x:c r="K628" s="24"/>
    </x:row>
    <x:row r="629">
      <x:c r="A629" s="24" t="n">
        <x:v>62.7</x:v>
      </x:c>
      <x:c r="B629" s="24"/>
      <x:c r="C629" s="24" t="n">
        <x:v>58.442358296650774</x:v>
      </x:c>
      <x:c r="D629" s="24"/>
      <x:c r="E629" s="24"/>
      <x:c r="F629" s="24" t="n">
        <x:v>62.700557163513835</x:v>
      </x:c>
      <x:c r="G629" s="24"/>
      <x:c r="H629" s="24"/>
      <x:c r="I629" s="24" t="n">
        <x:v>73.34560438137419</x:v>
      </x:c>
      <x:c r="J629" s="24"/>
      <x:c r="K629" s="24"/>
    </x:row>
    <x:row r="630">
      <x:c r="A630" s="24" t="n">
        <x:v>62.800000000000004</x:v>
      </x:c>
      <x:c r="B630" s="24"/>
      <x:c r="C630" s="24" t="n">
        <x:v>63.19338238428083</x:v>
      </x:c>
      <x:c r="D630" s="24"/>
      <x:c r="E630" s="24"/>
      <x:c r="F630" s="24" t="n">
        <x:v>67.79501168689156</x:v>
      </x:c>
      <x:c r="G630" s="24"/>
      <x:c r="H630" s="24"/>
      <x:c r="I630" s="24" t="n">
        <x:v>73.34560438137419</x:v>
      </x:c>
      <x:c r="J630" s="24"/>
      <x:c r="K630" s="24"/>
    </x:row>
    <x:row r="631">
      <x:c r="A631" s="24" t="n">
        <x:v>62.900000000000006</x:v>
      </x:c>
      <x:c r="B631" s="24"/>
      <x:c r="C631" s="24" t="n">
        <x:v>64.1738503213529</x:v>
      </x:c>
      <x:c r="D631" s="24"/>
      <x:c r="E631" s="24"/>
      <x:c r="F631" s="24" t="n">
        <x:v>70.3422389485795</x:v>
      </x:c>
      <x:c r="G631" s="24"/>
      <x:c r="H631" s="24"/>
      <x:c r="I631" s="24" t="n">
        <x:v>73.39622970100044</x:v>
      </x:c>
      <x:c r="J631" s="24"/>
      <x:c r="K631" s="24"/>
    </x:row>
    <x:row r="632">
      <x:c r="A632" s="24" t="n">
        <x:v>63</x:v>
      </x:c>
      <x:c r="B632" s="24"/>
      <x:c r="C632" s="24" t="n">
        <x:v>64.58150949905058</x:v>
      </x:c>
      <x:c r="D632" s="24"/>
      <x:c r="E632" s="24"/>
      <x:c r="F632" s="24" t="n">
        <x:v>70.29871821317471</x:v>
      </x:c>
      <x:c r="G632" s="24"/>
      <x:c r="H632" s="24"/>
      <x:c r="I632" s="24" t="n">
        <x:v>73.39622970100044</x:v>
      </x:c>
      <x:c r="J632" s="24"/>
      <x:c r="K632" s="24"/>
    </x:row>
    <x:row r="633">
      <x:c r="A633" s="24" t="n">
        <x:v>63.1</x:v>
      </x:c>
      <x:c r="B633" s="24"/>
      <x:c r="C633" s="24" t="n">
        <x:v>65.57205246110384</x:v>
      </x:c>
      <x:c r="D633" s="24"/>
      <x:c r="E633" s="24"/>
      <x:c r="F633" s="24" t="n">
        <x:v>63.8178699704455</x:v>
      </x:c>
      <x:c r="G633" s="24"/>
      <x:c r="H633" s="24"/>
      <x:c r="I633" s="24" t="n">
        <x:v>73.32076614540779</x:v>
      </x:c>
      <x:c r="J633" s="24"/>
      <x:c r="K633" s="24"/>
    </x:row>
    <x:row r="634">
      <x:c r="A634" s="24" t="n">
        <x:v>63.2</x:v>
      </x:c>
      <x:c r="B634" s="24"/>
      <x:c r="C634" s="24" t="n">
        <x:v>66.23162199462195</x:v>
      </x:c>
      <x:c r="D634" s="24"/>
      <x:c r="E634" s="24"/>
      <x:c r="F634" s="24" t="n">
        <x:v>58.84949845982832</x:v>
      </x:c>
      <x:c r="G634" s="24"/>
      <x:c r="H634" s="24"/>
      <x:c r="I634" s="24" t="n">
        <x:v>70.29317190336378</x:v>
      </x:c>
      <x:c r="J634" s="24"/>
      <x:c r="K634" s="24"/>
    </x:row>
    <x:row r="635">
      <x:c r="A635" s="24" t="n">
        <x:v>63.300000000000004</x:v>
      </x:c>
      <x:c r="B635" s="24"/>
      <x:c r="C635" s="24" t="n">
        <x:v>66.23162199462138</x:v>
      </x:c>
      <x:c r="D635" s="24"/>
      <x:c r="E635" s="24"/>
      <x:c r="F635" s="24" t="n">
        <x:v>64.08355655925696</x:v>
      </x:c>
      <x:c r="G635" s="24"/>
      <x:c r="H635" s="24"/>
      <x:c r="I635" s="24" t="n">
        <x:v>69.3428281326546</x:v>
      </x:c>
      <x:c r="J635" s="24"/>
      <x:c r="K635" s="24"/>
    </x:row>
    <x:row r="636">
      <x:c r="A636" s="24" t="n">
        <x:v>63.400000000000006</x:v>
      </x:c>
      <x:c r="B636" s="24"/>
      <x:c r="C636" s="24" t="n">
        <x:v>64.32556398580508</x:v>
      </x:c>
      <x:c r="D636" s="24"/>
      <x:c r="E636" s="24"/>
      <x:c r="F636" s="24" t="n">
        <x:v>66.17538720293285</x:v>
      </x:c>
      <x:c r="G636" s="24"/>
      <x:c r="H636" s="24"/>
      <x:c r="I636" s="24" t="n">
        <x:v>67.50758189129988</x:v>
      </x:c>
      <x:c r="J636" s="24"/>
      <x:c r="K636" s="24"/>
    </x:row>
    <x:row r="637">
      <x:c r="A637" s="24" t="n">
        <x:v>63.5</x:v>
      </x:c>
      <x:c r="B637" s="24"/>
      <x:c r="C637" s="24" t="n">
        <x:v>65.17893049893478</x:v>
      </x:c>
      <x:c r="D637" s="24"/>
      <x:c r="E637" s="24"/>
      <x:c r="F637" s="24" t="n">
        <x:v>66.68429595834418</x:v>
      </x:c>
      <x:c r="G637" s="24"/>
      <x:c r="H637" s="24"/>
      <x:c r="I637" s="24" t="n">
        <x:v>82.70446504619906</x:v>
      </x:c>
      <x:c r="J637" s="24"/>
      <x:c r="K637" s="24"/>
    </x:row>
    <x:row r="638">
      <x:c r="A638" s="24" t="n">
        <x:v>63.6</x:v>
      </x:c>
      <x:c r="B638" s="24"/>
      <x:c r="C638" s="24" t="n">
        <x:v>66.08753125489488</x:v>
      </x:c>
      <x:c r="D638" s="24"/>
      <x:c r="E638" s="24"/>
      <x:c r="F638" s="24" t="n">
        <x:v>67.3499725832773</x:v>
      </x:c>
      <x:c r="G638" s="24"/>
      <x:c r="H638" s="24"/>
      <x:c r="I638" s="24" t="n">
        <x:v>82.70446504619906</x:v>
      </x:c>
      <x:c r="J638" s="24"/>
      <x:c r="K638" s="24"/>
    </x:row>
    <x:row r="639">
      <x:c r="A639" s="24" t="n">
        <x:v>63.7</x:v>
      </x:c>
      <x:c r="B639" s="24"/>
      <x:c r="C639" s="24" t="n">
        <x:v>66.1754584706328</x:v>
      </x:c>
      <x:c r="D639" s="24"/>
      <x:c r="E639" s="24"/>
      <x:c r="F639" s="24" t="n">
        <x:v>67.71708028096042</x:v>
      </x:c>
      <x:c r="G639" s="24"/>
      <x:c r="H639" s="24"/>
      <x:c r="I639" s="24" t="n">
        <x:v>74.1565970721002</x:v>
      </x:c>
      <x:c r="J639" s="24"/>
      <x:c r="K639" s="24"/>
    </x:row>
    <x:row r="640">
      <x:c r="A640" s="24" t="n">
        <x:v>63.800000000000004</x:v>
      </x:c>
      <x:c r="B640" s="24"/>
      <x:c r="C640" s="24" t="n">
        <x:v>66.42595992975626</x:v>
      </x:c>
      <x:c r="D640" s="24"/>
      <x:c r="E640" s="24"/>
      <x:c r="F640" s="24" t="n">
        <x:v>67.78001635214444</x:v>
      </x:c>
      <x:c r="G640" s="24"/>
      <x:c r="H640" s="24"/>
      <x:c r="I640" s="24" t="n">
        <x:v>60.294210725237505</x:v>
      </x:c>
      <x:c r="J640" s="24"/>
      <x:c r="K640" s="24"/>
    </x:row>
    <x:row r="641">
      <x:c r="A641" s="24" t="n">
        <x:v>63.900000000000006</x:v>
      </x:c>
      <x:c r="B641" s="24"/>
      <x:c r="C641" s="24" t="n">
        <x:v>76.79858019329414</x:v>
      </x:c>
      <x:c r="D641" s="24"/>
      <x:c r="E641" s="24"/>
      <x:c r="F641" s="24" t="n">
        <x:v>67.57848114717724</x:v>
      </x:c>
      <x:c r="G641" s="24"/>
      <x:c r="H641" s="24"/>
      <x:c r="I641" s="24" t="n">
        <x:v>50</x:v>
      </x:c>
      <x:c r="J641" s="24"/>
      <x:c r="K641" s="24"/>
    </x:row>
    <x:row r="642">
      <x:c r="A642" s="24" t="n">
        <x:v>64</x:v>
      </x:c>
      <x:c r="B642" s="24"/>
      <x:c r="C642" s="24" t="n">
        <x:v>77.78927354667707</x:v>
      </x:c>
      <x:c r="D642" s="24"/>
      <x:c r="E642" s="24"/>
      <x:c r="F642" s="24" t="n">
        <x:v>68.27613010319479</x:v>
      </x:c>
      <x:c r="G642" s="24"/>
      <x:c r="H642" s="24"/>
      <x:c r="I642" s="24" t="n">
        <x:v>50</x:v>
      </x:c>
      <x:c r="J642" s="24"/>
      <x:c r="K642" s="24"/>
    </x:row>
    <x:row r="643">
      <x:c r="A643" s="24" t="n">
        <x:v>64.10000000000001</x:v>
      </x:c>
      <x:c r="B643" s="24"/>
      <x:c r="C643" s="24" t="n">
        <x:v>77.78927354667577</x:v>
      </x:c>
      <x:c r="D643" s="24"/>
      <x:c r="E643" s="24"/>
      <x:c r="F643" s="24" t="n">
        <x:v>68.27613010319479</x:v>
      </x:c>
      <x:c r="G643" s="24"/>
      <x:c r="H643" s="24"/>
      <x:c r="I643" s="24" t="n">
        <x:v>70.04551077954761</x:v>
      </x:c>
      <x:c r="J643" s="24"/>
      <x:c r="K643" s="24"/>
    </x:row>
    <x:row r="644">
      <x:c r="A644" s="24" t="n">
        <x:v>64.2</x:v>
      </x:c>
      <x:c r="B644" s="24"/>
      <x:c r="C644" s="24" t="n">
        <x:v>67.60931483523983</x:v>
      </x:c>
      <x:c r="D644" s="24"/>
      <x:c r="E644" s="24"/>
      <x:c r="F644" s="24" t="n">
        <x:v>67.97040737259258</x:v>
      </x:c>
      <x:c r="G644" s="24"/>
      <x:c r="H644" s="24"/>
      <x:c r="I644" s="24" t="n">
        <x:v>72.82898319862973</x:v>
      </x:c>
      <x:c r="J644" s="24"/>
      <x:c r="K644" s="24"/>
    </x:row>
    <x:row r="645">
      <x:c r="A645" s="24" t="n">
        <x:v>64.3</x:v>
      </x:c>
      <x:c r="B645" s="24"/>
      <x:c r="C645" s="24" t="n">
        <x:v>57.29715053942596</x:v>
      </x:c>
      <x:c r="D645" s="24"/>
      <x:c r="E645" s="24"/>
      <x:c r="F645" s="24" t="n">
        <x:v>65.31815652537239</x:v>
      </x:c>
      <x:c r="G645" s="24"/>
      <x:c r="H645" s="24"/>
      <x:c r="I645" s="24" t="n">
        <x:v>74.41804758841292</x:v>
      </x:c>
      <x:c r="J645" s="24"/>
      <x:c r="K645" s="24"/>
    </x:row>
    <x:row r="646">
      <x:c r="A646" s="24" t="n">
        <x:v>64.4</x:v>
      </x:c>
      <x:c r="B646" s="24"/>
      <x:c r="C646" s="24" t="n">
        <x:v>50</x:v>
      </x:c>
      <x:c r="D646" s="24"/>
      <x:c r="E646" s="24"/>
      <x:c r="F646" s="24" t="n">
        <x:v>58.73090559778501</x:v>
      </x:c>
      <x:c r="G646" s="24"/>
      <x:c r="H646" s="24"/>
      <x:c r="I646" s="24" t="n">
        <x:v>74.41804758841292</x:v>
      </x:c>
      <x:c r="J646" s="24"/>
      <x:c r="K646" s="24"/>
    </x:row>
    <x:row r="647">
      <x:c r="A647" s="24" t="n">
        <x:v>64.5</x:v>
      </x:c>
      <x:c r="B647" s="24"/>
      <x:c r="C647" s="24" t="n">
        <x:v>50</x:v>
      </x:c>
      <x:c r="D647" s="24"/>
      <x:c r="E647" s="24"/>
      <x:c r="F647" s="24" t="n">
        <x:v>57.43197612121121</x:v>
      </x:c>
      <x:c r="G647" s="24"/>
      <x:c r="H647" s="24"/>
      <x:c r="I647" s="24" t="n">
        <x:v>65.63538167885801</x:v>
      </x:c>
      <x:c r="J647" s="24"/>
      <x:c r="K647" s="24"/>
    </x:row>
    <x:row r="648">
      <x:c r="A648" s="24" t="n">
        <x:v>64.60000000000001</x:v>
      </x:c>
      <x:c r="B648" s="24"/>
      <x:c r="C648" s="24" t="n">
        <x:v>55.83626130510414</x:v>
      </x:c>
      <x:c r="D648" s="24"/>
      <x:c r="E648" s="24"/>
      <x:c r="F648" s="24" t="n">
        <x:v>73.42512335390927</x:v>
      </x:c>
      <x:c r="G648" s="24"/>
      <x:c r="H648" s="24"/>
      <x:c r="I648" s="24" t="n">
        <x:v>66.77711309454553</x:v>
      </x:c>
      <x:c r="J648" s="24"/>
      <x:c r="K648" s="24"/>
    </x:row>
    <x:row r="649">
      <x:c r="A649" s="24" t="n">
        <x:v>64.7</x:v>
      </x:c>
      <x:c r="B649" s="24"/>
      <x:c r="C649" s="24" t="n">
        <x:v>56.25534200592625</x:v>
      </x:c>
      <x:c r="D649" s="24"/>
      <x:c r="E649" s="24"/>
      <x:c r="F649" s="24" t="n">
        <x:v>77.49033030227147</x:v>
      </x:c>
      <x:c r="G649" s="24"/>
      <x:c r="H649" s="24"/>
      <x:c r="I649" s="24" t="n">
        <x:v>72.26130324955872</x:v>
      </x:c>
      <x:c r="J649" s="24"/>
      <x:c r="K649" s="24"/>
    </x:row>
    <x:row r="650">
      <x:c r="A650" s="24" t="n">
        <x:v>64.8</x:v>
      </x:c>
      <x:c r="B650" s="24"/>
      <x:c r="C650" s="24" t="n">
        <x:v>57.647413638502705</x:v>
      </x:c>
      <x:c r="D650" s="24"/>
      <x:c r="E650" s="24"/>
      <x:c r="F650" s="24" t="n">
        <x:v>73.37981625355567</x:v>
      </x:c>
      <x:c r="G650" s="24"/>
      <x:c r="H650" s="24"/>
      <x:c r="I650" s="24" t="n">
        <x:v>72.26130324955872</x:v>
      </x:c>
      <x:c r="J650" s="24"/>
      <x:c r="K650" s="24"/>
    </x:row>
    <x:row r="651">
      <x:c r="A651" s="24" t="n">
        <x:v>64.9</x:v>
      </x:c>
      <x:c r="B651" s="24"/>
      <x:c r="C651" s="24" t="n">
        <x:v>59.07831120900963</x:v>
      </x:c>
      <x:c r="D651" s="24"/>
      <x:c r="E651" s="24"/>
      <x:c r="F651" s="24" t="n">
        <x:v>65.92599605544794</x:v>
      </x:c>
      <x:c r="G651" s="24"/>
      <x:c r="H651" s="24"/>
      <x:c r="I651" s="24" t="n">
        <x:v>72.38612774514641</x:v>
      </x:c>
      <x:c r="J651" s="24"/>
      <x:c r="K651" s="24"/>
    </x:row>
    <x:row r="652">
      <x:c r="A652" s="24" t="n">
        <x:v>65</x:v>
      </x:c>
      <x:c r="B652" s="24"/>
      <x:c r="C652" s="24" t="n">
        <x:v>59.07831120900963</x:v>
      </x:c>
      <x:c r="D652" s="24"/>
      <x:c r="E652" s="24"/>
      <x:c r="F652" s="24" t="n">
        <x:v>50</x:v>
      </x:c>
      <x:c r="G652" s="24"/>
      <x:c r="H652" s="24"/>
      <x:c r="I652" s="24" t="n">
        <x:v>72.34570347645831</x:v>
      </x:c>
      <x:c r="J652" s="24"/>
      <x:c r="K652" s="24"/>
    </x:row>
    <x:row r="653">
      <x:c r="A653" s="24" t="n">
        <x:v>65.10000000000001</x:v>
      </x:c>
      <x:c r="B653" s="24"/>
      <x:c r="C653" s="24" t="n">
        <x:v>70.5730386052529</x:v>
      </x:c>
      <x:c r="D653" s="24"/>
      <x:c r="E653" s="24"/>
      <x:c r="F653" s="24" t="n">
        <x:v>53.23179629521389</x:v>
      </x:c>
      <x:c r="G653" s="24"/>
      <x:c r="H653" s="24"/>
      <x:c r="I653" s="24" t="n">
        <x:v>72.34642952299579</x:v>
      </x:c>
      <x:c r="J653" s="24"/>
      <x:c r="K653" s="24"/>
    </x:row>
    <x:row r="654">
      <x:c r="A654" s="24" t="n">
        <x:v>65.2</x:v>
      </x:c>
      <x:c r="B654" s="24"/>
      <x:c r="C654" s="24" t="n">
        <x:v>72.97538375903555</x:v>
      </x:c>
      <x:c r="D654" s="24"/>
      <x:c r="E654" s="24"/>
      <x:c r="F654" s="24" t="n">
        <x:v>54.52451481329908</x:v>
      </x:c>
      <x:c r="G654" s="24"/>
      <x:c r="H654" s="24"/>
      <x:c r="I654" s="24" t="n">
        <x:v>73.5659747536647</x:v>
      </x:c>
      <x:c r="J654" s="24"/>
      <x:c r="K654" s="24"/>
    </x:row>
    <x:row r="655">
      <x:c r="A655" s="24" t="n">
        <x:v>65.3</x:v>
      </x:c>
      <x:c r="B655" s="24"/>
      <x:c r="C655" s="24" t="n">
        <x:v>72.97538375903555</x:v>
      </x:c>
      <x:c r="D655" s="24"/>
      <x:c r="E655" s="24"/>
      <x:c r="F655" s="24" t="n">
        <x:v>57.136689000301956</x:v>
      </x:c>
      <x:c r="G655" s="24"/>
      <x:c r="H655" s="24"/>
      <x:c r="I655" s="24" t="n">
        <x:v>73.5659747536647</x:v>
      </x:c>
      <x:c r="J655" s="24"/>
      <x:c r="K655" s="24"/>
    </x:row>
    <x:row r="656">
      <x:c r="A656" s="24" t="n">
        <x:v>65.4</x:v>
      </x:c>
      <x:c r="B656" s="24"/>
      <x:c r="C656" s="24" t="n">
        <x:v>69.06323071063358</x:v>
      </x:c>
      <x:c r="D656" s="24"/>
      <x:c r="E656" s="24"/>
      <x:c r="F656" s="24" t="n">
        <x:v>59.74886318730484</x:v>
      </x:c>
      <x:c r="G656" s="24"/>
      <x:c r="H656" s="24"/>
      <x:c r="I656" s="24" t="n">
        <x:v>88.92992887070207</x:v>
      </x:c>
      <x:c r="J656" s="24"/>
      <x:c r="K656" s="24"/>
    </x:row>
    <x:row r="657">
      <x:c r="A657" s="24" t="n">
        <x:v>65.5</x:v>
      </x:c>
      <x:c r="B657" s="24"/>
      <x:c r="C657" s="24" t="n">
        <x:v>60.58138656629089</x:v>
      </x:c>
      <x:c r="D657" s="24"/>
      <x:c r="E657" s="24"/>
      <x:c r="F657" s="24" t="n">
        <x:v>61.695902301125216</x:v>
      </x:c>
      <x:c r="G657" s="24"/>
      <x:c r="H657" s="24"/>
      <x:c r="I657" s="24" t="n">
        <x:v>89.28095277097081</x:v>
      </x:c>
      <x:c r="J657" s="24"/>
      <x:c r="K657" s="24"/>
    </x:row>
    <x:row r="658">
      <x:c r="A658" s="24" t="n">
        <x:v>65.60000000000001</x:v>
      </x:c>
      <x:c r="B658" s="24"/>
      <x:c r="C658" s="24" t="n">
        <x:v>63.3510299137481</x:v>
      </x:c>
      <x:c r="D658" s="24"/>
      <x:c r="E658" s="24"/>
      <x:c r="F658" s="24" t="n">
        <x:v>69.4840587564081</x:v>
      </x:c>
      <x:c r="G658" s="24"/>
      <x:c r="H658" s="24"/>
      <x:c r="I658" s="24" t="n">
        <x:v>87.78755568140502</x:v>
      </x:c>
      <x:c r="J658" s="24"/>
      <x:c r="K658" s="24"/>
    </x:row>
    <x:row r="659">
      <x:c r="A659" s="24" t="n">
        <x:v>65.7</x:v>
      </x:c>
      <x:c r="B659" s="24"/>
      <x:c r="C659" s="24" t="n">
        <x:v>64.25187685199027</x:v>
      </x:c>
      <x:c r="D659" s="24"/>
      <x:c r="E659" s="24"/>
      <x:c r="F659" s="24" t="n">
        <x:v>69.4840587564081</x:v>
      </x:c>
      <x:c r="G659" s="24"/>
      <x:c r="H659" s="24"/>
      <x:c r="I659" s="24" t="n">
        <x:v>78.44147349623724</x:v>
      </x:c>
      <x:c r="J659" s="24"/>
      <x:c r="K659" s="24"/>
    </x:row>
    <x:row r="660">
      <x:c r="A660" s="24" t="n">
        <x:v>65.8</x:v>
      </x:c>
      <x:c r="B660" s="24"/>
      <x:c r="C660" s="24" t="n">
        <x:v>66.50564341408074</x:v>
      </x:c>
      <x:c r="D660" s="24"/>
      <x:c r="E660" s="24"/>
      <x:c r="F660" s="24" t="n">
        <x:v>64.76743762874887</x:v>
      </x:c>
      <x:c r="G660" s="24"/>
      <x:c r="H660" s="24"/>
      <x:c r="I660" s="24" t="n">
        <x:v>70.08198571181671</x:v>
      </x:c>
      <x:c r="J660" s="24"/>
      <x:c r="K660" s="24"/>
    </x:row>
    <x:row r="661">
      <x:c r="A661" s="24" t="n">
        <x:v>65.9</x:v>
      </x:c>
      <x:c r="B661" s="24"/>
      <x:c r="C661" s="24" t="n">
        <x:v>67.0621837372567</x:v>
      </x:c>
      <x:c r="D661" s="24"/>
      <x:c r="E661" s="24"/>
      <x:c r="F661" s="24" t="n">
        <x:v>56.08644505591958</x:v>
      </x:c>
      <x:c r="G661" s="24"/>
      <x:c r="H661" s="24"/>
      <x:c r="I661" s="24" t="n">
        <x:v>63.0463513495019</x:v>
      </x:c>
      <x:c r="J661" s="24"/>
      <x:c r="K661" s="24"/>
    </x:row>
    <x:row r="662">
      <x:c r="A662" s="24" t="n">
        <x:v>66</x:v>
      </x:c>
      <x:c r="B662" s="24"/>
      <x:c r="C662" s="24" t="n">
        <x:v>67.52817373604839</x:v>
      </x:c>
      <x:c r="D662" s="24"/>
      <x:c r="E662" s="24"/>
      <x:c r="F662" s="24" t="n">
        <x:v>59.54022504005404</x:v>
      </x:c>
      <x:c r="G662" s="24"/>
      <x:c r="H662" s="24"/>
      <x:c r="I662" s="24" t="n">
        <x:v>68.04473380725213</x:v>
      </x:c>
      <x:c r="J662" s="24"/>
      <x:c r="K662" s="24"/>
    </x:row>
    <x:row r="663">
      <x:c r="A663" s="24" t="n">
        <x:v>66.10000000000001</x:v>
      </x:c>
      <x:c r="B663" s="24"/>
      <x:c r="C663" s="24" t="n">
        <x:v>67.52817373604839</x:v>
      </x:c>
      <x:c r="D663" s="24"/>
      <x:c r="E663" s="24"/>
      <x:c r="F663" s="24" t="n">
        <x:v>64.75952937173408</x:v>
      </x:c>
      <x:c r="G663" s="24"/>
      <x:c r="H663" s="24"/>
      <x:c r="I663" s="24" t="n">
        <x:v>68.044733807255</x:v>
      </x:c>
      <x:c r="J663" s="24"/>
      <x:c r="K663" s="24"/>
    </x:row>
    <x:row r="664">
      <x:c r="A664" s="24" t="n">
        <x:v>66.2</x:v>
      </x:c>
      <x:c r="B664" s="24"/>
      <x:c r="C664" s="24" t="n">
        <x:v>67.2157206135443</x:v>
      </x:c>
      <x:c r="D664" s="24"/>
      <x:c r="E664" s="24"/>
      <x:c r="F664" s="24" t="n">
        <x:v>65.1570809261913</x:v>
      </x:c>
      <x:c r="G664" s="24"/>
      <x:c r="H664" s="24"/>
      <x:c r="I664" s="24" t="n">
        <x:v>78.29410817010648</x:v>
      </x:c>
      <x:c r="J664" s="24"/>
      <x:c r="K664" s="24"/>
    </x:row>
    <x:row r="665">
      <x:c r="A665" s="24" t="n">
        <x:v>66.3</x:v>
      </x:c>
      <x:c r="B665" s="24"/>
      <x:c r="C665" s="24" t="n">
        <x:v>67.60403867306289</x:v>
      </x:c>
      <x:c r="D665" s="24"/>
      <x:c r="E665" s="24"/>
      <x:c r="F665" s="24" t="n">
        <x:v>67.05492780532505</x:v>
      </x:c>
      <x:c r="G665" s="24"/>
      <x:c r="H665" s="24"/>
      <x:c r="I665" s="24" t="n">
        <x:v>78.29410817010648</x:v>
      </x:c>
      <x:c r="J665" s="24"/>
      <x:c r="K665" s="24"/>
    </x:row>
    <x:row r="666">
      <x:c r="A666" s="24" t="n">
        <x:v>66.4</x:v>
      </x:c>
      <x:c r="B666" s="24"/>
      <x:c r="C666" s="24" t="n">
        <x:v>67.60403867306289</x:v>
      </x:c>
      <x:c r="D666" s="24"/>
      <x:c r="E666" s="24"/>
      <x:c r="F666" s="24" t="n">
        <x:v>67.05492780532505</x:v>
      </x:c>
      <x:c r="G666" s="24"/>
      <x:c r="H666" s="24"/>
      <x:c r="I666" s="24" t="n">
        <x:v>67.56546022799917</x:v>
      </x:c>
      <x:c r="J666" s="24"/>
      <x:c r="K666" s="24"/>
    </x:row>
    <x:row r="667">
      <x:c r="A667" s="24" t="n">
        <x:v>66.5</x:v>
      </x:c>
      <x:c r="B667" s="24"/>
      <x:c r="C667" s="24" t="n">
        <x:v>67.1239889671406</x:v>
      </x:c>
      <x:c r="D667" s="24"/>
      <x:c r="E667" s="24"/>
      <x:c r="F667" s="24" t="n">
        <x:v>66.52058414417544</x:v>
      </x:c>
      <x:c r="G667" s="24"/>
      <x:c r="H667" s="24"/>
      <x:c r="I667" s="24" t="n">
        <x:v>50</x:v>
      </x:c>
      <x:c r="J667" s="24"/>
      <x:c r="K667" s="24"/>
    </x:row>
    <x:row r="668">
      <x:c r="A668" s="24" t="n">
        <x:v>66.60000000000001</x:v>
      </x:c>
      <x:c r="B668" s="24"/>
      <x:c r="C668" s="24" t="n">
        <x:v>66.35993507021402</x:v>
      </x:c>
      <x:c r="D668" s="24"/>
      <x:c r="E668" s="24"/>
      <x:c r="F668" s="24" t="n">
        <x:v>66.58866856259327</x:v>
      </x:c>
      <x:c r="G668" s="24"/>
      <x:c r="H668" s="24"/>
      <x:c r="I668" s="24" t="n">
        <x:v>71.99592048430306</x:v>
      </x:c>
      <x:c r="J668" s="24"/>
      <x:c r="K668" s="24"/>
    </x:row>
    <x:row r="669">
      <x:c r="A669" s="24" t="n">
        <x:v>66.7</x:v>
      </x:c>
      <x:c r="B669" s="24"/>
      <x:c r="C669" s="24" t="n">
        <x:v>70.87710538985324</x:v>
      </x:c>
      <x:c r="D669" s="24"/>
      <x:c r="E669" s="24"/>
      <x:c r="F669" s="24" t="n">
        <x:v>67.27409980213102</x:v>
      </x:c>
      <x:c r="G669" s="24"/>
      <x:c r="H669" s="24"/>
      <x:c r="I669" s="24" t="n">
        <x:v>71.99592048430306</x:v>
      </x:c>
      <x:c r="J669" s="24"/>
      <x:c r="K669" s="24"/>
    </x:row>
    <x:row r="670">
      <x:c r="A670" s="24" t="n">
        <x:v>66.8</x:v>
      </x:c>
      <x:c r="B670" s="24"/>
      <x:c r="C670" s="24" t="n">
        <x:v>78.25199166240864</x:v>
      </x:c>
      <x:c r="D670" s="24"/>
      <x:c r="E670" s="24"/>
      <x:c r="F670" s="24" t="n">
        <x:v>67.27409980213102</x:v>
      </x:c>
      <x:c r="G670" s="24"/>
      <x:c r="H670" s="24"/>
      <x:c r="I670" s="24" t="n">
        <x:v>71.0103080842904</x:v>
      </x:c>
      <x:c r="J670" s="24"/>
      <x:c r="K670" s="24"/>
    </x:row>
    <x:row r="671">
      <x:c r="A671" s="24" t="n">
        <x:v>66.9</x:v>
      </x:c>
      <x:c r="B671" s="24"/>
      <x:c r="C671" s="24" t="n">
        <x:v>78.25199166240864</x:v>
      </x:c>
      <x:c r="D671" s="24"/>
      <x:c r="E671" s="24"/>
      <x:c r="F671" s="24" t="n">
        <x:v>85.98811448809958</x:v>
      </x:c>
      <x:c r="G671" s="24"/>
      <x:c r="H671" s="24"/>
      <x:c r="I671" s="24" t="n">
        <x:v>71.28032774492151</x:v>
      </x:c>
      <x:c r="J671" s="24"/>
      <x:c r="K671" s="24"/>
    </x:row>
    <x:row r="672">
      <x:c r="A672" s="24" t="n">
        <x:v>67</x:v>
      </x:c>
      <x:c r="B672" s="24"/>
      <x:c r="C672" s="24" t="n">
        <x:v>69.78987454815399</x:v>
      </x:c>
      <x:c r="D672" s="24"/>
      <x:c r="E672" s="24"/>
      <x:c r="F672" s="24" t="n">
        <x:v>87.16448629946949</x:v>
      </x:c>
      <x:c r="G672" s="24"/>
      <x:c r="H672" s="24"/>
      <x:c r="I672" s="24" t="n">
        <x:v>71.12186829789754</x:v>
      </x:c>
      <x:c r="J672" s="24"/>
      <x:c r="K672" s="24"/>
    </x:row>
    <x:row r="673">
      <x:c r="A673" s="24" t="n">
        <x:v>67.10000000000001</x:v>
      </x:c>
      <x:c r="B673" s="24"/>
      <x:c r="C673" s="24" t="n">
        <x:v>57.55695883526646</x:v>
      </x:c>
      <x:c r="D673" s="24"/>
      <x:c r="E673" s="24"/>
      <x:c r="F673" s="24" t="n">
        <x:v>87.16448629946832</x:v>
      </x:c>
      <x:c r="G673" s="24"/>
      <x:c r="H673" s="24"/>
      <x:c r="I673" s="24" t="n">
        <x:v>72.53844650019914</x:v>
      </x:c>
      <x:c r="J673" s="24"/>
      <x:c r="K673" s="24"/>
    </x:row>
    <x:row r="674">
      <x:c r="A674" s="24" t="n">
        <x:v>67.2</x:v>
      </x:c>
      <x:c r="B674" s="24"/>
      <x:c r="C674" s="24" t="n">
        <x:v>52.36701632549823</x:v>
      </x:c>
      <x:c r="D674" s="24"/>
      <x:c r="E674" s="24"/>
      <x:c r="F674" s="24" t="n">
        <x:v>75.79428878334943</x:v>
      </x:c>
      <x:c r="G674" s="24"/>
      <x:c r="H674" s="24"/>
      <x:c r="I674" s="24" t="n">
        <x:v>73.11942793097572</x:v>
      </x:c>
      <x:c r="J674" s="24"/>
      <x:c r="K674" s="24"/>
    </x:row>
    <x:row r="675">
      <x:c r="A675" s="24" t="n">
        <x:v>67.3</x:v>
      </x:c>
      <x:c r="B675" s="24"/>
      <x:c r="C675" s="24" t="n">
        <x:v>50</x:v>
      </x:c>
      <x:c r="D675" s="24"/>
      <x:c r="E675" s="24"/>
      <x:c r="F675" s="24" t="n">
        <x:v>71.82747238878096</x:v>
      </x:c>
      <x:c r="G675" s="24"/>
      <x:c r="H675" s="24"/>
      <x:c r="I675" s="24" t="n">
        <x:v>87.20638127091006</x:v>
      </x:c>
      <x:c r="J675" s="24"/>
      <x:c r="K675" s="24"/>
    </x:row>
    <x:row r="676">
      <x:c r="A676" s="24" t="n">
        <x:v>67.4</x:v>
      </x:c>
      <x:c r="B676" s="24"/>
      <x:c r="C676" s="24" t="n">
        <x:v>50</x:v>
      </x:c>
      <x:c r="D676" s="24"/>
      <x:c r="E676" s="24"/>
      <x:c r="F676" s="24" t="n">
        <x:v>71.09645535188452</x:v>
      </x:c>
      <x:c r="G676" s="24"/>
      <x:c r="H676" s="24"/>
      <x:c r="I676" s="24" t="n">
        <x:v>88.9946817955898</x:v>
      </x:c>
      <x:c r="J676" s="24"/>
      <x:c r="K676" s="24"/>
    </x:row>
    <x:row r="677">
      <x:c r="A677" s="24" t="n">
        <x:v>67.5</x:v>
      </x:c>
      <x:c r="B677" s="24"/>
      <x:c r="C677" s="24" t="n">
        <x:v>60.20476851830673</x:v>
      </x:c>
      <x:c r="D677" s="24"/>
      <x:c r="E677" s="24"/>
      <x:c r="F677" s="24" t="n">
        <x:v>66.33419452330408</x:v>
      </x:c>
      <x:c r="G677" s="24"/>
      <x:c r="H677" s="24"/>
      <x:c r="I677" s="24" t="n">
        <x:v>88.9946817955898</x:v>
      </x:c>
      <x:c r="J677" s="24"/>
      <x:c r="K677" s="24"/>
    </x:row>
    <x:row r="678">
      <x:c r="A678" s="24" t="n">
        <x:v>67.60000000000001</x:v>
      </x:c>
      <x:c r="B678" s="24"/>
      <x:c r="C678" s="24" t="n">
        <x:v>63.600352920548616</x:v>
      </x:c>
      <x:c r="D678" s="24"/>
      <x:c r="E678" s="24"/>
      <x:c r="F678" s="24" t="n">
        <x:v>65.502955254312</x:v>
      </x:c>
      <x:c r="G678" s="24"/>
      <x:c r="H678" s="24"/>
      <x:c r="I678" s="24" t="n">
        <x:v>78.69444568613847</x:v>
      </x:c>
      <x:c r="J678" s="24"/>
      <x:c r="K678" s="24"/>
    </x:row>
    <x:row r="679">
      <x:c r="A679" s="24" t="n">
        <x:v>67.7</x:v>
      </x:c>
      <x:c r="B679" s="24"/>
      <x:c r="C679" s="24" t="n">
        <x:v>63.600352920548616</x:v>
      </x:c>
      <x:c r="D679" s="24"/>
      <x:c r="E679" s="24"/>
      <x:c r="F679" s="24" t="n">
        <x:v>57.366962137982014</x:v>
      </x:c>
      <x:c r="G679" s="24"/>
      <x:c r="H679" s="24"/>
      <x:c r="I679" s="24" t="n">
        <x:v>70.99485809859922</x:v>
      </x:c>
      <x:c r="J679" s="24"/>
      <x:c r="K679" s="24"/>
    </x:row>
    <x:row r="680">
      <x:c r="A680" s="24" t="n">
        <x:v>67.8</x:v>
      </x:c>
      <x:c r="B680" s="24"/>
      <x:c r="C680" s="24" t="n">
        <x:v>53.106706769272705</x:v>
      </x:c>
      <x:c r="D680" s="24"/>
      <x:c r="E680" s="24"/>
      <x:c r="F680" s="24" t="n">
        <x:v>50</x:v>
      </x:c>
      <x:c r="G680" s="24"/>
      <x:c r="H680" s="24"/>
      <x:c r="I680" s="24" t="n">
        <x:v>60.584008997500135</x:v>
      </x:c>
      <x:c r="J680" s="24"/>
      <x:c r="K680" s="24"/>
    </x:row>
    <x:row r="681">
      <x:c r="A681" s="24" t="n">
        <x:v>67.9</x:v>
      </x:c>
      <x:c r="B681" s="24"/>
      <x:c r="C681" s="24" t="n">
        <x:v>69.36469124199215</x:v>
      </x:c>
      <x:c r="D681" s="24"/>
      <x:c r="E681" s="24"/>
      <x:c r="F681" s="24" t="n">
        <x:v>66.60385670894047</x:v>
      </x:c>
      <x:c r="G681" s="24"/>
      <x:c r="H681" s="24"/>
      <x:c r="I681" s="24" t="n">
        <x:v>68.64654220532685</x:v>
      </x:c>
      <x:c r="J681" s="24"/>
      <x:c r="K681" s="24"/>
    </x:row>
    <x:row r="682">
      <x:c r="A682" s="24" t="n">
        <x:v>68</x:v>
      </x:c>
      <x:c r="B682" s="24"/>
      <x:c r="C682" s="24" t="n">
        <x:v>73.77084491090667</x:v>
      </x:c>
      <x:c r="D682" s="24"/>
      <x:c r="E682" s="24"/>
      <x:c r="F682" s="24" t="n">
        <x:v>66.60385670894047</x:v>
      </x:c>
      <x:c r="G682" s="24"/>
      <x:c r="H682" s="24"/>
      <x:c r="I682" s="24" t="n">
        <x:v>68.64654220532685</x:v>
      </x:c>
      <x:c r="J682" s="24"/>
      <x:c r="K682" s="24"/>
    </x:row>
    <x:row r="683">
      <x:c r="A683" s="24" t="n">
        <x:v>68.10000000000001</x:v>
      </x:c>
      <x:c r="B683" s="24"/>
      <x:c r="C683" s="24" t="n">
        <x:v>73.77084491090667</x:v>
      </x:c>
      <x:c r="D683" s="24"/>
      <x:c r="E683" s="24"/>
      <x:c r="F683" s="24" t="n">
        <x:v>61.90026538364288</x:v>
      </x:c>
      <x:c r="G683" s="24"/>
      <x:c r="H683" s="24"/>
      <x:c r="I683" s="24" t="n">
        <x:v>77.40375197100894</x:v>
      </x:c>
      <x:c r="J683" s="24"/>
      <x:c r="K683" s="24"/>
    </x:row>
    <x:row r="684">
      <x:c r="A684" s="24" t="n">
        <x:v>68.2</x:v>
      </x:c>
      <x:c r="B684" s="24"/>
      <x:c r="C684" s="24" t="n">
        <x:v>69.11601876062113</x:v>
      </x:c>
      <x:c r="D684" s="24"/>
      <x:c r="E684" s="24"/>
      <x:c r="F684" s="24" t="n">
        <x:v>50</x:v>
      </x:c>
      <x:c r="G684" s="24"/>
      <x:c r="H684" s="24"/>
      <x:c r="I684" s="24" t="n">
        <x:v>77.40375197100894</x:v>
      </x:c>
      <x:c r="J684" s="24"/>
      <x:c r="K684" s="24"/>
    </x:row>
    <x:row r="685">
      <x:c r="A685" s="24" t="n">
        <x:v>68.3</x:v>
      </x:c>
      <x:c r="B685" s="24"/>
      <x:c r="C685" s="24" t="n">
        <x:v>63.96929663159413</x:v>
      </x:c>
      <x:c r="D685" s="24"/>
      <x:c r="E685" s="24"/>
      <x:c r="F685" s="24" t="n">
        <x:v>60.70698465661693</x:v>
      </x:c>
      <x:c r="G685" s="24"/>
      <x:c r="H685" s="24"/>
      <x:c r="I685" s="24" t="n">
        <x:v>69.81483133496053</x:v>
      </x:c>
      <x:c r="J685" s="24"/>
      <x:c r="K685" s="24"/>
    </x:row>
    <x:row r="686">
      <x:c r="A686" s="24" t="n">
        <x:v>68.4</x:v>
      </x:c>
      <x:c r="B686" s="24"/>
      <x:c r="C686" s="24" t="n">
        <x:v>64.30008330561303</x:v>
      </x:c>
      <x:c r="D686" s="24"/>
      <x:c r="E686" s="24"/>
      <x:c r="F686" s="24" t="n">
        <x:v>61.80455658531511</x:v>
      </x:c>
      <x:c r="G686" s="24"/>
      <x:c r="H686" s="24"/>
      <x:c r="I686" s="24" t="n">
        <x:v>50</x:v>
      </x:c>
      <x:c r="J686" s="24"/>
      <x:c r="K686" s="24"/>
    </x:row>
    <x:row r="687">
      <x:c r="A687" s="24" t="n">
        <x:v>68.5</x:v>
      </x:c>
      <x:c r="B687" s="24"/>
      <x:c r="C687" s="24" t="n">
        <x:v>65.97543844752536</x:v>
      </x:c>
      <x:c r="D687" s="24"/>
      <x:c r="E687" s="24"/>
      <x:c r="F687" s="24" t="n">
        <x:v>65.35747857796687</x:v>
      </x:c>
      <x:c r="G687" s="24"/>
      <x:c r="H687" s="24"/>
      <x:c r="I687" s="24" t="n">
        <x:v>73.09554916198638</x:v>
      </x:c>
      <x:c r="J687" s="24"/>
      <x:c r="K687" s="24"/>
    </x:row>
    <x:row r="688">
      <x:c r="A688" s="24" t="n">
        <x:v>68.60000000000001</x:v>
      </x:c>
      <x:c r="B688" s="24"/>
      <x:c r="C688" s="24" t="n">
        <x:v>67.48166918541813</x:v>
      </x:c>
      <x:c r="D688" s="24"/>
      <x:c r="E688" s="24"/>
      <x:c r="F688" s="24" t="n">
        <x:v>65.35747857796687</x:v>
      </x:c>
      <x:c r="G688" s="24"/>
      <x:c r="H688" s="24"/>
      <x:c r="I688" s="24" t="n">
        <x:v>73.71752256338121</x:v>
      </x:c>
      <x:c r="J688" s="24"/>
      <x:c r="K688" s="24"/>
    </x:row>
    <x:row r="689">
      <x:c r="A689" s="24" t="n">
        <x:v>68.7</x:v>
      </x:c>
      <x:c r="B689" s="24"/>
      <x:c r="C689" s="24" t="n">
        <x:v>67.67247471509332</x:v>
      </x:c>
      <x:c r="D689" s="24"/>
      <x:c r="E689" s="24"/>
      <x:c r="F689" s="24" t="n">
        <x:v>65.77261698037847</x:v>
      </x:c>
      <x:c r="G689" s="24"/>
      <x:c r="H689" s="24"/>
      <x:c r="I689" s="24" t="n">
        <x:v>72.32744621290804</x:v>
      </x:c>
      <x:c r="J689" s="24"/>
      <x:c r="K689" s="24"/>
    </x:row>
    <x:row r="690">
      <x:c r="A690" s="24" t="n">
        <x:v>68.8</x:v>
      </x:c>
      <x:c r="B690" s="24"/>
      <x:c r="C690" s="24" t="n">
        <x:v>66.88034659818703</x:v>
      </x:c>
      <x:c r="D690" s="24"/>
      <x:c r="E690" s="24"/>
      <x:c r="F690" s="24" t="n">
        <x:v>66.81238926787049</x:v>
      </x:c>
      <x:c r="G690" s="24"/>
      <x:c r="H690" s="24"/>
      <x:c r="I690" s="24" t="n">
        <x:v>73.0958042193763</x:v>
      </x:c>
      <x:c r="J690" s="24"/>
      <x:c r="K690" s="24"/>
    </x:row>
    <x:row r="691">
      <x:c r="A691" s="24" t="n">
        <x:v>68.9</x:v>
      </x:c>
      <x:c r="B691" s="24"/>
      <x:c r="C691" s="24" t="n">
        <x:v>68.30127517034623</x:v>
      </x:c>
      <x:c r="D691" s="24"/>
      <x:c r="E691" s="24"/>
      <x:c r="F691" s="24" t="n">
        <x:v>66.81238926787049</x:v>
      </x:c>
      <x:c r="G691" s="24"/>
      <x:c r="H691" s="24"/>
      <x:c r="I691" s="24" t="n">
        <x:v>73.0958042193763</x:v>
      </x:c>
      <x:c r="J691" s="24"/>
      <x:c r="K691" s="24"/>
    </x:row>
    <x:row r="692">
      <x:c r="A692" s="24" t="n">
        <x:v>69</x:v>
      </x:c>
      <x:c r="B692" s="24"/>
      <x:c r="C692" s="24" t="n">
        <x:v>68.4874608688258</x:v>
      </x:c>
      <x:c r="D692" s="24"/>
      <x:c r="E692" s="24"/>
      <x:c r="F692" s="24" t="n">
        <x:v>65.70903995971244</x:v>
      </x:c>
      <x:c r="G692" s="24"/>
      <x:c r="H692" s="24"/>
      <x:c r="I692" s="24" t="n">
        <x:v>72.87702127895687</x:v>
      </x:c>
      <x:c r="J692" s="24"/>
      <x:c r="K692" s="24"/>
    </x:row>
    <x:row r="693">
      <x:c r="A693" s="24" t="n">
        <x:v>69.10000000000001</x:v>
      </x:c>
      <x:c r="B693" s="24"/>
      <x:c r="C693" s="24" t="n">
        <x:v>68.48746086882548</x:v>
      </x:c>
      <x:c r="D693" s="24"/>
      <x:c r="E693" s="24"/>
      <x:c r="F693" s="24" t="n">
        <x:v>67.38326464354475</x:v>
      </x:c>
      <x:c r="G693" s="24"/>
      <x:c r="H693" s="24"/>
      <x:c r="I693" s="24" t="n">
        <x:v>73.43798750176599</x:v>
      </x:c>
      <x:c r="J693" s="24"/>
      <x:c r="K693" s="24"/>
    </x:row>
    <x:row r="694">
      <x:c r="A694" s="24" t="n">
        <x:v>69.2</x:v>
      </x:c>
      <x:c r="B694" s="24"/>
      <x:c r="C694" s="24" t="n">
        <x:v>67.85719133424368</x:v>
      </x:c>
      <x:c r="D694" s="24"/>
      <x:c r="E694" s="24"/>
      <x:c r="F694" s="24" t="n">
        <x:v>67.38326464354475</x:v>
      </x:c>
      <x:c r="G694" s="24"/>
      <x:c r="H694" s="24"/>
      <x:c r="I694" s="24" t="n">
        <x:v>73.43798750176599</x:v>
      </x:c>
      <x:c r="J694" s="24"/>
      <x:c r="K694" s="24"/>
    </x:row>
    <x:row r="695">
      <x:c r="A695" s="24" t="n">
        <x:v>69.3</x:v>
      </x:c>
      <x:c r="B695" s="24"/>
      <x:c r="C695" s="24" t="n">
        <x:v>67.63775955807475</x:v>
      </x:c>
      <x:c r="D695" s="24"/>
      <x:c r="E695" s="24"/>
      <x:c r="F695" s="24" t="n">
        <x:v>69.56190946029224</x:v>
      </x:c>
      <x:c r="G695" s="24"/>
      <x:c r="H695" s="24"/>
      <x:c r="I695" s="24" t="n">
        <x:v>77.84924108146521</x:v>
      </x:c>
      <x:c r="J695" s="24"/>
      <x:c r="K695" s="24"/>
    </x:row>
    <x:row r="696">
      <x:c r="A696" s="24" t="n">
        <x:v>69.4</x:v>
      </x:c>
      <x:c r="B696" s="24"/>
      <x:c r="C696" s="24" t="n">
        <x:v>68.68161846360516</x:v>
      </x:c>
      <x:c r="D696" s="24"/>
      <x:c r="E696" s="24"/>
      <x:c r="F696" s="24" t="n">
        <x:v>84.10086120353584</x:v>
      </x:c>
      <x:c r="G696" s="24"/>
      <x:c r="H696" s="24"/>
      <x:c r="I696" s="24" t="n">
        <x:v>85.06245483396418</x:v>
      </x:c>
      <x:c r="J696" s="24"/>
      <x:c r="K696" s="24"/>
    </x:row>
    <x:row r="697">
      <x:c r="A697" s="24" t="n">
        <x:v>69.5</x:v>
      </x:c>
      <x:c r="B697" s="24"/>
      <x:c r="C697" s="24" t="n">
        <x:v>68.68161846360516</x:v>
      </x:c>
      <x:c r="D697" s="24"/>
      <x:c r="E697" s="24"/>
      <x:c r="F697" s="24" t="n">
        <x:v>84.10086120353584</x:v>
      </x:c>
      <x:c r="G697" s="24"/>
      <x:c r="H697" s="24"/>
      <x:c r="I697" s="24" t="n">
        <x:v>85.06245483396418</x:v>
      </x:c>
      <x:c r="J697" s="24"/>
      <x:c r="K697" s="24"/>
    </x:row>
    <x:row r="698">
      <x:c r="A698" s="24" t="n">
        <x:v>69.60000000000001</x:v>
      </x:c>
      <x:c r="B698" s="24"/>
      <x:c r="C698" s="24" t="n">
        <x:v>67.54886228993924</x:v>
      </x:c>
      <x:c r="D698" s="24"/>
      <x:c r="E698" s="24"/>
      <x:c r="F698" s="24" t="n">
        <x:v>77.53714673916815</x:v>
      </x:c>
      <x:c r="G698" s="24"/>
      <x:c r="H698" s="24"/>
      <x:c r="I698" s="24" t="n">
        <x:v>77.94446513190744</x:v>
      </x:c>
      <x:c r="J698" s="24"/>
      <x:c r="K698" s="24"/>
    </x:row>
    <x:row r="699">
      <x:c r="A699" s="24" t="n">
        <x:v>69.7</x:v>
      </x:c>
      <x:c r="B699" s="24"/>
      <x:c r="C699" s="24" t="n">
        <x:v>74.52303588467137</x:v>
      </x:c>
      <x:c r="D699" s="24"/>
      <x:c r="E699" s="24"/>
      <x:c r="F699" s="24" t="n">
        <x:v>67.06458525539767</x:v>
      </x:c>
      <x:c r="G699" s="24"/>
      <x:c r="H699" s="24"/>
      <x:c r="I699" s="24" t="n">
        <x:v>66.79631551740124</x:v>
      </x:c>
      <x:c r="J699" s="24"/>
      <x:c r="K699" s="24"/>
    </x:row>
    <x:row r="700">
      <x:c r="A700" s="24" t="n">
        <x:v>69.8</x:v>
      </x:c>
      <x:c r="B700" s="24"/>
      <x:c r="C700" s="24" t="n">
        <x:v>74.52303588467137</x:v>
      </x:c>
      <x:c r="D700" s="24"/>
      <x:c r="E700" s="24"/>
      <x:c r="F700" s="24" t="n">
        <x:v>63.46027049886743</x:v>
      </x:c>
      <x:c r="G700" s="24"/>
      <x:c r="H700" s="24"/>
      <x:c r="I700" s="24" t="n">
        <x:v>66.56763704837374</x:v>
      </x:c>
      <x:c r="J700" s="24"/>
      <x:c r="K700" s="24"/>
    </x:row>
    <x:row r="701">
      <x:c r="A701" s="24" t="n">
        <x:v>69.9</x:v>
      </x:c>
      <x:c r="B701" s="24"/>
      <x:c r="C701" s="24" t="n">
        <x:v>71.5732926797472</x:v>
      </x:c>
      <x:c r="D701" s="24"/>
      <x:c r="E701" s="24"/>
      <x:c r="F701" s="24" t="n">
        <x:v>62.93271280682659</x:v>
      </x:c>
      <x:c r="G701" s="24"/>
      <x:c r="H701" s="24"/>
      <x:c r="I701" s="24" t="n">
        <x:v>67.54315464072675</x:v>
      </x:c>
      <x:c r="J701" s="24"/>
      <x:c r="K701" s="24"/>
    </x:row>
    <x:row r="702">
      <x:c r="A702" s="24" t="n">
        <x:v>70</x:v>
      </x:c>
      <x:c r="B702" s="24"/>
      <x:c r="C702" s="24" t="n">
        <x:v>58.68643655489379</x:v>
      </x:c>
      <x:c r="D702" s="24"/>
      <x:c r="E702" s="24"/>
      <x:c r="F702" s="24" t="n">
        <x:v>55.0240989010412</x:v>
      </x:c>
      <x:c r="G702" s="24"/>
      <x:c r="H702" s="24"/>
      <x:c r="I702" s="24" t="n">
        <x:v>68.1284651961384</x:v>
      </x:c>
      <x:c r="J702" s="24"/>
      <x:c r="K702" s="24"/>
    </x:row>
    <x:row r="703">
      <x:c r="A703" s="24" t="n">
        <x:v>70.10000000000001</x:v>
      </x:c>
      <x:c r="B703" s="24"/>
      <x:c r="C703" s="24" t="n">
        <x:v>57.92899803454567</x:v>
      </x:c>
      <x:c r="D703" s="24"/>
      <x:c r="E703" s="24"/>
      <x:c r="F703" s="24" t="n">
        <x:v>61.733424204793515</x:v>
      </x:c>
      <x:c r="G703" s="24"/>
      <x:c r="H703" s="24"/>
      <x:c r="I703" s="24" t="n">
        <x:v>73.21242453645092</x:v>
      </x:c>
      <x:c r="J703" s="24"/>
      <x:c r="K703" s="24"/>
    </x:row>
    <x:row r="704">
      <x:c r="A704" s="24" t="n">
        <x:v>70.2</x:v>
      </x:c>
      <x:c r="B704" s="24"/>
      <x:c r="C704" s="24" t="n">
        <x:v>61.044569802144025</x:v>
      </x:c>
      <x:c r="D704" s="24"/>
      <x:c r="E704" s="24"/>
      <x:c r="F704" s="24" t="n">
        <x:v>61.733424204793515</x:v>
      </x:c>
      <x:c r="G704" s="24"/>
      <x:c r="H704" s="24"/>
      <x:c r="I704" s="24" t="n">
        <x:v>73.21242453645092</x:v>
      </x:c>
      <x:c r="J704" s="24"/>
      <x:c r="K704" s="24"/>
    </x:row>
    <x:row r="705">
      <x:c r="A705" s="24" t="n">
        <x:v>70.3</x:v>
      </x:c>
      <x:c r="B705" s="24"/>
      <x:c r="C705" s="24" t="n">
        <x:v>61.39088470150774</x:v>
      </x:c>
      <x:c r="D705" s="24"/>
      <x:c r="E705" s="24"/>
      <x:c r="F705" s="24" t="n">
        <x:v>68.00503503210209</x:v>
      </x:c>
      <x:c r="G705" s="24"/>
      <x:c r="H705" s="24"/>
      <x:c r="I705" s="24" t="n">
        <x:v>71.25028933800331</x:v>
      </x:c>
      <x:c r="J705" s="24"/>
      <x:c r="K705" s="24"/>
    </x:row>
    <x:row r="706">
      <x:c r="A706" s="24" t="n">
        <x:v>70.4</x:v>
      </x:c>
      <x:c r="B706" s="24"/>
      <x:c r="C706" s="24" t="n">
        <x:v>61.57257449761503</x:v>
      </x:c>
      <x:c r="D706" s="24"/>
      <x:c r="E706" s="24"/>
      <x:c r="F706" s="24" t="n">
        <x:v>69.27170001866506</x:v>
      </x:c>
      <x:c r="G706" s="24"/>
      <x:c r="H706" s="24"/>
      <x:c r="I706" s="24" t="n">
        <x:v>60.78363015856214</x:v>
      </x:c>
      <x:c r="J706" s="24"/>
      <x:c r="K706" s="24"/>
    </x:row>
    <x:row r="707">
      <x:c r="A707" s="24" t="n">
        <x:v>70.5</x:v>
      </x:c>
      <x:c r="B707" s="24"/>
      <x:c r="C707" s="24" t="n">
        <x:v>62.2668460152199</x:v>
      </x:c>
      <x:c r="D707" s="24"/>
      <x:c r="E707" s="24"/>
      <x:c r="F707" s="24" t="n">
        <x:v>69.16059870239121</x:v>
      </x:c>
      <x:c r="G707" s="24"/>
      <x:c r="H707" s="24"/>
      <x:c r="I707" s="24" t="n">
        <x:v>71.5183362881906</x:v>
      </x:c>
      <x:c r="J707" s="24"/>
      <x:c r="K707" s="24"/>
    </x:row>
    <x:row r="708">
      <x:c r="A708" s="24" t="n">
        <x:v>70.60000000000001</x:v>
      </x:c>
      <x:c r="B708" s="24"/>
      <x:c r="C708" s="24" t="n">
        <x:v>62.75335317895296</x:v>
      </x:c>
      <x:c r="D708" s="24"/>
      <x:c r="E708" s="24"/>
      <x:c r="F708" s="24" t="n">
        <x:v>55.946206812600586</x:v>
      </x:c>
      <x:c r="G708" s="24"/>
      <x:c r="H708" s="24"/>
      <x:c r="I708" s="24" t="n">
        <x:v>73.59133298541471</x:v>
      </x:c>
      <x:c r="J708" s="24"/>
      <x:c r="K708" s="24"/>
    </x:row>
    <x:row r="709">
      <x:c r="A709" s="24" t="n">
        <x:v>70.7</x:v>
      </x:c>
      <x:c r="B709" s="24"/>
      <x:c r="C709" s="24" t="n">
        <x:v>62.230162376795164</x:v>
      </x:c>
      <x:c r="D709" s="24"/>
      <x:c r="E709" s="24"/>
      <x:c r="F709" s="24" t="n">
        <x:v>50</x:v>
      </x:c>
      <x:c r="G709" s="24"/>
      <x:c r="H709" s="24"/>
      <x:c r="I709" s="24" t="n">
        <x:v>73.77083648515934</x:v>
      </x:c>
      <x:c r="J709" s="24"/>
      <x:c r="K709" s="24"/>
    </x:row>
    <x:row r="710">
      <x:c r="A710" s="24" t="n">
        <x:v>70.8</x:v>
      </x:c>
      <x:c r="B710" s="24"/>
      <x:c r="C710" s="24" t="n">
        <x:v>62.623880175793765</x:v>
      </x:c>
      <x:c r="D710" s="24"/>
      <x:c r="E710" s="24"/>
      <x:c r="F710" s="24" t="n">
        <x:v>63.37546152322632</x:v>
      </x:c>
      <x:c r="G710" s="24"/>
      <x:c r="H710" s="24"/>
      <x:c r="I710" s="24" t="n">
        <x:v>73.77083648515934</x:v>
      </x:c>
      <x:c r="J710" s="24"/>
      <x:c r="K710" s="24"/>
    </x:row>
    <x:row r="711">
      <x:c r="A711" s="24" t="n">
        <x:v>70.9</x:v>
      </x:c>
      <x:c r="B711" s="24"/>
      <x:c r="C711" s="24" t="n">
        <x:v>68.99979683207314</x:v>
      </x:c>
      <x:c r="D711" s="24"/>
      <x:c r="E711" s="24"/>
      <x:c r="F711" s="24" t="n">
        <x:v>65.34913484411805</x:v>
      </x:c>
      <x:c r="G711" s="24"/>
      <x:c r="H711" s="24"/>
      <x:c r="I711" s="24" t="n">
        <x:v>72.88841646385201</x:v>
      </x:c>
      <x:c r="J711" s="24"/>
      <x:c r="K711" s="24"/>
    </x:row>
    <x:row r="712">
      <x:c r="A712" s="24" t="n">
        <x:v>71</x:v>
      </x:c>
      <x:c r="B712" s="24"/>
      <x:c r="C712" s="24" t="n">
        <x:v>73.24231859782884</x:v>
      </x:c>
      <x:c r="D712" s="24"/>
      <x:c r="E712" s="24"/>
      <x:c r="F712" s="24" t="n">
        <x:v>66.41464060929579</x:v>
      </x:c>
      <x:c r="G712" s="24"/>
      <x:c r="H712" s="24"/>
      <x:c r="I712" s="24" t="n">
        <x:v>73.43238453569018</x:v>
      </x:c>
      <x:c r="J712" s="24"/>
      <x:c r="K712" s="24"/>
    </x:row>
    <x:row r="713">
      <x:c r="A713" s="24" t="n">
        <x:v>71.10000000000001</x:v>
      </x:c>
      <x:c r="B713" s="24"/>
      <x:c r="C713" s="24"/>
      <x:c r="D713" s="24"/>
      <x:c r="E713" s="24"/>
      <x:c r="F713" s="24" t="n">
        <x:v>66.89447643996945</x:v>
      </x:c>
      <x:c r="G713" s="24"/>
      <x:c r="H713" s="24"/>
      <x:c r="I713" s="24" t="n">
        <x:v>73.4323845356902</x:v>
      </x:c>
      <x:c r="J713" s="24"/>
      <x:c r="K713" s="24"/>
    </x:row>
    <x:row r="714">
      <x:c r="A714" s="24" t="n">
        <x:v>71.2</x:v>
      </x:c>
      <x:c r="B714" s="24"/>
      <x:c r="C714" s="24"/>
      <x:c r="D714" s="24"/>
      <x:c r="E714" s="24"/>
      <x:c r="F714" s="24" t="n">
        <x:v>66.5626088446103</x:v>
      </x:c>
      <x:c r="G714" s="24"/>
      <x:c r="H714" s="24"/>
      <x:c r="I714" s="24" t="n">
        <x:v>73.47975158805254</x:v>
      </x:c>
      <x:c r="J714" s="24"/>
      <x:c r="K714" s="24"/>
    </x:row>
    <x:row r="715">
      <x:c r="A715" s="24" t="n">
        <x:v>71.3</x:v>
      </x:c>
      <x:c r="B715" s="24"/>
      <x:c r="C715" s="24"/>
      <x:c r="D715" s="24"/>
      <x:c r="E715" s="24"/>
      <x:c r="F715" s="24" t="n">
        <x:v>65.23775461760685</x:v>
      </x:c>
      <x:c r="G715" s="24"/>
      <x:c r="H715" s="24"/>
      <x:c r="I715" s="24" t="n">
        <x:v>72.55534436271654</x:v>
      </x:c>
      <x:c r="J715" s="24"/>
      <x:c r="K715" s="24"/>
    </x:row>
    <x:row r="716">
      <x:c r="A716" s="24" t="n">
        <x:v>71.4</x:v>
      </x:c>
      <x:c r="B716" s="24"/>
      <x:c r="C716" s="24"/>
      <x:c r="D716" s="24"/>
      <x:c r="E716" s="24"/>
      <x:c r="F716" s="24" t="n">
        <x:v>65.40690530692098</x:v>
      </x:c>
      <x:c r="G716" s="24"/>
      <x:c r="H716" s="24"/>
      <x:c r="I716" s="24" t="n">
        <x:v>83.80975582500324</x:v>
      </x:c>
      <x:c r="J716" s="24"/>
      <x:c r="K716" s="24"/>
    </x:row>
    <x:row r="717">
      <x:c r="A717" s="24" t="n">
        <x:v>71.5</x:v>
      </x:c>
      <x:c r="B717" s="24"/>
      <x:c r="C717" s="24"/>
      <x:c r="D717" s="24"/>
      <x:c r="E717" s="24"/>
      <x:c r="F717" s="24" t="n">
        <x:v>65.40690530692098</x:v>
      </x:c>
      <x:c r="G717" s="24"/>
      <x:c r="H717" s="24"/>
      <x:c r="I717" s="24" t="n">
        <x:v>83.80975582500324</x:v>
      </x:c>
      <x:c r="J717" s="24"/>
      <x:c r="K717" s="24"/>
    </x:row>
    <x:row r="718">
      <x:c r="A718" s="24" t="n">
        <x:v>71.60000000000001</x:v>
      </x:c>
      <x:c r="B718" s="24"/>
      <x:c r="C718" s="24"/>
      <x:c r="D718" s="24"/>
      <x:c r="E718" s="24"/>
      <x:c r="F718" s="24" t="n">
        <x:v>68.57003484192546</x:v>
      </x:c>
      <x:c r="G718" s="24"/>
      <x:c r="H718" s="24"/>
      <x:c r="I718" s="24" t="n">
        <x:v>81.61366959292705</x:v>
      </x:c>
      <x:c r="J718" s="24"/>
      <x:c r="K718" s="24"/>
    </x:row>
    <x:row r="719">
      <x:c r="A719" s="24" t="n">
        <x:v>71.7</x:v>
      </x:c>
      <x:c r="B719" s="24"/>
      <x:c r="C719" s="24"/>
      <x:c r="D719" s="24"/>
      <x:c r="E719" s="24"/>
      <x:c r="F719" s="24" t="n">
        <x:v>68.57003484192546</x:v>
      </x:c>
      <x:c r="G719" s="24"/>
      <x:c r="H719" s="24"/>
      <x:c r="I719" s="24" t="n">
        <x:v>73.41347637653618</x:v>
      </x:c>
      <x:c r="J719" s="24"/>
      <x:c r="K719" s="24"/>
    </x:row>
    <x:row r="720">
      <x:c r="A720" s="24" t="n">
        <x:v>71.8</x:v>
      </x:c>
      <x:c r="B720" s="24"/>
      <x:c r="C720" s="24"/>
      <x:c r="D720" s="24"/>
      <x:c r="E720" s="24"/>
      <x:c r="F720" s="24" t="n">
        <x:v>82.69437213216543</x:v>
      </x:c>
      <x:c r="G720" s="24"/>
      <x:c r="H720" s="24"/>
      <x:c r="I720" s="24" t="n">
        <x:v>71.66678052268625</x:v>
      </x:c>
      <x:c r="J720" s="24"/>
      <x:c r="K720" s="24"/>
    </x:row>
    <x:row r="721">
      <x:c r="A721" s="24" t="n">
        <x:v>71.9</x:v>
      </x:c>
      <x:c r="B721" s="24"/>
      <x:c r="C721" s="24"/>
      <x:c r="D721" s="24"/>
      <x:c r="E721" s="24"/>
      <x:c r="F721" s="24" t="n">
        <x:v>82.69437213216543</x:v>
      </x:c>
      <x:c r="G721" s="24"/>
      <x:c r="H721" s="24"/>
      <x:c r="I721" s="24" t="n">
        <x:v>71.47067957090762</x:v>
      </x:c>
      <x:c r="J721" s="24"/>
      <x:c r="K721" s="24"/>
    </x:row>
    <x:row r="722">
      <x:c r="A722" s="24" t="n">
        <x:v>72</x:v>
      </x:c>
      <x:c r="B722" s="24"/>
      <x:c r="C722" s="24"/>
      <x:c r="D722" s="24"/>
      <x:c r="E722" s="24"/>
      <x:c r="F722" s="24" t="n">
        <x:v>79.98065612123892</x:v>
      </x:c>
      <x:c r="G722" s="24"/>
      <x:c r="H722" s="24"/>
      <x:c r="I722" s="24" t="n">
        <x:v>71.27457861912902</x:v>
      </x:c>
      <x:c r="J722" s="24"/>
      <x:c r="K722" s="24"/>
    </x:row>
    <x:row r="723">
      <x:c r="A723" s="24" t="n">
        <x:v>72.10000000000001</x:v>
      </x:c>
      <x:c r="B723" s="24"/>
      <x:c r="C723" s="24"/>
      <x:c r="D723" s="24"/>
      <x:c r="E723" s="24"/>
      <x:c r="F723" s="24" t="n">
        <x:v>71.14120084519713</x:v>
      </x:c>
      <x:c r="G723" s="24"/>
      <x:c r="H723" s="24"/>
      <x:c r="I723" s="24" t="n">
        <x:v>71.27457861912902</x:v>
      </x:c>
      <x:c r="J723" s="24"/>
      <x:c r="K723" s="24"/>
    </x:row>
    <x:row r="724">
      <x:c r="A724" s="24" t="n">
        <x:v>72.2</x:v>
      </x:c>
      <x:c r="B724" s="24"/>
      <x:c r="C724" s="24"/>
      <x:c r="D724" s="24"/>
      <x:c r="E724" s="24"/>
      <x:c r="F724" s="24" t="n">
        <x:v>63.35606013764341</x:v>
      </x:c>
      <x:c r="G724" s="24"/>
      <x:c r="H724" s="24"/>
      <x:c r="I724" s="24" t="n">
        <x:v>73.65844711505585</x:v>
      </x:c>
      <x:c r="J724" s="24"/>
      <x:c r="K724" s="24"/>
    </x:row>
    <x:row r="725">
      <x:c r="A725" s="24" t="n">
        <x:v>72.3</x:v>
      </x:c>
      <x:c r="B725" s="24"/>
      <x:c r="C725" s="24"/>
      <x:c r="D725" s="24"/>
      <x:c r="E725" s="24"/>
      <x:c r="F725" s="24" t="n">
        <x:v>59.92408055339332</x:v>
      </x:c>
      <x:c r="G725" s="24"/>
      <x:c r="H725" s="24"/>
      <x:c r="I725" s="24" t="n">
        <x:v>78.10379593842171</x:v>
      </x:c>
      <x:c r="J725" s="24"/>
      <x:c r="K725" s="24"/>
    </x:row>
    <x:row r="726">
      <x:c r="A726" s="24" t="n">
        <x:v>72.4</x:v>
      </x:c>
      <x:c r="B726" s="24"/>
      <x:c r="C726" s="24"/>
      <x:c r="D726" s="24"/>
      <x:c r="E726" s="24"/>
      <x:c r="F726" s="24" t="n">
        <x:v>51.46624278555742</x:v>
      </x:c>
      <x:c r="G726" s="24"/>
      <x:c r="H726" s="24"/>
      <x:c r="I726" s="24" t="n">
        <x:v>78.10379593842171</x:v>
      </x:c>
      <x:c r="J726" s="24"/>
      <x:c r="K726" s="24"/>
    </x:row>
    <x:row r="727">
      <x:c r="A727" s="24" t="n">
        <x:v>72.5</x:v>
      </x:c>
      <x:c r="B727" s="24"/>
      <x:c r="C727" s="24"/>
      <x:c r="D727" s="24"/>
      <x:c r="E727" s="24"/>
      <x:c r="F727" s="24" t="n">
        <x:v>57.14654112490776</x:v>
      </x:c>
      <x:c r="G727" s="24"/>
      <x:c r="H727" s="24"/>
      <x:c r="I727" s="24"/>
      <x:c r="J727" s="24"/>
      <x:c r="K727" s="24"/>
    </x:row>
    <x:row r="728">
      <x:c r="A728" s="24" t="n">
        <x:v>72.60000000000001</x:v>
      </x:c>
      <x:c r="B728" s="24"/>
      <x:c r="C728" s="24"/>
      <x:c r="D728" s="24"/>
      <x:c r="E728" s="24"/>
      <x:c r="F728" s="24" t="n">
        <x:v>60.5547201285183</x:v>
      </x:c>
      <x:c r="G728" s="24"/>
      <x:c r="H728" s="24"/>
      <x:c r="I728" s="24"/>
      <x:c r="J728" s="24"/>
      <x:c r="K728" s="24"/>
    </x:row>
    <x:row r="729">
      <x:c r="A729" s="24" t="n">
        <x:v>72.7</x:v>
      </x:c>
      <x:c r="B729" s="24"/>
      <x:c r="C729" s="24"/>
      <x:c r="D729" s="24"/>
      <x:c r="E729" s="24"/>
      <x:c r="F729" s="24" t="n">
        <x:v>64.50272779753823</x:v>
      </x:c>
      <x:c r="G729" s="24"/>
      <x:c r="H729" s="24"/>
      <x:c r="I729" s="24"/>
      <x:c r="J729" s="24"/>
      <x:c r="K729" s="24"/>
    </x:row>
    <x:row r="730">
      <x:c r="A730" s="24" t="n">
        <x:v>72.8</x:v>
      </x:c>
      <x:c r="B730" s="24"/>
      <x:c r="C730" s="24"/>
      <x:c r="D730" s="24"/>
      <x:c r="E730" s="24"/>
      <x:c r="F730" s="24" t="n">
        <x:v>68.68165639938294</x:v>
      </x:c>
      <x:c r="G730" s="24"/>
      <x:c r="H730" s="24"/>
      <x:c r="I730" s="24"/>
      <x:c r="J730" s="24"/>
      <x:c r="K730" s="24"/>
    </x:row>
    <x:row r="731">
      <x:c r="A731" s="24" t="n">
        <x:v>72.9</x:v>
      </x:c>
      <x:c r="B731" s="24"/>
      <x:c r="C731" s="24"/>
      <x:c r="D731" s="24"/>
      <x:c r="E731" s="24"/>
      <x:c r="F731" s="24" t="n">
        <x:v>68.68165639938294</x:v>
      </x:c>
      <x:c r="G731" s="24"/>
      <x:c r="H731" s="24"/>
      <x:c r="I731" s="24"/>
      <x:c r="J731" s="24"/>
      <x:c r="K731" s="24"/>
    </x:row>
    <x:row r="732">
      <x:c r="A732" s="24" t="n">
        <x:v>73</x:v>
      </x:c>
      <x:c r="B732" s="24"/>
      <x:c r="C732" s="24"/>
      <x:c r="D732" s="24"/>
      <x:c r="E732" s="24"/>
      <x:c r="F732" s="24" t="n">
        <x:v>65.02352229596845</x:v>
      </x:c>
      <x:c r="G732" s="24"/>
      <x:c r="H732" s="24"/>
      <x:c r="I732" s="24"/>
      <x:c r="J732" s="24"/>
      <x:c r="K732" s="24"/>
    </x:row>
    <x:row r="733">
      <x:c r="A733" s="24" t="n">
        <x:v>73.10000000000001</x:v>
      </x:c>
      <x:c r="B733" s="24"/>
      <x:c r="C733" s="24"/>
      <x:c r="D733" s="24"/>
      <x:c r="E733" s="24"/>
      <x:c r="F733" s="24" t="n">
        <x:v>62.337197783326545</x:v>
      </x:c>
      <x:c r="G733" s="24"/>
      <x:c r="H733" s="24"/>
      <x:c r="I733" s="24"/>
      <x:c r="J733" s="24"/>
      <x:c r="K733" s="24"/>
    </x:row>
    <x:row r="734">
      <x:c r="A734" s="24" t="n">
        <x:v>73.2</x:v>
      </x:c>
      <x:c r="B734" s="24"/>
      <x:c r="C734" s="24"/>
      <x:c r="D734" s="24"/>
      <x:c r="E734" s="24"/>
      <x:c r="F734" s="24" t="n">
        <x:v>66.45959210994369</x:v>
      </x:c>
      <x:c r="G734" s="24"/>
      <x:c r="H734" s="24"/>
      <x:c r="I734" s="24"/>
      <x:c r="J734" s="24"/>
      <x:c r="K734" s="24"/>
    </x:row>
    <x:row r="735">
      <x:c r="A735" s="24" t="n">
        <x:v>73.3</x:v>
      </x:c>
      <x:c r="B735" s="24"/>
      <x:c r="C735" s="24"/>
      <x:c r="D735" s="24"/>
      <x:c r="E735" s="24"/>
      <x:c r="F735" s="24" t="n">
        <x:v>66.5138186616594</x:v>
      </x:c>
      <x:c r="G735" s="24"/>
      <x:c r="H735" s="24"/>
      <x:c r="I735" s="24"/>
      <x:c r="J735" s="24"/>
      <x:c r="K735" s="24"/>
    </x:row>
    <x:row r="736">
      <x:c r="A736" s="24" t="n">
        <x:v>73.4</x:v>
      </x:c>
      <x:c r="B736" s="24"/>
      <x:c r="C736" s="24"/>
      <x:c r="D736" s="24"/>
      <x:c r="E736" s="24"/>
      <x:c r="F736" s="24" t="n">
        <x:v>67.47162873758413</x:v>
      </x:c>
      <x:c r="G736" s="24"/>
      <x:c r="H736" s="24"/>
      <x:c r="I736" s="24"/>
      <x:c r="J736" s="24"/>
      <x:c r="K736" s="24"/>
    </x:row>
    <x:row r="737">
      <x:c r="A737" s="24" t="n">
        <x:v>73.5</x:v>
      </x:c>
      <x:c r="B737" s="24"/>
      <x:c r="C737" s="24"/>
      <x:c r="D737" s="24"/>
      <x:c r="E737" s="24"/>
      <x:c r="F737" s="24" t="n">
        <x:v>67.47162873758413</x:v>
      </x:c>
      <x:c r="G737" s="24"/>
      <x:c r="H737" s="24"/>
      <x:c r="I737" s="24"/>
      <x:c r="J737" s="24"/>
      <x:c r="K737" s="24"/>
    </x:row>
    <x:row r="738">
      <x:c r="A738" s="24" t="n">
        <x:v>73.60000000000001</x:v>
      </x:c>
      <x:c r="B738" s="24"/>
      <x:c r="C738" s="24"/>
      <x:c r="D738" s="24"/>
      <x:c r="E738" s="24"/>
      <x:c r="F738" s="24" t="n">
        <x:v>67.17705978460222</x:v>
      </x:c>
      <x:c r="G738" s="24"/>
      <x:c r="H738" s="24"/>
      <x:c r="I738" s="24"/>
      <x:c r="J738" s="24"/>
      <x:c r="K738" s="24"/>
    </x:row>
    <x:row r="739">
      <x:c r="A739" s="24" t="n">
        <x:v>73.7</x:v>
      </x:c>
      <x:c r="B739" s="24"/>
      <x:c r="C739" s="24"/>
      <x:c r="D739" s="24"/>
      <x:c r="E739" s="24"/>
      <x:c r="F739" s="24" t="n">
        <x:v>67.17705978460222</x:v>
      </x:c>
      <x:c r="G739" s="24"/>
      <x:c r="H739" s="24"/>
      <x:c r="I739" s="24"/>
      <x:c r="J739" s="24"/>
      <x:c r="K739" s="24"/>
    </x:row>
    <x:row r="740">
      <x:c r="A740" s="24" t="n">
        <x:v>73.8</x:v>
      </x:c>
      <x:c r="B740" s="24"/>
      <x:c r="C740" s="24"/>
      <x:c r="D740" s="24"/>
      <x:c r="E740" s="24"/>
      <x:c r="F740" s="24"/>
      <x:c r="G740" s="24"/>
      <x:c r="H740" s="24"/>
      <x:c r="I740" s="24"/>
      <x:c r="J740" s="24"/>
      <x:c r="K740" s="24"/>
    </x:row>
    <x:row r="741">
      <x:c r="A741" s="24" t="n">
        <x:v>73.9</x:v>
      </x:c>
      <x:c r="B741" s="24"/>
      <x:c r="C741" s="24"/>
      <x:c r="D741" s="24"/>
      <x:c r="E741" s="24"/>
      <x:c r="F741" s="24"/>
      <x:c r="G741" s="24"/>
      <x:c r="H741" s="24"/>
      <x:c r="I741" s="24"/>
      <x:c r="J741" s="24"/>
      <x:c r="K741" s="24"/>
    </x:row>
    <x:row r="742">
      <x:c r="A742" s="24" t="n">
        <x:v>74</x:v>
      </x:c>
      <x:c r="B742" s="24"/>
      <x:c r="C742" s="24"/>
      <x:c r="D742" s="24"/>
      <x:c r="E742" s="24"/>
      <x:c r="F742" s="24"/>
      <x:c r="G742" s="24"/>
      <x:c r="H742" s="24"/>
      <x:c r="I742" s="24"/>
      <x:c r="J742" s="24"/>
      <x:c r="K742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>
      <x:c r="A1" s="11" t="str">
        <x:v>相对峰值时间 ms</x:v>
      </x:c>
      <x:c r="B1" s="22" t="str">
        <x:v>FR_INIT_260709_600_常见</x:v>
      </x:c>
      <x:c r="C1" s="22" t="str">
        <x:v>FR_INIT_260709_600_较响</x:v>
      </x:c>
      <x:c r="D1" s="22" t="str">
        <x:v>DD_BASE_260707_700_常见</x:v>
      </x:c>
      <x:c r="E1" s="22" t="str">
        <x:v>DD_BASE_260707_700_较响</x:v>
      </x:c>
      <x:c r="F1" s="22" t="str">
        <x:v>FR_INIT_260709_700_常见</x:v>
      </x:c>
      <x:c r="G1" s="22" t="str">
        <x:v>FR_INIT_260709_700_较响</x:v>
      </x:c>
      <x:c r="H1" s="22" t="str">
        <x:v>DD_BASE_260707_800_常见</x:v>
      </x:c>
      <x:c r="I1" s="22" t="str">
        <x:v>DD_BASE_260707_800_较响</x:v>
      </x:c>
      <x:c r="J1" s="22" t="str">
        <x:v>FR_INIT_260709_800_常见</x:v>
      </x:c>
      <x:c r="K1" s="22" t="str">
        <x:v>FR_INIT_260709_800_较响</x:v>
      </x:c>
      <x:c r="L1" s="22" t="str">
        <x:v>DD_BASE_260707_900_常见</x:v>
      </x:c>
      <x:c r="M1" s="22" t="str">
        <x:v>DD_BASE_260707_900_较响</x:v>
      </x:c>
      <x:c r="N1" s="22" t="str">
        <x:v>FR_INIT_260709_900_常见</x:v>
      </x:c>
      <x:c r="O1" s="22" t="str">
        <x:v>FR_INIT_260709_900_较响</x:v>
      </x:c>
      <x:c r="P1" s="22" t="str">
        <x:v>FR_INIT_260709_1000_常见</x:v>
      </x:c>
      <x:c r="Q1" s="22" t="str">
        <x:v>FR_INIT_260709_1000_较响</x:v>
      </x:c>
      <x:c r="R1" s="22" t="str">
        <x:v>DD_BASE_260707_1125_常见</x:v>
      </x:c>
      <x:c r="S1" s="22" t="str">
        <x:v>DD_BASE_260707_1125_较响</x:v>
      </x:c>
      <x:c r="T1" s="22" t="str">
        <x:v>FR_INIT_260709_1125_常见</x:v>
      </x:c>
      <x:c r="U1" s="12" t="str">
        <x:v>FR_INIT_260709_1125_较响</x:v>
      </x:c>
    </x:row>
    <x:row r="2">
      <x:c r="A2" s="24" t="n">
        <x:v>-300</x:v>
      </x:c>
      <x:c r="B2" s="24" t="n">
        <x:v>65.85015037436301</x:v>
      </x:c>
      <x:c r="C2" s="24" t="n">
        <x:v>66.45380038609127</x:v>
      </x:c>
      <x:c r="D2" s="24" t="n">
        <x:v>68.38012593494294</x:v>
      </x:c>
      <x:c r="E2" s="24" t="n">
        <x:v>73.00145727334514</x:v>
      </x:c>
      <x:c r="F2" s="24" t="n">
        <x:v>64.71939625007644</x:v>
      </x:c>
      <x:c r="G2" s="24" t="n">
        <x:v>70.45190598635803</x:v>
      </x:c>
      <x:c r="H2" s="24" t="n">
        <x:v>67.44115217415067</x:v>
      </x:c>
      <x:c r="I2" s="24" t="n">
        <x:v>69.25230582496033</x:v>
      </x:c>
      <x:c r="J2" s="24" t="n">
        <x:v>63.251359432319134</x:v>
      </x:c>
      <x:c r="K2" s="24" t="n">
        <x:v>67.69964793859846</x:v>
      </x:c>
      <x:c r="L2" s="24" t="n">
        <x:v>62.95123056701305</x:v>
      </x:c>
      <x:c r="M2" s="24" t="n">
        <x:v>65.0077627387413</x:v>
      </x:c>
      <x:c r="N2" s="24" t="n">
        <x:v>70.39105607009398</x:v>
      </x:c>
      <x:c r="O2" s="24" t="n">
        <x:v>75.41558021587501</x:v>
      </x:c>
      <x:c r="P2" s="24" t="n">
        <x:v>75.25561598570886</x:v>
      </x:c>
      <x:c r="Q2" s="24" t="n">
        <x:v>71.43755084693876</x:v>
      </x:c>
      <x:c r="R2" s="24" t="n">
        <x:v>72.67200975567839</x:v>
      </x:c>
      <x:c r="S2" s="24" t="n">
        <x:v>71.97604279192657</x:v>
      </x:c>
      <x:c r="T2" s="24" t="n">
        <x:v>71.69790775730364</x:v>
      </x:c>
      <x:c r="U2" s="24" t="n">
        <x:v>70.89655895838094</x:v>
      </x:c>
    </x:row>
    <x:row r="3">
      <x:c r="A3" s="24" t="n">
        <x:v>-279.99999999999994</x:v>
      </x:c>
      <x:c r="B3" s="24" t="n">
        <x:v>66.1370260266635</x:v>
      </x:c>
      <x:c r="C3" s="24" t="n">
        <x:v>66.29781796660312</x:v>
      </x:c>
      <x:c r="D3" s="24" t="n">
        <x:v>68.50257987862459</x:v>
      </x:c>
      <x:c r="E3" s="24" t="n">
        <x:v>72.992314317757</x:v>
      </x:c>
      <x:c r="F3" s="24" t="n">
        <x:v>64.83832603589487</x:v>
      </x:c>
      <x:c r="G3" s="24" t="n">
        <x:v>70.00353058368441</x:v>
      </x:c>
      <x:c r="H3" s="24" t="n">
        <x:v>67.44115217415062</x:v>
      </x:c>
      <x:c r="I3" s="24" t="n">
        <x:v>69.22467867359458</x:v>
      </x:c>
      <x:c r="J3" s="24" t="n">
        <x:v>64.82972721738487</x:v>
      </x:c>
      <x:c r="K3" s="24" t="n">
        <x:v>67.69964793859845</x:v>
      </x:c>
      <x:c r="L3" s="24" t="n">
        <x:v>64.34063374926693</x:v>
      </x:c>
      <x:c r="M3" s="24" t="n">
        <x:v>64.76673720258412</x:v>
      </x:c>
      <x:c r="N3" s="24" t="n">
        <x:v>69.38700497922817</x:v>
      </x:c>
      <x:c r="O3" s="24" t="n">
        <x:v>74.39060356044418</x:v>
      </x:c>
      <x:c r="P3" s="24" t="n">
        <x:v>75.21195690484873</x:v>
      </x:c>
      <x:c r="Q3" s="24" t="n">
        <x:v>71.92993111186425</x:v>
      </x:c>
      <x:c r="R3" s="24" t="n">
        <x:v>69.72174831515011</x:v>
      </x:c>
      <x:c r="S3" s="24" t="n">
        <x:v>71.26060901150089</x:v>
      </x:c>
      <x:c r="T3" s="24" t="n">
        <x:v>72.80570703133195</x:v>
      </x:c>
      <x:c r="U3" s="24" t="n">
        <x:v>71.37060736537138</x:v>
      </x:c>
    </x:row>
    <x:row r="4">
      <x:c r="A4" s="24" t="n">
        <x:v>-259.99999999999994</x:v>
      </x:c>
      <x:c r="B4" s="24" t="n">
        <x:v>66.18669307645523</x:v>
      </x:c>
      <x:c r="C4" s="24" t="n">
        <x:v>66.34353784419375</x:v>
      </x:c>
      <x:c r="D4" s="24" t="n">
        <x:v>67.88769019309989</x:v>
      </x:c>
      <x:c r="E4" s="24" t="n">
        <x:v>72.40916855355319</x:v>
      </x:c>
      <x:c r="F4" s="24" t="n">
        <x:v>64.61099835249121</x:v>
      </x:c>
      <x:c r="G4" s="24" t="n">
        <x:v>69.94559963041041</x:v>
      </x:c>
      <x:c r="H4" s="24" t="n">
        <x:v>66.40544577337558</x:v>
      </x:c>
      <x:c r="I4" s="24" t="n">
        <x:v>69.19977791618146</x:v>
      </x:c>
      <x:c r="J4" s="24" t="n">
        <x:v>65.42177198811832</x:v>
      </x:c>
      <x:c r="K4" s="24" t="n">
        <x:v>67.38206554218227</x:v>
      </x:c>
      <x:c r="L4" s="24" t="n">
        <x:v>65.37727991981417</x:v>
      </x:c>
      <x:c r="M4" s="24" t="n">
        <x:v>64.76402834056131</x:v>
      </x:c>
      <x:c r="N4" s="24" t="n">
        <x:v>69.01432335678814</x:v>
      </x:c>
      <x:c r="O4" s="24" t="n">
        <x:v>73.55369509078842</x:v>
      </x:c>
      <x:c r="P4" s="24" t="n">
        <x:v>74.65263519705854</x:v>
      </x:c>
      <x:c r="Q4" s="24" t="n">
        <x:v>73.05301185821439</x:v>
      </x:c>
      <x:c r="R4" s="24" t="n">
        <x:v>68.73599957290303</x:v>
      </x:c>
      <x:c r="S4" s="24" t="n">
        <x:v>70.84597149328118</x:v>
      </x:c>
      <x:c r="T4" s="24" t="n">
        <x:v>73.31171156804089</x:v>
      </x:c>
      <x:c r="U4" s="24" t="n">
        <x:v>69.95874294357075</x:v>
      </x:c>
    </x:row>
    <x:row r="5">
      <x:c r="A5" s="24" t="n">
        <x:v>-239.99999999999994</x:v>
      </x:c>
      <x:c r="B5" s="24" t="n">
        <x:v>65.97727277585645</x:v>
      </x:c>
      <x:c r="C5" s="24" t="n">
        <x:v>66.61302977077939</x:v>
      </x:c>
      <x:c r="D5" s="24" t="n">
        <x:v>67.6926362160035</x:v>
      </x:c>
      <x:c r="E5" s="24" t="n">
        <x:v>72.16014802594498</x:v>
      </x:c>
      <x:c r="F5" s="24" t="n">
        <x:v>63.35573122961599</x:v>
      </x:c>
      <x:c r="G5" s="24" t="n">
        <x:v>69.83018697329152</x:v>
      </x:c>
      <x:c r="H5" s="24" t="n">
        <x:v>64.81140444890667</x:v>
      </x:c>
      <x:c r="I5" s="24" t="n">
        <x:v>69.28677540547434</x:v>
      </x:c>
      <x:c r="J5" s="24" t="n">
        <x:v>64.96362081735575</x:v>
      </x:c>
      <x:c r="K5" s="24" t="n">
        <x:v>67.65428911936702</x:v>
      </x:c>
      <x:c r="L5" s="24" t="n">
        <x:v>66.0062485836354</x:v>
      </x:c>
      <x:c r="M5" s="24" t="n">
        <x:v>63.82863932426005</x:v>
      </x:c>
      <x:c r="N5" s="24" t="n">
        <x:v>67.6299397150936</x:v>
      </x:c>
      <x:c r="O5" s="24" t="n">
        <x:v>73.74524200505556</x:v>
      </x:c>
      <x:c r="P5" s="24" t="n">
        <x:v>75.34849581223449</x:v>
      </x:c>
      <x:c r="Q5" s="24" t="n">
        <x:v>72.60690413698444</x:v>
      </x:c>
      <x:c r="R5" s="24" t="n">
        <x:v>68.5542511472927</x:v>
      </x:c>
      <x:c r="S5" s="24" t="n">
        <x:v>71.74438673443142</x:v>
      </x:c>
      <x:c r="T5" s="24" t="n">
        <x:v>72.96266644120377</x:v>
      </x:c>
      <x:c r="U5" s="24" t="n">
        <x:v>70.42897850831163</x:v>
      </x:c>
    </x:row>
    <x:row r="6">
      <x:c r="A6" s="24" t="n">
        <x:v>-219.99999999999991</x:v>
      </x:c>
      <x:c r="B6" s="24" t="n">
        <x:v>65.64462035692698</x:v>
      </x:c>
      <x:c r="C6" s="24" t="n">
        <x:v>66.90577069998211</x:v>
      </x:c>
      <x:c r="D6" s="24" t="n">
        <x:v>67.24252964404802</x:v>
      </x:c>
      <x:c r="E6" s="24" t="n">
        <x:v>72.41608093336441</x:v>
      </x:c>
      <x:c r="F6" s="24" t="n">
        <x:v>62.30330767497433</x:v>
      </x:c>
      <x:c r="G6" s="24" t="n">
        <x:v>68.6223549407862</x:v>
      </x:c>
      <x:c r="H6" s="24" t="n">
        <x:v>64.19390593835234</x:v>
      </x:c>
      <x:c r="I6" s="24" t="n">
        <x:v>69.06951872385683</x:v>
      </x:c>
      <x:c r="J6" s="24" t="n">
        <x:v>64.36848239402677</x:v>
      </x:c>
      <x:c r="K6" s="24" t="n">
        <x:v>67.56067395172096</x:v>
      </x:c>
      <x:c r="L6" s="24" t="n">
        <x:v>64.74871837104504</x:v>
      </x:c>
      <x:c r="M6" s="24" t="n">
        <x:v>63.29090420235828</x:v>
      </x:c>
      <x:c r="N6" s="24" t="n">
        <x:v>66.14968357294973</x:v>
      </x:c>
      <x:c r="O6" s="24" t="n">
        <x:v>73.65327589503552</x:v>
      </x:c>
      <x:c r="P6" s="24" t="n">
        <x:v>75.44174116839795</x:v>
      </x:c>
      <x:c r="Q6" s="24" t="n">
        <x:v>72.4420664040663</x:v>
      </x:c>
      <x:c r="R6" s="24" t="n">
        <x:v>68.34926586240391</x:v>
      </x:c>
      <x:c r="S6" s="24" t="n">
        <x:v>70.93208720768797</x:v>
      </x:c>
      <x:c r="T6" s="24" t="n">
        <x:v>72.18117783257111</x:v>
      </x:c>
      <x:c r="U6" s="24" t="n">
        <x:v>70.15631539303692</x:v>
      </x:c>
    </x:row>
    <x:row r="7">
      <x:c r="A7" s="24" t="n">
        <x:v>-199.9999999999999</x:v>
      </x:c>
      <x:c r="B7" s="24" t="n">
        <x:v>65.6181188811477</x:v>
      </x:c>
      <x:c r="C7" s="24" t="n">
        <x:v>67.35459895523503</x:v>
      </x:c>
      <x:c r="D7" s="24" t="n">
        <x:v>66.31624960760155</x:v>
      </x:c>
      <x:c r="E7" s="24" t="n">
        <x:v>72.41192739325061</x:v>
      </x:c>
      <x:c r="F7" s="24" t="n">
        <x:v>61.00899928115806</x:v>
      </x:c>
      <x:c r="G7" s="24" t="n">
        <x:v>68.29815010679859</x:v>
      </x:c>
      <x:c r="H7" s="24" t="n">
        <x:v>63.450762207594785</x:v>
      </x:c>
      <x:c r="I7" s="24" t="n">
        <x:v>69.47955474423703</x:v>
      </x:c>
      <x:c r="J7" s="24" t="n">
        <x:v>63.85141654295339</x:v>
      </x:c>
      <x:c r="K7" s="24" t="n">
        <x:v>67.14026654265925</x:v>
      </x:c>
      <x:c r="L7" s="24" t="n">
        <x:v>64.06068887860732</x:v>
      </x:c>
      <x:c r="M7" s="24" t="n">
        <x:v>63.678022549771484</x:v>
      </x:c>
      <x:c r="N7" s="24" t="n">
        <x:v>66.20640600701292</x:v>
      </x:c>
      <x:c r="O7" s="24" t="n">
        <x:v>74.16817965358476</x:v>
      </x:c>
      <x:c r="P7" s="24" t="n">
        <x:v>74.78608946548566</x:v>
      </x:c>
      <x:c r="Q7" s="24" t="n">
        <x:v>72.10410841481931</x:v>
      </x:c>
      <x:c r="R7" s="24" t="n">
        <x:v>68.41226794940627</x:v>
      </x:c>
      <x:c r="S7" s="24" t="n">
        <x:v>71.79607746262273</x:v>
      </x:c>
      <x:c r="T7" s="24" t="n">
        <x:v>72.17220973227062</x:v>
      </x:c>
      <x:c r="U7" s="24" t="n">
        <x:v>69.569492981294</x:v>
      </x:c>
    </x:row>
    <x:row r="8">
      <x:c r="A8" s="24" t="n">
        <x:v>-179.9999999999999</x:v>
      </x:c>
      <x:c r="B8" s="24" t="n">
        <x:v>65.4701319730664</x:v>
      </x:c>
      <x:c r="C8" s="24" t="n">
        <x:v>68.27771425864309</x:v>
      </x:c>
      <x:c r="D8" s="24" t="n">
        <x:v>65.44942887744243</x:v>
      </x:c>
      <x:c r="E8" s="24" t="n">
        <x:v>72.83245841447518</x:v>
      </x:c>
      <x:c r="F8" s="24" t="n">
        <x:v>60.67889011367238</x:v>
      </x:c>
      <x:c r="G8" s="24" t="n">
        <x:v>67.68545930927675</x:v>
      </x:c>
      <x:c r="H8" s="24" t="n">
        <x:v>63.30911132130431</x:v>
      </x:c>
      <x:c r="I8" s="24" t="n">
        <x:v>69.76497296451896</x:v>
      </x:c>
      <x:c r="J8" s="24" t="n">
        <x:v>63.996351450231906</x:v>
      </x:c>
      <x:c r="K8" s="24" t="n">
        <x:v>67.36812112640686</x:v>
      </x:c>
      <x:c r="L8" s="24" t="n">
        <x:v>63.072319120833896</x:v>
      </x:c>
      <x:c r="M8" s="24" t="n">
        <x:v>64.7766769743009</x:v>
      </x:c>
      <x:c r="N8" s="24" t="n">
        <x:v>66.15034108866251</x:v>
      </x:c>
      <x:c r="O8" s="24" t="n">
        <x:v>74.50021876262107</x:v>
      </x:c>
      <x:c r="P8" s="24" t="n">
        <x:v>74.21205383527331</x:v>
      </x:c>
      <x:c r="Q8" s="24" t="n">
        <x:v>71.08010701644376</x:v>
      </x:c>
      <x:c r="R8" s="24" t="n">
        <x:v>68.90872466976519</x:v>
      </x:c>
      <x:c r="S8" s="24" t="n">
        <x:v>71.79903334413855</x:v>
      </x:c>
      <x:c r="T8" s="24" t="n">
        <x:v>72.84705198803086</x:v>
      </x:c>
      <x:c r="U8" s="24" t="n">
        <x:v>70.21243040658192</x:v>
      </x:c>
    </x:row>
    <x:row r="9">
      <x:c r="A9" s="24" t="n">
        <x:v>-159.99999999999986</x:v>
      </x:c>
      <x:c r="B9" s="24" t="n">
        <x:v>64.63366356823514</x:v>
      </x:c>
      <x:c r="C9" s="24" t="n">
        <x:v>68.93094192395658</x:v>
      </x:c>
      <x:c r="D9" s="24" t="n">
        <x:v>64.52232311344082</x:v>
      </x:c>
      <x:c r="E9" s="24" t="n">
        <x:v>71.5603329206756</x:v>
      </x:c>
      <x:c r="F9" s="24" t="n">
        <x:v>61.74625495731043</x:v>
      </x:c>
      <x:c r="G9" s="24" t="n">
        <x:v>67.5600486344944</x:v>
      </x:c>
      <x:c r="H9" s="24" t="n">
        <x:v>63.2590092445132</x:v>
      </x:c>
      <x:c r="I9" s="24" t="n">
        <x:v>70.53408037755774</x:v>
      </x:c>
      <x:c r="J9" s="24" t="n">
        <x:v>66.46371140718513</x:v>
      </x:c>
      <x:c r="K9" s="24" t="n">
        <x:v>67.48897826572737</x:v>
      </x:c>
      <x:c r="L9" s="24" t="n">
        <x:v>62.65478003891579</x:v>
      </x:c>
      <x:c r="M9" s="24" t="n">
        <x:v>66.2158095209088</x:v>
      </x:c>
      <x:c r="N9" s="24" t="n">
        <x:v>66.31309065772544</x:v>
      </x:c>
      <x:c r="O9" s="24" t="n">
        <x:v>73.91092947301476</x:v>
      </x:c>
      <x:c r="P9" s="24" t="n">
        <x:v>73.90702144877622</x:v>
      </x:c>
      <x:c r="Q9" s="24" t="n">
        <x:v>71.31689701583075</x:v>
      </x:c>
      <x:c r="R9" s="24" t="n">
        <x:v>69.5240959593587</x:v>
      </x:c>
      <x:c r="S9" s="24" t="n">
        <x:v>70.97273040700196</x:v>
      </x:c>
      <x:c r="T9" s="24" t="n">
        <x:v>73.08592270735156</x:v>
      </x:c>
      <x:c r="U9" s="24" t="n">
        <x:v>69.76191214302946</x:v>
      </x:c>
    </x:row>
    <x:row r="10">
      <x:c r="A10" s="24" t="n">
        <x:v>-139.99999999999986</x:v>
      </x:c>
      <x:c r="B10" s="24" t="n">
        <x:v>66.3755815232088</x:v>
      </x:c>
      <x:c r="C10" s="24" t="n">
        <x:v>69.47090006043538</x:v>
      </x:c>
      <x:c r="D10" s="24" t="n">
        <x:v>63.788569201649636</x:v>
      </x:c>
      <x:c r="E10" s="24" t="n">
        <x:v>70.60327662942146</x:v>
      </x:c>
      <x:c r="F10" s="24" t="n">
        <x:v>62.71285645484415</x:v>
      </x:c>
      <x:c r="G10" s="24" t="n">
        <x:v>67.02560414792256</x:v>
      </x:c>
      <x:c r="H10" s="24" t="n">
        <x:v>63.42796486988987</x:v>
      </x:c>
      <x:c r="I10" s="24" t="n">
        <x:v>71.77233303735588</x:v>
      </x:c>
      <x:c r="J10" s="24" t="n">
        <x:v>67.39076071778051</x:v>
      </x:c>
      <x:c r="K10" s="24" t="n">
        <x:v>66.80117826965649</x:v>
      </x:c>
      <x:c r="L10" s="24" t="n">
        <x:v>61.37959299004268</x:v>
      </x:c>
      <x:c r="M10" s="24" t="n">
        <x:v>66.19660746848642</x:v>
      </x:c>
      <x:c r="N10" s="24" t="n">
        <x:v>66.49661930639098</x:v>
      </x:c>
      <x:c r="O10" s="24" t="n">
        <x:v>73.63760925210195</x:v>
      </x:c>
      <x:c r="P10" s="24" t="n">
        <x:v>74.25233252434722</x:v>
      </x:c>
      <x:c r="Q10" s="24" t="n">
        <x:v>71.61406356045785</x:v>
      </x:c>
      <x:c r="R10" s="24" t="n">
        <x:v>70.22015389646025</x:v>
      </x:c>
      <x:c r="S10" s="24" t="n">
        <x:v>71.27003879066024</x:v>
      </x:c>
      <x:c r="T10" s="24" t="n">
        <x:v>73.58094842587984</x:v>
      </x:c>
      <x:c r="U10" s="24" t="n">
        <x:v>69.84466991718001</x:v>
      </x:c>
    </x:row>
    <x:row r="11">
      <x:c r="A11" s="24" t="n">
        <x:v>-119.99999999999983</x:v>
      </x:c>
      <x:c r="B11" s="24" t="n">
        <x:v>71.41305201542815</x:v>
      </x:c>
      <x:c r="C11" s="24" t="n">
        <x:v>76.65769128654787</x:v>
      </x:c>
      <x:c r="D11" s="24" t="n">
        <x:v>63.80823266940736</x:v>
      </x:c>
      <x:c r="E11" s="24" t="n">
        <x:v>70.60814535658585</x:v>
      </x:c>
      <x:c r="F11" s="24" t="n">
        <x:v>64.75346275446331</x:v>
      </x:c>
      <x:c r="G11" s="24" t="n">
        <x:v>67.04293032594119</x:v>
      </x:c>
      <x:c r="H11" s="24" t="n">
        <x:v>67.0664767482927</x:v>
      </x:c>
      <x:c r="I11" s="24" t="n">
        <x:v>71.74275903216002</x:v>
      </x:c>
      <x:c r="J11" s="24" t="n">
        <x:v>67.2465541558732</x:v>
      </x:c>
      <x:c r="K11" s="24" t="n">
        <x:v>66.02539482509228</x:v>
      </x:c>
      <x:c r="L11" s="24" t="n">
        <x:v>60.63894786213188</x:v>
      </x:c>
      <x:c r="M11" s="24" t="n">
        <x:v>65.75374624654869</x:v>
      </x:c>
      <x:c r="N11" s="24" t="n">
        <x:v>66.49396793846958</x:v>
      </x:c>
      <x:c r="O11" s="24" t="n">
        <x:v>72.87408674554348</x:v>
      </x:c>
      <x:c r="P11" s="24" t="n">
        <x:v>74.43841466553462</x:v>
      </x:c>
      <x:c r="Q11" s="24" t="n">
        <x:v>71.54619175709581</x:v>
      </x:c>
      <x:c r="R11" s="24" t="n">
        <x:v>71.02330907813553</x:v>
      </x:c>
      <x:c r="S11" s="24" t="n">
        <x:v>71.11310938683532</x:v>
      </x:c>
      <x:c r="T11" s="24" t="n">
        <x:v>72.62508456136376</x:v>
      </x:c>
      <x:c r="U11" s="24" t="n">
        <x:v>70.89562241428563</x:v>
      </x:c>
    </x:row>
    <x:row r="12">
      <x:c r="A12" s="24" t="n">
        <x:v>-99.99999999999982</x:v>
      </x:c>
      <x:c r="B12" s="24" t="n">
        <x:v>73.9749919203289</x:v>
      </x:c>
      <x:c r="C12" s="24" t="n">
        <x:v>89.69031612863226</x:v>
      </x:c>
      <x:c r="D12" s="24" t="n">
        <x:v>62.980158407332326</x:v>
      </x:c>
      <x:c r="E12" s="24" t="n">
        <x:v>70.01097056106015</x:v>
      </x:c>
      <x:c r="F12" s="24" t="n">
        <x:v>70.70711482842418</x:v>
      </x:c>
      <x:c r="G12" s="24" t="n">
        <x:v>77.86912193860424</x:v>
      </x:c>
      <x:c r="H12" s="24" t="n">
        <x:v>69.62590785947384</x:v>
      </x:c>
      <x:c r="I12" s="24" t="n">
        <x:v>71.8719975853739</x:v>
      </x:c>
      <x:c r="J12" s="24" t="n">
        <x:v>67.3653579795701</x:v>
      </x:c>
      <x:c r="K12" s="24" t="n">
        <x:v>67.60587131155226</x:v>
      </x:c>
      <x:c r="L12" s="24" t="n">
        <x:v>63.35803297350079</x:v>
      </x:c>
      <x:c r="M12" s="24" t="n">
        <x:v>65.28109534872836</x:v>
      </x:c>
      <x:c r="N12" s="24" t="n">
        <x:v>74.64234151752638</x:v>
      </x:c>
      <x:c r="O12" s="24" t="n">
        <x:v>71.7743219779617</x:v>
      </x:c>
      <x:c r="P12" s="24" t="n">
        <x:v>74.22061218213929</x:v>
      </x:c>
      <x:c r="Q12" s="24" t="n">
        <x:v>79.23999662358483</x:v>
      </x:c>
      <x:c r="R12" s="24" t="n">
        <x:v>72.16953768381698</x:v>
      </x:c>
      <x:c r="S12" s="24" t="n">
        <x:v>81.60182054324287</x:v>
      </x:c>
      <x:c r="T12" s="24" t="n">
        <x:v>70.65718925210744</x:v>
      </x:c>
      <x:c r="U12" s="24" t="n">
        <x:v>71.62743898267883</x:v>
      </x:c>
    </x:row>
    <x:row r="13">
      <x:c r="A13" s="24" t="n">
        <x:v>-79.99999999999979</x:v>
      </x:c>
      <x:c r="B13" s="24" t="n">
        <x:v>76.68224233159091</x:v>
      </x:c>
      <x:c r="C13" s="24" t="n">
        <x:v>91.63018888621885</x:v>
      </x:c>
      <x:c r="D13" s="24" t="n">
        <x:v>63.46620690608687</x:v>
      </x:c>
      <x:c r="E13" s="24" t="n">
        <x:v>69.477158716125</x:v>
      </x:c>
      <x:c r="F13" s="24" t="n">
        <x:v>71.76981276336616</x:v>
      </x:c>
      <x:c r="G13" s="24" t="n">
        <x:v>82.40326589921497</x:v>
      </x:c>
      <x:c r="H13" s="24" t="n">
        <x:v>71.81045550545137</x:v>
      </x:c>
      <x:c r="I13" s="24" t="n">
        <x:v>79.93960605700919</x:v>
      </x:c>
      <x:c r="J13" s="24" t="n">
        <x:v>66.50373380111765</x:v>
      </x:c>
      <x:c r="K13" s="24" t="n">
        <x:v>78.41307579774492</x:v>
      </x:c>
      <x:c r="L13" s="24" t="n">
        <x:v>65.89121772460479</x:v>
      </x:c>
      <x:c r="M13" s="24" t="n">
        <x:v>69.23232388041866</x:v>
      </x:c>
      <x:c r="N13" s="24" t="n">
        <x:v>80.32936372728837</x:v>
      </x:c>
      <x:c r="O13" s="24" t="n">
        <x:v>76.38495138640586</x:v>
      </x:c>
      <x:c r="P13" s="24" t="n">
        <x:v>73.19762284040938</x:v>
      </x:c>
      <x:c r="Q13" s="24" t="n">
        <x:v>84.62194603889958</x:v>
      </x:c>
      <x:c r="R13" s="24" t="n">
        <x:v>72.2397020245402</x:v>
      </x:c>
      <x:c r="S13" s="24" t="n">
        <x:v>83.35034598505759</x:v>
      </x:c>
      <x:c r="T13" s="24" t="n">
        <x:v>69.92105036209098</x:v>
      </x:c>
      <x:c r="U13" s="24" t="n">
        <x:v>85.21083702153133</x:v>
      </x:c>
    </x:row>
    <x:row r="14">
      <x:c r="A14" s="24" t="n">
        <x:v>-59.99999999999977</x:v>
      </x:c>
      <x:c r="B14" s="24" t="n">
        <x:v>77.23113080515505</x:v>
      </x:c>
      <x:c r="C14" s="24" t="n">
        <x:v>92.31172677899646</x:v>
      </x:c>
      <x:c r="D14" s="24" t="n">
        <x:v>71.04700154660236</x:v>
      </x:c>
      <x:c r="E14" s="24" t="n">
        <x:v>78.43488583684595</x:v>
      </x:c>
      <x:c r="F14" s="24" t="n">
        <x:v>73.1657928547846</x:v>
      </x:c>
      <x:c r="G14" s="24" t="n">
        <x:v>84.6100859328691</x:v>
      </x:c>
      <x:c r="H14" s="24" t="n">
        <x:v>74.69539103799026</x:v>
      </x:c>
      <x:c r="I14" s="24" t="n">
        <x:v>84.10991664805454</x:v>
      </x:c>
      <x:c r="J14" s="24" t="n">
        <x:v>67.13653454128168</x:v>
      </x:c>
      <x:c r="K14" s="24" t="n">
        <x:v>82.26540585303403</x:v>
      </x:c>
      <x:c r="L14" s="24" t="n">
        <x:v>68.50273396071299</x:v>
      </x:c>
      <x:c r="M14" s="24" t="n">
        <x:v>77.15443895564151</x:v>
      </x:c>
      <x:c r="N14" s="24" t="n">
        <x:v>81.0721528254921</x:v>
      </x:c>
      <x:c r="O14" s="24" t="n">
        <x:v>81.8016132682099</x:v>
      </x:c>
      <x:c r="P14" s="24" t="n">
        <x:v>73.44885827638464</x:v>
      </x:c>
      <x:c r="Q14" s="24" t="n">
        <x:v>86.77001888391314</x:v>
      </x:c>
      <x:c r="R14" s="24" t="n">
        <x:v>73.18246832950362</x:v>
      </x:c>
      <x:c r="S14" s="24" t="n">
        <x:v>85.25741929013667</x:v>
      </x:c>
      <x:c r="T14" s="24" t="n">
        <x:v>70.3792618749428</x:v>
      </x:c>
      <x:c r="U14" s="24" t="n">
        <x:v>86.69860571154186</x:v>
      </x:c>
    </x:row>
    <x:row r="15">
      <x:c r="A15" s="24" t="n">
        <x:v>-39.99999999999976</x:v>
      </x:c>
      <x:c r="B15" s="24" t="n">
        <x:v>77.34984273048792</x:v>
      </x:c>
      <x:c r="C15" s="24" t="n">
        <x:v>92.56957367117563</x:v>
      </x:c>
      <x:c r="D15" s="24" t="n">
        <x:v>72.41404697959621</x:v>
      </x:c>
      <x:c r="E15" s="24" t="n">
        <x:v>80.41283384409351</x:v>
      </x:c>
      <x:c r="F15" s="24" t="n">
        <x:v>73.82976377675236</x:v>
      </x:c>
      <x:c r="G15" s="24" t="n">
        <x:v>85.06123668957541</x:v>
      </x:c>
      <x:c r="H15" s="24" t="n">
        <x:v>74.78681271981007</x:v>
      </x:c>
      <x:c r="I15" s="24" t="n">
        <x:v>85.2802640257183</x:v>
      </x:c>
      <x:c r="J15" s="24" t="n">
        <x:v>68.1503489151917</x:v>
      </x:c>
      <x:c r="K15" s="24" t="n">
        <x:v>82.85572069819209</x:v>
      </x:c>
      <x:c r="L15" s="24" t="n">
        <x:v>70.20403692056041</x:v>
      </x:c>
      <x:c r="M15" s="24" t="n">
        <x:v>78.85505459034323</x:v>
      </x:c>
      <x:c r="N15" s="24" t="n">
        <x:v>81.67701027316319</x:v>
      </x:c>
      <x:c r="O15" s="24" t="n">
        <x:v>84.07286633002664</x:v>
      </x:c>
      <x:c r="P15" s="24" t="n">
        <x:v>74.59762468169248</x:v>
      </x:c>
      <x:c r="Q15" s="24" t="n">
        <x:v>87.44810836717441</x:v>
      </x:c>
      <x:c r="R15" s="24" t="n">
        <x:v>73.07828803431174</x:v>
      </x:c>
      <x:c r="S15" s="24" t="n">
        <x:v>85.71140659706454</x:v>
      </x:c>
      <x:c r="T15" s="24" t="n">
        <x:v>73.81148338805608</x:v>
      </x:c>
      <x:c r="U15" s="24" t="n">
        <x:v>87.33571003750265</x:v>
      </x:c>
    </x:row>
    <x:row r="16">
      <x:c r="A16" s="24" t="n">
        <x:v>-19.99999999999974</x:v>
      </x:c>
      <x:c r="B16" s="24" t="n">
        <x:v>77.0930481441519</x:v>
      </x:c>
      <x:c r="C16" s="24" t="n">
        <x:v>89.92345458890816</x:v>
      </x:c>
      <x:c r="D16" s="24" t="n">
        <x:v>72.89914364804885</x:v>
      </x:c>
      <x:c r="E16" s="24" t="n">
        <x:v>81.43577161610999</x:v>
      </x:c>
      <x:c r="F16" s="24" t="n">
        <x:v>72.53746643843843</x:v>
      </x:c>
      <x:c r="G16" s="24" t="n">
        <x:v>84.51512056032382</x:v>
      </x:c>
      <x:c r="H16" s="24" t="n">
        <x:v>75.55093804698124</x:v>
      </x:c>
      <x:c r="I16" s="24" t="n">
        <x:v>85.75196333887213</x:v>
      </x:c>
      <x:c r="J16" s="24" t="n">
        <x:v>68.84122004611649</x:v>
      </x:c>
      <x:c r="K16" s="24" t="n">
        <x:v>83.14724878221516</x:v>
      </x:c>
      <x:c r="L16" s="24" t="n">
        <x:v>70.6434034689307</x:v>
      </x:c>
      <x:c r="M16" s="24" t="n">
        <x:v>79.30309939854395</x:v>
      </x:c>
      <x:c r="N16" s="24" t="n">
        <x:v>81.37400081981065</x:v>
      </x:c>
      <x:c r="O16" s="24" t="n">
        <x:v>84.76161326583394</x:v>
      </x:c>
      <x:c r="P16" s="24" t="n">
        <x:v>77.21455178162309</x:v>
      </x:c>
      <x:c r="Q16" s="24" t="n">
        <x:v>87.11474661570007</x:v>
      </x:c>
      <x:c r="R16" s="24" t="n">
        <x:v>73.20933568439398</x:v>
      </x:c>
      <x:c r="S16" s="24" t="n">
        <x:v>84.37071374832315</x:v>
      </x:c>
      <x:c r="T16" s="24" t="n">
        <x:v>76.65889063976857</x:v>
      </x:c>
      <x:c r="U16" s="24" t="n">
        <x:v>88.02354215615117</x:v>
      </x:c>
    </x:row>
    <x:row r="17">
      <x:c r="A17" s="24" t="n">
        <x:v>2.7755575615628914e-13</x:v>
      </x:c>
      <x:c r="B17" s="24" t="n">
        <x:v>76.18232116010059</x:v>
      </x:c>
      <x:c r="C17" s="24" t="n">
        <x:v>86.93799584800492</x:v>
      </x:c>
      <x:c r="D17" s="24" t="n">
        <x:v>73.40808884591513</x:v>
      </x:c>
      <x:c r="E17" s="24" t="n">
        <x:v>81.59480414192015</x:v>
      </x:c>
      <x:c r="F17" s="24" t="n">
        <x:v>71.95985938662888</x:v>
      </x:c>
      <x:c r="G17" s="24" t="n">
        <x:v>82.57806212703274</x:v>
      </x:c>
      <x:c r="H17" s="24" t="n">
        <x:v>75.29183854839603</x:v>
      </x:c>
      <x:c r="I17" s="24" t="n">
        <x:v>85.04579584622975</x:v>
      </x:c>
      <x:c r="J17" s="24" t="n">
        <x:v>69.13751763404409</x:v>
      </x:c>
      <x:c r="K17" s="24" t="n">
        <x:v>81.84123859242695</x:v>
      </x:c>
      <x:c r="L17" s="24" t="n">
        <x:v>70.253991281182</x:v>
      </x:c>
      <x:c r="M17" s="24" t="n">
        <x:v>79.21135875325764</x:v>
      </x:c>
      <x:c r="N17" s="24" t="n">
        <x:v>77.9902263181255</x:v>
      </x:c>
      <x:c r="O17" s="24" t="n">
        <x:v>84.74651866471322</x:v>
      </x:c>
      <x:c r="P17" s="24" t="n">
        <x:v>78.65316321603098</x:v>
      </x:c>
      <x:c r="Q17" s="24" t="n">
        <x:v>85.23246993281326</x:v>
      </x:c>
      <x:c r="R17" s="24" t="n">
        <x:v>73.36115247059102</x:v>
      </x:c>
      <x:c r="S17" s="24" t="n">
        <x:v>83.59469768098708</x:v>
      </x:c>
      <x:c r="T17" s="24" t="n">
        <x:v>77.04582522173945</x:v>
      </x:c>
      <x:c r="U17" s="24" t="n">
        <x:v>85.53229813926464</x:v>
      </x:c>
    </x:row>
    <x:row r="18">
      <x:c r="A18" s="24" t="n">
        <x:v>20.000000000000295</x:v>
      </x:c>
      <x:c r="B18" s="24" t="n">
        <x:v>75.9656087341254</x:v>
      </x:c>
      <x:c r="C18" s="24" t="n">
        <x:v>84.32249558545135</x:v>
      </x:c>
      <x:c r="D18" s="24" t="n">
        <x:v>71.26128689577646</x:v>
      </x:c>
      <x:c r="E18" s="24" t="n">
        <x:v>79.50995530489216</x:v>
      </x:c>
      <x:c r="F18" s="24" t="n">
        <x:v>70.47256079376935</x:v>
      </x:c>
      <x:c r="G18" s="24" t="n">
        <x:v>79.04453597090564</x:v>
      </x:c>
      <x:c r="H18" s="24" t="n">
        <x:v>73.25069303924951</x:v>
      </x:c>
      <x:c r="I18" s="24" t="n">
        <x:v>82.39892358081042</x:v>
      </x:c>
      <x:c r="J18" s="24" t="n">
        <x:v>69.12256150991477</x:v>
      </x:c>
      <x:c r="K18" s="24" t="n">
        <x:v>77.88942614150886</x:v>
      </x:c>
      <x:c r="L18" s="24" t="n">
        <x:v>69.27764164481925</x:v>
      </x:c>
      <x:c r="M18" s="24" t="n">
        <x:v>76.59040889893416</x:v>
      </x:c>
      <x:c r="N18" s="24" t="n">
        <x:v>76.63837604194973</x:v>
      </x:c>
      <x:c r="O18" s="24" t="n">
        <x:v>83.03840790109571</x:v>
      </x:c>
      <x:c r="P18" s="24" t="n">
        <x:v>79.00952752098824</x:v>
      </x:c>
      <x:c r="Q18" s="24" t="n">
        <x:v>82.05333858667805</x:v>
      </x:c>
      <x:c r="R18" s="24" t="n">
        <x:v>72.72960472588255</x:v>
      </x:c>
      <x:c r="S18" s="24" t="n">
        <x:v>81.21867886836962</x:v>
      </x:c>
      <x:c r="T18" s="24" t="n">
        <x:v>76.97588808295797</x:v>
      </x:c>
      <x:c r="U18" s="24" t="n">
        <x:v>84.06479567276607</x:v>
      </x:c>
    </x:row>
    <x:row r="19">
      <x:c r="A19" s="24" t="n">
        <x:v>40.00000000000031</x:v>
      </x:c>
      <x:c r="B19" s="24" t="n">
        <x:v>74.90714572597675</x:v>
      </x:c>
      <x:c r="C19" s="24" t="n">
        <x:v>81.8571357898244</x:v>
      </x:c>
      <x:c r="D19" s="24" t="n">
        <x:v>70.12605341781087</x:v>
      </x:c>
      <x:c r="E19" s="24" t="n">
        <x:v>77.05769274514783</x:v>
      </x:c>
      <x:c r="F19" s="24" t="n">
        <x:v>68.6808594503592</x:v>
      </x:c>
      <x:c r="G19" s="24" t="n">
        <x:v>77.42703011942453</x:v>
      </x:c>
      <x:c r="H19" s="24" t="n">
        <x:v>72.70459036748106</x:v>
      </x:c>
      <x:c r="I19" s="24" t="n">
        <x:v>80.6961655415412</x:v>
      </x:c>
      <x:c r="J19" s="24" t="n">
        <x:v>68.51833180502005</x:v>
      </x:c>
      <x:c r="K19" s="24" t="n">
        <x:v>76.13259205077031</x:v>
      </x:c>
      <x:c r="L19" s="24" t="n">
        <x:v>67.30391588699392</x:v>
      </x:c>
      <x:c r="M19" s="24" t="n">
        <x:v>74.09241479481017</x:v>
      </x:c>
      <x:c r="N19" s="24" t="n">
        <x:v>74.96774498310369</x:v>
      </x:c>
      <x:c r="O19" s="24" t="n">
        <x:v>80.17747346789167</x:v>
      </x:c>
      <x:c r="P19" s="24" t="n">
        <x:v>78.45829708144757</x:v>
      </x:c>
      <x:c r="Q19" s="24" t="n">
        <x:v>79.61302899685707</x:v>
      </x:c>
      <x:c r="R19" s="24" t="n">
        <x:v>72.67639301253138</x:v>
      </x:c>
      <x:c r="S19" s="24" t="n">
        <x:v>80.4275749002984</x:v>
      </x:c>
      <x:c r="T19" s="24" t="n">
        <x:v>75.73132558397681</x:v>
      </x:c>
      <x:c r="U19" s="24" t="n">
        <x:v>82.7541511186013</x:v>
      </x:c>
    </x:row>
    <x:row r="20">
      <x:c r="A20" s="24" t="n">
        <x:v>60.000000000000334</x:v>
      </x:c>
      <x:c r="B20" s="24" t="n">
        <x:v>73.83590573473144</x:v>
      </x:c>
      <x:c r="C20" s="24" t="n">
        <x:v>80.52135346101689</x:v>
      </x:c>
      <x:c r="D20" s="24" t="n">
        <x:v>69.38840646566132</x:v>
      </x:c>
      <x:c r="E20" s="24" t="n">
        <x:v>73.86817889829007</x:v>
      </x:c>
      <x:c r="F20" s="24" t="n">
        <x:v>67.55867908424892</x:v>
      </x:c>
      <x:c r="G20" s="24" t="n">
        <x:v>76.24179485498995</x:v>
      </x:c>
      <x:c r="H20" s="24" t="n">
        <x:v>70.01329025542894</x:v>
      </x:c>
      <x:c r="I20" s="24" t="n">
        <x:v>79.53602106295551</x:v>
      </x:c>
      <x:c r="J20" s="24" t="n">
        <x:v>68.12871973063771</x:v>
      </x:c>
      <x:c r="K20" s="24" t="n">
        <x:v>74.93079832906095</x:v>
      </x:c>
      <x:c r="L20" s="24" t="n">
        <x:v>65.57355264333962</x:v>
      </x:c>
      <x:c r="M20" s="24" t="n">
        <x:v>73.57320509355043</x:v>
      </x:c>
      <x:c r="N20" s="24" t="n">
        <x:v>72.84520483131018</x:v>
      </x:c>
      <x:c r="O20" s="24" t="n">
        <x:v>78.35937307936342</x:v>
      </x:c>
      <x:c r="P20" s="24" t="n">
        <x:v>76.93974653921128</x:v>
      </x:c>
      <x:c r="Q20" s="24" t="n">
        <x:v>78.3181093121685</x:v>
      </x:c>
      <x:c r="R20" s="24" t="n">
        <x:v>71.89278571386332</x:v>
      </x:c>
      <x:c r="S20" s="24" t="n">
        <x:v>79.34130039555576</x:v>
      </x:c>
      <x:c r="T20" s="24" t="n">
        <x:v>72.53196343081699</x:v>
      </x:c>
      <x:c r="U20" s="24" t="n">
        <x:v>80.59401686110499</x:v>
      </x:c>
    </x:row>
    <x:row r="21">
      <x:c r="A21" s="24" t="n">
        <x:v>80.00000000000036</x:v>
      </x:c>
      <x:c r="B21" s="24" t="n">
        <x:v>71.7756176819732</x:v>
      </x:c>
      <x:c r="C21" s="24" t="n">
        <x:v>79.3720861013729</x:v>
      </x:c>
      <x:c r="D21" s="24" t="n">
        <x:v>67.66386962610395</x:v>
      </x:c>
      <x:c r="E21" s="24" t="n">
        <x:v>72.72425031649333</x:v>
      </x:c>
      <x:c r="F21" s="24" t="n">
        <x:v>66.76760418471508</x:v>
      </x:c>
      <x:c r="G21" s="24" t="n">
        <x:v>75.00607329086857</x:v>
      </x:c>
      <x:c r="H21" s="24" t="n">
        <x:v>68.43435403559984</x:v>
      </x:c>
      <x:c r="I21" s="24" t="n">
        <x:v>78.51031411548428</x:v>
      </x:c>
      <x:c r="J21" s="24" t="n">
        <x:v>68.69652962612288</x:v>
      </x:c>
      <x:c r="K21" s="24" t="n">
        <x:v>73.52305250000775</x:v>
      </x:c>
      <x:c r="L21" s="24" t="n">
        <x:v>64.40861155905695</x:v>
      </x:c>
      <x:c r="M21" s="24" t="n">
        <x:v>73.20000602233797</x:v>
      </x:c>
      <x:c r="N21" s="24" t="n">
        <x:v>72.20754067335447</x:v>
      </x:c>
      <x:c r="O21" s="24" t="n">
        <x:v>76.6608525235295</x:v>
      </x:c>
      <x:c r="P21" s="24" t="n">
        <x:v>75.00538268388858</x:v>
      </x:c>
      <x:c r="Q21" s="24" t="n">
        <x:v>76.68931985112545</x:v>
      </x:c>
      <x:c r="R21" s="24" t="n">
        <x:v>72.14842793686611</x:v>
      </x:c>
      <x:c r="S21" s="24" t="n">
        <x:v>78.07244898190051</x:v>
      </x:c>
      <x:c r="T21" s="24" t="n">
        <x:v>72.67915703167725</x:v>
      </x:c>
      <x:c r="U21" s="24" t="n">
        <x:v>79.35037601168528</x:v>
      </x:c>
    </x:row>
    <x:row r="22">
      <x:c r="A22" s="24" t="n">
        <x:v>100.00000000000037</x:v>
      </x:c>
      <x:c r="B22" s="24" t="n">
        <x:v>71.11779931579385</x:v>
      </x:c>
      <x:c r="C22" s="24" t="n">
        <x:v>78.94399254834266</x:v>
      </x:c>
      <x:c r="D22" s="24" t="n">
        <x:v>65.79707946276152</x:v>
      </x:c>
      <x:c r="E22" s="24" t="n">
        <x:v>71.62085622284066</x:v>
      </x:c>
      <x:c r="F22" s="24" t="n">
        <x:v>65.8409569164848</x:v>
      </x:c>
      <x:c r="G22" s="24" t="n">
        <x:v>73.47451248969466</x:v>
      </x:c>
      <x:c r="H22" s="24" t="n">
        <x:v>67.51040180552768</x:v>
      </x:c>
      <x:c r="I22" s="24" t="n">
        <x:v>77.44364038043753</x:v>
      </x:c>
      <x:c r="J22" s="24" t="n">
        <x:v>68.14845468638347</x:v>
      </x:c>
      <x:c r="K22" s="24" t="n">
        <x:v>71.70926003402069</x:v>
      </x:c>
      <x:c r="L22" s="24" t="n">
        <x:v>62.89745602705032</x:v>
      </x:c>
      <x:c r="M22" s="24" t="n">
        <x:v>71.83820083003032</x:v>
      </x:c>
      <x:c r="N22" s="24" t="n">
        <x:v>71.50483007451068</x:v>
      </x:c>
      <x:c r="O22" s="24" t="n">
        <x:v>75.55359117179614</x:v>
      </x:c>
      <x:c r="P22" s="24" t="n">
        <x:v>72.94500856672208</x:v>
      </x:c>
      <x:c r="Q22" s="24" t="n">
        <x:v>75.89587388701081</x:v>
      </x:c>
      <x:c r="R22" s="24" t="n">
        <x:v>71.59085890990758</x:v>
      </x:c>
      <x:c r="S22" s="24" t="n">
        <x:v>76.27186585576149</x:v>
      </x:c>
      <x:c r="T22" s="24" t="n">
        <x:v>71.93469077213848</x:v>
      </x:c>
      <x:c r="U22" s="24" t="n">
        <x:v>77.52198590299342</x:v>
      </x:c>
    </x:row>
    <x:row r="23">
      <x:c r="A23" s="24" t="n">
        <x:v>120.00000000000038</x:v>
      </x:c>
      <x:c r="B23" s="24" t="n">
        <x:v>70.27448891428983</x:v>
      </x:c>
      <x:c r="C23" s="24" t="n">
        <x:v>78.33181634809763</x:v>
      </x:c>
      <x:c r="D23" s="24" t="n">
        <x:v>63.07255421890595</x:v>
      </x:c>
      <x:c r="E23" s="24" t="n">
        <x:v>70.62148825277916</x:v>
      </x:c>
      <x:c r="F23" s="24" t="n">
        <x:v>65.75702176741567</x:v>
      </x:c>
      <x:c r="G23" s="24" t="n">
        <x:v>72.5053585651713</x:v>
      </x:c>
      <x:c r="H23" s="24" t="n">
        <x:v>66.83827555889889</x:v>
      </x:c>
      <x:c r="I23" s="24" t="n">
        <x:v>75.40059188409744</x:v>
      </x:c>
      <x:c r="J23" s="24" t="n">
        <x:v>67.91036512945347</x:v>
      </x:c>
      <x:c r="K23" s="24" t="n">
        <x:v>70.63417355471333</x:v>
      </x:c>
      <x:c r="L23" s="24" t="n">
        <x:v>62.773308370179386</x:v>
      </x:c>
      <x:c r="M23" s="24" t="n">
        <x:v>70.31932397093931</x:v>
      </x:c>
      <x:c r="N23" s="24" t="n">
        <x:v>70.31219291454975</x:v>
      </x:c>
      <x:c r="O23" s="24" t="n">
        <x:v>74.4963777514842</x:v>
      </x:c>
      <x:c r="P23" s="24" t="n">
        <x:v>73.28033505708996</x:v>
      </x:c>
      <x:c r="Q23" s="24" t="n">
        <x:v>74.67372995785777</x:v>
      </x:c>
      <x:c r="R23" s="24" t="n">
        <x:v>71.73559131101595</x:v>
      </x:c>
      <x:c r="S23" s="24" t="n">
        <x:v>74.1909265764591</x:v>
      </x:c>
      <x:c r="T23" s="24" t="n">
        <x:v>71.86237779901955</x:v>
      </x:c>
      <x:c r="U23" s="24" t="n">
        <x:v>77.04677881541517</x:v>
      </x:c>
    </x:row>
    <x:row r="24">
      <x:c r="A24" s="24" t="n">
        <x:v>140.0000000000004</x:v>
      </x:c>
      <x:c r="B24" s="24" t="n">
        <x:v>70.54622332992818</x:v>
      </x:c>
      <x:c r="C24" s="24" t="n">
        <x:v>77.22239550495517</x:v>
      </x:c>
      <x:c r="D24" s="24" t="n">
        <x:v>62.32262867649633</x:v>
      </x:c>
      <x:c r="E24" s="24" t="n">
        <x:v>68.8562173785293</x:v>
      </x:c>
      <x:c r="F24" s="24" t="n">
        <x:v>64.9581865419288</x:v>
      </x:c>
      <x:c r="G24" s="24" t="n">
        <x:v>71.39113632655777</x:v>
      </x:c>
      <x:c r="H24" s="24" t="n">
        <x:v>66.14643588207585</x:v>
      </x:c>
      <x:c r="I24" s="24" t="n">
        <x:v>73.44622234084868</x:v>
      </x:c>
      <x:c r="J24" s="24" t="n">
        <x:v>67.56340265700038</x:v>
      </x:c>
      <x:c r="K24" s="24" t="n">
        <x:v>68.52480215965964</x:v>
      </x:c>
      <x:c r="L24" s="24" t="n">
        <x:v>62.06347915381105</x:v>
      </x:c>
      <x:c r="M24" s="24" t="n">
        <x:v>67.18900972642447</x:v>
      </x:c>
      <x:c r="N24" s="24" t="n">
        <x:v>69.4421445567284</x:v>
      </x:c>
      <x:c r="O24" s="24" t="n">
        <x:v>72.8887913694837</x:v>
      </x:c>
      <x:c r="P24" s="24" t="n">
        <x:v>72.65733520962942</x:v>
      </x:c>
      <x:c r="Q24" s="24" t="n">
        <x:v>73.79201870271653</x:v>
      </x:c>
      <x:c r="R24" s="24" t="n">
        <x:v>71.43675064479706</x:v>
      </x:c>
      <x:c r="S24" s="24" t="n">
        <x:v>72.92681020374373</x:v>
      </x:c>
      <x:c r="T24" s="24" t="n">
        <x:v>71.30210909836464</x:v>
      </x:c>
      <x:c r="U24" s="24" t="n">
        <x:v>74.61543960981014</x:v>
      </x:c>
    </x:row>
    <x:row r="25">
      <x:c r="A25" s="24" t="n">
        <x:v>160.00000000000043</x:v>
      </x:c>
      <x:c r="B25" s="24" t="n">
        <x:v>69.4156881998048</x:v>
      </x:c>
      <x:c r="C25" s="24" t="n">
        <x:v>77.37220792591013</x:v>
      </x:c>
      <x:c r="D25" s="24" t="n">
        <x:v>63.27061941143956</x:v>
      </x:c>
      <x:c r="E25" s="24" t="n">
        <x:v>68.0763688331384</x:v>
      </x:c>
      <x:c r="F25" s="24" t="n">
        <x:v>64.89101176978578</x:v>
      </x:c>
      <x:c r="G25" s="24" t="n">
        <x:v>70.93960151982853</x:v>
      </x:c>
      <x:c r="H25" s="24" t="n">
        <x:v>66.081182531212</x:v>
      </x:c>
      <x:c r="I25" s="24" t="n">
        <x:v>71.93394955686131</x:v>
      </x:c>
      <x:c r="J25" s="24" t="n">
        <x:v>66.32273580845435</x:v>
      </x:c>
      <x:c r="K25" s="24" t="n">
        <x:v>67.61200253178244</x:v>
      </x:c>
      <x:c r="L25" s="24" t="n">
        <x:v>62.189789229218775</x:v>
      </x:c>
      <x:c r="M25" s="24" t="n">
        <x:v>64.73188781447935</x:v>
      </x:c>
      <x:c r="N25" s="24" t="n">
        <x:v>68.55720692583452</x:v>
      </x:c>
      <x:c r="O25" s="24" t="n">
        <x:v>69.78458467954556</x:v>
      </x:c>
      <x:c r="P25" s="24" t="n">
        <x:v>71.51840046443517</x:v>
      </x:c>
      <x:c r="Q25" s="24" t="n">
        <x:v>73.30752840431352</x:v>
      </x:c>
      <x:c r="R25" s="24" t="n">
        <x:v>70.847639464554</x:v>
      </x:c>
      <x:c r="S25" s="24" t="n">
        <x:v>71.89723380978168</x:v>
      </x:c>
      <x:c r="T25" s="24" t="n">
        <x:v>69.64600565493706</x:v>
      </x:c>
      <x:c r="U25" s="24" t="n">
        <x:v>72.28562920632501</x:v>
      </x:c>
    </x:row>
    <x:row r="26">
      <x:c r="A26" s="24" t="n">
        <x:v>180.00000000000043</x:v>
      </x:c>
      <x:c r="B26" s="24" t="n">
        <x:v>67.78167902416124</x:v>
      </x:c>
      <x:c r="C26" s="24" t="n">
        <x:v>76.42940154797924</x:v>
      </x:c>
      <x:c r="D26" s="24" t="n">
        <x:v>63.49115837499229</x:v>
      </x:c>
      <x:c r="E26" s="24" t="n">
        <x:v>66.26517884076277</x:v>
      </x:c>
      <x:c r="F26" s="24" t="n">
        <x:v>64.52464181842109</x:v>
      </x:c>
      <x:c r="G26" s="24" t="n">
        <x:v>68.71611303235669</x:v>
      </x:c>
      <x:c r="H26" s="24" t="n">
        <x:v>65.74609610021827</x:v>
      </x:c>
      <x:c r="I26" s="24" t="n">
        <x:v>72.30040687416506</x:v>
      </x:c>
      <x:c r="J26" s="24" t="n">
        <x:v>66.15885002522758</x:v>
      </x:c>
      <x:c r="K26" s="24" t="n">
        <x:v>67.51166440463265</x:v>
      </x:c>
      <x:c r="L26" s="24" t="n">
        <x:v>61.89322454036715</x:v>
      </x:c>
      <x:c r="M26" s="24" t="n">
        <x:v>64.49720146663286</x:v>
      </x:c>
      <x:c r="N26" s="24" t="n">
        <x:v>68.14635824508939</x:v>
      </x:c>
      <x:c r="O26" s="24" t="n">
        <x:v>68.56824552092213</x:v>
      </x:c>
      <x:c r="P26" s="24" t="n">
        <x:v>71.02723667810058</x:v>
      </x:c>
      <x:c r="Q26" s="24" t="n">
        <x:v>71.6804376936554</x:v>
      </x:c>
      <x:c r="R26" s="24" t="n">
        <x:v>71.30933353996703</x:v>
      </x:c>
      <x:c r="S26" s="24" t="n">
        <x:v>71.18111669104326</x:v>
      </x:c>
      <x:c r="T26" s="24" t="n">
        <x:v>69.6246391360227</x:v>
      </x:c>
      <x:c r="U26" s="24" t="n">
        <x:v>71.48678504435735</x:v>
      </x:c>
    </x:row>
    <x:row r="27">
      <x:c r="A27" s="24" t="n">
        <x:v>200.00000000000045</x:v>
      </x:c>
      <x:c r="B27" s="24" t="n">
        <x:v>67.83963032109259</x:v>
      </x:c>
      <x:c r="C27" s="24" t="n">
        <x:v>74.93679110073224</x:v>
      </x:c>
      <x:c r="D27" s="24" t="n">
        <x:v>63.69763928433608</x:v>
      </x:c>
      <x:c r="E27" s="24" t="n">
        <x:v>65.89858697731268</x:v>
      </x:c>
      <x:c r="F27" s="24" t="n">
        <x:v>63.81305828452646</x:v>
      </x:c>
      <x:c r="G27" s="24" t="n">
        <x:v>67.21685668598906</x:v>
      </x:c>
      <x:c r="H27" s="24" t="n">
        <x:v>65.6442349596123</x:v>
      </x:c>
      <x:c r="I27" s="24" t="n">
        <x:v>71.15366232981258</x:v>
      </x:c>
      <x:c r="J27" s="24" t="n">
        <x:v>66.42851369338467</x:v>
      </x:c>
      <x:c r="K27" s="24" t="n">
        <x:v>67.3986900089648</x:v>
      </x:c>
      <x:c r="L27" s="24" t="n">
        <x:v>60.85083528515799</x:v>
      </x:c>
      <x:c r="M27" s="24" t="n">
        <x:v>63.54144229203512</x:v>
      </x:c>
      <x:c r="N27" s="24" t="n">
        <x:v>67.78753474470557</x:v>
      </x:c>
      <x:c r="O27" s="24" t="n">
        <x:v>68.07482612392221</x:v>
      </x:c>
      <x:c r="P27" s="24" t="n">
        <x:v>70.34579360839749</x:v>
      </x:c>
      <x:c r="Q27" s="24" t="n">
        <x:v>71.1879497071146</x:v>
      </x:c>
      <x:c r="R27" s="24" t="n">
        <x:v>71.63019337713241</x:v>
      </x:c>
      <x:c r="S27" s="24" t="n">
        <x:v>70.6435043219945</x:v>
      </x:c>
      <x:c r="T27" s="24" t="n">
        <x:v>69.44030416874622</x:v>
      </x:c>
      <x:c r="U27" s="24" t="n">
        <x:v>70.89842596723346</x:v>
      </x:c>
    </x:row>
    <x:row r="28">
      <x:c r="A28" s="24" t="n">
        <x:v>220.00000000000048</x:v>
      </x:c>
      <x:c r="B28" s="24" t="n">
        <x:v>66.08913280659932</x:v>
      </x:c>
      <x:c r="C28" s="24" t="n">
        <x:v>74.94102250989849</x:v>
      </x:c>
      <x:c r="D28" s="24" t="n">
        <x:v>63.45388266984545</x:v>
      </x:c>
      <x:c r="E28" s="24" t="n">
        <x:v>66.52311077060209</x:v>
      </x:c>
      <x:c r="F28" s="24" t="n">
        <x:v>63.731770415756934</x:v>
      </x:c>
      <x:c r="G28" s="24" t="n">
        <x:v>65.83247315516925</x:v>
      </x:c>
      <x:c r="H28" s="24" t="n">
        <x:v>65.29749938335435</x:v>
      </x:c>
      <x:c r="I28" s="24" t="n">
        <x:v>70.95777107483796</x:v>
      </x:c>
      <x:c r="J28" s="24" t="n">
        <x:v>66.98939560496929</x:v>
      </x:c>
      <x:c r="K28" s="24" t="n">
        <x:v>66.62318824414942</x:v>
      </x:c>
      <x:c r="L28" s="24" t="n">
        <x:v>60.53277584968775</x:v>
      </x:c>
      <x:c r="M28" s="24" t="n">
        <x:v>62.536105653853056</x:v>
      </x:c>
      <x:c r="N28" s="24" t="n">
        <x:v>67.11529645786938</x:v>
      </x:c>
      <x:c r="O28" s="24" t="n">
        <x:v>67.60363304661237</x:v>
      </x:c>
      <x:c r="P28" s="24" t="n">
        <x:v>70.28592697576484</x:v>
      </x:c>
      <x:c r="Q28" s="24" t="n">
        <x:v>71.10211335175934</x:v>
      </x:c>
      <x:c r="R28" s="24" t="n">
        <x:v>71.51690579529746</x:v>
      </x:c>
      <x:c r="S28" s="24" t="n">
        <x:v>68.5649528521365</x:v>
      </x:c>
      <x:c r="T28" s="24" t="n">
        <x:v>69.84638299639275</x:v>
      </x:c>
      <x:c r="U28" s="24" t="n">
        <x:v>71.36490660690617</x:v>
      </x:c>
    </x:row>
    <x:row r="29">
      <x:c r="A29" s="24" t="n">
        <x:v>240.00000000000048</x:v>
      </x:c>
      <x:c r="B29" s="24" t="n">
        <x:v>65.83337960980364</x:v>
      </x:c>
      <x:c r="C29" s="24" t="n">
        <x:v>73.45637206208146</x:v>
      </x:c>
      <x:c r="D29" s="24" t="n">
        <x:v>62.712590344228566</x:v>
      </x:c>
      <x:c r="E29" s="24" t="n">
        <x:v>65.3292063318886</x:v>
      </x:c>
      <x:c r="F29" s="24" t="n">
        <x:v>63.550162445366155</x:v>
      </x:c>
      <x:c r="G29" s="24" t="n">
        <x:v>66.08545735740655</x:v>
      </x:c>
      <x:c r="H29" s="24" t="n">
        <x:v>64.45628420635798</x:v>
      </x:c>
      <x:c r="I29" s="24" t="n">
        <x:v>69.87603939226847</x:v>
      </x:c>
      <x:c r="J29" s="24" t="n">
        <x:v>66.94934913522731</x:v>
      </x:c>
      <x:c r="K29" s="24" t="n">
        <x:v>65.1814565107089</x:v>
      </x:c>
      <x:c r="L29" s="24" t="n">
        <x:v>60.73541325397897</x:v>
      </x:c>
      <x:c r="M29" s="24" t="n">
        <x:v>61.47922273629017</x:v>
      </x:c>
      <x:c r="N29" s="24" t="n">
        <x:v>67.24797432095312</x:v>
      </x:c>
      <x:c r="O29" s="24" t="n">
        <x:v>67.01671158995886</x:v>
      </x:c>
      <x:c r="P29" s="24" t="n">
        <x:v>71.12256714033944</x:v>
      </x:c>
      <x:c r="Q29" s="24" t="n">
        <x:v>70.0030836385469</x:v>
      </x:c>
      <x:c r="R29" s="24" t="n">
        <x:v>71.79956738054604</x:v>
      </x:c>
      <x:c r="S29" s="24" t="n">
        <x:v>67.0462145530839</x:v>
      </x:c>
      <x:c r="T29" s="24" t="n">
        <x:v>70.07138700644167</x:v>
      </x:c>
      <x:c r="U29" s="24" t="n">
        <x:v>71.51991749284456</x:v>
      </x:c>
    </x:row>
    <x:row r="30">
      <x:c r="A30" s="24" t="n">
        <x:v>260.0000000000005</x:v>
      </x:c>
      <x:c r="B30" s="24" t="n">
        <x:v>65.38132622766435</x:v>
      </x:c>
      <x:c r="C30" s="24" t="n">
        <x:v>73.25296702278415</x:v>
      </x:c>
      <x:c r="D30" s="24" t="n">
        <x:v>62.754640472652476</x:v>
      </x:c>
      <x:c r="E30" s="24" t="n">
        <x:v>64.9885197304287</x:v>
      </x:c>
      <x:c r="F30" s="24" t="n">
        <x:v>63.68838183696444</x:v>
      </x:c>
      <x:c r="G30" s="24" t="n">
        <x:v>65.46358179231635</x:v>
      </x:c>
      <x:c r="H30" s="24" t="n">
        <x:v>65.02483085464705</x:v>
      </x:c>
      <x:c r="I30" s="24" t="n">
        <x:v>68.35721815043911</x:v>
      </x:c>
      <x:c r="J30" s="24" t="n">
        <x:v>67.77788084330707</x:v>
      </x:c>
      <x:c r="K30" s="24" t="n">
        <x:v>64.68369100153298</x:v>
      </x:c>
      <x:c r="L30" s="24" t="n">
        <x:v>60.78338130844665</x:v>
      </x:c>
      <x:c r="M30" s="24" t="n">
        <x:v>61.049198751367555</x:v>
      </x:c>
      <x:c r="N30" s="24" t="n">
        <x:v>66.84853076322568</x:v>
      </x:c>
      <x:c r="O30" s="24" t="n">
        <x:v>66.6773085567261</x:v>
      </x:c>
      <x:c r="P30" s="24" t="n">
        <x:v>71.18738029905899</x:v>
      </x:c>
      <x:c r="Q30" s="24" t="n">
        <x:v>69.34431453327164</x:v>
      </x:c>
      <x:c r="R30" s="24" t="n">
        <x:v>71.32651953751328</x:v>
      </x:c>
      <x:c r="S30" s="24" t="n">
        <x:v>66.71326648753315</x:v>
      </x:c>
      <x:c r="T30" s="24" t="n">
        <x:v>70.48156895770683</x:v>
      </x:c>
      <x:c r="U30" s="24" t="n">
        <x:v>71.14448650323148</x:v>
      </x:c>
    </x:row>
    <x:row r="31">
      <x:c r="A31" s="24" t="n">
        <x:v>280.0000000000005</x:v>
      </x:c>
      <x:c r="B31" s="24" t="n">
        <x:v>65.45512709937995</x:v>
      </x:c>
      <x:c r="C31" s="24" t="n">
        <x:v>73.84179131492344</x:v>
      </x:c>
      <x:c r="D31" s="24" t="n">
        <x:v>62.832670926763726</x:v>
      </x:c>
      <x:c r="E31" s="24" t="n">
        <x:v>65.04556019482345</x:v>
      </x:c>
      <x:c r="F31" s="24" t="n">
        <x:v>63.75029113402678</x:v>
      </x:c>
      <x:c r="G31" s="24" t="n">
        <x:v>64.89267020718228</x:v>
      </x:c>
      <x:c r="H31" s="24" t="n">
        <x:v>65.4091799891034</x:v>
      </x:c>
      <x:c r="I31" s="24" t="n">
        <x:v>69.0135174529036</x:v>
      </x:c>
      <x:c r="J31" s="24" t="n">
        <x:v>67.72760745316867</x:v>
      </x:c>
      <x:c r="K31" s="24" t="n">
        <x:v>63.582473192328806</x:v>
      </x:c>
      <x:c r="L31" s="24" t="n">
        <x:v>62.22899505275654</x:v>
      </x:c>
      <x:c r="M31" s="24" t="n">
        <x:v>61.00277747501562</x:v>
      </x:c>
      <x:c r="N31" s="24" t="n">
        <x:v>66.11261362731994</x:v>
      </x:c>
      <x:c r="O31" s="24" t="n">
        <x:v>66.18828786452552</x:v>
      </x:c>
      <x:c r="P31" s="24" t="n">
        <x:v>70.66117018474169</x:v>
      </x:c>
      <x:c r="Q31" s="24" t="n">
        <x:v>69.09573744892059</x:v>
      </x:c>
      <x:c r="R31" s="24" t="n">
        <x:v>70.87567268927035</x:v>
      </x:c>
      <x:c r="S31" s="24" t="n">
        <x:v>66.31838445384207</x:v>
      </x:c>
      <x:c r="T31" s="24" t="n">
        <x:v>70.61530072489813</x:v>
      </x:c>
      <x:c r="U31" s="24" t="n">
        <x:v>69.68249508602591</x:v>
      </x:c>
    </x:row>
    <x:row r="32">
      <x:c r="A32" s="24" t="n">
        <x:v>300.00000000000057</x:v>
      </x:c>
      <x:c r="B32" s="24" t="n">
        <x:v>65.80048613619091</x:v>
      </x:c>
      <x:c r="C32" s="24" t="n">
        <x:v>73.5870260869485</x:v>
      </x:c>
      <x:c r="D32" s="24" t="n">
        <x:v>62.60148756270872</x:v>
      </x:c>
      <x:c r="E32" s="24" t="n">
        <x:v>64.3968088409686</x:v>
      </x:c>
      <x:c r="F32" s="24" t="n">
        <x:v>63.51528696186021</x:v>
      </x:c>
      <x:c r="G32" s="24" t="n">
        <x:v>64.5868360959654</x:v>
      </x:c>
      <x:c r="H32" s="24" t="n">
        <x:v>65.45094573761415</x:v>
      </x:c>
      <x:c r="I32" s="24" t="n">
        <x:v>68.7039876838179</x:v>
      </x:c>
      <x:c r="J32" s="24" t="n">
        <x:v>68.06488842318402</x:v>
      </x:c>
      <x:c r="K32" s="24" t="n">
        <x:v>63.03360771450917</x:v>
      </x:c>
      <x:c r="L32" s="24" t="n">
        <x:v>63.01330768831512</x:v>
      </x:c>
      <x:c r="M32" s="24" t="n">
        <x:v>60.57014781274583</x:v>
      </x:c>
      <x:c r="N32" s="24" t="n">
        <x:v>65.9379453181631</x:v>
      </x:c>
      <x:c r="O32" s="24" t="n">
        <x:v>65.84706558668319</x:v>
      </x:c>
      <x:c r="P32" s="24" t="n">
        <x:v>69.90824058420242</x:v>
      </x:c>
      <x:c r="Q32" s="24" t="n">
        <x:v>68.4518640528321</x:v>
      </x:c>
      <x:c r="R32" s="24" t="n">
        <x:v>71.40739527323862</x:v>
      </x:c>
      <x:c r="S32" s="24" t="n">
        <x:v>66.39150033979892</x:v>
      </x:c>
      <x:c r="T32" s="24" t="n">
        <x:v>69.85131425753349</x:v>
      </x:c>
      <x:c r="U32" s="24" t="n">
        <x:v>68.79116161327302</x:v>
      </x:c>
    </x:row>
    <x:row r="33">
      <x:c r="A33" s="24" t="n">
        <x:v>320.00000000000057</x:v>
      </x:c>
      <x:c r="B33" s="24" t="n">
        <x:v>66.25734200698226</x:v>
      </x:c>
      <x:c r="C33" s="24" t="n">
        <x:v>73.30167911582642</x:v>
      </x:c>
      <x:c r="D33" s="24" t="n">
        <x:v>61.86878710749043</x:v>
      </x:c>
      <x:c r="E33" s="24" t="n">
        <x:v>65.31117825119956</x:v>
      </x:c>
      <x:c r="F33" s="24" t="n">
        <x:v>63.8490072362841</x:v>
      </x:c>
      <x:c r="G33" s="24" t="n">
        <x:v>64.854843381189</x:v>
      </x:c>
      <x:c r="H33" s="24" t="n">
        <x:v>66.13185269238592</x:v>
      </x:c>
      <x:c r="I33" s="24" t="n">
        <x:v>68.14235974338067</x:v>
      </x:c>
      <x:c r="J33" s="24" t="n">
        <x:v>68.48614774718735</x:v>
      </x:c>
      <x:c r="K33" s="24" t="n">
        <x:v>63.34780570363916</x:v>
      </x:c>
      <x:c r="L33" s="24" t="n">
        <x:v>63.049578779533775</x:v>
      </x:c>
      <x:c r="M33" s="24" t="n">
        <x:v>60.90465361597718</x:v>
      </x:c>
      <x:c r="N33" s="24" t="n">
        <x:v>64.20420505998419</x:v>
      </x:c>
      <x:c r="O33" s="24" t="n">
        <x:v>65.82786375461872</x:v>
      </x:c>
      <x:c r="P33" s="24" t="n">
        <x:v>69.91812883653282</x:v>
      </x:c>
      <x:c r="Q33" s="24" t="n">
        <x:v>68.2074120517017</x:v>
      </x:c>
      <x:c r="R33" s="24" t="n">
        <x:v>71.35794481410966</x:v>
      </x:c>
      <x:c r="S33" s="24" t="n">
        <x:v>67.46515477631229</x:v>
      </x:c>
      <x:c r="T33" s="24" t="n">
        <x:v>69.9684837743508</x:v>
      </x:c>
      <x:c r="U33" s="24" t="n">
        <x:v>69.08546368101321</x:v>
      </x:c>
    </x:row>
    <x:row r="34">
      <x:c r="A34" s="24" t="n">
        <x:v>340.00000000000057</x:v>
      </x:c>
      <x:c r="B34" s="24" t="n">
        <x:v>65.64598834194075</x:v>
      </x:c>
      <x:c r="C34" s="24" t="n">
        <x:v>72.28804165321804</x:v>
      </x:c>
      <x:c r="D34" s="24" t="n">
        <x:v>62.35156230556603</x:v>
      </x:c>
      <x:c r="E34" s="24" t="n">
        <x:v>65.0241521908918</x:v>
      </x:c>
      <x:c r="F34" s="24" t="n">
        <x:v>64.57751314807088</x:v>
      </x:c>
      <x:c r="G34" s="24" t="n">
        <x:v>65.10612692073818</x:v>
      </x:c>
      <x:c r="H34" s="24" t="n">
        <x:v>66.57149459432192</x:v>
      </x:c>
      <x:c r="I34" s="24" t="n">
        <x:v>67.9326387298713</x:v>
      </x:c>
      <x:c r="J34" s="24" t="n">
        <x:v>67.85595366246493</x:v>
      </x:c>
      <x:c r="K34" s="24" t="n">
        <x:v>62.99959164298723</x:v>
      </x:c>
      <x:c r="L34" s="24" t="n">
        <x:v>63.23472558602883</x:v>
      </x:c>
      <x:c r="M34" s="24" t="n">
        <x:v>60.383319901011625</x:v>
      </x:c>
      <x:c r="N34" s="24" t="n">
        <x:v>63.69698620022188</x:v>
      </x:c>
      <x:c r="O34" s="24" t="n">
        <x:v>65.5933007164517</x:v>
      </x:c>
      <x:c r="P34" s="24" t="n">
        <x:v>71.7492277294441</x:v>
      </x:c>
      <x:c r="Q34" s="24" t="n">
        <x:v>68.41341823129306</x:v>
      </x:c>
      <x:c r="R34" s="24" t="n">
        <x:v>72.57999330247267</x:v>
      </x:c>
      <x:c r="S34" s="24" t="n">
        <x:v>68.77625360597327</x:v>
      </x:c>
      <x:c r="T34" s="24" t="n">
        <x:v>70.60707174247584</x:v>
      </x:c>
      <x:c r="U34" s="24" t="n">
        <x:v>70.3887205352641</x:v>
      </x:c>
    </x:row>
    <x:row r="35">
      <x:c r="A35" s="24" t="n">
        <x:v>360.0000000000006</x:v>
      </x:c>
      <x:c r="B35" s="24" t="n">
        <x:v>65.49691900951545</x:v>
      </x:c>
      <x:c r="C35" s="24" t="n">
        <x:v>71.11642938350316</x:v>
      </x:c>
      <x:c r="D35" s="24" t="n">
        <x:v>62.90922793898733</x:v>
      </x:c>
      <x:c r="E35" s="24" t="n">
        <x:v>65.38407347125184</x:v>
      </x:c>
      <x:c r="F35" s="24" t="n">
        <x:v>64.84300353662574</x:v>
      </x:c>
      <x:c r="G35" s="24" t="n">
        <x:v>65.2073260217909</x:v>
      </x:c>
      <x:c r="H35" s="24" t="n">
        <x:v>68.32166569251903</x:v>
      </x:c>
      <x:c r="I35" s="24" t="n">
        <x:v>66.62279585355947</x:v>
      </x:c>
      <x:c r="J35" s="24" t="n">
        <x:v>68.11178666745467</x:v>
      </x:c>
      <x:c r="K35" s="24" t="n">
        <x:v>62.520093584308796</x:v>
      </x:c>
      <x:c r="L35" s="24" t="n">
        <x:v>63.119503444419536</x:v>
      </x:c>
      <x:c r="M35" s="24" t="n">
        <x:v>60.167000019548645</x:v>
      </x:c>
      <x:c r="N35" s="24" t="n">
        <x:v>63.602252774808726</x:v>
      </x:c>
      <x:c r="O35" s="24" t="n">
        <x:v>65.60880542559221</x:v>
      </x:c>
      <x:c r="P35" s="24" t="n">
        <x:v>72.68663266239528</x:v>
      </x:c>
      <x:c r="Q35" s="24" t="n">
        <x:v>67.14916450351431</x:v>
      </x:c>
      <x:c r="R35" s="24" t="n">
        <x:v>72.43591632885204</x:v>
      </x:c>
      <x:c r="S35" s="24" t="n">
        <x:v>70.62671935900842</x:v>
      </x:c>
      <x:c r="T35" s="24" t="n">
        <x:v>70.82620991654497</x:v>
      </x:c>
      <x:c r="U35" s="24" t="n">
        <x:v>70.67998359276429</x:v>
      </x:c>
    </x:row>
    <x:row r="36">
      <x:c r="A36" s="24" t="n">
        <x:v>380.0000000000006</x:v>
      </x:c>
      <x:c r="B36" s="24" t="n">
        <x:v>64.83582734978272</x:v>
      </x:c>
      <x:c r="C36" s="24" t="n">
        <x:v>70.77437776599263</x:v>
      </x:c>
      <x:c r="D36" s="24" t="n">
        <x:v>63.26570515033908</x:v>
      </x:c>
      <x:c r="E36" s="24" t="n">
        <x:v>65.54481214595388</x:v>
      </x:c>
      <x:c r="F36" s="24" t="n">
        <x:v>66.11973110349844</x:v>
      </x:c>
      <x:c r="G36" s="24" t="n">
        <x:v>65.39062574312858</x:v>
      </x:c>
      <x:c r="H36" s="24" t="n">
        <x:v>68.52150283733448</x:v>
      </x:c>
      <x:c r="I36" s="24" t="n">
        <x:v>66.55971458596377</x:v>
      </x:c>
      <x:c r="J36" s="24" t="n">
        <x:v>67.97166202414137</x:v>
      </x:c>
      <x:c r="K36" s="24" t="n">
        <x:v>61.86614984884594</x:v>
      </x:c>
      <x:c r="L36" s="24" t="n">
        <x:v>62.410490450459776</x:v>
      </x:c>
      <x:c r="M36" s="24" t="n">
        <x:v>59.86568866595114</x:v>
      </x:c>
      <x:c r="N36" s="24" t="n">
        <x:v>63.170553392150275</x:v>
      </x:c>
      <x:c r="O36" s="24" t="n">
        <x:v>65.08413764151656</x:v>
      </x:c>
      <x:c r="P36" s="24" t="n">
        <x:v>72.7335482088516</x:v>
      </x:c>
      <x:c r="Q36" s="24" t="n">
        <x:v>66.8781000043814</x:v>
      </x:c>
      <x:c r="R36" s="24" t="n">
        <x:v>72.03669755283748</x:v>
      </x:c>
      <x:c r="S36" s="24" t="n">
        <x:v>71.18841081497311</x:v>
      </x:c>
      <x:c r="T36" s="24" t="n">
        <x:v>71.41405718162076</x:v>
      </x:c>
      <x:c r="U36" s="24" t="n">
        <x:v>70.43874679046922</x:v>
      </x:c>
    </x:row>
    <x:row r="37">
      <x:c r="A37" s="24" t="n">
        <x:v>400.0000000000006</x:v>
      </x:c>
      <x:c r="B37" s="24" t="n">
        <x:v>65.40418122295574</x:v>
      </x:c>
      <x:c r="C37" s="24" t="n">
        <x:v>71.76628369765933</x:v>
      </x:c>
      <x:c r="D37" s="24" t="n">
        <x:v>63.320927825068296</x:v>
      </x:c>
      <x:c r="E37" s="24" t="n">
        <x:v>64.97890286641501</x:v>
      </x:c>
      <x:c r="F37" s="24" t="n">
        <x:v>66.47889065160372</x:v>
      </x:c>
      <x:c r="G37" s="24" t="n">
        <x:v>64.73870098806128</x:v>
      </x:c>
      <x:c r="H37" s="24" t="n">
        <x:v>69.10231799919568</x:v>
      </x:c>
      <x:c r="I37" s="24" t="n">
        <x:v>67.02341169999771</x:v>
      </x:c>
      <x:c r="J37" s="24" t="n">
        <x:v>67.85988833070013</x:v>
      </x:c>
      <x:c r="K37" s="24" t="n">
        <x:v>61.288158919830096</x:v>
      </x:c>
      <x:c r="L37" s="24" t="n">
        <x:v>62.46164333453933</x:v>
      </x:c>
      <x:c r="M37" s="24" t="n">
        <x:v>59.100852640180825</x:v>
      </x:c>
      <x:c r="N37" s="24" t="n">
        <x:v>64.7250710727104</x:v>
      </x:c>
      <x:c r="O37" s="24" t="n">
        <x:v>64.6576443822992</x:v>
      </x:c>
      <x:c r="P37" s="24" t="n">
        <x:v>72.57031791297526</x:v>
      </x:c>
      <x:c r="Q37" s="24" t="n">
        <x:v>66.65412021254143</x:v>
      </x:c>
      <x:c r="R37" s="24" t="n">
        <x:v>71.71741171828091</x:v>
      </x:c>
      <x:c r="S37" s="24" t="n">
        <x:v>70.96062802330043</x:v>
      </x:c>
      <x:c r="T37" s="24" t="n">
        <x:v>71.08478882154192</x:v>
      </x:c>
      <x:c r="U37" s="24" t="n">
        <x:v>70.44271145499972</x:v>
      </x:c>
    </x:row>
    <x:row r="38">
      <x:c r="A38" s="24" t="n">
        <x:v>420.0000000000006</x:v>
      </x:c>
      <x:c r="B38" s="24" t="n">
        <x:v>66.30767670271996</x:v>
      </x:c>
      <x:c r="C38" s="24" t="n">
        <x:v>72.38660940845512</x:v>
      </x:c>
      <x:c r="D38" s="24" t="n">
        <x:v>62.492320967729945</x:v>
      </x:c>
      <x:c r="E38" s="24" t="n">
        <x:v>65.8564454350755</x:v>
      </x:c>
      <x:c r="F38" s="24" t="n">
        <x:v>66.8402837353977</x:v>
      </x:c>
      <x:c r="G38" s="24" t="n">
        <x:v>64.63887624887045</x:v>
      </x:c>
      <x:c r="H38" s="24" t="n">
        <x:v>69.44041347995481</x:v>
      </x:c>
      <x:c r="I38" s="24" t="n">
        <x:v>66.97646596280981</x:v>
      </x:c>
      <x:c r="J38" s="24" t="n">
        <x:v>67.5747467895451</x:v>
      </x:c>
      <x:c r="K38" s="24" t="n">
        <x:v>60.58707012741036</x:v>
      </x:c>
      <x:c r="L38" s="24" t="n">
        <x:v>62.83879639668946</x:v>
      </x:c>
      <x:c r="M38" s="24" t="n">
        <x:v>59.409575945585324</x:v>
      </x:c>
      <x:c r="N38" s="24" t="n">
        <x:v>65.52503719996743</x:v>
      </x:c>
      <x:c r="O38" s="24" t="n">
        <x:v>65.0735288763289</x:v>
      </x:c>
      <x:c r="P38" s="24" t="n">
        <x:v>72.44340785996575</x:v>
      </x:c>
      <x:c r="Q38" s="24" t="n">
        <x:v>67.12949049689975</x:v>
      </x:c>
      <x:c r="R38" s="24" t="n">
        <x:v>71.29332427935879</x:v>
      </x:c>
      <x:c r="S38" s="24" t="n">
        <x:v>70.41563726287592</x:v>
      </x:c>
      <x:c r="T38" s="24" t="n">
        <x:v>70.4309873919559</x:v>
      </x:c>
      <x:c r="U38" s="24" t="n">
        <x:v>71.0304329350541</x:v>
      </x:c>
    </x:row>
    <x:row r="39">
      <x:c r="A39" s="24" t="n">
        <x:v>440.0000000000007</x:v>
      </x:c>
      <x:c r="B39" s="24" t="n">
        <x:v>65.71914996940488</x:v>
      </x:c>
      <x:c r="C39" s="24" t="n">
        <x:v>72.44935219208863</x:v>
      </x:c>
      <x:c r="D39" s="24" t="n">
        <x:v>61.97949917458335</x:v>
      </x:c>
      <x:c r="E39" s="24" t="n">
        <x:v>65.44864078060746</x:v>
      </x:c>
      <x:c r="F39" s="24" t="n">
        <x:v>66.796587150351</x:v>
      </x:c>
      <x:c r="G39" s="24" t="n">
        <x:v>64.80996923896313</x:v>
      </x:c>
      <x:c r="H39" s="24" t="n">
        <x:v>69.01895605815002</x:v>
      </x:c>
      <x:c r="I39" s="24" t="n">
        <x:v>66.70262439530872</x:v>
      </x:c>
      <x:c r="J39" s="24" t="n">
        <x:v>67.17306533804619</x:v>
      </x:c>
      <x:c r="K39" s="24" t="n">
        <x:v>61.35555820682845</x:v>
      </x:c>
      <x:c r="L39" s="24" t="n">
        <x:v>63.76306561577686</x:v>
      </x:c>
      <x:c r="M39" s="24" t="n">
        <x:v>59.099303167439956</x:v>
      </x:c>
      <x:c r="N39" s="24" t="n">
        <x:v>65.38803983850642</x:v>
      </x:c>
      <x:c r="O39" s="24" t="n">
        <x:v>66.12176444404724</x:v>
      </x:c>
      <x:c r="P39" s="24" t="n">
        <x:v>72.82700693648731</x:v>
      </x:c>
      <x:c r="Q39" s="24" t="n">
        <x:v>67.57793036880518</x:v>
      </x:c>
      <x:c r="R39" s="24" t="n">
        <x:v>72.27435356208295</x:v>
      </x:c>
      <x:c r="S39" s="24" t="n">
        <x:v>68.8726198913325</x:v>
      </x:c>
      <x:c r="T39" s="24" t="n">
        <x:v>71.46046448070445</x:v>
      </x:c>
      <x:c r="U39" s="24" t="n">
        <x:v>71.58469434053441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>
      <x:c r="A1" s="60" t="str">
        <x:v>时间 s</x:v>
      </x:c>
      <x:c r="B1" s="60" t="str">
        <x:f>'对比面板'!B$3</x:f>
        <x:v>DD_BASE_260707_700</x:v>
      </x:c>
      <x:c r="C1" s="60" t="str">
        <x:f>'对比面板'!C$3</x:f>
        <x:v>FR_INIT_260709_700</x:v>
      </x:c>
      <x:c r="D1" s="60" t="n">
        <x:f>'对比面板'!D$3</x:f>
        <x:v>0</x:v>
      </x:c>
      <x:c r="E1" s="60" t="n">
        <x:f>'对比面板'!E$3</x:f>
        <x:v>0</x:v>
      </x:c>
      <x:c r="F1" s="60" t="n">
        <x:f>'对比面板'!F$3</x:f>
        <x:v>0</x:v>
      </x:c>
      <x:c r="G1" s="60" t="n">
        <x:f>'对比面板'!G$3</x:f>
        <x:v>0</x:v>
      </x:c>
      <x:c r="H1" s="60"/>
      <x:c r="I1" s="60" t="str">
        <x:v>相对时间 ms</x:v>
      </x:c>
      <x:c r="J1" s="60" t="str">
        <x:f>'对比面板'!B$3</x:f>
        <x:v>DD_BASE_260707_700</x:v>
      </x:c>
      <x:c r="K1" s="60" t="str">
        <x:f>'对比面板'!C$3</x:f>
        <x:v>FR_INIT_260709_700</x:v>
      </x:c>
      <x:c r="L1" s="60" t="n">
        <x:f>'对比面板'!D$3</x:f>
        <x:v>0</x:v>
      </x:c>
      <x:c r="M1" s="60" t="n">
        <x:f>'对比面板'!E$3</x:f>
        <x:v>0</x:v>
      </x:c>
      <x:c r="N1" s="60" t="n">
        <x:f>'对比面板'!F$3</x:f>
        <x:v>0</x:v>
      </x:c>
      <x:c r="O1" s="60" t="n">
        <x:f>'对比面板'!G$3</x:f>
        <x:v>0</x:v>
      </x:c>
      <x:c r="P1" s="60"/>
      <x:c r="Q1" s="60" t="str">
        <x:v>相对时间 ms</x:v>
      </x:c>
      <x:c r="R1" s="60" t="str">
        <x:f>'对比面板'!B$3</x:f>
        <x:v>DD_BASE_260707_700</x:v>
      </x:c>
      <x:c r="S1" s="60" t="str">
        <x:f>'对比面板'!C$3</x:f>
        <x:v>FR_INIT_260709_700</x:v>
      </x:c>
      <x:c r="T1" s="60" t="n">
        <x:f>'对比面板'!D$3</x:f>
        <x:v>0</x:v>
      </x:c>
      <x:c r="U1" s="60" t="n">
        <x:f>'对比面板'!E$3</x:f>
        <x:v>0</x:v>
      </x:c>
      <x:c r="V1" s="60" t="n">
        <x:f>'对比面板'!F$3</x:f>
        <x:v>0</x:v>
      </x:c>
      <x:c r="W1" s="60" t="n">
        <x:f>'对比面板'!G$3</x:f>
        <x:v>0</x:v>
      </x:c>
    </x:row>
    <x:row r="2">
      <x:c r="A2" t="n">
        <x:v>0</x:v>
      </x:c>
      <x:c r="B2" t="str">
        <x:f>IF(B$1="","",IFERROR(INDEX('包络曲线数据'!$B$2:$K$742,ROW()-1,MATCH(B$1,'包络曲线数据'!$B$1:$K$1,0)),""))</x:f>
      </x:c>
      <x:c r="C2" t="str">
        <x:f>IF(C$1="","",IFERROR(INDEX('包络曲线数据'!$B$2:$K$742,ROW()-1,MATCH(C$1,'包络曲线数据'!$B$1:$K$1,0)),""))</x:f>
      </x:c>
      <x:c r="D2" t="str">
        <x:f>IF(D$1="","",IFERROR(INDEX('包络曲线数据'!$B$2:$K$742,ROW()-1,MATCH(D$1,'包络曲线数据'!$B$1:$K$1,0)),""))</x:f>
      </x:c>
      <x:c r="E2" t="str">
        <x:f>IF(E$1="","",IFERROR(INDEX('包络曲线数据'!$B$2:$K$742,ROW()-1,MATCH(E$1,'包络曲线数据'!$B$1:$K$1,0)),""))</x:f>
      </x:c>
      <x:c r="F2" t="str">
        <x:f>IF(F$1="","",IFERROR(INDEX('包络曲线数据'!$B$2:$K$742,ROW()-1,MATCH(F$1,'包络曲线数据'!$B$1:$K$1,0)),""))</x:f>
      </x:c>
      <x:c r="G2" t="str">
        <x:f>IF(G$1="","",IFERROR(INDEX('包络曲线数据'!$B$2:$K$742,ROW()-1,MATCH(G$1,'包络曲线数据'!$B$1:$K$1,0)),""))</x:f>
      </x:c>
      <x:c r="I2" t="n">
        <x:v>-300</x:v>
      </x:c>
      <x:c r="J2" t="n">
        <x:f>IF(J$1="","",IFERROR(INDEX('代表咚声数据'!$B$2:$U$39,ROW()-1,MATCH(J$1&amp;"_常见",'代表咚声数据'!$B$1:$U$1,0)),""))</x:f>
        <x:v>68.38012593494294</x:v>
      </x:c>
      <x:c r="K2" t="n">
        <x:f>IF(K$1="","",IFERROR(INDEX('代表咚声数据'!$B$2:$U$39,ROW()-1,MATCH(K$1&amp;"_常见",'代表咚声数据'!$B$1:$U$1,0)),""))</x:f>
        <x:v>64.71939625007644</x:v>
      </x:c>
      <x:c r="L2" t="str">
        <x:f>IF(L$1="","",IFERROR(INDEX('代表咚声数据'!$B$2:$U$39,ROW()-1,MATCH(L$1&amp;"_常见",'代表咚声数据'!$B$1:$U$1,0)),""))</x:f>
      </x:c>
      <x:c r="M2" t="str">
        <x:f>IF(M$1="","",IFERROR(INDEX('代表咚声数据'!$B$2:$U$39,ROW()-1,MATCH(M$1&amp;"_常见",'代表咚声数据'!$B$1:$U$1,0)),""))</x:f>
      </x:c>
      <x:c r="N2" t="str">
        <x:f>IF(N$1="","",IFERROR(INDEX('代表咚声数据'!$B$2:$U$39,ROW()-1,MATCH(N$1&amp;"_常见",'代表咚声数据'!$B$1:$U$1,0)),""))</x:f>
      </x:c>
      <x:c r="O2" t="str">
        <x:f>IF(O$1="","",IFERROR(INDEX('代表咚声数据'!$B$2:$U$39,ROW()-1,MATCH(O$1&amp;"_常见",'代表咚声数据'!$B$1:$U$1,0)),""))</x:f>
      </x:c>
      <x:c r="Q2" t="n">
        <x:v>-300</x:v>
      </x:c>
      <x:c r="R2" t="n">
        <x:f>IF(R$1="","",IFERROR(INDEX('代表咚声数据'!$B$2:$U$39,ROW()-1,MATCH(R$1&amp;"_较响",'代表咚声数据'!$B$1:$U$1,0)),""))</x:f>
        <x:v>73.00145727334514</x:v>
      </x:c>
      <x:c r="S2" t="n">
        <x:f>IF(S$1="","",IFERROR(INDEX('代表咚声数据'!$B$2:$U$39,ROW()-1,MATCH(S$1&amp;"_较响",'代表咚声数据'!$B$1:$U$1,0)),""))</x:f>
        <x:v>70.45190598635803</x:v>
      </x:c>
      <x:c r="T2" t="str">
        <x:f>IF(T$1="","",IFERROR(INDEX('代表咚声数据'!$B$2:$U$39,ROW()-1,MATCH(T$1&amp;"_较响",'代表咚声数据'!$B$1:$U$1,0)),""))</x:f>
      </x:c>
      <x:c r="U2" t="str">
        <x:f>IF(U$1="","",IFERROR(INDEX('代表咚声数据'!$B$2:$U$39,ROW()-1,MATCH(U$1&amp;"_较响",'代表咚声数据'!$B$1:$U$1,0)),""))</x:f>
      </x:c>
      <x:c r="V2" t="str">
        <x:f>IF(V$1="","",IFERROR(INDEX('代表咚声数据'!$B$2:$U$39,ROW()-1,MATCH(V$1&amp;"_较响",'代表咚声数据'!$B$1:$U$1,0)),""))</x:f>
      </x:c>
      <x:c r="W2" t="str">
        <x:f>IF(W$1="","",IFERROR(INDEX('代表咚声数据'!$B$2:$U$39,ROW()-1,MATCH(W$1&amp;"_较响",'代表咚声数据'!$B$1:$U$1,0)),""))</x:f>
      </x:c>
    </x:row>
    <x:row r="3">
      <x:c r="A3" t="n">
        <x:v>0.1</x:v>
      </x:c>
      <x:c r="B3" t="n">
        <x:f>IF(B$1="","",IFERROR(INDEX('包络曲线数据'!$B$2:$K$742,ROW()-1,MATCH(B$1,'包络曲线数据'!$B$1:$K$1,0)),""))</x:f>
        <x:v>67.7465424634638</x:v>
      </x:c>
      <x:c r="C3" t="n">
        <x:f>IF(C$1="","",IFERROR(INDEX('包络曲线数据'!$B$2:$K$742,ROW()-1,MATCH(C$1,'包络曲线数据'!$B$1:$K$1,0)),""))</x:f>
        <x:v>70.26405649176621</x:v>
      </x:c>
      <x:c r="D3" t="str">
        <x:f>IF(D$1="","",IFERROR(INDEX('包络曲线数据'!$B$2:$K$742,ROW()-1,MATCH(D$1,'包络曲线数据'!$B$1:$K$1,0)),""))</x:f>
      </x:c>
      <x:c r="E3" t="str">
        <x:f>IF(E$1="","",IFERROR(INDEX('包络曲线数据'!$B$2:$K$742,ROW()-1,MATCH(E$1,'包络曲线数据'!$B$1:$K$1,0)),""))</x:f>
      </x:c>
      <x:c r="F3" t="str">
        <x:f>IF(F$1="","",IFERROR(INDEX('包络曲线数据'!$B$2:$K$742,ROW()-1,MATCH(F$1,'包络曲线数据'!$B$1:$K$1,0)),""))</x:f>
      </x:c>
      <x:c r="G3" t="str">
        <x:f>IF(G$1="","",IFERROR(INDEX('包络曲线数据'!$B$2:$K$742,ROW()-1,MATCH(G$1,'包络曲线数据'!$B$1:$K$1,0)),""))</x:f>
      </x:c>
      <x:c r="I3" t="n">
        <x:v>-279.99999999999994</x:v>
      </x:c>
      <x:c r="J3" t="n">
        <x:f>IF(J$1="","",IFERROR(INDEX('代表咚声数据'!$B$2:$U$39,ROW()-1,MATCH(J$1&amp;"_常见",'代表咚声数据'!$B$1:$U$1,0)),""))</x:f>
        <x:v>68.50257987862459</x:v>
      </x:c>
      <x:c r="K3" t="n">
        <x:f>IF(K$1="","",IFERROR(INDEX('代表咚声数据'!$B$2:$U$39,ROW()-1,MATCH(K$1&amp;"_常见",'代表咚声数据'!$B$1:$U$1,0)),""))</x:f>
        <x:v>64.83832603589487</x:v>
      </x:c>
      <x:c r="L3" t="str">
        <x:f>IF(L$1="","",IFERROR(INDEX('代表咚声数据'!$B$2:$U$39,ROW()-1,MATCH(L$1&amp;"_常见",'代表咚声数据'!$B$1:$U$1,0)),""))</x:f>
      </x:c>
      <x:c r="M3" t="str">
        <x:f>IF(M$1="","",IFERROR(INDEX('代表咚声数据'!$B$2:$U$39,ROW()-1,MATCH(M$1&amp;"_常见",'代表咚声数据'!$B$1:$U$1,0)),""))</x:f>
      </x:c>
      <x:c r="N3" t="str">
        <x:f>IF(N$1="","",IFERROR(INDEX('代表咚声数据'!$B$2:$U$39,ROW()-1,MATCH(N$1&amp;"_常见",'代表咚声数据'!$B$1:$U$1,0)),""))</x:f>
      </x:c>
      <x:c r="O3" t="str">
        <x:f>IF(O$1="","",IFERROR(INDEX('代表咚声数据'!$B$2:$U$39,ROW()-1,MATCH(O$1&amp;"_常见",'代表咚声数据'!$B$1:$U$1,0)),""))</x:f>
      </x:c>
      <x:c r="Q3" t="n">
        <x:v>-279.99999999999994</x:v>
      </x:c>
      <x:c r="R3" t="n">
        <x:f>IF(R$1="","",IFERROR(INDEX('代表咚声数据'!$B$2:$U$39,ROW()-1,MATCH(R$1&amp;"_较响",'代表咚声数据'!$B$1:$U$1,0)),""))</x:f>
        <x:v>72.992314317757</x:v>
      </x:c>
      <x:c r="S3" t="n">
        <x:f>IF(S$1="","",IFERROR(INDEX('代表咚声数据'!$B$2:$U$39,ROW()-1,MATCH(S$1&amp;"_较响",'代表咚声数据'!$B$1:$U$1,0)),""))</x:f>
        <x:v>70.00353058368441</x:v>
      </x:c>
      <x:c r="T3" t="str">
        <x:f>IF(T$1="","",IFERROR(INDEX('代表咚声数据'!$B$2:$U$39,ROW()-1,MATCH(T$1&amp;"_较响",'代表咚声数据'!$B$1:$U$1,0)),""))</x:f>
      </x:c>
      <x:c r="U3" t="str">
        <x:f>IF(U$1="","",IFERROR(INDEX('代表咚声数据'!$B$2:$U$39,ROW()-1,MATCH(U$1&amp;"_较响",'代表咚声数据'!$B$1:$U$1,0)),""))</x:f>
      </x:c>
      <x:c r="V3" t="str">
        <x:f>IF(V$1="","",IFERROR(INDEX('代表咚声数据'!$B$2:$U$39,ROW()-1,MATCH(V$1&amp;"_较响",'代表咚声数据'!$B$1:$U$1,0)),""))</x:f>
      </x:c>
      <x:c r="W3" t="str">
        <x:f>IF(W$1="","",IFERROR(INDEX('代表咚声数据'!$B$2:$U$39,ROW()-1,MATCH(W$1&amp;"_较响",'代表咚声数据'!$B$1:$U$1,0)),""))</x:f>
      </x:c>
    </x:row>
    <x:row r="4">
      <x:c r="A4" t="n">
        <x:v>0.2</x:v>
      </x:c>
      <x:c r="B4" t="n">
        <x:f>IF(B$1="","",IFERROR(INDEX('包络曲线数据'!$B$2:$K$742,ROW()-1,MATCH(B$1,'包络曲线数据'!$B$1:$K$1,0)),""))</x:f>
        <x:v>66.87041667989782</x:v>
      </x:c>
      <x:c r="C4" t="n">
        <x:f>IF(C$1="","",IFERROR(INDEX('包络曲线数据'!$B$2:$K$742,ROW()-1,MATCH(C$1,'包络曲线数据'!$B$1:$K$1,0)),""))</x:f>
        <x:v>71.10343419861039</x:v>
      </x:c>
      <x:c r="D4" t="str">
        <x:f>IF(D$1="","",IFERROR(INDEX('包络曲线数据'!$B$2:$K$742,ROW()-1,MATCH(D$1,'包络曲线数据'!$B$1:$K$1,0)),""))</x:f>
      </x:c>
      <x:c r="E4" t="str">
        <x:f>IF(E$1="","",IFERROR(INDEX('包络曲线数据'!$B$2:$K$742,ROW()-1,MATCH(E$1,'包络曲线数据'!$B$1:$K$1,0)),""))</x:f>
      </x:c>
      <x:c r="F4" t="str">
        <x:f>IF(F$1="","",IFERROR(INDEX('包络曲线数据'!$B$2:$K$742,ROW()-1,MATCH(F$1,'包络曲线数据'!$B$1:$K$1,0)),""))</x:f>
      </x:c>
      <x:c r="G4" t="str">
        <x:f>IF(G$1="","",IFERROR(INDEX('包络曲线数据'!$B$2:$K$742,ROW()-1,MATCH(G$1,'包络曲线数据'!$B$1:$K$1,0)),""))</x:f>
      </x:c>
      <x:c r="I4" t="n">
        <x:v>-259.99999999999994</x:v>
      </x:c>
      <x:c r="J4" t="n">
        <x:f>IF(J$1="","",IFERROR(INDEX('代表咚声数据'!$B$2:$U$39,ROW()-1,MATCH(J$1&amp;"_常见",'代表咚声数据'!$B$1:$U$1,0)),""))</x:f>
        <x:v>67.88769019309989</x:v>
      </x:c>
      <x:c r="K4" t="n">
        <x:f>IF(K$1="","",IFERROR(INDEX('代表咚声数据'!$B$2:$U$39,ROW()-1,MATCH(K$1&amp;"_常见",'代表咚声数据'!$B$1:$U$1,0)),""))</x:f>
        <x:v>64.61099835249121</x:v>
      </x:c>
      <x:c r="L4" t="str">
        <x:f>IF(L$1="","",IFERROR(INDEX('代表咚声数据'!$B$2:$U$39,ROW()-1,MATCH(L$1&amp;"_常见",'代表咚声数据'!$B$1:$U$1,0)),""))</x:f>
      </x:c>
      <x:c r="M4" t="str">
        <x:f>IF(M$1="","",IFERROR(INDEX('代表咚声数据'!$B$2:$U$39,ROW()-1,MATCH(M$1&amp;"_常见",'代表咚声数据'!$B$1:$U$1,0)),""))</x:f>
      </x:c>
      <x:c r="N4" t="str">
        <x:f>IF(N$1="","",IFERROR(INDEX('代表咚声数据'!$B$2:$U$39,ROW()-1,MATCH(N$1&amp;"_常见",'代表咚声数据'!$B$1:$U$1,0)),""))</x:f>
      </x:c>
      <x:c r="O4" t="str">
        <x:f>IF(O$1="","",IFERROR(INDEX('代表咚声数据'!$B$2:$U$39,ROW()-1,MATCH(O$1&amp;"_常见",'代表咚声数据'!$B$1:$U$1,0)),""))</x:f>
      </x:c>
      <x:c r="Q4" t="n">
        <x:v>-259.99999999999994</x:v>
      </x:c>
      <x:c r="R4" t="n">
        <x:f>IF(R$1="","",IFERROR(INDEX('代表咚声数据'!$B$2:$U$39,ROW()-1,MATCH(R$1&amp;"_较响",'代表咚声数据'!$B$1:$U$1,0)),""))</x:f>
        <x:v>72.40916855355319</x:v>
      </x:c>
      <x:c r="S4" t="n">
        <x:f>IF(S$1="","",IFERROR(INDEX('代表咚声数据'!$B$2:$U$39,ROW()-1,MATCH(S$1&amp;"_较响",'代表咚声数据'!$B$1:$U$1,0)),""))</x:f>
        <x:v>69.94559963041041</x:v>
      </x:c>
      <x:c r="T4" t="str">
        <x:f>IF(T$1="","",IFERROR(INDEX('代表咚声数据'!$B$2:$U$39,ROW()-1,MATCH(T$1&amp;"_较响",'代表咚声数据'!$B$1:$U$1,0)),""))</x:f>
      </x:c>
      <x:c r="U4" t="str">
        <x:f>IF(U$1="","",IFERROR(INDEX('代表咚声数据'!$B$2:$U$39,ROW()-1,MATCH(U$1&amp;"_较响",'代表咚声数据'!$B$1:$U$1,0)),""))</x:f>
      </x:c>
      <x:c r="V4" t="str">
        <x:f>IF(V$1="","",IFERROR(INDEX('代表咚声数据'!$B$2:$U$39,ROW()-1,MATCH(V$1&amp;"_较响",'代表咚声数据'!$B$1:$U$1,0)),""))</x:f>
      </x:c>
      <x:c r="W4" t="str">
        <x:f>IF(W$1="","",IFERROR(INDEX('代表咚声数据'!$B$2:$U$39,ROW()-1,MATCH(W$1&amp;"_较响",'代表咚声数据'!$B$1:$U$1,0)),""))</x:f>
      </x:c>
    </x:row>
    <x:row r="5">
      <x:c r="A5" t="n">
        <x:v>0.30000000000000004</x:v>
      </x:c>
      <x:c r="B5" t="n">
        <x:f>IF(B$1="","",IFERROR(INDEX('包络曲线数据'!$B$2:$K$742,ROW()-1,MATCH(B$1,'包络曲线数据'!$B$1:$K$1,0)),""))</x:f>
        <x:v>66.48127238480149</x:v>
      </x:c>
      <x:c r="C5" t="n">
        <x:f>IF(C$1="","",IFERROR(INDEX('包络曲线数据'!$B$2:$K$742,ROW()-1,MATCH(C$1,'包络曲线数据'!$B$1:$K$1,0)),""))</x:f>
        <x:v>71.26611677567044</x:v>
      </x:c>
      <x:c r="D5" t="str">
        <x:f>IF(D$1="","",IFERROR(INDEX('包络曲线数据'!$B$2:$K$742,ROW()-1,MATCH(D$1,'包络曲线数据'!$B$1:$K$1,0)),""))</x:f>
      </x:c>
      <x:c r="E5" t="str">
        <x:f>IF(E$1="","",IFERROR(INDEX('包络曲线数据'!$B$2:$K$742,ROW()-1,MATCH(E$1,'包络曲线数据'!$B$1:$K$1,0)),""))</x:f>
      </x:c>
      <x:c r="F5" t="str">
        <x:f>IF(F$1="","",IFERROR(INDEX('包络曲线数据'!$B$2:$K$742,ROW()-1,MATCH(F$1,'包络曲线数据'!$B$1:$K$1,0)),""))</x:f>
      </x:c>
      <x:c r="G5" t="str">
        <x:f>IF(G$1="","",IFERROR(INDEX('包络曲线数据'!$B$2:$K$742,ROW()-1,MATCH(G$1,'包络曲线数据'!$B$1:$K$1,0)),""))</x:f>
      </x:c>
      <x:c r="I5" t="n">
        <x:v>-239.99999999999994</x:v>
      </x:c>
      <x:c r="J5" t="n">
        <x:f>IF(J$1="","",IFERROR(INDEX('代表咚声数据'!$B$2:$U$39,ROW()-1,MATCH(J$1&amp;"_常见",'代表咚声数据'!$B$1:$U$1,0)),""))</x:f>
        <x:v>67.6926362160035</x:v>
      </x:c>
      <x:c r="K5" t="n">
        <x:f>IF(K$1="","",IFERROR(INDEX('代表咚声数据'!$B$2:$U$39,ROW()-1,MATCH(K$1&amp;"_常见",'代表咚声数据'!$B$1:$U$1,0)),""))</x:f>
        <x:v>63.35573122961599</x:v>
      </x:c>
      <x:c r="L5" t="str">
        <x:f>IF(L$1="","",IFERROR(INDEX('代表咚声数据'!$B$2:$U$39,ROW()-1,MATCH(L$1&amp;"_常见",'代表咚声数据'!$B$1:$U$1,0)),""))</x:f>
      </x:c>
      <x:c r="M5" t="str">
        <x:f>IF(M$1="","",IFERROR(INDEX('代表咚声数据'!$B$2:$U$39,ROW()-1,MATCH(M$1&amp;"_常见",'代表咚声数据'!$B$1:$U$1,0)),""))</x:f>
      </x:c>
      <x:c r="N5" t="str">
        <x:f>IF(N$1="","",IFERROR(INDEX('代表咚声数据'!$B$2:$U$39,ROW()-1,MATCH(N$1&amp;"_常见",'代表咚声数据'!$B$1:$U$1,0)),""))</x:f>
      </x:c>
      <x:c r="O5" t="str">
        <x:f>IF(O$1="","",IFERROR(INDEX('代表咚声数据'!$B$2:$U$39,ROW()-1,MATCH(O$1&amp;"_常见",'代表咚声数据'!$B$1:$U$1,0)),""))</x:f>
      </x:c>
      <x:c r="Q5" t="n">
        <x:v>-239.99999999999994</x:v>
      </x:c>
      <x:c r="R5" t="n">
        <x:f>IF(R$1="","",IFERROR(INDEX('代表咚声数据'!$B$2:$U$39,ROW()-1,MATCH(R$1&amp;"_较响",'代表咚声数据'!$B$1:$U$1,0)),""))</x:f>
        <x:v>72.16014802594498</x:v>
      </x:c>
      <x:c r="S5" t="n">
        <x:f>IF(S$1="","",IFERROR(INDEX('代表咚声数据'!$B$2:$U$39,ROW()-1,MATCH(S$1&amp;"_较响",'代表咚声数据'!$B$1:$U$1,0)),""))</x:f>
        <x:v>69.83018697329152</x:v>
      </x:c>
      <x:c r="T5" t="str">
        <x:f>IF(T$1="","",IFERROR(INDEX('代表咚声数据'!$B$2:$U$39,ROW()-1,MATCH(T$1&amp;"_较响",'代表咚声数据'!$B$1:$U$1,0)),""))</x:f>
      </x:c>
      <x:c r="U5" t="str">
        <x:f>IF(U$1="","",IFERROR(INDEX('代表咚声数据'!$B$2:$U$39,ROW()-1,MATCH(U$1&amp;"_较响",'代表咚声数据'!$B$1:$U$1,0)),""))</x:f>
      </x:c>
      <x:c r="V5" t="str">
        <x:f>IF(V$1="","",IFERROR(INDEX('代表咚声数据'!$B$2:$U$39,ROW()-1,MATCH(V$1&amp;"_较响",'代表咚声数据'!$B$1:$U$1,0)),""))</x:f>
      </x:c>
      <x:c r="W5" t="str">
        <x:f>IF(W$1="","",IFERROR(INDEX('代表咚声数据'!$B$2:$U$39,ROW()-1,MATCH(W$1&amp;"_较响",'代表咚声数据'!$B$1:$U$1,0)),""))</x:f>
      </x:c>
    </x:row>
    <x:row r="6">
      <x:c r="A6" t="n">
        <x:v>0.4</x:v>
      </x:c>
      <x:c r="B6" t="n">
        <x:f>IF(B$1="","",IFERROR(INDEX('包络曲线数据'!$B$2:$K$742,ROW()-1,MATCH(B$1,'包络曲线数据'!$B$1:$K$1,0)),""))</x:f>
        <x:v>74.87640313957368</x:v>
      </x:c>
      <x:c r="C6" t="n">
        <x:f>IF(C$1="","",IFERROR(INDEX('包络曲线数据'!$B$2:$K$742,ROW()-1,MATCH(C$1,'包络曲线数据'!$B$1:$K$1,0)),""))</x:f>
        <x:v>70.95669350139283</x:v>
      </x:c>
      <x:c r="D6" t="str">
        <x:f>IF(D$1="","",IFERROR(INDEX('包络曲线数据'!$B$2:$K$742,ROW()-1,MATCH(D$1,'包络曲线数据'!$B$1:$K$1,0)),""))</x:f>
      </x:c>
      <x:c r="E6" t="str">
        <x:f>IF(E$1="","",IFERROR(INDEX('包络曲线数据'!$B$2:$K$742,ROW()-1,MATCH(E$1,'包络曲线数据'!$B$1:$K$1,0)),""))</x:f>
      </x:c>
      <x:c r="F6" t="str">
        <x:f>IF(F$1="","",IFERROR(INDEX('包络曲线数据'!$B$2:$K$742,ROW()-1,MATCH(F$1,'包络曲线数据'!$B$1:$K$1,0)),""))</x:f>
      </x:c>
      <x:c r="G6" t="str">
        <x:f>IF(G$1="","",IFERROR(INDEX('包络曲线数据'!$B$2:$K$742,ROW()-1,MATCH(G$1,'包络曲线数据'!$B$1:$K$1,0)),""))</x:f>
      </x:c>
      <x:c r="I6" t="n">
        <x:v>-219.99999999999991</x:v>
      </x:c>
      <x:c r="J6" t="n">
        <x:f>IF(J$1="","",IFERROR(INDEX('代表咚声数据'!$B$2:$U$39,ROW()-1,MATCH(J$1&amp;"_常见",'代表咚声数据'!$B$1:$U$1,0)),""))</x:f>
        <x:v>67.24252964404802</x:v>
      </x:c>
      <x:c r="K6" t="n">
        <x:f>IF(K$1="","",IFERROR(INDEX('代表咚声数据'!$B$2:$U$39,ROW()-1,MATCH(K$1&amp;"_常见",'代表咚声数据'!$B$1:$U$1,0)),""))</x:f>
        <x:v>62.30330767497433</x:v>
      </x:c>
      <x:c r="L6" t="str">
        <x:f>IF(L$1="","",IFERROR(INDEX('代表咚声数据'!$B$2:$U$39,ROW()-1,MATCH(L$1&amp;"_常见",'代表咚声数据'!$B$1:$U$1,0)),""))</x:f>
      </x:c>
      <x:c r="M6" t="str">
        <x:f>IF(M$1="","",IFERROR(INDEX('代表咚声数据'!$B$2:$U$39,ROW()-1,MATCH(M$1&amp;"_常见",'代表咚声数据'!$B$1:$U$1,0)),""))</x:f>
      </x:c>
      <x:c r="N6" t="str">
        <x:f>IF(N$1="","",IFERROR(INDEX('代表咚声数据'!$B$2:$U$39,ROW()-1,MATCH(N$1&amp;"_常见",'代表咚声数据'!$B$1:$U$1,0)),""))</x:f>
      </x:c>
      <x:c r="O6" t="str">
        <x:f>IF(O$1="","",IFERROR(INDEX('代表咚声数据'!$B$2:$U$39,ROW()-1,MATCH(O$1&amp;"_常见",'代表咚声数据'!$B$1:$U$1,0)),""))</x:f>
      </x:c>
      <x:c r="Q6" t="n">
        <x:v>-219.99999999999991</x:v>
      </x:c>
      <x:c r="R6" t="n">
        <x:f>IF(R$1="","",IFERROR(INDEX('代表咚声数据'!$B$2:$U$39,ROW()-1,MATCH(R$1&amp;"_较响",'代表咚声数据'!$B$1:$U$1,0)),""))</x:f>
        <x:v>72.41608093336441</x:v>
      </x:c>
      <x:c r="S6" t="n">
        <x:f>IF(S$1="","",IFERROR(INDEX('代表咚声数据'!$B$2:$U$39,ROW()-1,MATCH(S$1&amp;"_较响",'代表咚声数据'!$B$1:$U$1,0)),""))</x:f>
        <x:v>68.6223549407862</x:v>
      </x:c>
      <x:c r="T6" t="str">
        <x:f>IF(T$1="","",IFERROR(INDEX('代表咚声数据'!$B$2:$U$39,ROW()-1,MATCH(T$1&amp;"_较响",'代表咚声数据'!$B$1:$U$1,0)),""))</x:f>
      </x:c>
      <x:c r="U6" t="str">
        <x:f>IF(U$1="","",IFERROR(INDEX('代表咚声数据'!$B$2:$U$39,ROW()-1,MATCH(U$1&amp;"_较响",'代表咚声数据'!$B$1:$U$1,0)),""))</x:f>
      </x:c>
      <x:c r="V6" t="str">
        <x:f>IF(V$1="","",IFERROR(INDEX('代表咚声数据'!$B$2:$U$39,ROW()-1,MATCH(V$1&amp;"_较响",'代表咚声数据'!$B$1:$U$1,0)),""))</x:f>
      </x:c>
      <x:c r="W6" t="str">
        <x:f>IF(W$1="","",IFERROR(INDEX('代表咚声数据'!$B$2:$U$39,ROW()-1,MATCH(W$1&amp;"_较响",'代表咚声数据'!$B$1:$U$1,0)),""))</x:f>
      </x:c>
    </x:row>
    <x:row r="7">
      <x:c r="A7" t="n">
        <x:v>0.5</x:v>
      </x:c>
      <x:c r="B7" t="n">
        <x:f>IF(B$1="","",IFERROR(INDEX('包络曲线数据'!$B$2:$K$742,ROW()-1,MATCH(B$1,'包络曲线数据'!$B$1:$K$1,0)),""))</x:f>
        <x:v>74.87640313957368</x:v>
      </x:c>
      <x:c r="C7" t="n">
        <x:f>IF(C$1="","",IFERROR(INDEX('包络曲线数据'!$B$2:$K$742,ROW()-1,MATCH(C$1,'包络曲线数据'!$B$1:$K$1,0)),""))</x:f>
        <x:v>71.30627496244344</x:v>
      </x:c>
      <x:c r="D7" t="str">
        <x:f>IF(D$1="","",IFERROR(INDEX('包络曲线数据'!$B$2:$K$742,ROW()-1,MATCH(D$1,'包络曲线数据'!$B$1:$K$1,0)),""))</x:f>
      </x:c>
      <x:c r="E7" t="str">
        <x:f>IF(E$1="","",IFERROR(INDEX('包络曲线数据'!$B$2:$K$742,ROW()-1,MATCH(E$1,'包络曲线数据'!$B$1:$K$1,0)),""))</x:f>
      </x:c>
      <x:c r="F7" t="str">
        <x:f>IF(F$1="","",IFERROR(INDEX('包络曲线数据'!$B$2:$K$742,ROW()-1,MATCH(F$1,'包络曲线数据'!$B$1:$K$1,0)),""))</x:f>
      </x:c>
      <x:c r="G7" t="str">
        <x:f>IF(G$1="","",IFERROR(INDEX('包络曲线数据'!$B$2:$K$742,ROW()-1,MATCH(G$1,'包络曲线数据'!$B$1:$K$1,0)),""))</x:f>
      </x:c>
      <x:c r="I7" t="n">
        <x:v>-199.9999999999999</x:v>
      </x:c>
      <x:c r="J7" t="n">
        <x:f>IF(J$1="","",IFERROR(INDEX('代表咚声数据'!$B$2:$U$39,ROW()-1,MATCH(J$1&amp;"_常见",'代表咚声数据'!$B$1:$U$1,0)),""))</x:f>
        <x:v>66.31624960760155</x:v>
      </x:c>
      <x:c r="K7" t="n">
        <x:f>IF(K$1="","",IFERROR(INDEX('代表咚声数据'!$B$2:$U$39,ROW()-1,MATCH(K$1&amp;"_常见",'代表咚声数据'!$B$1:$U$1,0)),""))</x:f>
        <x:v>61.00899928115806</x:v>
      </x:c>
      <x:c r="L7" t="str">
        <x:f>IF(L$1="","",IFERROR(INDEX('代表咚声数据'!$B$2:$U$39,ROW()-1,MATCH(L$1&amp;"_常见",'代表咚声数据'!$B$1:$U$1,0)),""))</x:f>
      </x:c>
      <x:c r="M7" t="str">
        <x:f>IF(M$1="","",IFERROR(INDEX('代表咚声数据'!$B$2:$U$39,ROW()-1,MATCH(M$1&amp;"_常见",'代表咚声数据'!$B$1:$U$1,0)),""))</x:f>
      </x:c>
      <x:c r="N7" t="str">
        <x:f>IF(N$1="","",IFERROR(INDEX('代表咚声数据'!$B$2:$U$39,ROW()-1,MATCH(N$1&amp;"_常见",'代表咚声数据'!$B$1:$U$1,0)),""))</x:f>
      </x:c>
      <x:c r="O7" t="str">
        <x:f>IF(O$1="","",IFERROR(INDEX('代表咚声数据'!$B$2:$U$39,ROW()-1,MATCH(O$1&amp;"_常见",'代表咚声数据'!$B$1:$U$1,0)),""))</x:f>
      </x:c>
      <x:c r="Q7" t="n">
        <x:v>-199.9999999999999</x:v>
      </x:c>
      <x:c r="R7" t="n">
        <x:f>IF(R$1="","",IFERROR(INDEX('代表咚声数据'!$B$2:$U$39,ROW()-1,MATCH(R$1&amp;"_较响",'代表咚声数据'!$B$1:$U$1,0)),""))</x:f>
        <x:v>72.41192739325061</x:v>
      </x:c>
      <x:c r="S7" t="n">
        <x:f>IF(S$1="","",IFERROR(INDEX('代表咚声数据'!$B$2:$U$39,ROW()-1,MATCH(S$1&amp;"_较响",'代表咚声数据'!$B$1:$U$1,0)),""))</x:f>
        <x:v>68.29815010679859</x:v>
      </x:c>
      <x:c r="T7" t="str">
        <x:f>IF(T$1="","",IFERROR(INDEX('代表咚声数据'!$B$2:$U$39,ROW()-1,MATCH(T$1&amp;"_较响",'代表咚声数据'!$B$1:$U$1,0)),""))</x:f>
      </x:c>
      <x:c r="U7" t="str">
        <x:f>IF(U$1="","",IFERROR(INDEX('代表咚声数据'!$B$2:$U$39,ROW()-1,MATCH(U$1&amp;"_较响",'代表咚声数据'!$B$1:$U$1,0)),""))</x:f>
      </x:c>
      <x:c r="V7" t="str">
        <x:f>IF(V$1="","",IFERROR(INDEX('代表咚声数据'!$B$2:$U$39,ROW()-1,MATCH(V$1&amp;"_较响",'代表咚声数据'!$B$1:$U$1,0)),""))</x:f>
      </x:c>
      <x:c r="W7" t="str">
        <x:f>IF(W$1="","",IFERROR(INDEX('代表咚声数据'!$B$2:$U$39,ROW()-1,MATCH(W$1&amp;"_较响",'代表咚声数据'!$B$1:$U$1,0)),""))</x:f>
      </x:c>
    </x:row>
    <x:row r="8">
      <x:c r="A8" t="n">
        <x:v>0.6000000000000001</x:v>
      </x:c>
      <x:c r="B8" t="n">
        <x:f>IF(B$1="","",IFERROR(INDEX('包络曲线数据'!$B$2:$K$742,ROW()-1,MATCH(B$1,'包络曲线数据'!$B$1:$K$1,0)),""))</x:f>
        <x:v>73.39796462113209</x:v>
      </x:c>
      <x:c r="C8" t="n">
        <x:f>IF(C$1="","",IFERROR(INDEX('包络曲线数据'!$B$2:$K$742,ROW()-1,MATCH(C$1,'包络曲线数据'!$B$1:$K$1,0)),""))</x:f>
        <x:v>71.30627496244344</x:v>
      </x:c>
      <x:c r="D8" t="str">
        <x:f>IF(D$1="","",IFERROR(INDEX('包络曲线数据'!$B$2:$K$742,ROW()-1,MATCH(D$1,'包络曲线数据'!$B$1:$K$1,0)),""))</x:f>
      </x:c>
      <x:c r="E8" t="str">
        <x:f>IF(E$1="","",IFERROR(INDEX('包络曲线数据'!$B$2:$K$742,ROW()-1,MATCH(E$1,'包络曲线数据'!$B$1:$K$1,0)),""))</x:f>
      </x:c>
      <x:c r="F8" t="str">
        <x:f>IF(F$1="","",IFERROR(INDEX('包络曲线数据'!$B$2:$K$742,ROW()-1,MATCH(F$1,'包络曲线数据'!$B$1:$K$1,0)),""))</x:f>
      </x:c>
      <x:c r="G8" t="str">
        <x:f>IF(G$1="","",IFERROR(INDEX('包络曲线数据'!$B$2:$K$742,ROW()-1,MATCH(G$1,'包络曲线数据'!$B$1:$K$1,0)),""))</x:f>
      </x:c>
      <x:c r="I8" t="n">
        <x:v>-179.9999999999999</x:v>
      </x:c>
      <x:c r="J8" t="n">
        <x:f>IF(J$1="","",IFERROR(INDEX('代表咚声数据'!$B$2:$U$39,ROW()-1,MATCH(J$1&amp;"_常见",'代表咚声数据'!$B$1:$U$1,0)),""))</x:f>
        <x:v>65.44942887744243</x:v>
      </x:c>
      <x:c r="K8" t="n">
        <x:f>IF(K$1="","",IFERROR(INDEX('代表咚声数据'!$B$2:$U$39,ROW()-1,MATCH(K$1&amp;"_常见",'代表咚声数据'!$B$1:$U$1,0)),""))</x:f>
        <x:v>60.67889011367238</x:v>
      </x:c>
      <x:c r="L8" t="str">
        <x:f>IF(L$1="","",IFERROR(INDEX('代表咚声数据'!$B$2:$U$39,ROW()-1,MATCH(L$1&amp;"_常见",'代表咚声数据'!$B$1:$U$1,0)),""))</x:f>
      </x:c>
      <x:c r="M8" t="str">
        <x:f>IF(M$1="","",IFERROR(INDEX('代表咚声数据'!$B$2:$U$39,ROW()-1,MATCH(M$1&amp;"_常见",'代表咚声数据'!$B$1:$U$1,0)),""))</x:f>
      </x:c>
      <x:c r="N8" t="str">
        <x:f>IF(N$1="","",IFERROR(INDEX('代表咚声数据'!$B$2:$U$39,ROW()-1,MATCH(N$1&amp;"_常见",'代表咚声数据'!$B$1:$U$1,0)),""))</x:f>
      </x:c>
      <x:c r="O8" t="str">
        <x:f>IF(O$1="","",IFERROR(INDEX('代表咚声数据'!$B$2:$U$39,ROW()-1,MATCH(O$1&amp;"_常见",'代表咚声数据'!$B$1:$U$1,0)),""))</x:f>
      </x:c>
      <x:c r="Q8" t="n">
        <x:v>-179.9999999999999</x:v>
      </x:c>
      <x:c r="R8" t="n">
        <x:f>IF(R$1="","",IFERROR(INDEX('代表咚声数据'!$B$2:$U$39,ROW()-1,MATCH(R$1&amp;"_较响",'代表咚声数据'!$B$1:$U$1,0)),""))</x:f>
        <x:v>72.83245841447518</x:v>
      </x:c>
      <x:c r="S8" t="n">
        <x:f>IF(S$1="","",IFERROR(INDEX('代表咚声数据'!$B$2:$U$39,ROW()-1,MATCH(S$1&amp;"_较响",'代表咚声数据'!$B$1:$U$1,0)),""))</x:f>
        <x:v>67.68545930927675</x:v>
      </x:c>
      <x:c r="T8" t="str">
        <x:f>IF(T$1="","",IFERROR(INDEX('代表咚声数据'!$B$2:$U$39,ROW()-1,MATCH(T$1&amp;"_较响",'代表咚声数据'!$B$1:$U$1,0)),""))</x:f>
      </x:c>
      <x:c r="U8" t="str">
        <x:f>IF(U$1="","",IFERROR(INDEX('代表咚声数据'!$B$2:$U$39,ROW()-1,MATCH(U$1&amp;"_较响",'代表咚声数据'!$B$1:$U$1,0)),""))</x:f>
      </x:c>
      <x:c r="V8" t="str">
        <x:f>IF(V$1="","",IFERROR(INDEX('代表咚声数据'!$B$2:$U$39,ROW()-1,MATCH(V$1&amp;"_较响",'代表咚声数据'!$B$1:$U$1,0)),""))</x:f>
      </x:c>
      <x:c r="W8" t="str">
        <x:f>IF(W$1="","",IFERROR(INDEX('代表咚声数据'!$B$2:$U$39,ROW()-1,MATCH(W$1&amp;"_较响",'代表咚声数据'!$B$1:$U$1,0)),""))</x:f>
      </x:c>
    </x:row>
    <x:row r="9">
      <x:c r="A9" t="n">
        <x:v>0.7000000000000001</x:v>
      </x:c>
      <x:c r="B9" t="n">
        <x:f>IF(B$1="","",IFERROR(INDEX('包络曲线数据'!$B$2:$K$742,ROW()-1,MATCH(B$1,'包络曲线数据'!$B$1:$K$1,0)),""))</x:f>
        <x:v>67.40760461778342</x:v>
      </x:c>
      <x:c r="C9" t="n">
        <x:f>IF(C$1="","",IFERROR(INDEX('包络曲线数据'!$B$2:$K$742,ROW()-1,MATCH(C$1,'包络曲线数据'!$B$1:$K$1,0)),""))</x:f>
        <x:v>71.01129709793038</x:v>
      </x:c>
      <x:c r="D9" t="str">
        <x:f>IF(D$1="","",IFERROR(INDEX('包络曲线数据'!$B$2:$K$742,ROW()-1,MATCH(D$1,'包络曲线数据'!$B$1:$K$1,0)),""))</x:f>
      </x:c>
      <x:c r="E9" t="str">
        <x:f>IF(E$1="","",IFERROR(INDEX('包络曲线数据'!$B$2:$K$742,ROW()-1,MATCH(E$1,'包络曲线数据'!$B$1:$K$1,0)),""))</x:f>
      </x:c>
      <x:c r="F9" t="str">
        <x:f>IF(F$1="","",IFERROR(INDEX('包络曲线数据'!$B$2:$K$742,ROW()-1,MATCH(F$1,'包络曲线数据'!$B$1:$K$1,0)),""))</x:f>
      </x:c>
      <x:c r="G9" t="str">
        <x:f>IF(G$1="","",IFERROR(INDEX('包络曲线数据'!$B$2:$K$742,ROW()-1,MATCH(G$1,'包络曲线数据'!$B$1:$K$1,0)),""))</x:f>
      </x:c>
      <x:c r="I9" t="n">
        <x:v>-159.99999999999986</x:v>
      </x:c>
      <x:c r="J9" t="n">
        <x:f>IF(J$1="","",IFERROR(INDEX('代表咚声数据'!$B$2:$U$39,ROW()-1,MATCH(J$1&amp;"_常见",'代表咚声数据'!$B$1:$U$1,0)),""))</x:f>
        <x:v>64.52232311344082</x:v>
      </x:c>
      <x:c r="K9" t="n">
        <x:f>IF(K$1="","",IFERROR(INDEX('代表咚声数据'!$B$2:$U$39,ROW()-1,MATCH(K$1&amp;"_常见",'代表咚声数据'!$B$1:$U$1,0)),""))</x:f>
        <x:v>61.74625495731043</x:v>
      </x:c>
      <x:c r="L9" t="str">
        <x:f>IF(L$1="","",IFERROR(INDEX('代表咚声数据'!$B$2:$U$39,ROW()-1,MATCH(L$1&amp;"_常见",'代表咚声数据'!$B$1:$U$1,0)),""))</x:f>
      </x:c>
      <x:c r="M9" t="str">
        <x:f>IF(M$1="","",IFERROR(INDEX('代表咚声数据'!$B$2:$U$39,ROW()-1,MATCH(M$1&amp;"_常见",'代表咚声数据'!$B$1:$U$1,0)),""))</x:f>
      </x:c>
      <x:c r="N9" t="str">
        <x:f>IF(N$1="","",IFERROR(INDEX('代表咚声数据'!$B$2:$U$39,ROW()-1,MATCH(N$1&amp;"_常见",'代表咚声数据'!$B$1:$U$1,0)),""))</x:f>
      </x:c>
      <x:c r="O9" t="str">
        <x:f>IF(O$1="","",IFERROR(INDEX('代表咚声数据'!$B$2:$U$39,ROW()-1,MATCH(O$1&amp;"_常见",'代表咚声数据'!$B$1:$U$1,0)),""))</x:f>
      </x:c>
      <x:c r="Q9" t="n">
        <x:v>-159.99999999999986</x:v>
      </x:c>
      <x:c r="R9" t="n">
        <x:f>IF(R$1="","",IFERROR(INDEX('代表咚声数据'!$B$2:$U$39,ROW()-1,MATCH(R$1&amp;"_较响",'代表咚声数据'!$B$1:$U$1,0)),""))</x:f>
        <x:v>71.5603329206756</x:v>
      </x:c>
      <x:c r="S9" t="n">
        <x:f>IF(S$1="","",IFERROR(INDEX('代表咚声数据'!$B$2:$U$39,ROW()-1,MATCH(S$1&amp;"_较响",'代表咚声数据'!$B$1:$U$1,0)),""))</x:f>
        <x:v>67.5600486344944</x:v>
      </x:c>
      <x:c r="T9" t="str">
        <x:f>IF(T$1="","",IFERROR(INDEX('代表咚声数据'!$B$2:$U$39,ROW()-1,MATCH(T$1&amp;"_较响",'代表咚声数据'!$B$1:$U$1,0)),""))</x:f>
      </x:c>
      <x:c r="U9" t="str">
        <x:f>IF(U$1="","",IFERROR(INDEX('代表咚声数据'!$B$2:$U$39,ROW()-1,MATCH(U$1&amp;"_较响",'代表咚声数据'!$B$1:$U$1,0)),""))</x:f>
      </x:c>
      <x:c r="V9" t="str">
        <x:f>IF(V$1="","",IFERROR(INDEX('代表咚声数据'!$B$2:$U$39,ROW()-1,MATCH(V$1&amp;"_较响",'代表咚声数据'!$B$1:$U$1,0)),""))</x:f>
      </x:c>
      <x:c r="W9" t="str">
        <x:f>IF(W$1="","",IFERROR(INDEX('代表咚声数据'!$B$2:$U$39,ROW()-1,MATCH(W$1&amp;"_较响",'代表咚声数据'!$B$1:$U$1,0)),""))</x:f>
      </x:c>
    </x:row>
    <x:row r="10">
      <x:c r="A10" t="n">
        <x:v>0.8</x:v>
      </x:c>
      <x:c r="B10" t="n">
        <x:f>IF(B$1="","",IFERROR(INDEX('包络曲线数据'!$B$2:$K$742,ROW()-1,MATCH(B$1,'包络曲线数据'!$B$1:$K$1,0)),""))</x:f>
        <x:v>67.94537399945264</x:v>
      </x:c>
      <x:c r="C10" t="n">
        <x:f>IF(C$1="","",IFERROR(INDEX('包络曲线数据'!$B$2:$K$742,ROW()-1,MATCH(C$1,'包络曲线数据'!$B$1:$K$1,0)),""))</x:f>
        <x:v>70.48451168071813</x:v>
      </x:c>
      <x:c r="D10" t="str">
        <x:f>IF(D$1="","",IFERROR(INDEX('包络曲线数据'!$B$2:$K$742,ROW()-1,MATCH(D$1,'包络曲线数据'!$B$1:$K$1,0)),""))</x:f>
      </x:c>
      <x:c r="E10" t="str">
        <x:f>IF(E$1="","",IFERROR(INDEX('包络曲线数据'!$B$2:$K$742,ROW()-1,MATCH(E$1,'包络曲线数据'!$B$1:$K$1,0)),""))</x:f>
      </x:c>
      <x:c r="F10" t="str">
        <x:f>IF(F$1="","",IFERROR(INDEX('包络曲线数据'!$B$2:$K$742,ROW()-1,MATCH(F$1,'包络曲线数据'!$B$1:$K$1,0)),""))</x:f>
      </x:c>
      <x:c r="G10" t="str">
        <x:f>IF(G$1="","",IFERROR(INDEX('包络曲线数据'!$B$2:$K$742,ROW()-1,MATCH(G$1,'包络曲线数据'!$B$1:$K$1,0)),""))</x:f>
      </x:c>
      <x:c r="I10" t="n">
        <x:v>-139.99999999999986</x:v>
      </x:c>
      <x:c r="J10" t="n">
        <x:f>IF(J$1="","",IFERROR(INDEX('代表咚声数据'!$B$2:$U$39,ROW()-1,MATCH(J$1&amp;"_常见",'代表咚声数据'!$B$1:$U$1,0)),""))</x:f>
        <x:v>63.788569201649636</x:v>
      </x:c>
      <x:c r="K10" t="n">
        <x:f>IF(K$1="","",IFERROR(INDEX('代表咚声数据'!$B$2:$U$39,ROW()-1,MATCH(K$1&amp;"_常见",'代表咚声数据'!$B$1:$U$1,0)),""))</x:f>
        <x:v>62.71285645484415</x:v>
      </x:c>
      <x:c r="L10" t="str">
        <x:f>IF(L$1="","",IFERROR(INDEX('代表咚声数据'!$B$2:$U$39,ROW()-1,MATCH(L$1&amp;"_常见",'代表咚声数据'!$B$1:$U$1,0)),""))</x:f>
      </x:c>
      <x:c r="M10" t="str">
        <x:f>IF(M$1="","",IFERROR(INDEX('代表咚声数据'!$B$2:$U$39,ROW()-1,MATCH(M$1&amp;"_常见",'代表咚声数据'!$B$1:$U$1,0)),""))</x:f>
      </x:c>
      <x:c r="N10" t="str">
        <x:f>IF(N$1="","",IFERROR(INDEX('代表咚声数据'!$B$2:$U$39,ROW()-1,MATCH(N$1&amp;"_常见",'代表咚声数据'!$B$1:$U$1,0)),""))</x:f>
      </x:c>
      <x:c r="O10" t="str">
        <x:f>IF(O$1="","",IFERROR(INDEX('代表咚声数据'!$B$2:$U$39,ROW()-1,MATCH(O$1&amp;"_常见",'代表咚声数据'!$B$1:$U$1,0)),""))</x:f>
      </x:c>
      <x:c r="Q10" t="n">
        <x:v>-139.99999999999986</x:v>
      </x:c>
      <x:c r="R10" t="n">
        <x:f>IF(R$1="","",IFERROR(INDEX('代表咚声数据'!$B$2:$U$39,ROW()-1,MATCH(R$1&amp;"_较响",'代表咚声数据'!$B$1:$U$1,0)),""))</x:f>
        <x:v>70.60327662942146</x:v>
      </x:c>
      <x:c r="S10" t="n">
        <x:f>IF(S$1="","",IFERROR(INDEX('代表咚声数据'!$B$2:$U$39,ROW()-1,MATCH(S$1&amp;"_较响",'代表咚声数据'!$B$1:$U$1,0)),""))</x:f>
        <x:v>67.02560414792256</x:v>
      </x:c>
      <x:c r="T10" t="str">
        <x:f>IF(T$1="","",IFERROR(INDEX('代表咚声数据'!$B$2:$U$39,ROW()-1,MATCH(T$1&amp;"_较响",'代表咚声数据'!$B$1:$U$1,0)),""))</x:f>
      </x:c>
      <x:c r="U10" t="str">
        <x:f>IF(U$1="","",IFERROR(INDEX('代表咚声数据'!$B$2:$U$39,ROW()-1,MATCH(U$1&amp;"_较响",'代表咚声数据'!$B$1:$U$1,0)),""))</x:f>
      </x:c>
      <x:c r="V10" t="str">
        <x:f>IF(V$1="","",IFERROR(INDEX('代表咚声数据'!$B$2:$U$39,ROW()-1,MATCH(V$1&amp;"_较响",'代表咚声数据'!$B$1:$U$1,0)),""))</x:f>
      </x:c>
      <x:c r="W10" t="str">
        <x:f>IF(W$1="","",IFERROR(INDEX('代表咚声数据'!$B$2:$U$39,ROW()-1,MATCH(W$1&amp;"_较响",'代表咚声数据'!$B$1:$U$1,0)),""))</x:f>
      </x:c>
    </x:row>
    <x:row r="11">
      <x:c r="A11" t="n">
        <x:v>0.9</x:v>
      </x:c>
      <x:c r="B11" t="n">
        <x:f>IF(B$1="","",IFERROR(INDEX('包络曲线数据'!$B$2:$K$742,ROW()-1,MATCH(B$1,'包络曲线数据'!$B$1:$K$1,0)),""))</x:f>
        <x:v>67.94537399945264</x:v>
      </x:c>
      <x:c r="C11" t="n">
        <x:f>IF(C$1="","",IFERROR(INDEX('包络曲线数据'!$B$2:$K$742,ROW()-1,MATCH(C$1,'包络曲线数据'!$B$1:$K$1,0)),""))</x:f>
        <x:v>70.93645648620665</x:v>
      </x:c>
      <x:c r="D11" t="str">
        <x:f>IF(D$1="","",IFERROR(INDEX('包络曲线数据'!$B$2:$K$742,ROW()-1,MATCH(D$1,'包络曲线数据'!$B$1:$K$1,0)),""))</x:f>
      </x:c>
      <x:c r="E11" t="str">
        <x:f>IF(E$1="","",IFERROR(INDEX('包络曲线数据'!$B$2:$K$742,ROW()-1,MATCH(E$1,'包络曲线数据'!$B$1:$K$1,0)),""))</x:f>
      </x:c>
      <x:c r="F11" t="str">
        <x:f>IF(F$1="","",IFERROR(INDEX('包络曲线数据'!$B$2:$K$742,ROW()-1,MATCH(F$1,'包络曲线数据'!$B$1:$K$1,0)),""))</x:f>
      </x:c>
      <x:c r="G11" t="str">
        <x:f>IF(G$1="","",IFERROR(INDEX('包络曲线数据'!$B$2:$K$742,ROW()-1,MATCH(G$1,'包络曲线数据'!$B$1:$K$1,0)),""))</x:f>
      </x:c>
      <x:c r="I11" t="n">
        <x:v>-119.99999999999983</x:v>
      </x:c>
      <x:c r="J11" t="n">
        <x:f>IF(J$1="","",IFERROR(INDEX('代表咚声数据'!$B$2:$U$39,ROW()-1,MATCH(J$1&amp;"_常见",'代表咚声数据'!$B$1:$U$1,0)),""))</x:f>
        <x:v>63.80823266940736</x:v>
      </x:c>
      <x:c r="K11" t="n">
        <x:f>IF(K$1="","",IFERROR(INDEX('代表咚声数据'!$B$2:$U$39,ROW()-1,MATCH(K$1&amp;"_常见",'代表咚声数据'!$B$1:$U$1,0)),""))</x:f>
        <x:v>64.75346275446331</x:v>
      </x:c>
      <x:c r="L11" t="str">
        <x:f>IF(L$1="","",IFERROR(INDEX('代表咚声数据'!$B$2:$U$39,ROW()-1,MATCH(L$1&amp;"_常见",'代表咚声数据'!$B$1:$U$1,0)),""))</x:f>
      </x:c>
      <x:c r="M11" t="str">
        <x:f>IF(M$1="","",IFERROR(INDEX('代表咚声数据'!$B$2:$U$39,ROW()-1,MATCH(M$1&amp;"_常见",'代表咚声数据'!$B$1:$U$1,0)),""))</x:f>
      </x:c>
      <x:c r="N11" t="str">
        <x:f>IF(N$1="","",IFERROR(INDEX('代表咚声数据'!$B$2:$U$39,ROW()-1,MATCH(N$1&amp;"_常见",'代表咚声数据'!$B$1:$U$1,0)),""))</x:f>
      </x:c>
      <x:c r="O11" t="str">
        <x:f>IF(O$1="","",IFERROR(INDEX('代表咚声数据'!$B$2:$U$39,ROW()-1,MATCH(O$1&amp;"_常见",'代表咚声数据'!$B$1:$U$1,0)),""))</x:f>
      </x:c>
      <x:c r="Q11" t="n">
        <x:v>-119.99999999999983</x:v>
      </x:c>
      <x:c r="R11" t="n">
        <x:f>IF(R$1="","",IFERROR(INDEX('代表咚声数据'!$B$2:$U$39,ROW()-1,MATCH(R$1&amp;"_较响",'代表咚声数据'!$B$1:$U$1,0)),""))</x:f>
        <x:v>70.60814535658585</x:v>
      </x:c>
      <x:c r="S11" t="n">
        <x:f>IF(S$1="","",IFERROR(INDEX('代表咚声数据'!$B$2:$U$39,ROW()-1,MATCH(S$1&amp;"_较响",'代表咚声数据'!$B$1:$U$1,0)),""))</x:f>
        <x:v>67.04293032594119</x:v>
      </x:c>
      <x:c r="T11" t="str">
        <x:f>IF(T$1="","",IFERROR(INDEX('代表咚声数据'!$B$2:$U$39,ROW()-1,MATCH(T$1&amp;"_较响",'代表咚声数据'!$B$1:$U$1,0)),""))</x:f>
      </x:c>
      <x:c r="U11" t="str">
        <x:f>IF(U$1="","",IFERROR(INDEX('代表咚声数据'!$B$2:$U$39,ROW()-1,MATCH(U$1&amp;"_较响",'代表咚声数据'!$B$1:$U$1,0)),""))</x:f>
      </x:c>
      <x:c r="V11" t="str">
        <x:f>IF(V$1="","",IFERROR(INDEX('代表咚声数据'!$B$2:$U$39,ROW()-1,MATCH(V$1&amp;"_较响",'代表咚声数据'!$B$1:$U$1,0)),""))</x:f>
      </x:c>
      <x:c r="W11" t="str">
        <x:f>IF(W$1="","",IFERROR(INDEX('代表咚声数据'!$B$2:$U$39,ROW()-1,MATCH(W$1&amp;"_较响",'代表咚声数据'!$B$1:$U$1,0)),""))</x:f>
      </x:c>
    </x:row>
    <x:row r="12">
      <x:c r="A12" t="n">
        <x:v>1</x:v>
      </x:c>
      <x:c r="B12" t="n">
        <x:f>IF(B$1="","",IFERROR(INDEX('包络曲线数据'!$B$2:$K$742,ROW()-1,MATCH(B$1,'包络曲线数据'!$B$1:$K$1,0)),""))</x:f>
        <x:v>66.88803839551909</x:v>
      </x:c>
      <x:c r="C12" t="n">
        <x:f>IF(C$1="","",IFERROR(INDEX('包络曲线数据'!$B$2:$K$742,ROW()-1,MATCH(C$1,'包络曲线数据'!$B$1:$K$1,0)),""))</x:f>
        <x:v>70.93645648620665</x:v>
      </x:c>
      <x:c r="D12" t="str">
        <x:f>IF(D$1="","",IFERROR(INDEX('包络曲线数据'!$B$2:$K$742,ROW()-1,MATCH(D$1,'包络曲线数据'!$B$1:$K$1,0)),""))</x:f>
      </x:c>
      <x:c r="E12" t="str">
        <x:f>IF(E$1="","",IFERROR(INDEX('包络曲线数据'!$B$2:$K$742,ROW()-1,MATCH(E$1,'包络曲线数据'!$B$1:$K$1,0)),""))</x:f>
      </x:c>
      <x:c r="F12" t="str">
        <x:f>IF(F$1="","",IFERROR(INDEX('包络曲线数据'!$B$2:$K$742,ROW()-1,MATCH(F$1,'包络曲线数据'!$B$1:$K$1,0)),""))</x:f>
      </x:c>
      <x:c r="G12" t="str">
        <x:f>IF(G$1="","",IFERROR(INDEX('包络曲线数据'!$B$2:$K$742,ROW()-1,MATCH(G$1,'包络曲线数据'!$B$1:$K$1,0)),""))</x:f>
      </x:c>
      <x:c r="I12" t="n">
        <x:v>-99.99999999999982</x:v>
      </x:c>
      <x:c r="J12" t="n">
        <x:f>IF(J$1="","",IFERROR(INDEX('代表咚声数据'!$B$2:$U$39,ROW()-1,MATCH(J$1&amp;"_常见",'代表咚声数据'!$B$1:$U$1,0)),""))</x:f>
        <x:v>62.980158407332326</x:v>
      </x:c>
      <x:c r="K12" t="n">
        <x:f>IF(K$1="","",IFERROR(INDEX('代表咚声数据'!$B$2:$U$39,ROW()-1,MATCH(K$1&amp;"_常见",'代表咚声数据'!$B$1:$U$1,0)),""))</x:f>
        <x:v>70.70711482842418</x:v>
      </x:c>
      <x:c r="L12" t="str">
        <x:f>IF(L$1="","",IFERROR(INDEX('代表咚声数据'!$B$2:$U$39,ROW()-1,MATCH(L$1&amp;"_常见",'代表咚声数据'!$B$1:$U$1,0)),""))</x:f>
      </x:c>
      <x:c r="M12" t="str">
        <x:f>IF(M$1="","",IFERROR(INDEX('代表咚声数据'!$B$2:$U$39,ROW()-1,MATCH(M$1&amp;"_常见",'代表咚声数据'!$B$1:$U$1,0)),""))</x:f>
      </x:c>
      <x:c r="N12" t="str">
        <x:f>IF(N$1="","",IFERROR(INDEX('代表咚声数据'!$B$2:$U$39,ROW()-1,MATCH(N$1&amp;"_常见",'代表咚声数据'!$B$1:$U$1,0)),""))</x:f>
      </x:c>
      <x:c r="O12" t="str">
        <x:f>IF(O$1="","",IFERROR(INDEX('代表咚声数据'!$B$2:$U$39,ROW()-1,MATCH(O$1&amp;"_常见",'代表咚声数据'!$B$1:$U$1,0)),""))</x:f>
      </x:c>
      <x:c r="Q12" t="n">
        <x:v>-99.99999999999982</x:v>
      </x:c>
      <x:c r="R12" t="n">
        <x:f>IF(R$1="","",IFERROR(INDEX('代表咚声数据'!$B$2:$U$39,ROW()-1,MATCH(R$1&amp;"_较响",'代表咚声数据'!$B$1:$U$1,0)),""))</x:f>
        <x:v>70.01097056106015</x:v>
      </x:c>
      <x:c r="S12" t="n">
        <x:f>IF(S$1="","",IFERROR(INDEX('代表咚声数据'!$B$2:$U$39,ROW()-1,MATCH(S$1&amp;"_较响",'代表咚声数据'!$B$1:$U$1,0)),""))</x:f>
        <x:v>77.86912193860424</x:v>
      </x:c>
      <x:c r="T12" t="str">
        <x:f>IF(T$1="","",IFERROR(INDEX('代表咚声数据'!$B$2:$U$39,ROW()-1,MATCH(T$1&amp;"_较响",'代表咚声数据'!$B$1:$U$1,0)),""))</x:f>
      </x:c>
      <x:c r="U12" t="str">
        <x:f>IF(U$1="","",IFERROR(INDEX('代表咚声数据'!$B$2:$U$39,ROW()-1,MATCH(U$1&amp;"_较响",'代表咚声数据'!$B$1:$U$1,0)),""))</x:f>
      </x:c>
      <x:c r="V12" t="str">
        <x:f>IF(V$1="","",IFERROR(INDEX('代表咚声数据'!$B$2:$U$39,ROW()-1,MATCH(V$1&amp;"_较响",'代表咚声数据'!$B$1:$U$1,0)),""))</x:f>
      </x:c>
      <x:c r="W12" t="str">
        <x:f>IF(W$1="","",IFERROR(INDEX('代表咚声数据'!$B$2:$U$39,ROW()-1,MATCH(W$1&amp;"_较响",'代表咚声数据'!$B$1:$U$1,0)),""))</x:f>
      </x:c>
    </x:row>
    <x:row r="13">
      <x:c r="A13" t="n">
        <x:v>1.1</x:v>
      </x:c>
      <x:c r="B13" t="n">
        <x:f>IF(B$1="","",IFERROR(INDEX('包络曲线数据'!$B$2:$K$742,ROW()-1,MATCH(B$1,'包络曲线数据'!$B$1:$K$1,0)),""))</x:f>
        <x:v>66.62880329975158</x:v>
      </x:c>
      <x:c r="C13" t="n">
        <x:f>IF(C$1="","",IFERROR(INDEX('包络曲线数据'!$B$2:$K$742,ROW()-1,MATCH(C$1,'包络曲线数据'!$B$1:$K$1,0)),""))</x:f>
        <x:v>69.73410721067152</x:v>
      </x:c>
      <x:c r="D13" t="str">
        <x:f>IF(D$1="","",IFERROR(INDEX('包络曲线数据'!$B$2:$K$742,ROW()-1,MATCH(D$1,'包络曲线数据'!$B$1:$K$1,0)),""))</x:f>
      </x:c>
      <x:c r="E13" t="str">
        <x:f>IF(E$1="","",IFERROR(INDEX('包络曲线数据'!$B$2:$K$742,ROW()-1,MATCH(E$1,'包络曲线数据'!$B$1:$K$1,0)),""))</x:f>
      </x:c>
      <x:c r="F13" t="str">
        <x:f>IF(F$1="","",IFERROR(INDEX('包络曲线数据'!$B$2:$K$742,ROW()-1,MATCH(F$1,'包络曲线数据'!$B$1:$K$1,0)),""))</x:f>
      </x:c>
      <x:c r="G13" t="str">
        <x:f>IF(G$1="","",IFERROR(INDEX('包络曲线数据'!$B$2:$K$742,ROW()-1,MATCH(G$1,'包络曲线数据'!$B$1:$K$1,0)),""))</x:f>
      </x:c>
      <x:c r="I13" t="n">
        <x:v>-79.99999999999979</x:v>
      </x:c>
      <x:c r="J13" t="n">
        <x:f>IF(J$1="","",IFERROR(INDEX('代表咚声数据'!$B$2:$U$39,ROW()-1,MATCH(J$1&amp;"_常见",'代表咚声数据'!$B$1:$U$1,0)),""))</x:f>
        <x:v>63.46620690608687</x:v>
      </x:c>
      <x:c r="K13" t="n">
        <x:f>IF(K$1="","",IFERROR(INDEX('代表咚声数据'!$B$2:$U$39,ROW()-1,MATCH(K$1&amp;"_常见",'代表咚声数据'!$B$1:$U$1,0)),""))</x:f>
        <x:v>71.76981276336616</x:v>
      </x:c>
      <x:c r="L13" t="str">
        <x:f>IF(L$1="","",IFERROR(INDEX('代表咚声数据'!$B$2:$U$39,ROW()-1,MATCH(L$1&amp;"_常见",'代表咚声数据'!$B$1:$U$1,0)),""))</x:f>
      </x:c>
      <x:c r="M13" t="str">
        <x:f>IF(M$1="","",IFERROR(INDEX('代表咚声数据'!$B$2:$U$39,ROW()-1,MATCH(M$1&amp;"_常见",'代表咚声数据'!$B$1:$U$1,0)),""))</x:f>
      </x:c>
      <x:c r="N13" t="str">
        <x:f>IF(N$1="","",IFERROR(INDEX('代表咚声数据'!$B$2:$U$39,ROW()-1,MATCH(N$1&amp;"_常见",'代表咚声数据'!$B$1:$U$1,0)),""))</x:f>
      </x:c>
      <x:c r="O13" t="str">
        <x:f>IF(O$1="","",IFERROR(INDEX('代表咚声数据'!$B$2:$U$39,ROW()-1,MATCH(O$1&amp;"_常见",'代表咚声数据'!$B$1:$U$1,0)),""))</x:f>
      </x:c>
      <x:c r="Q13" t="n">
        <x:v>-79.99999999999979</x:v>
      </x:c>
      <x:c r="R13" t="n">
        <x:f>IF(R$1="","",IFERROR(INDEX('代表咚声数据'!$B$2:$U$39,ROW()-1,MATCH(R$1&amp;"_较响",'代表咚声数据'!$B$1:$U$1,0)),""))</x:f>
        <x:v>69.477158716125</x:v>
      </x:c>
      <x:c r="S13" t="n">
        <x:f>IF(S$1="","",IFERROR(INDEX('代表咚声数据'!$B$2:$U$39,ROW()-1,MATCH(S$1&amp;"_较响",'代表咚声数据'!$B$1:$U$1,0)),""))</x:f>
        <x:v>82.40326589921497</x:v>
      </x:c>
      <x:c r="T13" t="str">
        <x:f>IF(T$1="","",IFERROR(INDEX('代表咚声数据'!$B$2:$U$39,ROW()-1,MATCH(T$1&amp;"_较响",'代表咚声数据'!$B$1:$U$1,0)),""))</x:f>
      </x:c>
      <x:c r="U13" t="str">
        <x:f>IF(U$1="","",IFERROR(INDEX('代表咚声数据'!$B$2:$U$39,ROW()-1,MATCH(U$1&amp;"_较响",'代表咚声数据'!$B$1:$U$1,0)),""))</x:f>
      </x:c>
      <x:c r="V13" t="str">
        <x:f>IF(V$1="","",IFERROR(INDEX('代表咚声数据'!$B$2:$U$39,ROW()-1,MATCH(V$1&amp;"_较响",'代表咚声数据'!$B$1:$U$1,0)),""))</x:f>
      </x:c>
      <x:c r="W13" t="str">
        <x:f>IF(W$1="","",IFERROR(INDEX('代表咚声数据'!$B$2:$U$39,ROW()-1,MATCH(W$1&amp;"_较响",'代表咚声数据'!$B$1:$U$1,0)),""))</x:f>
      </x:c>
    </x:row>
    <x:row r="14">
      <x:c r="A14" t="n">
        <x:v>1.2000000000000002</x:v>
      </x:c>
      <x:c r="B14" t="n">
        <x:f>IF(B$1="","",IFERROR(INDEX('包络曲线数据'!$B$2:$K$742,ROW()-1,MATCH(B$1,'包络曲线数据'!$B$1:$K$1,0)),""))</x:f>
        <x:v>66.62880329975158</x:v>
      </x:c>
      <x:c r="C14" t="n">
        <x:f>IF(C$1="","",IFERROR(INDEX('包络曲线数据'!$B$2:$K$742,ROW()-1,MATCH(C$1,'包络曲线数据'!$B$1:$K$1,0)),""))</x:f>
        <x:v>70.53845486677645</x:v>
      </x:c>
      <x:c r="D14" t="str">
        <x:f>IF(D$1="","",IFERROR(INDEX('包络曲线数据'!$B$2:$K$742,ROW()-1,MATCH(D$1,'包络曲线数据'!$B$1:$K$1,0)),""))</x:f>
      </x:c>
      <x:c r="E14" t="str">
        <x:f>IF(E$1="","",IFERROR(INDEX('包络曲线数据'!$B$2:$K$742,ROW()-1,MATCH(E$1,'包络曲线数据'!$B$1:$K$1,0)),""))</x:f>
      </x:c>
      <x:c r="F14" t="str">
        <x:f>IF(F$1="","",IFERROR(INDEX('包络曲线数据'!$B$2:$K$742,ROW()-1,MATCH(F$1,'包络曲线数据'!$B$1:$K$1,0)),""))</x:f>
      </x:c>
      <x:c r="G14" t="str">
        <x:f>IF(G$1="","",IFERROR(INDEX('包络曲线数据'!$B$2:$K$742,ROW()-1,MATCH(G$1,'包络曲线数据'!$B$1:$K$1,0)),""))</x:f>
      </x:c>
      <x:c r="I14" t="n">
        <x:v>-59.99999999999977</x:v>
      </x:c>
      <x:c r="J14" t="n">
        <x:f>IF(J$1="","",IFERROR(INDEX('代表咚声数据'!$B$2:$U$39,ROW()-1,MATCH(J$1&amp;"_常见",'代表咚声数据'!$B$1:$U$1,0)),""))</x:f>
        <x:v>71.04700154660236</x:v>
      </x:c>
      <x:c r="K14" t="n">
        <x:f>IF(K$1="","",IFERROR(INDEX('代表咚声数据'!$B$2:$U$39,ROW()-1,MATCH(K$1&amp;"_常见",'代表咚声数据'!$B$1:$U$1,0)),""))</x:f>
        <x:v>73.1657928547846</x:v>
      </x:c>
      <x:c r="L14" t="str">
        <x:f>IF(L$1="","",IFERROR(INDEX('代表咚声数据'!$B$2:$U$39,ROW()-1,MATCH(L$1&amp;"_常见",'代表咚声数据'!$B$1:$U$1,0)),""))</x:f>
      </x:c>
      <x:c r="M14" t="str">
        <x:f>IF(M$1="","",IFERROR(INDEX('代表咚声数据'!$B$2:$U$39,ROW()-1,MATCH(M$1&amp;"_常见",'代表咚声数据'!$B$1:$U$1,0)),""))</x:f>
      </x:c>
      <x:c r="N14" t="str">
        <x:f>IF(N$1="","",IFERROR(INDEX('代表咚声数据'!$B$2:$U$39,ROW()-1,MATCH(N$1&amp;"_常见",'代表咚声数据'!$B$1:$U$1,0)),""))</x:f>
      </x:c>
      <x:c r="O14" t="str">
        <x:f>IF(O$1="","",IFERROR(INDEX('代表咚声数据'!$B$2:$U$39,ROW()-1,MATCH(O$1&amp;"_常见",'代表咚声数据'!$B$1:$U$1,0)),""))</x:f>
      </x:c>
      <x:c r="Q14" t="n">
        <x:v>-59.99999999999977</x:v>
      </x:c>
      <x:c r="R14" t="n">
        <x:f>IF(R$1="","",IFERROR(INDEX('代表咚声数据'!$B$2:$U$39,ROW()-1,MATCH(R$1&amp;"_较响",'代表咚声数据'!$B$1:$U$1,0)),""))</x:f>
        <x:v>78.43488583684595</x:v>
      </x:c>
      <x:c r="S14" t="n">
        <x:f>IF(S$1="","",IFERROR(INDEX('代表咚声数据'!$B$2:$U$39,ROW()-1,MATCH(S$1&amp;"_较响",'代表咚声数据'!$B$1:$U$1,0)),""))</x:f>
        <x:v>84.6100859328691</x:v>
      </x:c>
      <x:c r="T14" t="str">
        <x:f>IF(T$1="","",IFERROR(INDEX('代表咚声数据'!$B$2:$U$39,ROW()-1,MATCH(T$1&amp;"_较响",'代表咚声数据'!$B$1:$U$1,0)),""))</x:f>
      </x:c>
      <x:c r="U14" t="str">
        <x:f>IF(U$1="","",IFERROR(INDEX('代表咚声数据'!$B$2:$U$39,ROW()-1,MATCH(U$1&amp;"_较响",'代表咚声数据'!$B$1:$U$1,0)),""))</x:f>
      </x:c>
      <x:c r="V14" t="str">
        <x:f>IF(V$1="","",IFERROR(INDEX('代表咚声数据'!$B$2:$U$39,ROW()-1,MATCH(V$1&amp;"_较响",'代表咚声数据'!$B$1:$U$1,0)),""))</x:f>
      </x:c>
      <x:c r="W14" t="str">
        <x:f>IF(W$1="","",IFERROR(INDEX('代表咚声数据'!$B$2:$U$39,ROW()-1,MATCH(W$1&amp;"_较响",'代表咚声数据'!$B$1:$U$1,0)),""))</x:f>
      </x:c>
    </x:row>
    <x:row r="15">
      <x:c r="A15" t="n">
        <x:v>1.3</x:v>
      </x:c>
      <x:c r="B15" t="n">
        <x:f>IF(B$1="","",IFERROR(INDEX('包络曲线数据'!$B$2:$K$742,ROW()-1,MATCH(B$1,'包络曲线数据'!$B$1:$K$1,0)),""))</x:f>
        <x:v>67.3378262263938</x:v>
      </x:c>
      <x:c r="C15" t="n">
        <x:f>IF(C$1="","",IFERROR(INDEX('包络曲线数据'!$B$2:$K$742,ROW()-1,MATCH(C$1,'包络曲线数据'!$B$1:$K$1,0)),""))</x:f>
        <x:v>75.77282252239739</x:v>
      </x:c>
      <x:c r="D15" t="str">
        <x:f>IF(D$1="","",IFERROR(INDEX('包络曲线数据'!$B$2:$K$742,ROW()-1,MATCH(D$1,'包络曲线数据'!$B$1:$K$1,0)),""))</x:f>
      </x:c>
      <x:c r="E15" t="str">
        <x:f>IF(E$1="","",IFERROR(INDEX('包络曲线数据'!$B$2:$K$742,ROW()-1,MATCH(E$1,'包络曲线数据'!$B$1:$K$1,0)),""))</x:f>
      </x:c>
      <x:c r="F15" t="str">
        <x:f>IF(F$1="","",IFERROR(INDEX('包络曲线数据'!$B$2:$K$742,ROW()-1,MATCH(F$1,'包络曲线数据'!$B$1:$K$1,0)),""))</x:f>
      </x:c>
      <x:c r="G15" t="str">
        <x:f>IF(G$1="","",IFERROR(INDEX('包络曲线数据'!$B$2:$K$742,ROW()-1,MATCH(G$1,'包络曲线数据'!$B$1:$K$1,0)),""))</x:f>
      </x:c>
      <x:c r="I15" t="n">
        <x:v>-39.99999999999976</x:v>
      </x:c>
      <x:c r="J15" t="n">
        <x:f>IF(J$1="","",IFERROR(INDEX('代表咚声数据'!$B$2:$U$39,ROW()-1,MATCH(J$1&amp;"_常见",'代表咚声数据'!$B$1:$U$1,0)),""))</x:f>
        <x:v>72.41404697959621</x:v>
      </x:c>
      <x:c r="K15" t="n">
        <x:f>IF(K$1="","",IFERROR(INDEX('代表咚声数据'!$B$2:$U$39,ROW()-1,MATCH(K$1&amp;"_常见",'代表咚声数据'!$B$1:$U$1,0)),""))</x:f>
        <x:v>73.82976377675236</x:v>
      </x:c>
      <x:c r="L15" t="str">
        <x:f>IF(L$1="","",IFERROR(INDEX('代表咚声数据'!$B$2:$U$39,ROW()-1,MATCH(L$1&amp;"_常见",'代表咚声数据'!$B$1:$U$1,0)),""))</x:f>
      </x:c>
      <x:c r="M15" t="str">
        <x:f>IF(M$1="","",IFERROR(INDEX('代表咚声数据'!$B$2:$U$39,ROW()-1,MATCH(M$1&amp;"_常见",'代表咚声数据'!$B$1:$U$1,0)),""))</x:f>
      </x:c>
      <x:c r="N15" t="str">
        <x:f>IF(N$1="","",IFERROR(INDEX('代表咚声数据'!$B$2:$U$39,ROW()-1,MATCH(N$1&amp;"_常见",'代表咚声数据'!$B$1:$U$1,0)),""))</x:f>
      </x:c>
      <x:c r="O15" t="str">
        <x:f>IF(O$1="","",IFERROR(INDEX('代表咚声数据'!$B$2:$U$39,ROW()-1,MATCH(O$1&amp;"_常见",'代表咚声数据'!$B$1:$U$1,0)),""))</x:f>
      </x:c>
      <x:c r="Q15" t="n">
        <x:v>-39.99999999999976</x:v>
      </x:c>
      <x:c r="R15" t="n">
        <x:f>IF(R$1="","",IFERROR(INDEX('代表咚声数据'!$B$2:$U$39,ROW()-1,MATCH(R$1&amp;"_较响",'代表咚声数据'!$B$1:$U$1,0)),""))</x:f>
        <x:v>80.41283384409351</x:v>
      </x:c>
      <x:c r="S15" t="n">
        <x:f>IF(S$1="","",IFERROR(INDEX('代表咚声数据'!$B$2:$U$39,ROW()-1,MATCH(S$1&amp;"_较响",'代表咚声数据'!$B$1:$U$1,0)),""))</x:f>
        <x:v>85.06123668957541</x:v>
      </x:c>
      <x:c r="T15" t="str">
        <x:f>IF(T$1="","",IFERROR(INDEX('代表咚声数据'!$B$2:$U$39,ROW()-1,MATCH(T$1&amp;"_较响",'代表咚声数据'!$B$1:$U$1,0)),""))</x:f>
      </x:c>
      <x:c r="U15" t="str">
        <x:f>IF(U$1="","",IFERROR(INDEX('代表咚声数据'!$B$2:$U$39,ROW()-1,MATCH(U$1&amp;"_较响",'代表咚声数据'!$B$1:$U$1,0)),""))</x:f>
      </x:c>
      <x:c r="V15" t="str">
        <x:f>IF(V$1="","",IFERROR(INDEX('代表咚声数据'!$B$2:$U$39,ROW()-1,MATCH(V$1&amp;"_较响",'代表咚声数据'!$B$1:$U$1,0)),""))</x:f>
      </x:c>
      <x:c r="W15" t="str">
        <x:f>IF(W$1="","",IFERROR(INDEX('代表咚声数据'!$B$2:$U$39,ROW()-1,MATCH(W$1&amp;"_较响",'代表咚声数据'!$B$1:$U$1,0)),""))</x:f>
      </x:c>
    </x:row>
    <x:row r="16">
      <x:c r="A16" t="n">
        <x:v>1.4000000000000001</x:v>
      </x:c>
      <x:c r="B16" t="n">
        <x:f>IF(B$1="","",IFERROR(INDEX('包络曲线数据'!$B$2:$K$742,ROW()-1,MATCH(B$1,'包络曲线数据'!$B$1:$K$1,0)),""))</x:f>
        <x:v>67.59355318682114</x:v>
      </x:c>
      <x:c r="C16" t="n">
        <x:f>IF(C$1="","",IFERROR(INDEX('包络曲线数据'!$B$2:$K$742,ROW()-1,MATCH(C$1,'包络曲线数据'!$B$1:$K$1,0)),""))</x:f>
        <x:v>90.36537919958417</x:v>
      </x:c>
      <x:c r="D16" t="str">
        <x:f>IF(D$1="","",IFERROR(INDEX('包络曲线数据'!$B$2:$K$742,ROW()-1,MATCH(D$1,'包络曲线数据'!$B$1:$K$1,0)),""))</x:f>
      </x:c>
      <x:c r="E16" t="str">
        <x:f>IF(E$1="","",IFERROR(INDEX('包络曲线数据'!$B$2:$K$742,ROW()-1,MATCH(E$1,'包络曲线数据'!$B$1:$K$1,0)),""))</x:f>
      </x:c>
      <x:c r="F16" t="str">
        <x:f>IF(F$1="","",IFERROR(INDEX('包络曲线数据'!$B$2:$K$742,ROW()-1,MATCH(F$1,'包络曲线数据'!$B$1:$K$1,0)),""))</x:f>
      </x:c>
      <x:c r="G16" t="str">
        <x:f>IF(G$1="","",IFERROR(INDEX('包络曲线数据'!$B$2:$K$742,ROW()-1,MATCH(G$1,'包络曲线数据'!$B$1:$K$1,0)),""))</x:f>
      </x:c>
      <x:c r="I16" t="n">
        <x:v>-19.99999999999974</x:v>
      </x:c>
      <x:c r="J16" t="n">
        <x:f>IF(J$1="","",IFERROR(INDEX('代表咚声数据'!$B$2:$U$39,ROW()-1,MATCH(J$1&amp;"_常见",'代表咚声数据'!$B$1:$U$1,0)),""))</x:f>
        <x:v>72.89914364804885</x:v>
      </x:c>
      <x:c r="K16" t="n">
        <x:f>IF(K$1="","",IFERROR(INDEX('代表咚声数据'!$B$2:$U$39,ROW()-1,MATCH(K$1&amp;"_常见",'代表咚声数据'!$B$1:$U$1,0)),""))</x:f>
        <x:v>72.53746643843843</x:v>
      </x:c>
      <x:c r="L16" t="str">
        <x:f>IF(L$1="","",IFERROR(INDEX('代表咚声数据'!$B$2:$U$39,ROW()-1,MATCH(L$1&amp;"_常见",'代表咚声数据'!$B$1:$U$1,0)),""))</x:f>
      </x:c>
      <x:c r="M16" t="str">
        <x:f>IF(M$1="","",IFERROR(INDEX('代表咚声数据'!$B$2:$U$39,ROW()-1,MATCH(M$1&amp;"_常见",'代表咚声数据'!$B$1:$U$1,0)),""))</x:f>
      </x:c>
      <x:c r="N16" t="str">
        <x:f>IF(N$1="","",IFERROR(INDEX('代表咚声数据'!$B$2:$U$39,ROW()-1,MATCH(N$1&amp;"_常见",'代表咚声数据'!$B$1:$U$1,0)),""))</x:f>
      </x:c>
      <x:c r="O16" t="str">
        <x:f>IF(O$1="","",IFERROR(INDEX('代表咚声数据'!$B$2:$U$39,ROW()-1,MATCH(O$1&amp;"_常见",'代表咚声数据'!$B$1:$U$1,0)),""))</x:f>
      </x:c>
      <x:c r="Q16" t="n">
        <x:v>-19.99999999999974</x:v>
      </x:c>
      <x:c r="R16" t="n">
        <x:f>IF(R$1="","",IFERROR(INDEX('代表咚声数据'!$B$2:$U$39,ROW()-1,MATCH(R$1&amp;"_较响",'代表咚声数据'!$B$1:$U$1,0)),""))</x:f>
        <x:v>81.43577161610999</x:v>
      </x:c>
      <x:c r="S16" t="n">
        <x:f>IF(S$1="","",IFERROR(INDEX('代表咚声数据'!$B$2:$U$39,ROW()-1,MATCH(S$1&amp;"_较响",'代表咚声数据'!$B$1:$U$1,0)),""))</x:f>
        <x:v>84.51512056032382</x:v>
      </x:c>
      <x:c r="T16" t="str">
        <x:f>IF(T$1="","",IFERROR(INDEX('代表咚声数据'!$B$2:$U$39,ROW()-1,MATCH(T$1&amp;"_较响",'代表咚声数据'!$B$1:$U$1,0)),""))</x:f>
      </x:c>
      <x:c r="U16" t="str">
        <x:f>IF(U$1="","",IFERROR(INDEX('代表咚声数据'!$B$2:$U$39,ROW()-1,MATCH(U$1&amp;"_较响",'代表咚声数据'!$B$1:$U$1,0)),""))</x:f>
      </x:c>
      <x:c r="V16" t="str">
        <x:f>IF(V$1="","",IFERROR(INDEX('代表咚声数据'!$B$2:$U$39,ROW()-1,MATCH(V$1&amp;"_较响",'代表咚声数据'!$B$1:$U$1,0)),""))</x:f>
      </x:c>
      <x:c r="W16" t="str">
        <x:f>IF(W$1="","",IFERROR(INDEX('代表咚声数据'!$B$2:$U$39,ROW()-1,MATCH(W$1&amp;"_较响",'代表咚声数据'!$B$1:$U$1,0)),""))</x:f>
      </x:c>
    </x:row>
    <x:row r="17">
      <x:c r="A17" t="n">
        <x:v>1.5</x:v>
      </x:c>
      <x:c r="B17" t="n">
        <x:f>IF(B$1="","",IFERROR(INDEX('包络曲线数据'!$B$2:$K$742,ROW()-1,MATCH(B$1,'包络曲线数据'!$B$1:$K$1,0)),""))</x:f>
        <x:v>67.2020657925499</x:v>
      </x:c>
      <x:c r="C17" t="n">
        <x:f>IF(C$1="","",IFERROR(INDEX('包络曲线数据'!$B$2:$K$742,ROW()-1,MATCH(C$1,'包络曲线数据'!$B$1:$K$1,0)),""))</x:f>
        <x:v>90.36537919958417</x:v>
      </x:c>
      <x:c r="D17" t="str">
        <x:f>IF(D$1="","",IFERROR(INDEX('包络曲线数据'!$B$2:$K$742,ROW()-1,MATCH(D$1,'包络曲线数据'!$B$1:$K$1,0)),""))</x:f>
      </x:c>
      <x:c r="E17" t="str">
        <x:f>IF(E$1="","",IFERROR(INDEX('包络曲线数据'!$B$2:$K$742,ROW()-1,MATCH(E$1,'包络曲线数据'!$B$1:$K$1,0)),""))</x:f>
      </x:c>
      <x:c r="F17" t="str">
        <x:f>IF(F$1="","",IFERROR(INDEX('包络曲线数据'!$B$2:$K$742,ROW()-1,MATCH(F$1,'包络曲线数据'!$B$1:$K$1,0)),""))</x:f>
      </x:c>
      <x:c r="G17" t="str">
        <x:f>IF(G$1="","",IFERROR(INDEX('包络曲线数据'!$B$2:$K$742,ROW()-1,MATCH(G$1,'包络曲线数据'!$B$1:$K$1,0)),""))</x:f>
      </x:c>
      <x:c r="I17" t="n">
        <x:v>2.7755575615628914e-13</x:v>
      </x:c>
      <x:c r="J17" t="n">
        <x:f>IF(J$1="","",IFERROR(INDEX('代表咚声数据'!$B$2:$U$39,ROW()-1,MATCH(J$1&amp;"_常见",'代表咚声数据'!$B$1:$U$1,0)),""))</x:f>
        <x:v>73.40808884591513</x:v>
      </x:c>
      <x:c r="K17" t="n">
        <x:f>IF(K$1="","",IFERROR(INDEX('代表咚声数据'!$B$2:$U$39,ROW()-1,MATCH(K$1&amp;"_常见",'代表咚声数据'!$B$1:$U$1,0)),""))</x:f>
        <x:v>71.95985938662888</x:v>
      </x:c>
      <x:c r="L17" t="str">
        <x:f>IF(L$1="","",IFERROR(INDEX('代表咚声数据'!$B$2:$U$39,ROW()-1,MATCH(L$1&amp;"_常见",'代表咚声数据'!$B$1:$U$1,0)),""))</x:f>
      </x:c>
      <x:c r="M17" t="str">
        <x:f>IF(M$1="","",IFERROR(INDEX('代表咚声数据'!$B$2:$U$39,ROW()-1,MATCH(M$1&amp;"_常见",'代表咚声数据'!$B$1:$U$1,0)),""))</x:f>
      </x:c>
      <x:c r="N17" t="str">
        <x:f>IF(N$1="","",IFERROR(INDEX('代表咚声数据'!$B$2:$U$39,ROW()-1,MATCH(N$1&amp;"_常见",'代表咚声数据'!$B$1:$U$1,0)),""))</x:f>
      </x:c>
      <x:c r="O17" t="str">
        <x:f>IF(O$1="","",IFERROR(INDEX('代表咚声数据'!$B$2:$U$39,ROW()-1,MATCH(O$1&amp;"_常见",'代表咚声数据'!$B$1:$U$1,0)),""))</x:f>
      </x:c>
      <x:c r="Q17" t="n">
        <x:v>2.7755575615628914e-13</x:v>
      </x:c>
      <x:c r="R17" t="n">
        <x:f>IF(R$1="","",IFERROR(INDEX('代表咚声数据'!$B$2:$U$39,ROW()-1,MATCH(R$1&amp;"_较响",'代表咚声数据'!$B$1:$U$1,0)),""))</x:f>
        <x:v>81.59480414192015</x:v>
      </x:c>
      <x:c r="S17" t="n">
        <x:f>IF(S$1="","",IFERROR(INDEX('代表咚声数据'!$B$2:$U$39,ROW()-1,MATCH(S$1&amp;"_较响",'代表咚声数据'!$B$1:$U$1,0)),""))</x:f>
        <x:v>82.57806212703274</x:v>
      </x:c>
      <x:c r="T17" t="str">
        <x:f>IF(T$1="","",IFERROR(INDEX('代表咚声数据'!$B$2:$U$39,ROW()-1,MATCH(T$1&amp;"_较响",'代表咚声数据'!$B$1:$U$1,0)),""))</x:f>
      </x:c>
      <x:c r="U17" t="str">
        <x:f>IF(U$1="","",IFERROR(INDEX('代表咚声数据'!$B$2:$U$39,ROW()-1,MATCH(U$1&amp;"_较响",'代表咚声数据'!$B$1:$U$1,0)),""))</x:f>
      </x:c>
      <x:c r="V17" t="str">
        <x:f>IF(V$1="","",IFERROR(INDEX('代表咚声数据'!$B$2:$U$39,ROW()-1,MATCH(V$1&amp;"_较响",'代表咚声数据'!$B$1:$U$1,0)),""))</x:f>
      </x:c>
      <x:c r="W17" t="str">
        <x:f>IF(W$1="","",IFERROR(INDEX('代表咚声数据'!$B$2:$U$39,ROW()-1,MATCH(W$1&amp;"_较响",'代表咚声数据'!$B$1:$U$1,0)),""))</x:f>
      </x:c>
    </x:row>
    <x:row r="18">
      <x:c r="A18" t="n">
        <x:v>1.6</x:v>
      </x:c>
      <x:c r="B18" t="n">
        <x:f>IF(B$1="","",IFERROR(INDEX('包络曲线数据'!$B$2:$K$742,ROW()-1,MATCH(B$1,'包络曲线数据'!$B$1:$K$1,0)),""))</x:f>
        <x:v>67.28137788307242</x:v>
      </x:c>
      <x:c r="C18" t="n">
        <x:f>IF(C$1="","",IFERROR(INDEX('包络曲线数据'!$B$2:$K$742,ROW()-1,MATCH(C$1,'包络曲线数据'!$B$1:$K$1,0)),""))</x:f>
        <x:v>82.06089137377197</x:v>
      </x:c>
      <x:c r="D18" t="str">
        <x:f>IF(D$1="","",IFERROR(INDEX('包络曲线数据'!$B$2:$K$742,ROW()-1,MATCH(D$1,'包络曲线数据'!$B$1:$K$1,0)),""))</x:f>
      </x:c>
      <x:c r="E18" t="str">
        <x:f>IF(E$1="","",IFERROR(INDEX('包络曲线数据'!$B$2:$K$742,ROW()-1,MATCH(E$1,'包络曲线数据'!$B$1:$K$1,0)),""))</x:f>
      </x:c>
      <x:c r="F18" t="str">
        <x:f>IF(F$1="","",IFERROR(INDEX('包络曲线数据'!$B$2:$K$742,ROW()-1,MATCH(F$1,'包络曲线数据'!$B$1:$K$1,0)),""))</x:f>
      </x:c>
      <x:c r="G18" t="str">
        <x:f>IF(G$1="","",IFERROR(INDEX('包络曲线数据'!$B$2:$K$742,ROW()-1,MATCH(G$1,'包络曲线数据'!$B$1:$K$1,0)),""))</x:f>
      </x:c>
      <x:c r="I18" t="n">
        <x:v>20.000000000000295</x:v>
      </x:c>
      <x:c r="J18" t="n">
        <x:f>IF(J$1="","",IFERROR(INDEX('代表咚声数据'!$B$2:$U$39,ROW()-1,MATCH(J$1&amp;"_常见",'代表咚声数据'!$B$1:$U$1,0)),""))</x:f>
        <x:v>71.26128689577646</x:v>
      </x:c>
      <x:c r="K18" t="n">
        <x:f>IF(K$1="","",IFERROR(INDEX('代表咚声数据'!$B$2:$U$39,ROW()-1,MATCH(K$1&amp;"_常见",'代表咚声数据'!$B$1:$U$1,0)),""))</x:f>
        <x:v>70.47256079376935</x:v>
      </x:c>
      <x:c r="L18" t="str">
        <x:f>IF(L$1="","",IFERROR(INDEX('代表咚声数据'!$B$2:$U$39,ROW()-1,MATCH(L$1&amp;"_常见",'代表咚声数据'!$B$1:$U$1,0)),""))</x:f>
      </x:c>
      <x:c r="M18" t="str">
        <x:f>IF(M$1="","",IFERROR(INDEX('代表咚声数据'!$B$2:$U$39,ROW()-1,MATCH(M$1&amp;"_常见",'代表咚声数据'!$B$1:$U$1,0)),""))</x:f>
      </x:c>
      <x:c r="N18" t="str">
        <x:f>IF(N$1="","",IFERROR(INDEX('代表咚声数据'!$B$2:$U$39,ROW()-1,MATCH(N$1&amp;"_常见",'代表咚声数据'!$B$1:$U$1,0)),""))</x:f>
      </x:c>
      <x:c r="O18" t="str">
        <x:f>IF(O$1="","",IFERROR(INDEX('代表咚声数据'!$B$2:$U$39,ROW()-1,MATCH(O$1&amp;"_常见",'代表咚声数据'!$B$1:$U$1,0)),""))</x:f>
      </x:c>
      <x:c r="Q18" t="n">
        <x:v>20.000000000000295</x:v>
      </x:c>
      <x:c r="R18" t="n">
        <x:f>IF(R$1="","",IFERROR(INDEX('代表咚声数据'!$B$2:$U$39,ROW()-1,MATCH(R$1&amp;"_较响",'代表咚声数据'!$B$1:$U$1,0)),""))</x:f>
        <x:v>79.50995530489216</x:v>
      </x:c>
      <x:c r="S18" t="n">
        <x:f>IF(S$1="","",IFERROR(INDEX('代表咚声数据'!$B$2:$U$39,ROW()-1,MATCH(S$1&amp;"_较响",'代表咚声数据'!$B$1:$U$1,0)),""))</x:f>
        <x:v>79.04453597090564</x:v>
      </x:c>
      <x:c r="T18" t="str">
        <x:f>IF(T$1="","",IFERROR(INDEX('代表咚声数据'!$B$2:$U$39,ROW()-1,MATCH(T$1&amp;"_较响",'代表咚声数据'!$B$1:$U$1,0)),""))</x:f>
      </x:c>
      <x:c r="U18" t="str">
        <x:f>IF(U$1="","",IFERROR(INDEX('代表咚声数据'!$B$2:$U$39,ROW()-1,MATCH(U$1&amp;"_较响",'代表咚声数据'!$B$1:$U$1,0)),""))</x:f>
      </x:c>
      <x:c r="V18" t="str">
        <x:f>IF(V$1="","",IFERROR(INDEX('代表咚声数据'!$B$2:$U$39,ROW()-1,MATCH(V$1&amp;"_较响",'代表咚声数据'!$B$1:$U$1,0)),""))</x:f>
      </x:c>
      <x:c r="W18" t="str">
        <x:f>IF(W$1="","",IFERROR(INDEX('代表咚声数据'!$B$2:$U$39,ROW()-1,MATCH(W$1&amp;"_较响",'代表咚声数据'!$B$1:$U$1,0)),""))</x:f>
      </x:c>
    </x:row>
    <x:row r="19">
      <x:c r="A19" t="n">
        <x:v>1.7000000000000002</x:v>
      </x:c>
      <x:c r="B19" t="n">
        <x:f>IF(B$1="","",IFERROR(INDEX('包络曲线数据'!$B$2:$K$742,ROW()-1,MATCH(B$1,'包络曲线数据'!$B$1:$K$1,0)),""))</x:f>
        <x:v>67.72717444100489</x:v>
      </x:c>
      <x:c r="C19" t="n">
        <x:f>IF(C$1="","",IFERROR(INDEX('包络曲线数据'!$B$2:$K$742,ROW()-1,MATCH(C$1,'包络曲线数据'!$B$1:$K$1,0)),""))</x:f>
        <x:v>75.54687672015231</x:v>
      </x:c>
      <x:c r="D19" t="str">
        <x:f>IF(D$1="","",IFERROR(INDEX('包络曲线数据'!$B$2:$K$742,ROW()-1,MATCH(D$1,'包络曲线数据'!$B$1:$K$1,0)),""))</x:f>
      </x:c>
      <x:c r="E19" t="str">
        <x:f>IF(E$1="","",IFERROR(INDEX('包络曲线数据'!$B$2:$K$742,ROW()-1,MATCH(E$1,'包络曲线数据'!$B$1:$K$1,0)),""))</x:f>
      </x:c>
      <x:c r="F19" t="str">
        <x:f>IF(F$1="","",IFERROR(INDEX('包络曲线数据'!$B$2:$K$742,ROW()-1,MATCH(F$1,'包络曲线数据'!$B$1:$K$1,0)),""))</x:f>
      </x:c>
      <x:c r="G19" t="str">
        <x:f>IF(G$1="","",IFERROR(INDEX('包络曲线数据'!$B$2:$K$742,ROW()-1,MATCH(G$1,'包络曲线数据'!$B$1:$K$1,0)),""))</x:f>
      </x:c>
      <x:c r="I19" t="n">
        <x:v>40.00000000000031</x:v>
      </x:c>
      <x:c r="J19" t="n">
        <x:f>IF(J$1="","",IFERROR(INDEX('代表咚声数据'!$B$2:$U$39,ROW()-1,MATCH(J$1&amp;"_常见",'代表咚声数据'!$B$1:$U$1,0)),""))</x:f>
        <x:v>70.12605341781087</x:v>
      </x:c>
      <x:c r="K19" t="n">
        <x:f>IF(K$1="","",IFERROR(INDEX('代表咚声数据'!$B$2:$U$39,ROW()-1,MATCH(K$1&amp;"_常见",'代表咚声数据'!$B$1:$U$1,0)),""))</x:f>
        <x:v>68.6808594503592</x:v>
      </x:c>
      <x:c r="L19" t="str">
        <x:f>IF(L$1="","",IFERROR(INDEX('代表咚声数据'!$B$2:$U$39,ROW()-1,MATCH(L$1&amp;"_常见",'代表咚声数据'!$B$1:$U$1,0)),""))</x:f>
      </x:c>
      <x:c r="M19" t="str">
        <x:f>IF(M$1="","",IFERROR(INDEX('代表咚声数据'!$B$2:$U$39,ROW()-1,MATCH(M$1&amp;"_常见",'代表咚声数据'!$B$1:$U$1,0)),""))</x:f>
      </x:c>
      <x:c r="N19" t="str">
        <x:f>IF(N$1="","",IFERROR(INDEX('代表咚声数据'!$B$2:$U$39,ROW()-1,MATCH(N$1&amp;"_常见",'代表咚声数据'!$B$1:$U$1,0)),""))</x:f>
      </x:c>
      <x:c r="O19" t="str">
        <x:f>IF(O$1="","",IFERROR(INDEX('代表咚声数据'!$B$2:$U$39,ROW()-1,MATCH(O$1&amp;"_常见",'代表咚声数据'!$B$1:$U$1,0)),""))</x:f>
      </x:c>
      <x:c r="Q19" t="n">
        <x:v>40.00000000000031</x:v>
      </x:c>
      <x:c r="R19" t="n">
        <x:f>IF(R$1="","",IFERROR(INDEX('代表咚声数据'!$B$2:$U$39,ROW()-1,MATCH(R$1&amp;"_较响",'代表咚声数据'!$B$1:$U$1,0)),""))</x:f>
        <x:v>77.05769274514783</x:v>
      </x:c>
      <x:c r="S19" t="n">
        <x:f>IF(S$1="","",IFERROR(INDEX('代表咚声数据'!$B$2:$U$39,ROW()-1,MATCH(S$1&amp;"_较响",'代表咚声数据'!$B$1:$U$1,0)),""))</x:f>
        <x:v>77.42703011942453</x:v>
      </x:c>
      <x:c r="T19" t="str">
        <x:f>IF(T$1="","",IFERROR(INDEX('代表咚声数据'!$B$2:$U$39,ROW()-1,MATCH(T$1&amp;"_较响",'代表咚声数据'!$B$1:$U$1,0)),""))</x:f>
      </x:c>
      <x:c r="U19" t="str">
        <x:f>IF(U$1="","",IFERROR(INDEX('代表咚声数据'!$B$2:$U$39,ROW()-1,MATCH(U$1&amp;"_较响",'代表咚声数据'!$B$1:$U$1,0)),""))</x:f>
      </x:c>
      <x:c r="V19" t="str">
        <x:f>IF(V$1="","",IFERROR(INDEX('代表咚声数据'!$B$2:$U$39,ROW()-1,MATCH(V$1&amp;"_较响",'代表咚声数据'!$B$1:$U$1,0)),""))</x:f>
      </x:c>
      <x:c r="W19" t="str">
        <x:f>IF(W$1="","",IFERROR(INDEX('代表咚声数据'!$B$2:$U$39,ROW()-1,MATCH(W$1&amp;"_较响",'代表咚声数据'!$B$1:$U$1,0)),""))</x:f>
      </x:c>
    </x:row>
    <x:row r="20">
      <x:c r="A20" t="n">
        <x:v>1.8</x:v>
      </x:c>
      <x:c r="B20" t="n">
        <x:f>IF(B$1="","",IFERROR(INDEX('包络曲线数据'!$B$2:$K$742,ROW()-1,MATCH(B$1,'包络曲线数据'!$B$1:$K$1,0)),""))</x:f>
        <x:v>67.72717444100489</x:v>
      </x:c>
      <x:c r="C20" t="n">
        <x:f>IF(C$1="","",IFERROR(INDEX('包络曲线数据'!$B$2:$K$742,ROW()-1,MATCH(C$1,'包络曲线数据'!$B$1:$K$1,0)),""))</x:f>
        <x:v>66.67034548632098</x:v>
      </x:c>
      <x:c r="D20" t="str">
        <x:f>IF(D$1="","",IFERROR(INDEX('包络曲线数据'!$B$2:$K$742,ROW()-1,MATCH(D$1,'包络曲线数据'!$B$1:$K$1,0)),""))</x:f>
      </x:c>
      <x:c r="E20" t="str">
        <x:f>IF(E$1="","",IFERROR(INDEX('包络曲线数据'!$B$2:$K$742,ROW()-1,MATCH(E$1,'包络曲线数据'!$B$1:$K$1,0)),""))</x:f>
      </x:c>
      <x:c r="F20" t="str">
        <x:f>IF(F$1="","",IFERROR(INDEX('包络曲线数据'!$B$2:$K$742,ROW()-1,MATCH(F$1,'包络曲线数据'!$B$1:$K$1,0)),""))</x:f>
      </x:c>
      <x:c r="G20" t="str">
        <x:f>IF(G$1="","",IFERROR(INDEX('包络曲线数据'!$B$2:$K$742,ROW()-1,MATCH(G$1,'包络曲线数据'!$B$1:$K$1,0)),""))</x:f>
      </x:c>
      <x:c r="I20" t="n">
        <x:v>60.000000000000334</x:v>
      </x:c>
      <x:c r="J20" t="n">
        <x:f>IF(J$1="","",IFERROR(INDEX('代表咚声数据'!$B$2:$U$39,ROW()-1,MATCH(J$1&amp;"_常见",'代表咚声数据'!$B$1:$U$1,0)),""))</x:f>
        <x:v>69.38840646566132</x:v>
      </x:c>
      <x:c r="K20" t="n">
        <x:f>IF(K$1="","",IFERROR(INDEX('代表咚声数据'!$B$2:$U$39,ROW()-1,MATCH(K$1&amp;"_常见",'代表咚声数据'!$B$1:$U$1,0)),""))</x:f>
        <x:v>67.55867908424892</x:v>
      </x:c>
      <x:c r="L20" t="str">
        <x:f>IF(L$1="","",IFERROR(INDEX('代表咚声数据'!$B$2:$U$39,ROW()-1,MATCH(L$1&amp;"_常见",'代表咚声数据'!$B$1:$U$1,0)),""))</x:f>
      </x:c>
      <x:c r="M20" t="str">
        <x:f>IF(M$1="","",IFERROR(INDEX('代表咚声数据'!$B$2:$U$39,ROW()-1,MATCH(M$1&amp;"_常见",'代表咚声数据'!$B$1:$U$1,0)),""))</x:f>
      </x:c>
      <x:c r="N20" t="str">
        <x:f>IF(N$1="","",IFERROR(INDEX('代表咚声数据'!$B$2:$U$39,ROW()-1,MATCH(N$1&amp;"_常见",'代表咚声数据'!$B$1:$U$1,0)),""))</x:f>
      </x:c>
      <x:c r="O20" t="str">
        <x:f>IF(O$1="","",IFERROR(INDEX('代表咚声数据'!$B$2:$U$39,ROW()-1,MATCH(O$1&amp;"_常见",'代表咚声数据'!$B$1:$U$1,0)),""))</x:f>
      </x:c>
      <x:c r="Q20" t="n">
        <x:v>60.000000000000334</x:v>
      </x:c>
      <x:c r="R20" t="n">
        <x:f>IF(R$1="","",IFERROR(INDEX('代表咚声数据'!$B$2:$U$39,ROW()-1,MATCH(R$1&amp;"_较响",'代表咚声数据'!$B$1:$U$1,0)),""))</x:f>
        <x:v>73.86817889829007</x:v>
      </x:c>
      <x:c r="S20" t="n">
        <x:f>IF(S$1="","",IFERROR(INDEX('代表咚声数据'!$B$2:$U$39,ROW()-1,MATCH(S$1&amp;"_较响",'代表咚声数据'!$B$1:$U$1,0)),""))</x:f>
        <x:v>76.24179485498995</x:v>
      </x:c>
      <x:c r="T20" t="str">
        <x:f>IF(T$1="","",IFERROR(INDEX('代表咚声数据'!$B$2:$U$39,ROW()-1,MATCH(T$1&amp;"_较响",'代表咚声数据'!$B$1:$U$1,0)),""))</x:f>
      </x:c>
      <x:c r="U20" t="str">
        <x:f>IF(U$1="","",IFERROR(INDEX('代表咚声数据'!$B$2:$U$39,ROW()-1,MATCH(U$1&amp;"_较响",'代表咚声数据'!$B$1:$U$1,0)),""))</x:f>
      </x:c>
      <x:c r="V20" t="str">
        <x:f>IF(V$1="","",IFERROR(INDEX('代表咚声数据'!$B$2:$U$39,ROW()-1,MATCH(V$1&amp;"_较响",'代表咚声数据'!$B$1:$U$1,0)),""))</x:f>
      </x:c>
      <x:c r="W20" t="str">
        <x:f>IF(W$1="","",IFERROR(INDEX('代表咚声数据'!$B$2:$U$39,ROW()-1,MATCH(W$1&amp;"_较响",'代表咚声数据'!$B$1:$U$1,0)),""))</x:f>
      </x:c>
    </x:row>
    <x:row r="21">
      <x:c r="A21" t="n">
        <x:v>1.9000000000000001</x:v>
      </x:c>
      <x:c r="B21" t="n">
        <x:f>IF(B$1="","",IFERROR(INDEX('包络曲线数据'!$B$2:$K$742,ROW()-1,MATCH(B$1,'包络曲线数据'!$B$1:$K$1,0)),""))</x:f>
        <x:v>82.94509958650085</x:v>
      </x:c>
      <x:c r="C21" t="n">
        <x:f>IF(C$1="","",IFERROR(INDEX('包络曲线数据'!$B$2:$K$742,ROW()-1,MATCH(C$1,'包络曲线数据'!$B$1:$K$1,0)),""))</x:f>
        <x:v>60.71407693193899</x:v>
      </x:c>
      <x:c r="D21" t="str">
        <x:f>IF(D$1="","",IFERROR(INDEX('包络曲线数据'!$B$2:$K$742,ROW()-1,MATCH(D$1,'包络曲线数据'!$B$1:$K$1,0)),""))</x:f>
      </x:c>
      <x:c r="E21" t="str">
        <x:f>IF(E$1="","",IFERROR(INDEX('包络曲线数据'!$B$2:$K$742,ROW()-1,MATCH(E$1,'包络曲线数据'!$B$1:$K$1,0)),""))</x:f>
      </x:c>
      <x:c r="F21" t="str">
        <x:f>IF(F$1="","",IFERROR(INDEX('包络曲线数据'!$B$2:$K$742,ROW()-1,MATCH(F$1,'包络曲线数据'!$B$1:$K$1,0)),""))</x:f>
      </x:c>
      <x:c r="G21" t="str">
        <x:f>IF(G$1="","",IFERROR(INDEX('包络曲线数据'!$B$2:$K$742,ROW()-1,MATCH(G$1,'包络曲线数据'!$B$1:$K$1,0)),""))</x:f>
      </x:c>
      <x:c r="I21" t="n">
        <x:v>80.00000000000036</x:v>
      </x:c>
      <x:c r="J21" t="n">
        <x:f>IF(J$1="","",IFERROR(INDEX('代表咚声数据'!$B$2:$U$39,ROW()-1,MATCH(J$1&amp;"_常见",'代表咚声数据'!$B$1:$U$1,0)),""))</x:f>
        <x:v>67.66386962610395</x:v>
      </x:c>
      <x:c r="K21" t="n">
        <x:f>IF(K$1="","",IFERROR(INDEX('代表咚声数据'!$B$2:$U$39,ROW()-1,MATCH(K$1&amp;"_常见",'代表咚声数据'!$B$1:$U$1,0)),""))</x:f>
        <x:v>66.76760418471508</x:v>
      </x:c>
      <x:c r="L21" t="str">
        <x:f>IF(L$1="","",IFERROR(INDEX('代表咚声数据'!$B$2:$U$39,ROW()-1,MATCH(L$1&amp;"_常见",'代表咚声数据'!$B$1:$U$1,0)),""))</x:f>
      </x:c>
      <x:c r="M21" t="str">
        <x:f>IF(M$1="","",IFERROR(INDEX('代表咚声数据'!$B$2:$U$39,ROW()-1,MATCH(M$1&amp;"_常见",'代表咚声数据'!$B$1:$U$1,0)),""))</x:f>
      </x:c>
      <x:c r="N21" t="str">
        <x:f>IF(N$1="","",IFERROR(INDEX('代表咚声数据'!$B$2:$U$39,ROW()-1,MATCH(N$1&amp;"_常见",'代表咚声数据'!$B$1:$U$1,0)),""))</x:f>
      </x:c>
      <x:c r="O21" t="str">
        <x:f>IF(O$1="","",IFERROR(INDEX('代表咚声数据'!$B$2:$U$39,ROW()-1,MATCH(O$1&amp;"_常见",'代表咚声数据'!$B$1:$U$1,0)),""))</x:f>
      </x:c>
      <x:c r="Q21" t="n">
        <x:v>80.00000000000036</x:v>
      </x:c>
      <x:c r="R21" t="n">
        <x:f>IF(R$1="","",IFERROR(INDEX('代表咚声数据'!$B$2:$U$39,ROW()-1,MATCH(R$1&amp;"_较响",'代表咚声数据'!$B$1:$U$1,0)),""))</x:f>
        <x:v>72.72425031649333</x:v>
      </x:c>
      <x:c r="S21" t="n">
        <x:f>IF(S$1="","",IFERROR(INDEX('代表咚声数据'!$B$2:$U$39,ROW()-1,MATCH(S$1&amp;"_较响",'代表咚声数据'!$B$1:$U$1,0)),""))</x:f>
        <x:v>75.00607329086857</x:v>
      </x:c>
      <x:c r="T21" t="str">
        <x:f>IF(T$1="","",IFERROR(INDEX('代表咚声数据'!$B$2:$U$39,ROW()-1,MATCH(T$1&amp;"_较响",'代表咚声数据'!$B$1:$U$1,0)),""))</x:f>
      </x:c>
      <x:c r="U21" t="str">
        <x:f>IF(U$1="","",IFERROR(INDEX('代表咚声数据'!$B$2:$U$39,ROW()-1,MATCH(U$1&amp;"_较响",'代表咚声数据'!$B$1:$U$1,0)),""))</x:f>
      </x:c>
      <x:c r="V21" t="str">
        <x:f>IF(V$1="","",IFERROR(INDEX('代表咚声数据'!$B$2:$U$39,ROW()-1,MATCH(V$1&amp;"_较响",'代表咚声数据'!$B$1:$U$1,0)),""))</x:f>
      </x:c>
      <x:c r="W21" t="str">
        <x:f>IF(W$1="","",IFERROR(INDEX('代表咚声数据'!$B$2:$U$39,ROW()-1,MATCH(W$1&amp;"_较响",'代表咚声数据'!$B$1:$U$1,0)),""))</x:f>
      </x:c>
    </x:row>
    <x:row r="22">
      <x:c r="A22" t="n">
        <x:v>2</x:v>
      </x:c>
      <x:c r="B22" t="n">
        <x:f>IF(B$1="","",IFERROR(INDEX('包络曲线数据'!$B$2:$K$742,ROW()-1,MATCH(B$1,'包络曲线数据'!$B$1:$K$1,0)),""))</x:f>
        <x:v>83.53884537259137</x:v>
      </x:c>
      <x:c r="C22" t="n">
        <x:f>IF(C$1="","",IFERROR(INDEX('包络曲线数据'!$B$2:$K$742,ROW()-1,MATCH(C$1,'包络曲线数据'!$B$1:$K$1,0)),""))</x:f>
        <x:v>50</x:v>
      </x:c>
      <x:c r="D22" t="str">
        <x:f>IF(D$1="","",IFERROR(INDEX('包络曲线数据'!$B$2:$K$742,ROW()-1,MATCH(D$1,'包络曲线数据'!$B$1:$K$1,0)),""))</x:f>
      </x:c>
      <x:c r="E22" t="str">
        <x:f>IF(E$1="","",IFERROR(INDEX('包络曲线数据'!$B$2:$K$742,ROW()-1,MATCH(E$1,'包络曲线数据'!$B$1:$K$1,0)),""))</x:f>
      </x:c>
      <x:c r="F22" t="str">
        <x:f>IF(F$1="","",IFERROR(INDEX('包络曲线数据'!$B$2:$K$742,ROW()-1,MATCH(F$1,'包络曲线数据'!$B$1:$K$1,0)),""))</x:f>
      </x:c>
      <x:c r="G22" t="str">
        <x:f>IF(G$1="","",IFERROR(INDEX('包络曲线数据'!$B$2:$K$742,ROW()-1,MATCH(G$1,'包络曲线数据'!$B$1:$K$1,0)),""))</x:f>
      </x:c>
      <x:c r="I22" t="n">
        <x:v>100.00000000000037</x:v>
      </x:c>
      <x:c r="J22" t="n">
        <x:f>IF(J$1="","",IFERROR(INDEX('代表咚声数据'!$B$2:$U$39,ROW()-1,MATCH(J$1&amp;"_常见",'代表咚声数据'!$B$1:$U$1,0)),""))</x:f>
        <x:v>65.79707946276152</x:v>
      </x:c>
      <x:c r="K22" t="n">
        <x:f>IF(K$1="","",IFERROR(INDEX('代表咚声数据'!$B$2:$U$39,ROW()-1,MATCH(K$1&amp;"_常见",'代表咚声数据'!$B$1:$U$1,0)),""))</x:f>
        <x:v>65.8409569164848</x:v>
      </x:c>
      <x:c r="L22" t="str">
        <x:f>IF(L$1="","",IFERROR(INDEX('代表咚声数据'!$B$2:$U$39,ROW()-1,MATCH(L$1&amp;"_常见",'代表咚声数据'!$B$1:$U$1,0)),""))</x:f>
      </x:c>
      <x:c r="M22" t="str">
        <x:f>IF(M$1="","",IFERROR(INDEX('代表咚声数据'!$B$2:$U$39,ROW()-1,MATCH(M$1&amp;"_常见",'代表咚声数据'!$B$1:$U$1,0)),""))</x:f>
      </x:c>
      <x:c r="N22" t="str">
        <x:f>IF(N$1="","",IFERROR(INDEX('代表咚声数据'!$B$2:$U$39,ROW()-1,MATCH(N$1&amp;"_常见",'代表咚声数据'!$B$1:$U$1,0)),""))</x:f>
      </x:c>
      <x:c r="O22" t="str">
        <x:f>IF(O$1="","",IFERROR(INDEX('代表咚声数据'!$B$2:$U$39,ROW()-1,MATCH(O$1&amp;"_常见",'代表咚声数据'!$B$1:$U$1,0)),""))</x:f>
      </x:c>
      <x:c r="Q22" t="n">
        <x:v>100.00000000000037</x:v>
      </x:c>
      <x:c r="R22" t="n">
        <x:f>IF(R$1="","",IFERROR(INDEX('代表咚声数据'!$B$2:$U$39,ROW()-1,MATCH(R$1&amp;"_较响",'代表咚声数据'!$B$1:$U$1,0)),""))</x:f>
        <x:v>71.62085622284066</x:v>
      </x:c>
      <x:c r="S22" t="n">
        <x:f>IF(S$1="","",IFERROR(INDEX('代表咚声数据'!$B$2:$U$39,ROW()-1,MATCH(S$1&amp;"_较响",'代表咚声数据'!$B$1:$U$1,0)),""))</x:f>
        <x:v>73.47451248969466</x:v>
      </x:c>
      <x:c r="T22" t="str">
        <x:f>IF(T$1="","",IFERROR(INDEX('代表咚声数据'!$B$2:$U$39,ROW()-1,MATCH(T$1&amp;"_较响",'代表咚声数据'!$B$1:$U$1,0)),""))</x:f>
      </x:c>
      <x:c r="U22" t="str">
        <x:f>IF(U$1="","",IFERROR(INDEX('代表咚声数据'!$B$2:$U$39,ROW()-1,MATCH(U$1&amp;"_较响",'代表咚声数据'!$B$1:$U$1,0)),""))</x:f>
      </x:c>
      <x:c r="V22" t="str">
        <x:f>IF(V$1="","",IFERROR(INDEX('代表咚声数据'!$B$2:$U$39,ROW()-1,MATCH(V$1&amp;"_较响",'代表咚声数据'!$B$1:$U$1,0)),""))</x:f>
      </x:c>
      <x:c r="W22" t="str">
        <x:f>IF(W$1="","",IFERROR(INDEX('代表咚声数据'!$B$2:$U$39,ROW()-1,MATCH(W$1&amp;"_较响",'代表咚声数据'!$B$1:$U$1,0)),""))</x:f>
      </x:c>
    </x:row>
    <x:row r="23">
      <x:c r="A23" t="n">
        <x:v>2.1</x:v>
      </x:c>
      <x:c r="B23" t="n">
        <x:f>IF(B$1="","",IFERROR(INDEX('包络曲线数据'!$B$2:$K$742,ROW()-1,MATCH(B$1,'包络曲线数据'!$B$1:$K$1,0)),""))</x:f>
        <x:v>82.74763834507377</x:v>
      </x:c>
      <x:c r="C23" t="n">
        <x:f>IF(C$1="","",IFERROR(INDEX('包络曲线数据'!$B$2:$K$742,ROW()-1,MATCH(C$1,'包络曲线数据'!$B$1:$K$1,0)),""))</x:f>
        <x:v>50</x:v>
      </x:c>
      <x:c r="D23" t="str">
        <x:f>IF(D$1="","",IFERROR(INDEX('包络曲线数据'!$B$2:$K$742,ROW()-1,MATCH(D$1,'包络曲线数据'!$B$1:$K$1,0)),""))</x:f>
      </x:c>
      <x:c r="E23" t="str">
        <x:f>IF(E$1="","",IFERROR(INDEX('包络曲线数据'!$B$2:$K$742,ROW()-1,MATCH(E$1,'包络曲线数据'!$B$1:$K$1,0)),""))</x:f>
      </x:c>
      <x:c r="F23" t="str">
        <x:f>IF(F$1="","",IFERROR(INDEX('包络曲线数据'!$B$2:$K$742,ROW()-1,MATCH(F$1,'包络曲线数据'!$B$1:$K$1,0)),""))</x:f>
      </x:c>
      <x:c r="G23" t="str">
        <x:f>IF(G$1="","",IFERROR(INDEX('包络曲线数据'!$B$2:$K$742,ROW()-1,MATCH(G$1,'包络曲线数据'!$B$1:$K$1,0)),""))</x:f>
      </x:c>
      <x:c r="I23" t="n">
        <x:v>120.00000000000038</x:v>
      </x:c>
      <x:c r="J23" t="n">
        <x:f>IF(J$1="","",IFERROR(INDEX('代表咚声数据'!$B$2:$U$39,ROW()-1,MATCH(J$1&amp;"_常见",'代表咚声数据'!$B$1:$U$1,0)),""))</x:f>
        <x:v>63.07255421890595</x:v>
      </x:c>
      <x:c r="K23" t="n">
        <x:f>IF(K$1="","",IFERROR(INDEX('代表咚声数据'!$B$2:$U$39,ROW()-1,MATCH(K$1&amp;"_常见",'代表咚声数据'!$B$1:$U$1,0)),""))</x:f>
        <x:v>65.75702176741567</x:v>
      </x:c>
      <x:c r="L23" t="str">
        <x:f>IF(L$1="","",IFERROR(INDEX('代表咚声数据'!$B$2:$U$39,ROW()-1,MATCH(L$1&amp;"_常见",'代表咚声数据'!$B$1:$U$1,0)),""))</x:f>
      </x:c>
      <x:c r="M23" t="str">
        <x:f>IF(M$1="","",IFERROR(INDEX('代表咚声数据'!$B$2:$U$39,ROW()-1,MATCH(M$1&amp;"_常见",'代表咚声数据'!$B$1:$U$1,0)),""))</x:f>
      </x:c>
      <x:c r="N23" t="str">
        <x:f>IF(N$1="","",IFERROR(INDEX('代表咚声数据'!$B$2:$U$39,ROW()-1,MATCH(N$1&amp;"_常见",'代表咚声数据'!$B$1:$U$1,0)),""))</x:f>
      </x:c>
      <x:c r="O23" t="str">
        <x:f>IF(O$1="","",IFERROR(INDEX('代表咚声数据'!$B$2:$U$39,ROW()-1,MATCH(O$1&amp;"_常见",'代表咚声数据'!$B$1:$U$1,0)),""))</x:f>
      </x:c>
      <x:c r="Q23" t="n">
        <x:v>120.00000000000038</x:v>
      </x:c>
      <x:c r="R23" t="n">
        <x:f>IF(R$1="","",IFERROR(INDEX('代表咚声数据'!$B$2:$U$39,ROW()-1,MATCH(R$1&amp;"_较响",'代表咚声数据'!$B$1:$U$1,0)),""))</x:f>
        <x:v>70.62148825277916</x:v>
      </x:c>
      <x:c r="S23" t="n">
        <x:f>IF(S$1="","",IFERROR(INDEX('代表咚声数据'!$B$2:$U$39,ROW()-1,MATCH(S$1&amp;"_较响",'代表咚声数据'!$B$1:$U$1,0)),""))</x:f>
        <x:v>72.5053585651713</x:v>
      </x:c>
      <x:c r="T23" t="str">
        <x:f>IF(T$1="","",IFERROR(INDEX('代表咚声数据'!$B$2:$U$39,ROW()-1,MATCH(T$1&amp;"_较响",'代表咚声数据'!$B$1:$U$1,0)),""))</x:f>
      </x:c>
      <x:c r="U23" t="str">
        <x:f>IF(U$1="","",IFERROR(INDEX('代表咚声数据'!$B$2:$U$39,ROW()-1,MATCH(U$1&amp;"_较响",'代表咚声数据'!$B$1:$U$1,0)),""))</x:f>
      </x:c>
      <x:c r="V23" t="str">
        <x:f>IF(V$1="","",IFERROR(INDEX('代表咚声数据'!$B$2:$U$39,ROW()-1,MATCH(V$1&amp;"_较响",'代表咚声数据'!$B$1:$U$1,0)),""))</x:f>
      </x:c>
      <x:c r="W23" t="str">
        <x:f>IF(W$1="","",IFERROR(INDEX('代表咚声数据'!$B$2:$U$39,ROW()-1,MATCH(W$1&amp;"_较响",'代表咚声数据'!$B$1:$U$1,0)),""))</x:f>
      </x:c>
    </x:row>
    <x:row r="24">
      <x:c r="A24" t="n">
        <x:v>2.2</x:v>
      </x:c>
      <x:c r="B24" t="n">
        <x:f>IF(B$1="","",IFERROR(INDEX('包络曲线数据'!$B$2:$K$742,ROW()-1,MATCH(B$1,'包络曲线数据'!$B$1:$K$1,0)),""))</x:f>
        <x:v>73.23354335005678</x:v>
      </x:c>
      <x:c r="C24" t="n">
        <x:f>IF(C$1="","",IFERROR(INDEX('包络曲线数据'!$B$2:$K$742,ROW()-1,MATCH(C$1,'包络曲线数据'!$B$1:$K$1,0)),""))</x:f>
        <x:v>61.034546848340234</x:v>
      </x:c>
      <x:c r="D24" t="str">
        <x:f>IF(D$1="","",IFERROR(INDEX('包络曲线数据'!$B$2:$K$742,ROW()-1,MATCH(D$1,'包络曲线数据'!$B$1:$K$1,0)),""))</x:f>
      </x:c>
      <x:c r="E24" t="str">
        <x:f>IF(E$1="","",IFERROR(INDEX('包络曲线数据'!$B$2:$K$742,ROW()-1,MATCH(E$1,'包络曲线数据'!$B$1:$K$1,0)),""))</x:f>
      </x:c>
      <x:c r="F24" t="str">
        <x:f>IF(F$1="","",IFERROR(INDEX('包络曲线数据'!$B$2:$K$742,ROW()-1,MATCH(F$1,'包络曲线数据'!$B$1:$K$1,0)),""))</x:f>
      </x:c>
      <x:c r="G24" t="str">
        <x:f>IF(G$1="","",IFERROR(INDEX('包络曲线数据'!$B$2:$K$742,ROW()-1,MATCH(G$1,'包络曲线数据'!$B$1:$K$1,0)),""))</x:f>
      </x:c>
      <x:c r="I24" t="n">
        <x:v>140.0000000000004</x:v>
      </x:c>
      <x:c r="J24" t="n">
        <x:f>IF(J$1="","",IFERROR(INDEX('代表咚声数据'!$B$2:$U$39,ROW()-1,MATCH(J$1&amp;"_常见",'代表咚声数据'!$B$1:$U$1,0)),""))</x:f>
        <x:v>62.32262867649633</x:v>
      </x:c>
      <x:c r="K24" t="n">
        <x:f>IF(K$1="","",IFERROR(INDEX('代表咚声数据'!$B$2:$U$39,ROW()-1,MATCH(K$1&amp;"_常见",'代表咚声数据'!$B$1:$U$1,0)),""))</x:f>
        <x:v>64.9581865419288</x:v>
      </x:c>
      <x:c r="L24" t="str">
        <x:f>IF(L$1="","",IFERROR(INDEX('代表咚声数据'!$B$2:$U$39,ROW()-1,MATCH(L$1&amp;"_常见",'代表咚声数据'!$B$1:$U$1,0)),""))</x:f>
      </x:c>
      <x:c r="M24" t="str">
        <x:f>IF(M$1="","",IFERROR(INDEX('代表咚声数据'!$B$2:$U$39,ROW()-1,MATCH(M$1&amp;"_常见",'代表咚声数据'!$B$1:$U$1,0)),""))</x:f>
      </x:c>
      <x:c r="N24" t="str">
        <x:f>IF(N$1="","",IFERROR(INDEX('代表咚声数据'!$B$2:$U$39,ROW()-1,MATCH(N$1&amp;"_常见",'代表咚声数据'!$B$1:$U$1,0)),""))</x:f>
      </x:c>
      <x:c r="O24" t="str">
        <x:f>IF(O$1="","",IFERROR(INDEX('代表咚声数据'!$B$2:$U$39,ROW()-1,MATCH(O$1&amp;"_常见",'代表咚声数据'!$B$1:$U$1,0)),""))</x:f>
      </x:c>
      <x:c r="Q24" t="n">
        <x:v>140.0000000000004</x:v>
      </x:c>
      <x:c r="R24" t="n">
        <x:f>IF(R$1="","",IFERROR(INDEX('代表咚声数据'!$B$2:$U$39,ROW()-1,MATCH(R$1&amp;"_较响",'代表咚声数据'!$B$1:$U$1,0)),""))</x:f>
        <x:v>68.8562173785293</x:v>
      </x:c>
      <x:c r="S24" t="n">
        <x:f>IF(S$1="","",IFERROR(INDEX('代表咚声数据'!$B$2:$U$39,ROW()-1,MATCH(S$1&amp;"_较响",'代表咚声数据'!$B$1:$U$1,0)),""))</x:f>
        <x:v>71.39113632655777</x:v>
      </x:c>
      <x:c r="T24" t="str">
        <x:f>IF(T$1="","",IFERROR(INDEX('代表咚声数据'!$B$2:$U$39,ROW()-1,MATCH(T$1&amp;"_较响",'代表咚声数据'!$B$1:$U$1,0)),""))</x:f>
      </x:c>
      <x:c r="U24" t="str">
        <x:f>IF(U$1="","",IFERROR(INDEX('代表咚声数据'!$B$2:$U$39,ROW()-1,MATCH(U$1&amp;"_较响",'代表咚声数据'!$B$1:$U$1,0)),""))</x:f>
      </x:c>
      <x:c r="V24" t="str">
        <x:f>IF(V$1="","",IFERROR(INDEX('代表咚声数据'!$B$2:$U$39,ROW()-1,MATCH(V$1&amp;"_较响",'代表咚声数据'!$B$1:$U$1,0)),""))</x:f>
      </x:c>
      <x:c r="W24" t="str">
        <x:f>IF(W$1="","",IFERROR(INDEX('代表咚声数据'!$B$2:$U$39,ROW()-1,MATCH(W$1&amp;"_较响",'代表咚声数据'!$B$1:$U$1,0)),""))</x:f>
      </x:c>
    </x:row>
    <x:row r="25">
      <x:c r="A25" t="n">
        <x:v>2.3000000000000003</x:v>
      </x:c>
      <x:c r="B25" t="n">
        <x:f>IF(B$1="","",IFERROR(INDEX('包络曲线数据'!$B$2:$K$742,ROW()-1,MATCH(B$1,'包络曲线数据'!$B$1:$K$1,0)),""))</x:f>
        <x:v>66.27860794892946</x:v>
      </x:c>
      <x:c r="C25" t="n">
        <x:f>IF(C$1="","",IFERROR(INDEX('包络曲线数据'!$B$2:$K$742,ROW()-1,MATCH(C$1,'包络曲线数据'!$B$1:$K$1,0)),""))</x:f>
        <x:v>61.03454684833999</x:v>
      </x:c>
      <x:c r="D25" t="str">
        <x:f>IF(D$1="","",IFERROR(INDEX('包络曲线数据'!$B$2:$K$742,ROW()-1,MATCH(D$1,'包络曲线数据'!$B$1:$K$1,0)),""))</x:f>
      </x:c>
      <x:c r="E25" t="str">
        <x:f>IF(E$1="","",IFERROR(INDEX('包络曲线数据'!$B$2:$K$742,ROW()-1,MATCH(E$1,'包络曲线数据'!$B$1:$K$1,0)),""))</x:f>
      </x:c>
      <x:c r="F25" t="str">
        <x:f>IF(F$1="","",IFERROR(INDEX('包络曲线数据'!$B$2:$K$742,ROW()-1,MATCH(F$1,'包络曲线数据'!$B$1:$K$1,0)),""))</x:f>
      </x:c>
      <x:c r="G25" t="str">
        <x:f>IF(G$1="","",IFERROR(INDEX('包络曲线数据'!$B$2:$K$742,ROW()-1,MATCH(G$1,'包络曲线数据'!$B$1:$K$1,0)),""))</x:f>
      </x:c>
      <x:c r="I25" t="n">
        <x:v>160.00000000000043</x:v>
      </x:c>
      <x:c r="J25" t="n">
        <x:f>IF(J$1="","",IFERROR(INDEX('代表咚声数据'!$B$2:$U$39,ROW()-1,MATCH(J$1&amp;"_常见",'代表咚声数据'!$B$1:$U$1,0)),""))</x:f>
        <x:v>63.27061941143956</x:v>
      </x:c>
      <x:c r="K25" t="n">
        <x:f>IF(K$1="","",IFERROR(INDEX('代表咚声数据'!$B$2:$U$39,ROW()-1,MATCH(K$1&amp;"_常见",'代表咚声数据'!$B$1:$U$1,0)),""))</x:f>
        <x:v>64.89101176978578</x:v>
      </x:c>
      <x:c r="L25" t="str">
        <x:f>IF(L$1="","",IFERROR(INDEX('代表咚声数据'!$B$2:$U$39,ROW()-1,MATCH(L$1&amp;"_常见",'代表咚声数据'!$B$1:$U$1,0)),""))</x:f>
      </x:c>
      <x:c r="M25" t="str">
        <x:f>IF(M$1="","",IFERROR(INDEX('代表咚声数据'!$B$2:$U$39,ROW()-1,MATCH(M$1&amp;"_常见",'代表咚声数据'!$B$1:$U$1,0)),""))</x:f>
      </x:c>
      <x:c r="N25" t="str">
        <x:f>IF(N$1="","",IFERROR(INDEX('代表咚声数据'!$B$2:$U$39,ROW()-1,MATCH(N$1&amp;"_常见",'代表咚声数据'!$B$1:$U$1,0)),""))</x:f>
      </x:c>
      <x:c r="O25" t="str">
        <x:f>IF(O$1="","",IFERROR(INDEX('代表咚声数据'!$B$2:$U$39,ROW()-1,MATCH(O$1&amp;"_常见",'代表咚声数据'!$B$1:$U$1,0)),""))</x:f>
      </x:c>
      <x:c r="Q25" t="n">
        <x:v>160.00000000000043</x:v>
      </x:c>
      <x:c r="R25" t="n">
        <x:f>IF(R$1="","",IFERROR(INDEX('代表咚声数据'!$B$2:$U$39,ROW()-1,MATCH(R$1&amp;"_较响",'代表咚声数据'!$B$1:$U$1,0)),""))</x:f>
        <x:v>68.0763688331384</x:v>
      </x:c>
      <x:c r="S25" t="n">
        <x:f>IF(S$1="","",IFERROR(INDEX('代表咚声数据'!$B$2:$U$39,ROW()-1,MATCH(S$1&amp;"_较响",'代表咚声数据'!$B$1:$U$1,0)),""))</x:f>
        <x:v>70.93960151982853</x:v>
      </x:c>
      <x:c r="T25" t="str">
        <x:f>IF(T$1="","",IFERROR(INDEX('代表咚声数据'!$B$2:$U$39,ROW()-1,MATCH(T$1&amp;"_较响",'代表咚声数据'!$B$1:$U$1,0)),""))</x:f>
      </x:c>
      <x:c r="U25" t="str">
        <x:f>IF(U$1="","",IFERROR(INDEX('代表咚声数据'!$B$2:$U$39,ROW()-1,MATCH(U$1&amp;"_较响",'代表咚声数据'!$B$1:$U$1,0)),""))</x:f>
      </x:c>
      <x:c r="V25" t="str">
        <x:f>IF(V$1="","",IFERROR(INDEX('代表咚声数据'!$B$2:$U$39,ROW()-1,MATCH(V$1&amp;"_较响",'代表咚声数据'!$B$1:$U$1,0)),""))</x:f>
      </x:c>
      <x:c r="W25" t="str">
        <x:f>IF(W$1="","",IFERROR(INDEX('代表咚声数据'!$B$2:$U$39,ROW()-1,MATCH(W$1&amp;"_较响",'代表咚声数据'!$B$1:$U$1,0)),""))</x:f>
      </x:c>
    </x:row>
    <x:row r="26">
      <x:c r="A26" t="n">
        <x:v>2.4000000000000004</x:v>
      </x:c>
      <x:c r="B26" t="n">
        <x:f>IF(B$1="","",IFERROR(INDEX('包络曲线数据'!$B$2:$K$742,ROW()-1,MATCH(B$1,'包络曲线数据'!$B$1:$K$1,0)),""))</x:f>
        <x:v>65.7531895261657</x:v>
      </x:c>
      <x:c r="C26" t="n">
        <x:f>IF(C$1="","",IFERROR(INDEX('包络曲线数据'!$B$2:$K$742,ROW()-1,MATCH(C$1,'包络曲线数据'!$B$1:$K$1,0)),""))</x:f>
        <x:v>72.42656122659531</x:v>
      </x:c>
      <x:c r="D26" t="str">
        <x:f>IF(D$1="","",IFERROR(INDEX('包络曲线数据'!$B$2:$K$742,ROW()-1,MATCH(D$1,'包络曲线数据'!$B$1:$K$1,0)),""))</x:f>
      </x:c>
      <x:c r="E26" t="str">
        <x:f>IF(E$1="","",IFERROR(INDEX('包络曲线数据'!$B$2:$K$742,ROW()-1,MATCH(E$1,'包络曲线数据'!$B$1:$K$1,0)),""))</x:f>
      </x:c>
      <x:c r="F26" t="str">
        <x:f>IF(F$1="","",IFERROR(INDEX('包络曲线数据'!$B$2:$K$742,ROW()-1,MATCH(F$1,'包络曲线数据'!$B$1:$K$1,0)),""))</x:f>
      </x:c>
      <x:c r="G26" t="str">
        <x:f>IF(G$1="","",IFERROR(INDEX('包络曲线数据'!$B$2:$K$742,ROW()-1,MATCH(G$1,'包络曲线数据'!$B$1:$K$1,0)),""))</x:f>
      </x:c>
      <x:c r="I26" t="n">
        <x:v>180.00000000000043</x:v>
      </x:c>
      <x:c r="J26" t="n">
        <x:f>IF(J$1="","",IFERROR(INDEX('代表咚声数据'!$B$2:$U$39,ROW()-1,MATCH(J$1&amp;"_常见",'代表咚声数据'!$B$1:$U$1,0)),""))</x:f>
        <x:v>63.49115837499229</x:v>
      </x:c>
      <x:c r="K26" t="n">
        <x:f>IF(K$1="","",IFERROR(INDEX('代表咚声数据'!$B$2:$U$39,ROW()-1,MATCH(K$1&amp;"_常见",'代表咚声数据'!$B$1:$U$1,0)),""))</x:f>
        <x:v>64.52464181842109</x:v>
      </x:c>
      <x:c r="L26" t="str">
        <x:f>IF(L$1="","",IFERROR(INDEX('代表咚声数据'!$B$2:$U$39,ROW()-1,MATCH(L$1&amp;"_常见",'代表咚声数据'!$B$1:$U$1,0)),""))</x:f>
      </x:c>
      <x:c r="M26" t="str">
        <x:f>IF(M$1="","",IFERROR(INDEX('代表咚声数据'!$B$2:$U$39,ROW()-1,MATCH(M$1&amp;"_常见",'代表咚声数据'!$B$1:$U$1,0)),""))</x:f>
      </x:c>
      <x:c r="N26" t="str">
        <x:f>IF(N$1="","",IFERROR(INDEX('代表咚声数据'!$B$2:$U$39,ROW()-1,MATCH(N$1&amp;"_常见",'代表咚声数据'!$B$1:$U$1,0)),""))</x:f>
      </x:c>
      <x:c r="O26" t="str">
        <x:f>IF(O$1="","",IFERROR(INDEX('代表咚声数据'!$B$2:$U$39,ROW()-1,MATCH(O$1&amp;"_常见",'代表咚声数据'!$B$1:$U$1,0)),""))</x:f>
      </x:c>
      <x:c r="Q26" t="n">
        <x:v>180.00000000000043</x:v>
      </x:c>
      <x:c r="R26" t="n">
        <x:f>IF(R$1="","",IFERROR(INDEX('代表咚声数据'!$B$2:$U$39,ROW()-1,MATCH(R$1&amp;"_较响",'代表咚声数据'!$B$1:$U$1,0)),""))</x:f>
        <x:v>66.26517884076277</x:v>
      </x:c>
      <x:c r="S26" t="n">
        <x:f>IF(S$1="","",IFERROR(INDEX('代表咚声数据'!$B$2:$U$39,ROW()-1,MATCH(S$1&amp;"_较响",'代表咚声数据'!$B$1:$U$1,0)),""))</x:f>
        <x:v>68.71611303235669</x:v>
      </x:c>
      <x:c r="T26" t="str">
        <x:f>IF(T$1="","",IFERROR(INDEX('代表咚声数据'!$B$2:$U$39,ROW()-1,MATCH(T$1&amp;"_较响",'代表咚声数据'!$B$1:$U$1,0)),""))</x:f>
      </x:c>
      <x:c r="U26" t="str">
        <x:f>IF(U$1="","",IFERROR(INDEX('代表咚声数据'!$B$2:$U$39,ROW()-1,MATCH(U$1&amp;"_较响",'代表咚声数据'!$B$1:$U$1,0)),""))</x:f>
      </x:c>
      <x:c r="V26" t="str">
        <x:f>IF(V$1="","",IFERROR(INDEX('代表咚声数据'!$B$2:$U$39,ROW()-1,MATCH(V$1&amp;"_较响",'代表咚声数据'!$B$1:$U$1,0)),""))</x:f>
      </x:c>
      <x:c r="W26" t="str">
        <x:f>IF(W$1="","",IFERROR(INDEX('代表咚声数据'!$B$2:$U$39,ROW()-1,MATCH(W$1&amp;"_较响",'代表咚声数据'!$B$1:$U$1,0)),""))</x:f>
      </x:c>
    </x:row>
    <x:row r="27">
      <x:c r="A27" t="n">
        <x:v>2.5</x:v>
      </x:c>
      <x:c r="B27" t="n">
        <x:f>IF(B$1="","",IFERROR(INDEX('包络曲线数据'!$B$2:$K$742,ROW()-1,MATCH(B$1,'包络曲线数据'!$B$1:$K$1,0)),""))</x:f>
        <x:v>58.83126465902929</x:v>
      </x:c>
      <x:c r="C27" t="n">
        <x:f>IF(C$1="","",IFERROR(INDEX('包络曲线数据'!$B$2:$K$742,ROW()-1,MATCH(C$1,'包络曲线数据'!$B$1:$K$1,0)),""))</x:f>
        <x:v>75.30347443032895</x:v>
      </x:c>
      <x:c r="D27" t="str">
        <x:f>IF(D$1="","",IFERROR(INDEX('包络曲线数据'!$B$2:$K$742,ROW()-1,MATCH(D$1,'包络曲线数据'!$B$1:$K$1,0)),""))</x:f>
      </x:c>
      <x:c r="E27" t="str">
        <x:f>IF(E$1="","",IFERROR(INDEX('包络曲线数据'!$B$2:$K$742,ROW()-1,MATCH(E$1,'包络曲线数据'!$B$1:$K$1,0)),""))</x:f>
      </x:c>
      <x:c r="F27" t="str">
        <x:f>IF(F$1="","",IFERROR(INDEX('包络曲线数据'!$B$2:$K$742,ROW()-1,MATCH(F$1,'包络曲线数据'!$B$1:$K$1,0)),""))</x:f>
      </x:c>
      <x:c r="G27" t="str">
        <x:f>IF(G$1="","",IFERROR(INDEX('包络曲线数据'!$B$2:$K$742,ROW()-1,MATCH(G$1,'包络曲线数据'!$B$1:$K$1,0)),""))</x:f>
      </x:c>
      <x:c r="I27" t="n">
        <x:v>200.00000000000045</x:v>
      </x:c>
      <x:c r="J27" t="n">
        <x:f>IF(J$1="","",IFERROR(INDEX('代表咚声数据'!$B$2:$U$39,ROW()-1,MATCH(J$1&amp;"_常见",'代表咚声数据'!$B$1:$U$1,0)),""))</x:f>
        <x:v>63.69763928433608</x:v>
      </x:c>
      <x:c r="K27" t="n">
        <x:f>IF(K$1="","",IFERROR(INDEX('代表咚声数据'!$B$2:$U$39,ROW()-1,MATCH(K$1&amp;"_常见",'代表咚声数据'!$B$1:$U$1,0)),""))</x:f>
        <x:v>63.81305828452646</x:v>
      </x:c>
      <x:c r="L27" t="str">
        <x:f>IF(L$1="","",IFERROR(INDEX('代表咚声数据'!$B$2:$U$39,ROW()-1,MATCH(L$1&amp;"_常见",'代表咚声数据'!$B$1:$U$1,0)),""))</x:f>
      </x:c>
      <x:c r="M27" t="str">
        <x:f>IF(M$1="","",IFERROR(INDEX('代表咚声数据'!$B$2:$U$39,ROW()-1,MATCH(M$1&amp;"_常见",'代表咚声数据'!$B$1:$U$1,0)),""))</x:f>
      </x:c>
      <x:c r="N27" t="str">
        <x:f>IF(N$1="","",IFERROR(INDEX('代表咚声数据'!$B$2:$U$39,ROW()-1,MATCH(N$1&amp;"_常见",'代表咚声数据'!$B$1:$U$1,0)),""))</x:f>
      </x:c>
      <x:c r="O27" t="str">
        <x:f>IF(O$1="","",IFERROR(INDEX('代表咚声数据'!$B$2:$U$39,ROW()-1,MATCH(O$1&amp;"_常见",'代表咚声数据'!$B$1:$U$1,0)),""))</x:f>
      </x:c>
      <x:c r="Q27" t="n">
        <x:v>200.00000000000045</x:v>
      </x:c>
      <x:c r="R27" t="n">
        <x:f>IF(R$1="","",IFERROR(INDEX('代表咚声数据'!$B$2:$U$39,ROW()-1,MATCH(R$1&amp;"_较响",'代表咚声数据'!$B$1:$U$1,0)),""))</x:f>
        <x:v>65.89858697731268</x:v>
      </x:c>
      <x:c r="S27" t="n">
        <x:f>IF(S$1="","",IFERROR(INDEX('代表咚声数据'!$B$2:$U$39,ROW()-1,MATCH(S$1&amp;"_较响",'代表咚声数据'!$B$1:$U$1,0)),""))</x:f>
        <x:v>67.21685668598906</x:v>
      </x:c>
      <x:c r="T27" t="str">
        <x:f>IF(T$1="","",IFERROR(INDEX('代表咚声数据'!$B$2:$U$39,ROW()-1,MATCH(T$1&amp;"_较响",'代表咚声数据'!$B$1:$U$1,0)),""))</x:f>
      </x:c>
      <x:c r="U27" t="str">
        <x:f>IF(U$1="","",IFERROR(INDEX('代表咚声数据'!$B$2:$U$39,ROW()-1,MATCH(U$1&amp;"_较响",'代表咚声数据'!$B$1:$U$1,0)),""))</x:f>
      </x:c>
      <x:c r="V27" t="str">
        <x:f>IF(V$1="","",IFERROR(INDEX('代表咚声数据'!$B$2:$U$39,ROW()-1,MATCH(V$1&amp;"_较响",'代表咚声数据'!$B$1:$U$1,0)),""))</x:f>
      </x:c>
      <x:c r="W27" t="str">
        <x:f>IF(W$1="","",IFERROR(INDEX('代表咚声数据'!$B$2:$U$39,ROW()-1,MATCH(W$1&amp;"_较响",'代表咚声数据'!$B$1:$U$1,0)),""))</x:f>
      </x:c>
    </x:row>
    <x:row r="28">
      <x:c r="A28" t="n">
        <x:v>2.6</x:v>
      </x:c>
      <x:c r="B28" t="n">
        <x:f>IF(B$1="","",IFERROR(INDEX('包络曲线数据'!$B$2:$K$742,ROW()-1,MATCH(B$1,'包络曲线数据'!$B$1:$K$1,0)),""))</x:f>
        <x:v>58.92942336733426</x:v>
      </x:c>
      <x:c r="C28" t="n">
        <x:f>IF(C$1="","",IFERROR(INDEX('包络曲线数据'!$B$2:$K$742,ROW()-1,MATCH(C$1,'包络曲线数据'!$B$1:$K$1,0)),""))</x:f>
        <x:v>75.30347443032895</x:v>
      </x:c>
      <x:c r="D28" t="str">
        <x:f>IF(D$1="","",IFERROR(INDEX('包络曲线数据'!$B$2:$K$742,ROW()-1,MATCH(D$1,'包络曲线数据'!$B$1:$K$1,0)),""))</x:f>
      </x:c>
      <x:c r="E28" t="str">
        <x:f>IF(E$1="","",IFERROR(INDEX('包络曲线数据'!$B$2:$K$742,ROW()-1,MATCH(E$1,'包络曲线数据'!$B$1:$K$1,0)),""))</x:f>
      </x:c>
      <x:c r="F28" t="str">
        <x:f>IF(F$1="","",IFERROR(INDEX('包络曲线数据'!$B$2:$K$742,ROW()-1,MATCH(F$1,'包络曲线数据'!$B$1:$K$1,0)),""))</x:f>
      </x:c>
      <x:c r="G28" t="str">
        <x:f>IF(G$1="","",IFERROR(INDEX('包络曲线数据'!$B$2:$K$742,ROW()-1,MATCH(G$1,'包络曲线数据'!$B$1:$K$1,0)),""))</x:f>
      </x:c>
      <x:c r="I28" t="n">
        <x:v>220.00000000000048</x:v>
      </x:c>
      <x:c r="J28" t="n">
        <x:f>IF(J$1="","",IFERROR(INDEX('代表咚声数据'!$B$2:$U$39,ROW()-1,MATCH(J$1&amp;"_常见",'代表咚声数据'!$B$1:$U$1,0)),""))</x:f>
        <x:v>63.45388266984545</x:v>
      </x:c>
      <x:c r="K28" t="n">
        <x:f>IF(K$1="","",IFERROR(INDEX('代表咚声数据'!$B$2:$U$39,ROW()-1,MATCH(K$1&amp;"_常见",'代表咚声数据'!$B$1:$U$1,0)),""))</x:f>
        <x:v>63.731770415756934</x:v>
      </x:c>
      <x:c r="L28" t="str">
        <x:f>IF(L$1="","",IFERROR(INDEX('代表咚声数据'!$B$2:$U$39,ROW()-1,MATCH(L$1&amp;"_常见",'代表咚声数据'!$B$1:$U$1,0)),""))</x:f>
      </x:c>
      <x:c r="M28" t="str">
        <x:f>IF(M$1="","",IFERROR(INDEX('代表咚声数据'!$B$2:$U$39,ROW()-1,MATCH(M$1&amp;"_常见",'代表咚声数据'!$B$1:$U$1,0)),""))</x:f>
      </x:c>
      <x:c r="N28" t="str">
        <x:f>IF(N$1="","",IFERROR(INDEX('代表咚声数据'!$B$2:$U$39,ROW()-1,MATCH(N$1&amp;"_常见",'代表咚声数据'!$B$1:$U$1,0)),""))</x:f>
      </x:c>
      <x:c r="O28" t="str">
        <x:f>IF(O$1="","",IFERROR(INDEX('代表咚声数据'!$B$2:$U$39,ROW()-1,MATCH(O$1&amp;"_常见",'代表咚声数据'!$B$1:$U$1,0)),""))</x:f>
      </x:c>
      <x:c r="Q28" t="n">
        <x:v>220.00000000000048</x:v>
      </x:c>
      <x:c r="R28" t="n">
        <x:f>IF(R$1="","",IFERROR(INDEX('代表咚声数据'!$B$2:$U$39,ROW()-1,MATCH(R$1&amp;"_较响",'代表咚声数据'!$B$1:$U$1,0)),""))</x:f>
        <x:v>66.52311077060209</x:v>
      </x:c>
      <x:c r="S28" t="n">
        <x:f>IF(S$1="","",IFERROR(INDEX('代表咚声数据'!$B$2:$U$39,ROW()-1,MATCH(S$1&amp;"_较响",'代表咚声数据'!$B$1:$U$1,0)),""))</x:f>
        <x:v>65.83247315516925</x:v>
      </x:c>
      <x:c r="T28" t="str">
        <x:f>IF(T$1="","",IFERROR(INDEX('代表咚声数据'!$B$2:$U$39,ROW()-1,MATCH(T$1&amp;"_较响",'代表咚声数据'!$B$1:$U$1,0)),""))</x:f>
      </x:c>
      <x:c r="U28" t="str">
        <x:f>IF(U$1="","",IFERROR(INDEX('代表咚声数据'!$B$2:$U$39,ROW()-1,MATCH(U$1&amp;"_较响",'代表咚声数据'!$B$1:$U$1,0)),""))</x:f>
      </x:c>
      <x:c r="V28" t="str">
        <x:f>IF(V$1="","",IFERROR(INDEX('代表咚声数据'!$B$2:$U$39,ROW()-1,MATCH(V$1&amp;"_较响",'代表咚声数据'!$B$1:$U$1,0)),""))</x:f>
      </x:c>
      <x:c r="W28" t="str">
        <x:f>IF(W$1="","",IFERROR(INDEX('代表咚声数据'!$B$2:$U$39,ROW()-1,MATCH(W$1&amp;"_较响",'代表咚声数据'!$B$1:$U$1,0)),""))</x:f>
      </x:c>
    </x:row>
    <x:row r="29">
      <x:c r="A29" t="n">
        <x:v>2.7</x:v>
      </x:c>
      <x:c r="B29" t="n">
        <x:f>IF(B$1="","",IFERROR(INDEX('包络曲线数据'!$B$2:$K$742,ROW()-1,MATCH(B$1,'包络曲线数据'!$B$1:$K$1,0)),""))</x:f>
        <x:v>60.250496486135596</x:v>
      </x:c>
      <x:c r="C29" t="n">
        <x:f>IF(C$1="","",IFERROR(INDEX('包络曲线数据'!$B$2:$K$742,ROW()-1,MATCH(C$1,'包络曲线数据'!$B$1:$K$1,0)),""))</x:f>
        <x:v>69.86399587037926</x:v>
      </x:c>
      <x:c r="D29" t="str">
        <x:f>IF(D$1="","",IFERROR(INDEX('包络曲线数据'!$B$2:$K$742,ROW()-1,MATCH(D$1,'包络曲线数据'!$B$1:$K$1,0)),""))</x:f>
      </x:c>
      <x:c r="E29" t="str">
        <x:f>IF(E$1="","",IFERROR(INDEX('包络曲线数据'!$B$2:$K$742,ROW()-1,MATCH(E$1,'包络曲线数据'!$B$1:$K$1,0)),""))</x:f>
      </x:c>
      <x:c r="F29" t="str">
        <x:f>IF(F$1="","",IFERROR(INDEX('包络曲线数据'!$B$2:$K$742,ROW()-1,MATCH(F$1,'包络曲线数据'!$B$1:$K$1,0)),""))</x:f>
      </x:c>
      <x:c r="G29" t="str">
        <x:f>IF(G$1="","",IFERROR(INDEX('包络曲线数据'!$B$2:$K$742,ROW()-1,MATCH(G$1,'包络曲线数据'!$B$1:$K$1,0)),""))</x:f>
      </x:c>
      <x:c r="I29" t="n">
        <x:v>240.00000000000048</x:v>
      </x:c>
      <x:c r="J29" t="n">
        <x:f>IF(J$1="","",IFERROR(INDEX('代表咚声数据'!$B$2:$U$39,ROW()-1,MATCH(J$1&amp;"_常见",'代表咚声数据'!$B$1:$U$1,0)),""))</x:f>
        <x:v>62.712590344228566</x:v>
      </x:c>
      <x:c r="K29" t="n">
        <x:f>IF(K$1="","",IFERROR(INDEX('代表咚声数据'!$B$2:$U$39,ROW()-1,MATCH(K$1&amp;"_常见",'代表咚声数据'!$B$1:$U$1,0)),""))</x:f>
        <x:v>63.550162445366155</x:v>
      </x:c>
      <x:c r="L29" t="str">
        <x:f>IF(L$1="","",IFERROR(INDEX('代表咚声数据'!$B$2:$U$39,ROW()-1,MATCH(L$1&amp;"_常见",'代表咚声数据'!$B$1:$U$1,0)),""))</x:f>
      </x:c>
      <x:c r="M29" t="str">
        <x:f>IF(M$1="","",IFERROR(INDEX('代表咚声数据'!$B$2:$U$39,ROW()-1,MATCH(M$1&amp;"_常见",'代表咚声数据'!$B$1:$U$1,0)),""))</x:f>
      </x:c>
      <x:c r="N29" t="str">
        <x:f>IF(N$1="","",IFERROR(INDEX('代表咚声数据'!$B$2:$U$39,ROW()-1,MATCH(N$1&amp;"_常见",'代表咚声数据'!$B$1:$U$1,0)),""))</x:f>
      </x:c>
      <x:c r="O29" t="str">
        <x:f>IF(O$1="","",IFERROR(INDEX('代表咚声数据'!$B$2:$U$39,ROW()-1,MATCH(O$1&amp;"_常见",'代表咚声数据'!$B$1:$U$1,0)),""))</x:f>
      </x:c>
      <x:c r="Q29" t="n">
        <x:v>240.00000000000048</x:v>
      </x:c>
      <x:c r="R29" t="n">
        <x:f>IF(R$1="","",IFERROR(INDEX('代表咚声数据'!$B$2:$U$39,ROW()-1,MATCH(R$1&amp;"_较响",'代表咚声数据'!$B$1:$U$1,0)),""))</x:f>
        <x:v>65.3292063318886</x:v>
      </x:c>
      <x:c r="S29" t="n">
        <x:f>IF(S$1="","",IFERROR(INDEX('代表咚声数据'!$B$2:$U$39,ROW()-1,MATCH(S$1&amp;"_较响",'代表咚声数据'!$B$1:$U$1,0)),""))</x:f>
        <x:v>66.08545735740655</x:v>
      </x:c>
      <x:c r="T29" t="str">
        <x:f>IF(T$1="","",IFERROR(INDEX('代表咚声数据'!$B$2:$U$39,ROW()-1,MATCH(T$1&amp;"_较响",'代表咚声数据'!$B$1:$U$1,0)),""))</x:f>
      </x:c>
      <x:c r="U29" t="str">
        <x:f>IF(U$1="","",IFERROR(INDEX('代表咚声数据'!$B$2:$U$39,ROW()-1,MATCH(U$1&amp;"_较响",'代表咚声数据'!$B$1:$U$1,0)),""))</x:f>
      </x:c>
      <x:c r="V29" t="str">
        <x:f>IF(V$1="","",IFERROR(INDEX('代表咚声数据'!$B$2:$U$39,ROW()-1,MATCH(V$1&amp;"_较响",'代表咚声数据'!$B$1:$U$1,0)),""))</x:f>
      </x:c>
      <x:c r="W29" t="str">
        <x:f>IF(W$1="","",IFERROR(INDEX('代表咚声数据'!$B$2:$U$39,ROW()-1,MATCH(W$1&amp;"_较响",'代表咚声数据'!$B$1:$U$1,0)),""))</x:f>
      </x:c>
    </x:row>
    <x:row r="30">
      <x:c r="A30" t="n">
        <x:v>2.8000000000000003</x:v>
      </x:c>
      <x:c r="B30" t="n">
        <x:f>IF(B$1="","",IFERROR(INDEX('包络曲线数据'!$B$2:$K$742,ROW()-1,MATCH(B$1,'包络曲线数据'!$B$1:$K$1,0)),""))</x:f>
        <x:v>63.55317928313894</x:v>
      </x:c>
      <x:c r="C30" t="n">
        <x:f>IF(C$1="","",IFERROR(INDEX('包络曲线数据'!$B$2:$K$742,ROW()-1,MATCH(C$1,'包络曲线数据'!$B$1:$K$1,0)),""))</x:f>
        <x:v>63.88066758449903</x:v>
      </x:c>
      <x:c r="D30" t="str">
        <x:f>IF(D$1="","",IFERROR(INDEX('包络曲线数据'!$B$2:$K$742,ROW()-1,MATCH(D$1,'包络曲线数据'!$B$1:$K$1,0)),""))</x:f>
      </x:c>
      <x:c r="E30" t="str">
        <x:f>IF(E$1="","",IFERROR(INDEX('包络曲线数据'!$B$2:$K$742,ROW()-1,MATCH(E$1,'包络曲线数据'!$B$1:$K$1,0)),""))</x:f>
      </x:c>
      <x:c r="F30" t="str">
        <x:f>IF(F$1="","",IFERROR(INDEX('包络曲线数据'!$B$2:$K$742,ROW()-1,MATCH(F$1,'包络曲线数据'!$B$1:$K$1,0)),""))</x:f>
      </x:c>
      <x:c r="G30" t="str">
        <x:f>IF(G$1="","",IFERROR(INDEX('包络曲线数据'!$B$2:$K$742,ROW()-1,MATCH(G$1,'包络曲线数据'!$B$1:$K$1,0)),""))</x:f>
      </x:c>
      <x:c r="I30" t="n">
        <x:v>260.0000000000005</x:v>
      </x:c>
      <x:c r="J30" t="n">
        <x:f>IF(J$1="","",IFERROR(INDEX('代表咚声数据'!$B$2:$U$39,ROW()-1,MATCH(J$1&amp;"_常见",'代表咚声数据'!$B$1:$U$1,0)),""))</x:f>
        <x:v>62.754640472652476</x:v>
      </x:c>
      <x:c r="K30" t="n">
        <x:f>IF(K$1="","",IFERROR(INDEX('代表咚声数据'!$B$2:$U$39,ROW()-1,MATCH(K$1&amp;"_常见",'代表咚声数据'!$B$1:$U$1,0)),""))</x:f>
        <x:v>63.68838183696444</x:v>
      </x:c>
      <x:c r="L30" t="str">
        <x:f>IF(L$1="","",IFERROR(INDEX('代表咚声数据'!$B$2:$U$39,ROW()-1,MATCH(L$1&amp;"_常见",'代表咚声数据'!$B$1:$U$1,0)),""))</x:f>
      </x:c>
      <x:c r="M30" t="str">
        <x:f>IF(M$1="","",IFERROR(INDEX('代表咚声数据'!$B$2:$U$39,ROW()-1,MATCH(M$1&amp;"_常见",'代表咚声数据'!$B$1:$U$1,0)),""))</x:f>
      </x:c>
      <x:c r="N30" t="str">
        <x:f>IF(N$1="","",IFERROR(INDEX('代表咚声数据'!$B$2:$U$39,ROW()-1,MATCH(N$1&amp;"_常见",'代表咚声数据'!$B$1:$U$1,0)),""))</x:f>
      </x:c>
      <x:c r="O30" t="str">
        <x:f>IF(O$1="","",IFERROR(INDEX('代表咚声数据'!$B$2:$U$39,ROW()-1,MATCH(O$1&amp;"_常见",'代表咚声数据'!$B$1:$U$1,0)),""))</x:f>
      </x:c>
      <x:c r="Q30" t="n">
        <x:v>260.0000000000005</x:v>
      </x:c>
      <x:c r="R30" t="n">
        <x:f>IF(R$1="","",IFERROR(INDEX('代表咚声数据'!$B$2:$U$39,ROW()-1,MATCH(R$1&amp;"_较响",'代表咚声数据'!$B$1:$U$1,0)),""))</x:f>
        <x:v>64.9885197304287</x:v>
      </x:c>
      <x:c r="S30" t="n">
        <x:f>IF(S$1="","",IFERROR(INDEX('代表咚声数据'!$B$2:$U$39,ROW()-1,MATCH(S$1&amp;"_较响",'代表咚声数据'!$B$1:$U$1,0)),""))</x:f>
        <x:v>65.46358179231635</x:v>
      </x:c>
      <x:c r="T30" t="str">
        <x:f>IF(T$1="","",IFERROR(INDEX('代表咚声数据'!$B$2:$U$39,ROW()-1,MATCH(T$1&amp;"_较响",'代表咚声数据'!$B$1:$U$1,0)),""))</x:f>
      </x:c>
      <x:c r="U30" t="str">
        <x:f>IF(U$1="","",IFERROR(INDEX('代表咚声数据'!$B$2:$U$39,ROW()-1,MATCH(U$1&amp;"_较响",'代表咚声数据'!$B$1:$U$1,0)),""))</x:f>
      </x:c>
      <x:c r="V30" t="str">
        <x:f>IF(V$1="","",IFERROR(INDEX('代表咚声数据'!$B$2:$U$39,ROW()-1,MATCH(V$1&amp;"_较响",'代表咚声数据'!$B$1:$U$1,0)),""))</x:f>
      </x:c>
      <x:c r="W30" t="str">
        <x:f>IF(W$1="","",IFERROR(INDEX('代表咚声数据'!$B$2:$U$39,ROW()-1,MATCH(W$1&amp;"_较响",'代表咚声数据'!$B$1:$U$1,0)),""))</x:f>
      </x:c>
    </x:row>
    <x:row r="31">
      <x:c r="A31" t="n">
        <x:v>2.9000000000000004</x:v>
      </x:c>
      <x:c r="B31" t="n">
        <x:f>IF(B$1="","",IFERROR(INDEX('包络曲线数据'!$B$2:$K$742,ROW()-1,MATCH(B$1,'包络曲线数据'!$B$1:$K$1,0)),""))</x:f>
        <x:v>66.85586208014227</x:v>
      </x:c>
      <x:c r="C31" t="n">
        <x:f>IF(C$1="","",IFERROR(INDEX('包络曲线数据'!$B$2:$K$742,ROW()-1,MATCH(C$1,'包络曲线数据'!$B$1:$K$1,0)),""))</x:f>
        <x:v>59.82258183158239</x:v>
      </x:c>
      <x:c r="D31" t="str">
        <x:f>IF(D$1="","",IFERROR(INDEX('包络曲线数据'!$B$2:$K$742,ROW()-1,MATCH(D$1,'包络曲线数据'!$B$1:$K$1,0)),""))</x:f>
      </x:c>
      <x:c r="E31" t="str">
        <x:f>IF(E$1="","",IFERROR(INDEX('包络曲线数据'!$B$2:$K$742,ROW()-1,MATCH(E$1,'包络曲线数据'!$B$1:$K$1,0)),""))</x:f>
      </x:c>
      <x:c r="F31" t="str">
        <x:f>IF(F$1="","",IFERROR(INDEX('包络曲线数据'!$B$2:$K$742,ROW()-1,MATCH(F$1,'包络曲线数据'!$B$1:$K$1,0)),""))</x:f>
      </x:c>
      <x:c r="G31" t="str">
        <x:f>IF(G$1="","",IFERROR(INDEX('包络曲线数据'!$B$2:$K$742,ROW()-1,MATCH(G$1,'包络曲线数据'!$B$1:$K$1,0)),""))</x:f>
      </x:c>
      <x:c r="I31" t="n">
        <x:v>280.0000000000005</x:v>
      </x:c>
      <x:c r="J31" t="n">
        <x:f>IF(J$1="","",IFERROR(INDEX('代表咚声数据'!$B$2:$U$39,ROW()-1,MATCH(J$1&amp;"_常见",'代表咚声数据'!$B$1:$U$1,0)),""))</x:f>
        <x:v>62.832670926763726</x:v>
      </x:c>
      <x:c r="K31" t="n">
        <x:f>IF(K$1="","",IFERROR(INDEX('代表咚声数据'!$B$2:$U$39,ROW()-1,MATCH(K$1&amp;"_常见",'代表咚声数据'!$B$1:$U$1,0)),""))</x:f>
        <x:v>63.75029113402678</x:v>
      </x:c>
      <x:c r="L31" t="str">
        <x:f>IF(L$1="","",IFERROR(INDEX('代表咚声数据'!$B$2:$U$39,ROW()-1,MATCH(L$1&amp;"_常见",'代表咚声数据'!$B$1:$U$1,0)),""))</x:f>
      </x:c>
      <x:c r="M31" t="str">
        <x:f>IF(M$1="","",IFERROR(INDEX('代表咚声数据'!$B$2:$U$39,ROW()-1,MATCH(M$1&amp;"_常见",'代表咚声数据'!$B$1:$U$1,0)),""))</x:f>
      </x:c>
      <x:c r="N31" t="str">
        <x:f>IF(N$1="","",IFERROR(INDEX('代表咚声数据'!$B$2:$U$39,ROW()-1,MATCH(N$1&amp;"_常见",'代表咚声数据'!$B$1:$U$1,0)),""))</x:f>
      </x:c>
      <x:c r="O31" t="str">
        <x:f>IF(O$1="","",IFERROR(INDEX('代表咚声数据'!$B$2:$U$39,ROW()-1,MATCH(O$1&amp;"_常见",'代表咚声数据'!$B$1:$U$1,0)),""))</x:f>
      </x:c>
      <x:c r="Q31" t="n">
        <x:v>280.0000000000005</x:v>
      </x:c>
      <x:c r="R31" t="n">
        <x:f>IF(R$1="","",IFERROR(INDEX('代表咚声数据'!$B$2:$U$39,ROW()-1,MATCH(R$1&amp;"_较响",'代表咚声数据'!$B$1:$U$1,0)),""))</x:f>
        <x:v>65.04556019482345</x:v>
      </x:c>
      <x:c r="S31" t="n">
        <x:f>IF(S$1="","",IFERROR(INDEX('代表咚声数据'!$B$2:$U$39,ROW()-1,MATCH(S$1&amp;"_较响",'代表咚声数据'!$B$1:$U$1,0)),""))</x:f>
        <x:v>64.89267020718228</x:v>
      </x:c>
      <x:c r="T31" t="str">
        <x:f>IF(T$1="","",IFERROR(INDEX('代表咚声数据'!$B$2:$U$39,ROW()-1,MATCH(T$1&amp;"_较响",'代表咚声数据'!$B$1:$U$1,0)),""))</x:f>
      </x:c>
      <x:c r="U31" t="str">
        <x:f>IF(U$1="","",IFERROR(INDEX('代表咚声数据'!$B$2:$U$39,ROW()-1,MATCH(U$1&amp;"_较响",'代表咚声数据'!$B$1:$U$1,0)),""))</x:f>
      </x:c>
      <x:c r="V31" t="str">
        <x:f>IF(V$1="","",IFERROR(INDEX('代表咚声数据'!$B$2:$U$39,ROW()-1,MATCH(V$1&amp;"_较响",'代表咚声数据'!$B$1:$U$1,0)),""))</x:f>
      </x:c>
      <x:c r="W31" t="str">
        <x:f>IF(W$1="","",IFERROR(INDEX('代表咚声数据'!$B$2:$U$39,ROW()-1,MATCH(W$1&amp;"_较响",'代表咚声数据'!$B$1:$U$1,0)),""))</x:f>
      </x:c>
    </x:row>
    <x:row r="32">
      <x:c r="A32" t="n">
        <x:v>3</x:v>
      </x:c>
      <x:c r="B32" t="n">
        <x:f>IF(B$1="","",IFERROR(INDEX('包络曲线数据'!$B$2:$K$742,ROW()-1,MATCH(B$1,'包络曲线数据'!$B$1:$K$1,0)),""))</x:f>
        <x:v>70.1585448771456</x:v>
      </x:c>
      <x:c r="C32" t="n">
        <x:f>IF(C$1="","",IFERROR(INDEX('包络曲线数据'!$B$2:$K$742,ROW()-1,MATCH(C$1,'包络曲线数据'!$B$1:$K$1,0)),""))</x:f>
        <x:v>64.35669605053954</x:v>
      </x:c>
      <x:c r="D32" t="str">
        <x:f>IF(D$1="","",IFERROR(INDEX('包络曲线数据'!$B$2:$K$742,ROW()-1,MATCH(D$1,'包络曲线数据'!$B$1:$K$1,0)),""))</x:f>
      </x:c>
      <x:c r="E32" t="str">
        <x:f>IF(E$1="","",IFERROR(INDEX('包络曲线数据'!$B$2:$K$742,ROW()-1,MATCH(E$1,'包络曲线数据'!$B$1:$K$1,0)),""))</x:f>
      </x:c>
      <x:c r="F32" t="str">
        <x:f>IF(F$1="","",IFERROR(INDEX('包络曲线数据'!$B$2:$K$742,ROW()-1,MATCH(F$1,'包络曲线数据'!$B$1:$K$1,0)),""))</x:f>
      </x:c>
      <x:c r="G32" t="str">
        <x:f>IF(G$1="","",IFERROR(INDEX('包络曲线数据'!$B$2:$K$742,ROW()-1,MATCH(G$1,'包络曲线数据'!$B$1:$K$1,0)),""))</x:f>
      </x:c>
      <x:c r="I32" t="n">
        <x:v>300.00000000000057</x:v>
      </x:c>
      <x:c r="J32" t="n">
        <x:f>IF(J$1="","",IFERROR(INDEX('代表咚声数据'!$B$2:$U$39,ROW()-1,MATCH(J$1&amp;"_常见",'代表咚声数据'!$B$1:$U$1,0)),""))</x:f>
        <x:v>62.60148756270872</x:v>
      </x:c>
      <x:c r="K32" t="n">
        <x:f>IF(K$1="","",IFERROR(INDEX('代表咚声数据'!$B$2:$U$39,ROW()-1,MATCH(K$1&amp;"_常见",'代表咚声数据'!$B$1:$U$1,0)),""))</x:f>
        <x:v>63.51528696186021</x:v>
      </x:c>
      <x:c r="L32" t="str">
        <x:f>IF(L$1="","",IFERROR(INDEX('代表咚声数据'!$B$2:$U$39,ROW()-1,MATCH(L$1&amp;"_常见",'代表咚声数据'!$B$1:$U$1,0)),""))</x:f>
      </x:c>
      <x:c r="M32" t="str">
        <x:f>IF(M$1="","",IFERROR(INDEX('代表咚声数据'!$B$2:$U$39,ROW()-1,MATCH(M$1&amp;"_常见",'代表咚声数据'!$B$1:$U$1,0)),""))</x:f>
      </x:c>
      <x:c r="N32" t="str">
        <x:f>IF(N$1="","",IFERROR(INDEX('代表咚声数据'!$B$2:$U$39,ROW()-1,MATCH(N$1&amp;"_常见",'代表咚声数据'!$B$1:$U$1,0)),""))</x:f>
      </x:c>
      <x:c r="O32" t="str">
        <x:f>IF(O$1="","",IFERROR(INDEX('代表咚声数据'!$B$2:$U$39,ROW()-1,MATCH(O$1&amp;"_常见",'代表咚声数据'!$B$1:$U$1,0)),""))</x:f>
      </x:c>
      <x:c r="Q32" t="n">
        <x:v>300.00000000000057</x:v>
      </x:c>
      <x:c r="R32" t="n">
        <x:f>IF(R$1="","",IFERROR(INDEX('代表咚声数据'!$B$2:$U$39,ROW()-1,MATCH(R$1&amp;"_较响",'代表咚声数据'!$B$1:$U$1,0)),""))</x:f>
        <x:v>64.3968088409686</x:v>
      </x:c>
      <x:c r="S32" t="n">
        <x:f>IF(S$1="","",IFERROR(INDEX('代表咚声数据'!$B$2:$U$39,ROW()-1,MATCH(S$1&amp;"_较响",'代表咚声数据'!$B$1:$U$1,0)),""))</x:f>
        <x:v>64.5868360959654</x:v>
      </x:c>
      <x:c r="T32" t="str">
        <x:f>IF(T$1="","",IFERROR(INDEX('代表咚声数据'!$B$2:$U$39,ROW()-1,MATCH(T$1&amp;"_较响",'代表咚声数据'!$B$1:$U$1,0)),""))</x:f>
      </x:c>
      <x:c r="U32" t="str">
        <x:f>IF(U$1="","",IFERROR(INDEX('代表咚声数据'!$B$2:$U$39,ROW()-1,MATCH(U$1&amp;"_较响",'代表咚声数据'!$B$1:$U$1,0)),""))</x:f>
      </x:c>
      <x:c r="V32" t="str">
        <x:f>IF(V$1="","",IFERROR(INDEX('代表咚声数据'!$B$2:$U$39,ROW()-1,MATCH(V$1&amp;"_较响",'代表咚声数据'!$B$1:$U$1,0)),""))</x:f>
      </x:c>
      <x:c r="W32" t="str">
        <x:f>IF(W$1="","",IFERROR(INDEX('代表咚声数据'!$B$2:$U$39,ROW()-1,MATCH(W$1&amp;"_较响",'代表咚声数据'!$B$1:$U$1,0)),""))</x:f>
      </x:c>
    </x:row>
    <x:row r="33">
      <x:c r="A33" t="n">
        <x:v>3.1</x:v>
      </x:c>
      <x:c r="B33" t="n">
        <x:f>IF(B$1="","",IFERROR(INDEX('包络曲线数据'!$B$2:$K$742,ROW()-1,MATCH(B$1,'包络曲线数据'!$B$1:$K$1,0)),""))</x:f>
        <x:v>73.86304527148769</x:v>
      </x:c>
      <x:c r="C33" t="n">
        <x:f>IF(C$1="","",IFERROR(INDEX('包络曲线数据'!$B$2:$K$742,ROW()-1,MATCH(C$1,'包络曲线数据'!$B$1:$K$1,0)),""))</x:f>
        <x:v>66.62643176238275</x:v>
      </x:c>
      <x:c r="D33" t="str">
        <x:f>IF(D$1="","",IFERROR(INDEX('包络曲线数据'!$B$2:$K$742,ROW()-1,MATCH(D$1,'包络曲线数据'!$B$1:$K$1,0)),""))</x:f>
      </x:c>
      <x:c r="E33" t="str">
        <x:f>IF(E$1="","",IFERROR(INDEX('包络曲线数据'!$B$2:$K$742,ROW()-1,MATCH(E$1,'包络曲线数据'!$B$1:$K$1,0)),""))</x:f>
      </x:c>
      <x:c r="F33" t="str">
        <x:f>IF(F$1="","",IFERROR(INDEX('包络曲线数据'!$B$2:$K$742,ROW()-1,MATCH(F$1,'包络曲线数据'!$B$1:$K$1,0)),""))</x:f>
      </x:c>
      <x:c r="G33" t="str">
        <x:f>IF(G$1="","",IFERROR(INDEX('包络曲线数据'!$B$2:$K$742,ROW()-1,MATCH(G$1,'包络曲线数据'!$B$1:$K$1,0)),""))</x:f>
      </x:c>
      <x:c r="I33" t="n">
        <x:v>320.00000000000057</x:v>
      </x:c>
      <x:c r="J33" t="n">
        <x:f>IF(J$1="","",IFERROR(INDEX('代表咚声数据'!$B$2:$U$39,ROW()-1,MATCH(J$1&amp;"_常见",'代表咚声数据'!$B$1:$U$1,0)),""))</x:f>
        <x:v>61.86878710749043</x:v>
      </x:c>
      <x:c r="K33" t="n">
        <x:f>IF(K$1="","",IFERROR(INDEX('代表咚声数据'!$B$2:$U$39,ROW()-1,MATCH(K$1&amp;"_常见",'代表咚声数据'!$B$1:$U$1,0)),""))</x:f>
        <x:v>63.8490072362841</x:v>
      </x:c>
      <x:c r="L33" t="str">
        <x:f>IF(L$1="","",IFERROR(INDEX('代表咚声数据'!$B$2:$U$39,ROW()-1,MATCH(L$1&amp;"_常见",'代表咚声数据'!$B$1:$U$1,0)),""))</x:f>
      </x:c>
      <x:c r="M33" t="str">
        <x:f>IF(M$1="","",IFERROR(INDEX('代表咚声数据'!$B$2:$U$39,ROW()-1,MATCH(M$1&amp;"_常见",'代表咚声数据'!$B$1:$U$1,0)),""))</x:f>
      </x:c>
      <x:c r="N33" t="str">
        <x:f>IF(N$1="","",IFERROR(INDEX('代表咚声数据'!$B$2:$U$39,ROW()-1,MATCH(N$1&amp;"_常见",'代表咚声数据'!$B$1:$U$1,0)),""))</x:f>
      </x:c>
      <x:c r="O33" t="str">
        <x:f>IF(O$1="","",IFERROR(INDEX('代表咚声数据'!$B$2:$U$39,ROW()-1,MATCH(O$1&amp;"_常见",'代表咚声数据'!$B$1:$U$1,0)),""))</x:f>
      </x:c>
      <x:c r="Q33" t="n">
        <x:v>320.00000000000057</x:v>
      </x:c>
      <x:c r="R33" t="n">
        <x:f>IF(R$1="","",IFERROR(INDEX('代表咚声数据'!$B$2:$U$39,ROW()-1,MATCH(R$1&amp;"_较响",'代表咚声数据'!$B$1:$U$1,0)),""))</x:f>
        <x:v>65.31117825119956</x:v>
      </x:c>
      <x:c r="S33" t="n">
        <x:f>IF(S$1="","",IFERROR(INDEX('代表咚声数据'!$B$2:$U$39,ROW()-1,MATCH(S$1&amp;"_较响",'代表咚声数据'!$B$1:$U$1,0)),""))</x:f>
        <x:v>64.854843381189</x:v>
      </x:c>
      <x:c r="T33" t="str">
        <x:f>IF(T$1="","",IFERROR(INDEX('代表咚声数据'!$B$2:$U$39,ROW()-1,MATCH(T$1&amp;"_较响",'代表咚声数据'!$B$1:$U$1,0)),""))</x:f>
      </x:c>
      <x:c r="U33" t="str">
        <x:f>IF(U$1="","",IFERROR(INDEX('代表咚声数据'!$B$2:$U$39,ROW()-1,MATCH(U$1&amp;"_较响",'代表咚声数据'!$B$1:$U$1,0)),""))</x:f>
      </x:c>
      <x:c r="V33" t="str">
        <x:f>IF(V$1="","",IFERROR(INDEX('代表咚声数据'!$B$2:$U$39,ROW()-1,MATCH(V$1&amp;"_较响",'代表咚声数据'!$B$1:$U$1,0)),""))</x:f>
      </x:c>
      <x:c r="W33" t="str">
        <x:f>IF(W$1="","",IFERROR(INDEX('代表咚声数据'!$B$2:$U$39,ROW()-1,MATCH(W$1&amp;"_较响",'代表咚声数据'!$B$1:$U$1,0)),""))</x:f>
      </x:c>
    </x:row>
    <x:row r="34">
      <x:c r="A34" t="n">
        <x:v>3.2</x:v>
      </x:c>
      <x:c r="B34" t="n">
        <x:f>IF(B$1="","",IFERROR(INDEX('包络曲线数据'!$B$2:$K$742,ROW()-1,MATCH(B$1,'包络曲线数据'!$B$1:$K$1,0)),""))</x:f>
        <x:v>74.52411659671972</x:v>
      </x:c>
      <x:c r="C34" t="n">
        <x:f>IF(C$1="","",IFERROR(INDEX('包络曲线数据'!$B$2:$K$742,ROW()-1,MATCH(C$1,'包络曲线数据'!$B$1:$K$1,0)),""))</x:f>
        <x:v>67.42343658259561</x:v>
      </x:c>
      <x:c r="D34" t="str">
        <x:f>IF(D$1="","",IFERROR(INDEX('包络曲线数据'!$B$2:$K$742,ROW()-1,MATCH(D$1,'包络曲线数据'!$B$1:$K$1,0)),""))</x:f>
      </x:c>
      <x:c r="E34" t="str">
        <x:f>IF(E$1="","",IFERROR(INDEX('包络曲线数据'!$B$2:$K$742,ROW()-1,MATCH(E$1,'包络曲线数据'!$B$1:$K$1,0)),""))</x:f>
      </x:c>
      <x:c r="F34" t="str">
        <x:f>IF(F$1="","",IFERROR(INDEX('包络曲线数据'!$B$2:$K$742,ROW()-1,MATCH(F$1,'包络曲线数据'!$B$1:$K$1,0)),""))</x:f>
      </x:c>
      <x:c r="G34" t="str">
        <x:f>IF(G$1="","",IFERROR(INDEX('包络曲线数据'!$B$2:$K$742,ROW()-1,MATCH(G$1,'包络曲线数据'!$B$1:$K$1,0)),""))</x:f>
      </x:c>
      <x:c r="I34" t="n">
        <x:v>340.00000000000057</x:v>
      </x:c>
      <x:c r="J34" t="n">
        <x:f>IF(J$1="","",IFERROR(INDEX('代表咚声数据'!$B$2:$U$39,ROW()-1,MATCH(J$1&amp;"_常见",'代表咚声数据'!$B$1:$U$1,0)),""))</x:f>
        <x:v>62.35156230556603</x:v>
      </x:c>
      <x:c r="K34" t="n">
        <x:f>IF(K$1="","",IFERROR(INDEX('代表咚声数据'!$B$2:$U$39,ROW()-1,MATCH(K$1&amp;"_常见",'代表咚声数据'!$B$1:$U$1,0)),""))</x:f>
        <x:v>64.57751314807088</x:v>
      </x:c>
      <x:c r="L34" t="str">
        <x:f>IF(L$1="","",IFERROR(INDEX('代表咚声数据'!$B$2:$U$39,ROW()-1,MATCH(L$1&amp;"_常见",'代表咚声数据'!$B$1:$U$1,0)),""))</x:f>
      </x:c>
      <x:c r="M34" t="str">
        <x:f>IF(M$1="","",IFERROR(INDEX('代表咚声数据'!$B$2:$U$39,ROW()-1,MATCH(M$1&amp;"_常见",'代表咚声数据'!$B$1:$U$1,0)),""))</x:f>
      </x:c>
      <x:c r="N34" t="str">
        <x:f>IF(N$1="","",IFERROR(INDEX('代表咚声数据'!$B$2:$U$39,ROW()-1,MATCH(N$1&amp;"_常见",'代表咚声数据'!$B$1:$U$1,0)),""))</x:f>
      </x:c>
      <x:c r="O34" t="str">
        <x:f>IF(O$1="","",IFERROR(INDEX('代表咚声数据'!$B$2:$U$39,ROW()-1,MATCH(O$1&amp;"_常见",'代表咚声数据'!$B$1:$U$1,0)),""))</x:f>
      </x:c>
      <x:c r="Q34" t="n">
        <x:v>340.00000000000057</x:v>
      </x:c>
      <x:c r="R34" t="n">
        <x:f>IF(R$1="","",IFERROR(INDEX('代表咚声数据'!$B$2:$U$39,ROW()-1,MATCH(R$1&amp;"_较响",'代表咚声数据'!$B$1:$U$1,0)),""))</x:f>
        <x:v>65.0241521908918</x:v>
      </x:c>
      <x:c r="S34" t="n">
        <x:f>IF(S$1="","",IFERROR(INDEX('代表咚声数据'!$B$2:$U$39,ROW()-1,MATCH(S$1&amp;"_较响",'代表咚声数据'!$B$1:$U$1,0)),""))</x:f>
        <x:v>65.10612692073818</x:v>
      </x:c>
      <x:c r="T34" t="str">
        <x:f>IF(T$1="","",IFERROR(INDEX('代表咚声数据'!$B$2:$U$39,ROW()-1,MATCH(T$1&amp;"_较响",'代表咚声数据'!$B$1:$U$1,0)),""))</x:f>
      </x:c>
      <x:c r="U34" t="str">
        <x:f>IF(U$1="","",IFERROR(INDEX('代表咚声数据'!$B$2:$U$39,ROW()-1,MATCH(U$1&amp;"_较响",'代表咚声数据'!$B$1:$U$1,0)),""))</x:f>
      </x:c>
      <x:c r="V34" t="str">
        <x:f>IF(V$1="","",IFERROR(INDEX('代表咚声数据'!$B$2:$U$39,ROW()-1,MATCH(V$1&amp;"_较响",'代表咚声数据'!$B$1:$U$1,0)),""))</x:f>
      </x:c>
      <x:c r="W34" t="str">
        <x:f>IF(W$1="","",IFERROR(INDEX('代表咚声数据'!$B$2:$U$39,ROW()-1,MATCH(W$1&amp;"_较响",'代表咚声数据'!$B$1:$U$1,0)),""))</x:f>
      </x:c>
    </x:row>
    <x:row r="35">
      <x:c r="A35" t="n">
        <x:v>3.3000000000000003</x:v>
      </x:c>
      <x:c r="B35" t="n">
        <x:f>IF(B$1="","",IFERROR(INDEX('包络曲线数据'!$B$2:$K$742,ROW()-1,MATCH(B$1,'包络曲线数据'!$B$1:$K$1,0)),""))</x:f>
        <x:v>73.9518789769494</x:v>
      </x:c>
      <x:c r="C35" t="n">
        <x:f>IF(C$1="","",IFERROR(INDEX('包络曲线数据'!$B$2:$K$742,ROW()-1,MATCH(C$1,'包络曲线数据'!$B$1:$K$1,0)),""))</x:f>
        <x:v>68.25465237260546</x:v>
      </x:c>
      <x:c r="D35" t="str">
        <x:f>IF(D$1="","",IFERROR(INDEX('包络曲线数据'!$B$2:$K$742,ROW()-1,MATCH(D$1,'包络曲线数据'!$B$1:$K$1,0)),""))</x:f>
      </x:c>
      <x:c r="E35" t="str">
        <x:f>IF(E$1="","",IFERROR(INDEX('包络曲线数据'!$B$2:$K$742,ROW()-1,MATCH(E$1,'包络曲线数据'!$B$1:$K$1,0)),""))</x:f>
      </x:c>
      <x:c r="F35" t="str">
        <x:f>IF(F$1="","",IFERROR(INDEX('包络曲线数据'!$B$2:$K$742,ROW()-1,MATCH(F$1,'包络曲线数据'!$B$1:$K$1,0)),""))</x:f>
      </x:c>
      <x:c r="G35" t="str">
        <x:f>IF(G$1="","",IFERROR(INDEX('包络曲线数据'!$B$2:$K$742,ROW()-1,MATCH(G$1,'包络曲线数据'!$B$1:$K$1,0)),""))</x:f>
      </x:c>
      <x:c r="I35" t="n">
        <x:v>360.0000000000006</x:v>
      </x:c>
      <x:c r="J35" t="n">
        <x:f>IF(J$1="","",IFERROR(INDEX('代表咚声数据'!$B$2:$U$39,ROW()-1,MATCH(J$1&amp;"_常见",'代表咚声数据'!$B$1:$U$1,0)),""))</x:f>
        <x:v>62.90922793898733</x:v>
      </x:c>
      <x:c r="K35" t="n">
        <x:f>IF(K$1="","",IFERROR(INDEX('代表咚声数据'!$B$2:$U$39,ROW()-1,MATCH(K$1&amp;"_常见",'代表咚声数据'!$B$1:$U$1,0)),""))</x:f>
        <x:v>64.84300353662574</x:v>
      </x:c>
      <x:c r="L35" t="str">
        <x:f>IF(L$1="","",IFERROR(INDEX('代表咚声数据'!$B$2:$U$39,ROW()-1,MATCH(L$1&amp;"_常见",'代表咚声数据'!$B$1:$U$1,0)),""))</x:f>
      </x:c>
      <x:c r="M35" t="str">
        <x:f>IF(M$1="","",IFERROR(INDEX('代表咚声数据'!$B$2:$U$39,ROW()-1,MATCH(M$1&amp;"_常见",'代表咚声数据'!$B$1:$U$1,0)),""))</x:f>
      </x:c>
      <x:c r="N35" t="str">
        <x:f>IF(N$1="","",IFERROR(INDEX('代表咚声数据'!$B$2:$U$39,ROW()-1,MATCH(N$1&amp;"_常见",'代表咚声数据'!$B$1:$U$1,0)),""))</x:f>
      </x:c>
      <x:c r="O35" t="str">
        <x:f>IF(O$1="","",IFERROR(INDEX('代表咚声数据'!$B$2:$U$39,ROW()-1,MATCH(O$1&amp;"_常见",'代表咚声数据'!$B$1:$U$1,0)),""))</x:f>
      </x:c>
      <x:c r="Q35" t="n">
        <x:v>360.0000000000006</x:v>
      </x:c>
      <x:c r="R35" t="n">
        <x:f>IF(R$1="","",IFERROR(INDEX('代表咚声数据'!$B$2:$U$39,ROW()-1,MATCH(R$1&amp;"_较响",'代表咚声数据'!$B$1:$U$1,0)),""))</x:f>
        <x:v>65.38407347125184</x:v>
      </x:c>
      <x:c r="S35" t="n">
        <x:f>IF(S$1="","",IFERROR(INDEX('代表咚声数据'!$B$2:$U$39,ROW()-1,MATCH(S$1&amp;"_较响",'代表咚声数据'!$B$1:$U$1,0)),""))</x:f>
        <x:v>65.2073260217909</x:v>
      </x:c>
      <x:c r="T35" t="str">
        <x:f>IF(T$1="","",IFERROR(INDEX('代表咚声数据'!$B$2:$U$39,ROW()-1,MATCH(T$1&amp;"_较响",'代表咚声数据'!$B$1:$U$1,0)),""))</x:f>
      </x:c>
      <x:c r="U35" t="str">
        <x:f>IF(U$1="","",IFERROR(INDEX('代表咚声数据'!$B$2:$U$39,ROW()-1,MATCH(U$1&amp;"_较响",'代表咚声数据'!$B$1:$U$1,0)),""))</x:f>
      </x:c>
      <x:c r="V35" t="str">
        <x:f>IF(V$1="","",IFERROR(INDEX('代表咚声数据'!$B$2:$U$39,ROW()-1,MATCH(V$1&amp;"_较响",'代表咚声数据'!$B$1:$U$1,0)),""))</x:f>
      </x:c>
      <x:c r="W35" t="str">
        <x:f>IF(W$1="","",IFERROR(INDEX('代表咚声数据'!$B$2:$U$39,ROW()-1,MATCH(W$1&amp;"_较响",'代表咚声数据'!$B$1:$U$1,0)),""))</x:f>
      </x:c>
    </x:row>
    <x:row r="36">
      <x:c r="A36" t="n">
        <x:v>3.4000000000000004</x:v>
      </x:c>
      <x:c r="B36" t="n">
        <x:f>IF(B$1="","",IFERROR(INDEX('包络曲线数据'!$B$2:$K$742,ROW()-1,MATCH(B$1,'包络曲线数据'!$B$1:$K$1,0)),""))</x:f>
        <x:v>66.90434094194532</x:v>
      </x:c>
      <x:c r="C36" t="n">
        <x:f>IF(C$1="","",IFERROR(INDEX('包络曲线数据'!$B$2:$K$742,ROW()-1,MATCH(C$1,'包络曲线数据'!$B$1:$K$1,0)),""))</x:f>
        <x:v>68.25465237260546</x:v>
      </x:c>
      <x:c r="D36" t="str">
        <x:f>IF(D$1="","",IFERROR(INDEX('包络曲线数据'!$B$2:$K$742,ROW()-1,MATCH(D$1,'包络曲线数据'!$B$1:$K$1,0)),""))</x:f>
      </x:c>
      <x:c r="E36" t="str">
        <x:f>IF(E$1="","",IFERROR(INDEX('包络曲线数据'!$B$2:$K$742,ROW()-1,MATCH(E$1,'包络曲线数据'!$B$1:$K$1,0)),""))</x:f>
      </x:c>
      <x:c r="F36" t="str">
        <x:f>IF(F$1="","",IFERROR(INDEX('包络曲线数据'!$B$2:$K$742,ROW()-1,MATCH(F$1,'包络曲线数据'!$B$1:$K$1,0)),""))</x:f>
      </x:c>
      <x:c r="G36" t="str">
        <x:f>IF(G$1="","",IFERROR(INDEX('包络曲线数据'!$B$2:$K$742,ROW()-1,MATCH(G$1,'包络曲线数据'!$B$1:$K$1,0)),""))</x:f>
      </x:c>
      <x:c r="I36" t="n">
        <x:v>380.0000000000006</x:v>
      </x:c>
      <x:c r="J36" t="n">
        <x:f>IF(J$1="","",IFERROR(INDEX('代表咚声数据'!$B$2:$U$39,ROW()-1,MATCH(J$1&amp;"_常见",'代表咚声数据'!$B$1:$U$1,0)),""))</x:f>
        <x:v>63.26570515033908</x:v>
      </x:c>
      <x:c r="K36" t="n">
        <x:f>IF(K$1="","",IFERROR(INDEX('代表咚声数据'!$B$2:$U$39,ROW()-1,MATCH(K$1&amp;"_常见",'代表咚声数据'!$B$1:$U$1,0)),""))</x:f>
        <x:v>66.11973110349844</x:v>
      </x:c>
      <x:c r="L36" t="str">
        <x:f>IF(L$1="","",IFERROR(INDEX('代表咚声数据'!$B$2:$U$39,ROW()-1,MATCH(L$1&amp;"_常见",'代表咚声数据'!$B$1:$U$1,0)),""))</x:f>
      </x:c>
      <x:c r="M36" t="str">
        <x:f>IF(M$1="","",IFERROR(INDEX('代表咚声数据'!$B$2:$U$39,ROW()-1,MATCH(M$1&amp;"_常见",'代表咚声数据'!$B$1:$U$1,0)),""))</x:f>
      </x:c>
      <x:c r="N36" t="str">
        <x:f>IF(N$1="","",IFERROR(INDEX('代表咚声数据'!$B$2:$U$39,ROW()-1,MATCH(N$1&amp;"_常见",'代表咚声数据'!$B$1:$U$1,0)),""))</x:f>
      </x:c>
      <x:c r="O36" t="str">
        <x:f>IF(O$1="","",IFERROR(INDEX('代表咚声数据'!$B$2:$U$39,ROW()-1,MATCH(O$1&amp;"_常见",'代表咚声数据'!$B$1:$U$1,0)),""))</x:f>
      </x:c>
      <x:c r="Q36" t="n">
        <x:v>380.0000000000006</x:v>
      </x:c>
      <x:c r="R36" t="n">
        <x:f>IF(R$1="","",IFERROR(INDEX('代表咚声数据'!$B$2:$U$39,ROW()-1,MATCH(R$1&amp;"_较响",'代表咚声数据'!$B$1:$U$1,0)),""))</x:f>
        <x:v>65.54481214595388</x:v>
      </x:c>
      <x:c r="S36" t="n">
        <x:f>IF(S$1="","",IFERROR(INDEX('代表咚声数据'!$B$2:$U$39,ROW()-1,MATCH(S$1&amp;"_较响",'代表咚声数据'!$B$1:$U$1,0)),""))</x:f>
        <x:v>65.39062574312858</x:v>
      </x:c>
      <x:c r="T36" t="str">
        <x:f>IF(T$1="","",IFERROR(INDEX('代表咚声数据'!$B$2:$U$39,ROW()-1,MATCH(T$1&amp;"_较响",'代表咚声数据'!$B$1:$U$1,0)),""))</x:f>
      </x:c>
      <x:c r="U36" t="str">
        <x:f>IF(U$1="","",IFERROR(INDEX('代表咚声数据'!$B$2:$U$39,ROW()-1,MATCH(U$1&amp;"_较响",'代表咚声数据'!$B$1:$U$1,0)),""))</x:f>
      </x:c>
      <x:c r="V36" t="str">
        <x:f>IF(V$1="","",IFERROR(INDEX('代表咚声数据'!$B$2:$U$39,ROW()-1,MATCH(V$1&amp;"_较响",'代表咚声数据'!$B$1:$U$1,0)),""))</x:f>
      </x:c>
      <x:c r="W36" t="str">
        <x:f>IF(W$1="","",IFERROR(INDEX('代表咚声数据'!$B$2:$U$39,ROW()-1,MATCH(W$1&amp;"_较响",'代表咚声数据'!$B$1:$U$1,0)),""))</x:f>
      </x:c>
    </x:row>
    <x:row r="37">
      <x:c r="A37" t="n">
        <x:v>3.5</x:v>
      </x:c>
      <x:c r="B37" t="n">
        <x:f>IF(B$1="","",IFERROR(INDEX('包络曲线数据'!$B$2:$K$742,ROW()-1,MATCH(B$1,'包络曲线数据'!$B$1:$K$1,0)),""))</x:f>
        <x:v>61.69373491880839</x:v>
      </x:c>
      <x:c r="C37" t="n">
        <x:f>IF(C$1="","",IFERROR(INDEX('包络曲线数据'!$B$2:$K$742,ROW()-1,MATCH(C$1,'包络曲线数据'!$B$1:$K$1,0)),""))</x:f>
        <x:v>68.34269069558093</x:v>
      </x:c>
      <x:c r="D37" t="str">
        <x:f>IF(D$1="","",IFERROR(INDEX('包络曲线数据'!$B$2:$K$742,ROW()-1,MATCH(D$1,'包络曲线数据'!$B$1:$K$1,0)),""))</x:f>
      </x:c>
      <x:c r="E37" t="str">
        <x:f>IF(E$1="","",IFERROR(INDEX('包络曲线数据'!$B$2:$K$742,ROW()-1,MATCH(E$1,'包络曲线数据'!$B$1:$K$1,0)),""))</x:f>
      </x:c>
      <x:c r="F37" t="str">
        <x:f>IF(F$1="","",IFERROR(INDEX('包络曲线数据'!$B$2:$K$742,ROW()-1,MATCH(F$1,'包络曲线数据'!$B$1:$K$1,0)),""))</x:f>
      </x:c>
      <x:c r="G37" t="str">
        <x:f>IF(G$1="","",IFERROR(INDEX('包络曲线数据'!$B$2:$K$742,ROW()-1,MATCH(G$1,'包络曲线数据'!$B$1:$K$1,0)),""))</x:f>
      </x:c>
      <x:c r="I37" t="n">
        <x:v>400.0000000000006</x:v>
      </x:c>
      <x:c r="J37" t="n">
        <x:f>IF(J$1="","",IFERROR(INDEX('代表咚声数据'!$B$2:$U$39,ROW()-1,MATCH(J$1&amp;"_常见",'代表咚声数据'!$B$1:$U$1,0)),""))</x:f>
        <x:v>63.320927825068296</x:v>
      </x:c>
      <x:c r="K37" t="n">
        <x:f>IF(K$1="","",IFERROR(INDEX('代表咚声数据'!$B$2:$U$39,ROW()-1,MATCH(K$1&amp;"_常见",'代表咚声数据'!$B$1:$U$1,0)),""))</x:f>
        <x:v>66.47889065160372</x:v>
      </x:c>
      <x:c r="L37" t="str">
        <x:f>IF(L$1="","",IFERROR(INDEX('代表咚声数据'!$B$2:$U$39,ROW()-1,MATCH(L$1&amp;"_常见",'代表咚声数据'!$B$1:$U$1,0)),""))</x:f>
      </x:c>
      <x:c r="M37" t="str">
        <x:f>IF(M$1="","",IFERROR(INDEX('代表咚声数据'!$B$2:$U$39,ROW()-1,MATCH(M$1&amp;"_常见",'代表咚声数据'!$B$1:$U$1,0)),""))</x:f>
      </x:c>
      <x:c r="N37" t="str">
        <x:f>IF(N$1="","",IFERROR(INDEX('代表咚声数据'!$B$2:$U$39,ROW()-1,MATCH(N$1&amp;"_常见",'代表咚声数据'!$B$1:$U$1,0)),""))</x:f>
      </x:c>
      <x:c r="O37" t="str">
        <x:f>IF(O$1="","",IFERROR(INDEX('代表咚声数据'!$B$2:$U$39,ROW()-1,MATCH(O$1&amp;"_常见",'代表咚声数据'!$B$1:$U$1,0)),""))</x:f>
      </x:c>
      <x:c r="Q37" t="n">
        <x:v>400.0000000000006</x:v>
      </x:c>
      <x:c r="R37" t="n">
        <x:f>IF(R$1="","",IFERROR(INDEX('代表咚声数据'!$B$2:$U$39,ROW()-1,MATCH(R$1&amp;"_较响",'代表咚声数据'!$B$1:$U$1,0)),""))</x:f>
        <x:v>64.97890286641501</x:v>
      </x:c>
      <x:c r="S37" t="n">
        <x:f>IF(S$1="","",IFERROR(INDEX('代表咚声数据'!$B$2:$U$39,ROW()-1,MATCH(S$1&amp;"_较响",'代表咚声数据'!$B$1:$U$1,0)),""))</x:f>
        <x:v>64.73870098806128</x:v>
      </x:c>
      <x:c r="T37" t="str">
        <x:f>IF(T$1="","",IFERROR(INDEX('代表咚声数据'!$B$2:$U$39,ROW()-1,MATCH(T$1&amp;"_较响",'代表咚声数据'!$B$1:$U$1,0)),""))</x:f>
      </x:c>
      <x:c r="U37" t="str">
        <x:f>IF(U$1="","",IFERROR(INDEX('代表咚声数据'!$B$2:$U$39,ROW()-1,MATCH(U$1&amp;"_较响",'代表咚声数据'!$B$1:$U$1,0)),""))</x:f>
      </x:c>
      <x:c r="V37" t="str">
        <x:f>IF(V$1="","",IFERROR(INDEX('代表咚声数据'!$B$2:$U$39,ROW()-1,MATCH(V$1&amp;"_较响",'代表咚声数据'!$B$1:$U$1,0)),""))</x:f>
      </x:c>
      <x:c r="W37" t="str">
        <x:f>IF(W$1="","",IFERROR(INDEX('代表咚声数据'!$B$2:$U$39,ROW()-1,MATCH(W$1&amp;"_较响",'代表咚声数据'!$B$1:$U$1,0)),""))</x:f>
      </x:c>
    </x:row>
    <x:row r="38">
      <x:c r="A38" t="n">
        <x:v>3.6</x:v>
      </x:c>
      <x:c r="B38" t="n">
        <x:f>IF(B$1="","",IFERROR(INDEX('包络曲线数据'!$B$2:$K$742,ROW()-1,MATCH(B$1,'包络曲线数据'!$B$1:$K$1,0)),""))</x:f>
        <x:v>63.1183048111879</x:v>
      </x:c>
      <x:c r="C38" t="n">
        <x:f>IF(C$1="","",IFERROR(INDEX('包络曲线数据'!$B$2:$K$742,ROW()-1,MATCH(C$1,'包络曲线数据'!$B$1:$K$1,0)),""))</x:f>
        <x:v>68.34269069558093</x:v>
      </x:c>
      <x:c r="D38" t="str">
        <x:f>IF(D$1="","",IFERROR(INDEX('包络曲线数据'!$B$2:$K$742,ROW()-1,MATCH(D$1,'包络曲线数据'!$B$1:$K$1,0)),""))</x:f>
      </x:c>
      <x:c r="E38" t="str">
        <x:f>IF(E$1="","",IFERROR(INDEX('包络曲线数据'!$B$2:$K$742,ROW()-1,MATCH(E$1,'包络曲线数据'!$B$1:$K$1,0)),""))</x:f>
      </x:c>
      <x:c r="F38" t="str">
        <x:f>IF(F$1="","",IFERROR(INDEX('包络曲线数据'!$B$2:$K$742,ROW()-1,MATCH(F$1,'包络曲线数据'!$B$1:$K$1,0)),""))</x:f>
      </x:c>
      <x:c r="G38" t="str">
        <x:f>IF(G$1="","",IFERROR(INDEX('包络曲线数据'!$B$2:$K$742,ROW()-1,MATCH(G$1,'包络曲线数据'!$B$1:$K$1,0)),""))</x:f>
      </x:c>
      <x:c r="I38" t="n">
        <x:v>420.0000000000006</x:v>
      </x:c>
      <x:c r="J38" t="n">
        <x:f>IF(J$1="","",IFERROR(INDEX('代表咚声数据'!$B$2:$U$39,ROW()-1,MATCH(J$1&amp;"_常见",'代表咚声数据'!$B$1:$U$1,0)),""))</x:f>
        <x:v>62.492320967729945</x:v>
      </x:c>
      <x:c r="K38" t="n">
        <x:f>IF(K$1="","",IFERROR(INDEX('代表咚声数据'!$B$2:$U$39,ROW()-1,MATCH(K$1&amp;"_常见",'代表咚声数据'!$B$1:$U$1,0)),""))</x:f>
        <x:v>66.8402837353977</x:v>
      </x:c>
      <x:c r="L38" t="str">
        <x:f>IF(L$1="","",IFERROR(INDEX('代表咚声数据'!$B$2:$U$39,ROW()-1,MATCH(L$1&amp;"_常见",'代表咚声数据'!$B$1:$U$1,0)),""))</x:f>
      </x:c>
      <x:c r="M38" t="str">
        <x:f>IF(M$1="","",IFERROR(INDEX('代表咚声数据'!$B$2:$U$39,ROW()-1,MATCH(M$1&amp;"_常见",'代表咚声数据'!$B$1:$U$1,0)),""))</x:f>
      </x:c>
      <x:c r="N38" t="str">
        <x:f>IF(N$1="","",IFERROR(INDEX('代表咚声数据'!$B$2:$U$39,ROW()-1,MATCH(N$1&amp;"_常见",'代表咚声数据'!$B$1:$U$1,0)),""))</x:f>
      </x:c>
      <x:c r="O38" t="str">
        <x:f>IF(O$1="","",IFERROR(INDEX('代表咚声数据'!$B$2:$U$39,ROW()-1,MATCH(O$1&amp;"_常见",'代表咚声数据'!$B$1:$U$1,0)),""))</x:f>
      </x:c>
      <x:c r="Q38" t="n">
        <x:v>420.0000000000006</x:v>
      </x:c>
      <x:c r="R38" t="n">
        <x:f>IF(R$1="","",IFERROR(INDEX('代表咚声数据'!$B$2:$U$39,ROW()-1,MATCH(R$1&amp;"_较响",'代表咚声数据'!$B$1:$U$1,0)),""))</x:f>
        <x:v>65.8564454350755</x:v>
      </x:c>
      <x:c r="S38" t="n">
        <x:f>IF(S$1="","",IFERROR(INDEX('代表咚声数据'!$B$2:$U$39,ROW()-1,MATCH(S$1&amp;"_较响",'代表咚声数据'!$B$1:$U$1,0)),""))</x:f>
        <x:v>64.63887624887045</x:v>
      </x:c>
      <x:c r="T38" t="str">
        <x:f>IF(T$1="","",IFERROR(INDEX('代表咚声数据'!$B$2:$U$39,ROW()-1,MATCH(T$1&amp;"_较响",'代表咚声数据'!$B$1:$U$1,0)),""))</x:f>
      </x:c>
      <x:c r="U38" t="str">
        <x:f>IF(U$1="","",IFERROR(INDEX('代表咚声数据'!$B$2:$U$39,ROW()-1,MATCH(U$1&amp;"_较响",'代表咚声数据'!$B$1:$U$1,0)),""))</x:f>
      </x:c>
      <x:c r="V38" t="str">
        <x:f>IF(V$1="","",IFERROR(INDEX('代表咚声数据'!$B$2:$U$39,ROW()-1,MATCH(V$1&amp;"_较响",'代表咚声数据'!$B$1:$U$1,0)),""))</x:f>
      </x:c>
      <x:c r="W38" t="str">
        <x:f>IF(W$1="","",IFERROR(INDEX('代表咚声数据'!$B$2:$U$39,ROW()-1,MATCH(W$1&amp;"_较响",'代表咚声数据'!$B$1:$U$1,0)),""))</x:f>
      </x:c>
    </x:row>
    <x:row r="39">
      <x:c r="A39" t="n">
        <x:v>3.7</x:v>
      </x:c>
      <x:c r="B39" t="n">
        <x:f>IF(B$1="","",IFERROR(INDEX('包络曲线数据'!$B$2:$K$742,ROW()-1,MATCH(B$1,'包络曲线数据'!$B$1:$K$1,0)),""))</x:f>
        <x:v>65.7377765518794</x:v>
      </x:c>
      <x:c r="C39" t="n">
        <x:f>IF(C$1="","",IFERROR(INDEX('包络曲线数据'!$B$2:$K$742,ROW()-1,MATCH(C$1,'包络曲线数据'!$B$1:$K$1,0)),""))</x:f>
        <x:v>68.01590195427204</x:v>
      </x:c>
      <x:c r="D39" t="str">
        <x:f>IF(D$1="","",IFERROR(INDEX('包络曲线数据'!$B$2:$K$742,ROW()-1,MATCH(D$1,'包络曲线数据'!$B$1:$K$1,0)),""))</x:f>
      </x:c>
      <x:c r="E39" t="str">
        <x:f>IF(E$1="","",IFERROR(INDEX('包络曲线数据'!$B$2:$K$742,ROW()-1,MATCH(E$1,'包络曲线数据'!$B$1:$K$1,0)),""))</x:f>
      </x:c>
      <x:c r="F39" t="str">
        <x:f>IF(F$1="","",IFERROR(INDEX('包络曲线数据'!$B$2:$K$742,ROW()-1,MATCH(F$1,'包络曲线数据'!$B$1:$K$1,0)),""))</x:f>
      </x:c>
      <x:c r="G39" t="str">
        <x:f>IF(G$1="","",IFERROR(INDEX('包络曲线数据'!$B$2:$K$742,ROW()-1,MATCH(G$1,'包络曲线数据'!$B$1:$K$1,0)),""))</x:f>
      </x:c>
      <x:c r="I39" t="n">
        <x:v>440.0000000000007</x:v>
      </x:c>
      <x:c r="J39" t="n">
        <x:f>IF(J$1="","",IFERROR(INDEX('代表咚声数据'!$B$2:$U$39,ROW()-1,MATCH(J$1&amp;"_常见",'代表咚声数据'!$B$1:$U$1,0)),""))</x:f>
        <x:v>61.97949917458335</x:v>
      </x:c>
      <x:c r="K39" t="n">
        <x:f>IF(K$1="","",IFERROR(INDEX('代表咚声数据'!$B$2:$U$39,ROW()-1,MATCH(K$1&amp;"_常见",'代表咚声数据'!$B$1:$U$1,0)),""))</x:f>
        <x:v>66.796587150351</x:v>
      </x:c>
      <x:c r="L39" t="str">
        <x:f>IF(L$1="","",IFERROR(INDEX('代表咚声数据'!$B$2:$U$39,ROW()-1,MATCH(L$1&amp;"_常见",'代表咚声数据'!$B$1:$U$1,0)),""))</x:f>
      </x:c>
      <x:c r="M39" t="str">
        <x:f>IF(M$1="","",IFERROR(INDEX('代表咚声数据'!$B$2:$U$39,ROW()-1,MATCH(M$1&amp;"_常见",'代表咚声数据'!$B$1:$U$1,0)),""))</x:f>
      </x:c>
      <x:c r="N39" t="str">
        <x:f>IF(N$1="","",IFERROR(INDEX('代表咚声数据'!$B$2:$U$39,ROW()-1,MATCH(N$1&amp;"_常见",'代表咚声数据'!$B$1:$U$1,0)),""))</x:f>
      </x:c>
      <x:c r="O39" t="str">
        <x:f>IF(O$1="","",IFERROR(INDEX('代表咚声数据'!$B$2:$U$39,ROW()-1,MATCH(O$1&amp;"_常见",'代表咚声数据'!$B$1:$U$1,0)),""))</x:f>
      </x:c>
      <x:c r="Q39" t="n">
        <x:v>440.0000000000007</x:v>
      </x:c>
      <x:c r="R39" t="n">
        <x:f>IF(R$1="","",IFERROR(INDEX('代表咚声数据'!$B$2:$U$39,ROW()-1,MATCH(R$1&amp;"_较响",'代表咚声数据'!$B$1:$U$1,0)),""))</x:f>
        <x:v>65.44864078060746</x:v>
      </x:c>
      <x:c r="S39" t="n">
        <x:f>IF(S$1="","",IFERROR(INDEX('代表咚声数据'!$B$2:$U$39,ROW()-1,MATCH(S$1&amp;"_较响",'代表咚声数据'!$B$1:$U$1,0)),""))</x:f>
        <x:v>64.80996923896313</x:v>
      </x:c>
      <x:c r="T39" t="str">
        <x:f>IF(T$1="","",IFERROR(INDEX('代表咚声数据'!$B$2:$U$39,ROW()-1,MATCH(T$1&amp;"_较响",'代表咚声数据'!$B$1:$U$1,0)),""))</x:f>
      </x:c>
      <x:c r="U39" t="str">
        <x:f>IF(U$1="","",IFERROR(INDEX('代表咚声数据'!$B$2:$U$39,ROW()-1,MATCH(U$1&amp;"_较响",'代表咚声数据'!$B$1:$U$1,0)),""))</x:f>
      </x:c>
      <x:c r="V39" t="str">
        <x:f>IF(V$1="","",IFERROR(INDEX('代表咚声数据'!$B$2:$U$39,ROW()-1,MATCH(V$1&amp;"_较响",'代表咚声数据'!$B$1:$U$1,0)),""))</x:f>
      </x:c>
      <x:c r="W39" t="str">
        <x:f>IF(W$1="","",IFERROR(INDEX('代表咚声数据'!$B$2:$U$39,ROW()-1,MATCH(W$1&amp;"_较响",'代表咚声数据'!$B$1:$U$1,0)),""))</x:f>
      </x:c>
    </x:row>
    <x:row r="40">
      <x:c r="A40" t="n">
        <x:v>3.8000000000000003</x:v>
      </x:c>
      <x:c r="B40" t="n">
        <x:f>IF(B$1="","",IFERROR(INDEX('包络曲线数据'!$B$2:$K$742,ROW()-1,MATCH(B$1,'包络曲线数据'!$B$1:$K$1,0)),""))</x:f>
        <x:v>66.32700817741892</x:v>
      </x:c>
      <x:c r="C40" t="n">
        <x:f>IF(C$1="","",IFERROR(INDEX('包络曲线数据'!$B$2:$K$742,ROW()-1,MATCH(C$1,'包络曲线数据'!$B$1:$K$1,0)),""))</x:f>
        <x:v>67.65262158398077</x:v>
      </x:c>
      <x:c r="D40" t="str">
        <x:f>IF(D$1="","",IFERROR(INDEX('包络曲线数据'!$B$2:$K$742,ROW()-1,MATCH(D$1,'包络曲线数据'!$B$1:$K$1,0)),""))</x:f>
      </x:c>
      <x:c r="E40" t="str">
        <x:f>IF(E$1="","",IFERROR(INDEX('包络曲线数据'!$B$2:$K$742,ROW()-1,MATCH(E$1,'包络曲线数据'!$B$1:$K$1,0)),""))</x:f>
      </x:c>
      <x:c r="F40" t="str">
        <x:f>IF(F$1="","",IFERROR(INDEX('包络曲线数据'!$B$2:$K$742,ROW()-1,MATCH(F$1,'包络曲线数据'!$B$1:$K$1,0)),""))</x:f>
      </x:c>
      <x:c r="G40" t="str">
        <x:f>IF(G$1="","",IFERROR(INDEX('包络曲线数据'!$B$2:$K$742,ROW()-1,MATCH(G$1,'包络曲线数据'!$B$1:$K$1,0)),""))</x:f>
      </x:c>
    </x:row>
    <x:row r="41">
      <x:c r="A41" t="n">
        <x:v>3.9000000000000004</x:v>
      </x:c>
      <x:c r="B41" t="n">
        <x:f>IF(B$1="","",IFERROR(INDEX('包络曲线数据'!$B$2:$K$742,ROW()-1,MATCH(B$1,'包络曲线数据'!$B$1:$K$1,0)),""))</x:f>
        <x:v>66.32700817741892</x:v>
      </x:c>
      <x:c r="C41" t="n">
        <x:f>IF(C$1="","",IFERROR(INDEX('包络曲线数据'!$B$2:$K$742,ROW()-1,MATCH(C$1,'包络曲线数据'!$B$1:$K$1,0)),""))</x:f>
        <x:v>69.64561296520273</x:v>
      </x:c>
      <x:c r="D41" t="str">
        <x:f>IF(D$1="","",IFERROR(INDEX('包络曲线数据'!$B$2:$K$742,ROW()-1,MATCH(D$1,'包络曲线数据'!$B$1:$K$1,0)),""))</x:f>
      </x:c>
      <x:c r="E41" t="str">
        <x:f>IF(E$1="","",IFERROR(INDEX('包络曲线数据'!$B$2:$K$742,ROW()-1,MATCH(E$1,'包络曲线数据'!$B$1:$K$1,0)),""))</x:f>
      </x:c>
      <x:c r="F41" t="str">
        <x:f>IF(F$1="","",IFERROR(INDEX('包络曲线数据'!$B$2:$K$742,ROW()-1,MATCH(F$1,'包络曲线数据'!$B$1:$K$1,0)),""))</x:f>
      </x:c>
      <x:c r="G41" t="str">
        <x:f>IF(G$1="","",IFERROR(INDEX('包络曲线数据'!$B$2:$K$742,ROW()-1,MATCH(G$1,'包络曲线数据'!$B$1:$K$1,0)),""))</x:f>
      </x:c>
    </x:row>
    <x:row r="42">
      <x:c r="A42" t="n">
        <x:v>4</x:v>
      </x:c>
      <x:c r="B42" t="n">
        <x:f>IF(B$1="","",IFERROR(INDEX('包络曲线数据'!$B$2:$K$742,ROW()-1,MATCH(B$1,'包络曲线数据'!$B$1:$K$1,0)),""))</x:f>
        <x:v>66.93246393745848</x:v>
      </x:c>
      <x:c r="C42" t="n">
        <x:f>IF(C$1="","",IFERROR(INDEX('包络曲线数据'!$B$2:$K$742,ROW()-1,MATCH(C$1,'包络曲线数据'!$B$1:$K$1,0)),""))</x:f>
        <x:v>69.64561296520273</x:v>
      </x:c>
      <x:c r="D42" t="str">
        <x:f>IF(D$1="","",IFERROR(INDEX('包络曲线数据'!$B$2:$K$742,ROW()-1,MATCH(D$1,'包络曲线数据'!$B$1:$K$1,0)),""))</x:f>
      </x:c>
      <x:c r="E42" t="str">
        <x:f>IF(E$1="","",IFERROR(INDEX('包络曲线数据'!$B$2:$K$742,ROW()-1,MATCH(E$1,'包络曲线数据'!$B$1:$K$1,0)),""))</x:f>
      </x:c>
      <x:c r="F42" t="str">
        <x:f>IF(F$1="","",IFERROR(INDEX('包络曲线数据'!$B$2:$K$742,ROW()-1,MATCH(F$1,'包络曲线数据'!$B$1:$K$1,0)),""))</x:f>
      </x:c>
      <x:c r="G42" t="str">
        <x:f>IF(G$1="","",IFERROR(INDEX('包络曲线数据'!$B$2:$K$742,ROW()-1,MATCH(G$1,'包络曲线数据'!$B$1:$K$1,0)),""))</x:f>
      </x:c>
    </x:row>
    <x:row r="43">
      <x:c r="A43" t="n">
        <x:v>4.1000000000000005</x:v>
      </x:c>
      <x:c r="B43" t="n">
        <x:f>IF(B$1="","",IFERROR(INDEX('包络曲线数据'!$B$2:$K$742,ROW()-1,MATCH(B$1,'包络曲线数据'!$B$1:$K$1,0)),""))</x:f>
        <x:v>66.97640474809475</x:v>
      </x:c>
      <x:c r="C43" t="n">
        <x:f>IF(C$1="","",IFERROR(INDEX('包络曲线数据'!$B$2:$K$742,ROW()-1,MATCH(C$1,'包络曲线数据'!$B$1:$K$1,0)),""))</x:f>
        <x:v>90.23985189781754</x:v>
      </x:c>
      <x:c r="D43" t="str">
        <x:f>IF(D$1="","",IFERROR(INDEX('包络曲线数据'!$B$2:$K$742,ROW()-1,MATCH(D$1,'包络曲线数据'!$B$1:$K$1,0)),""))</x:f>
      </x:c>
      <x:c r="E43" t="str">
        <x:f>IF(E$1="","",IFERROR(INDEX('包络曲线数据'!$B$2:$K$742,ROW()-1,MATCH(E$1,'包络曲线数据'!$B$1:$K$1,0)),""))</x:f>
      </x:c>
      <x:c r="F43" t="str">
        <x:f>IF(F$1="","",IFERROR(INDEX('包络曲线数据'!$B$2:$K$742,ROW()-1,MATCH(F$1,'包络曲线数据'!$B$1:$K$1,0)),""))</x:f>
      </x:c>
      <x:c r="G43" t="str">
        <x:f>IF(G$1="","",IFERROR(INDEX('包络曲线数据'!$B$2:$K$742,ROW()-1,MATCH(G$1,'包络曲线数据'!$B$1:$K$1,0)),""))</x:f>
      </x:c>
    </x:row>
    <x:row r="44">
      <x:c r="A44" t="n">
        <x:v>4.2</x:v>
      </x:c>
      <x:c r="B44" t="n">
        <x:f>IF(B$1="","",IFERROR(INDEX('包络曲线数据'!$B$2:$K$742,ROW()-1,MATCH(B$1,'包络曲线数据'!$B$1:$K$1,0)),""))</x:f>
        <x:v>66.82772206363009</x:v>
      </x:c>
      <x:c r="C44" t="n">
        <x:f>IF(C$1="","",IFERROR(INDEX('包络曲线数据'!$B$2:$K$742,ROW()-1,MATCH(C$1,'包络曲线数据'!$B$1:$K$1,0)),""))</x:f>
        <x:v>90.23985189781754</x:v>
      </x:c>
      <x:c r="D44" t="str">
        <x:f>IF(D$1="","",IFERROR(INDEX('包络曲线数据'!$B$2:$K$742,ROW()-1,MATCH(D$1,'包络曲线数据'!$B$1:$K$1,0)),""))</x:f>
      </x:c>
      <x:c r="E44" t="str">
        <x:f>IF(E$1="","",IFERROR(INDEX('包络曲线数据'!$B$2:$K$742,ROW()-1,MATCH(E$1,'包络曲线数据'!$B$1:$K$1,0)),""))</x:f>
      </x:c>
      <x:c r="F44" t="str">
        <x:f>IF(F$1="","",IFERROR(INDEX('包络曲线数据'!$B$2:$K$742,ROW()-1,MATCH(F$1,'包络曲线数据'!$B$1:$K$1,0)),""))</x:f>
      </x:c>
      <x:c r="G44" t="str">
        <x:f>IF(G$1="","",IFERROR(INDEX('包络曲线数据'!$B$2:$K$742,ROW()-1,MATCH(G$1,'包络曲线数据'!$B$1:$K$1,0)),""))</x:f>
      </x:c>
    </x:row>
    <x:row r="45">
      <x:c r="A45" t="n">
        <x:v>4.3</x:v>
      </x:c>
      <x:c r="B45" t="n">
        <x:f>IF(B$1="","",IFERROR(INDEX('包络曲线数据'!$B$2:$K$742,ROW()-1,MATCH(B$1,'包络曲线数据'!$B$1:$K$1,0)),""))</x:f>
        <x:v>66.55045348643127</x:v>
      </x:c>
      <x:c r="C45" t="n">
        <x:f>IF(C$1="","",IFERROR(INDEX('包络曲线数据'!$B$2:$K$742,ROW()-1,MATCH(C$1,'包络曲线数据'!$B$1:$K$1,0)),""))</x:f>
        <x:v>86.99197423899426</x:v>
      </x:c>
      <x:c r="D45" t="str">
        <x:f>IF(D$1="","",IFERROR(INDEX('包络曲线数据'!$B$2:$K$742,ROW()-1,MATCH(D$1,'包络曲线数据'!$B$1:$K$1,0)),""))</x:f>
      </x:c>
      <x:c r="E45" t="str">
        <x:f>IF(E$1="","",IFERROR(INDEX('包络曲线数据'!$B$2:$K$742,ROW()-1,MATCH(E$1,'包络曲线数据'!$B$1:$K$1,0)),""))</x:f>
      </x:c>
      <x:c r="F45" t="str">
        <x:f>IF(F$1="","",IFERROR(INDEX('包络曲线数据'!$B$2:$K$742,ROW()-1,MATCH(F$1,'包络曲线数据'!$B$1:$K$1,0)),""))</x:f>
      </x:c>
      <x:c r="G45" t="str">
        <x:f>IF(G$1="","",IFERROR(INDEX('包络曲线数据'!$B$2:$K$742,ROW()-1,MATCH(G$1,'包络曲线数据'!$B$1:$K$1,0)),""))</x:f>
      </x:c>
    </x:row>
    <x:row r="46">
      <x:c r="A46" t="n">
        <x:v>4.4</x:v>
      </x:c>
      <x:c r="B46" t="n">
        <x:f>IF(B$1="","",IFERROR(INDEX('包络曲线数据'!$B$2:$K$742,ROW()-1,MATCH(B$1,'包络曲线数据'!$B$1:$K$1,0)),""))</x:f>
        <x:v>66.55045348643127</x:v>
      </x:c>
      <x:c r="C46" t="n">
        <x:f>IF(C$1="","",IFERROR(INDEX('包络曲线数据'!$B$2:$K$742,ROW()-1,MATCH(C$1,'包络曲线数据'!$B$1:$K$1,0)),""))</x:f>
        <x:v>78.64896473561814</x:v>
      </x:c>
      <x:c r="D46" t="str">
        <x:f>IF(D$1="","",IFERROR(INDEX('包络曲线数据'!$B$2:$K$742,ROW()-1,MATCH(D$1,'包络曲线数据'!$B$1:$K$1,0)),""))</x:f>
      </x:c>
      <x:c r="E46" t="str">
        <x:f>IF(E$1="","",IFERROR(INDEX('包络曲线数据'!$B$2:$K$742,ROW()-1,MATCH(E$1,'包络曲线数据'!$B$1:$K$1,0)),""))</x:f>
      </x:c>
      <x:c r="F46" t="str">
        <x:f>IF(F$1="","",IFERROR(INDEX('包络曲线数据'!$B$2:$K$742,ROW()-1,MATCH(F$1,'包络曲线数据'!$B$1:$K$1,0)),""))</x:f>
      </x:c>
      <x:c r="G46" t="str">
        <x:f>IF(G$1="","",IFERROR(INDEX('包络曲线数据'!$B$2:$K$742,ROW()-1,MATCH(G$1,'包络曲线数据'!$B$1:$K$1,0)),""))</x:f>
      </x:c>
    </x:row>
    <x:row r="47">
      <x:c r="A47" t="n">
        <x:v>4.5</x:v>
      </x:c>
      <x:c r="B47" t="n">
        <x:f>IF(B$1="","",IFERROR(INDEX('包络曲线数据'!$B$2:$K$742,ROW()-1,MATCH(B$1,'包络曲线数据'!$B$1:$K$1,0)),""))</x:f>
        <x:v>66.35905900673994</x:v>
      </x:c>
      <x:c r="C47" t="n">
        <x:f>IF(C$1="","",IFERROR(INDEX('包络曲线数据'!$B$2:$K$742,ROW()-1,MATCH(C$1,'包络曲线数据'!$B$1:$K$1,0)),""))</x:f>
        <x:v>70.20732376251303</x:v>
      </x:c>
      <x:c r="D47" t="str">
        <x:f>IF(D$1="","",IFERROR(INDEX('包络曲线数据'!$B$2:$K$742,ROW()-1,MATCH(D$1,'包络曲线数据'!$B$1:$K$1,0)),""))</x:f>
      </x:c>
      <x:c r="E47" t="str">
        <x:f>IF(E$1="","",IFERROR(INDEX('包络曲线数据'!$B$2:$K$742,ROW()-1,MATCH(E$1,'包络曲线数据'!$B$1:$K$1,0)),""))</x:f>
      </x:c>
      <x:c r="F47" t="str">
        <x:f>IF(F$1="","",IFERROR(INDEX('包络曲线数据'!$B$2:$K$742,ROW()-1,MATCH(F$1,'包络曲线数据'!$B$1:$K$1,0)),""))</x:f>
      </x:c>
      <x:c r="G47" t="str">
        <x:f>IF(G$1="","",IFERROR(INDEX('包络曲线数据'!$B$2:$K$742,ROW()-1,MATCH(G$1,'包络曲线数据'!$B$1:$K$1,0)),""))</x:f>
      </x:c>
    </x:row>
    <x:row r="48">
      <x:c r="A48" t="n">
        <x:v>4.6000000000000005</x:v>
      </x:c>
      <x:c r="B48" t="n">
        <x:f>IF(B$1="","",IFERROR(INDEX('包络曲线数据'!$B$2:$K$742,ROW()-1,MATCH(B$1,'包络曲线数据'!$B$1:$K$1,0)),""))</x:f>
        <x:v>67.16713586058262</x:v>
      </x:c>
      <x:c r="C48" t="n">
        <x:f>IF(C$1="","",IFERROR(INDEX('包络曲线数据'!$B$2:$K$742,ROW()-1,MATCH(C$1,'包络曲线数据'!$B$1:$K$1,0)),""))</x:f>
        <x:v>63.96513890969584</x:v>
      </x:c>
      <x:c r="D48" t="str">
        <x:f>IF(D$1="","",IFERROR(INDEX('包络曲线数据'!$B$2:$K$742,ROW()-1,MATCH(D$1,'包络曲线数据'!$B$1:$K$1,0)),""))</x:f>
      </x:c>
      <x:c r="E48" t="str">
        <x:f>IF(E$1="","",IFERROR(INDEX('包络曲线数据'!$B$2:$K$742,ROW()-1,MATCH(E$1,'包络曲线数据'!$B$1:$K$1,0)),""))</x:f>
      </x:c>
      <x:c r="F48" t="str">
        <x:f>IF(F$1="","",IFERROR(INDEX('包络曲线数据'!$B$2:$K$742,ROW()-1,MATCH(F$1,'包络曲线数据'!$B$1:$K$1,0)),""))</x:f>
      </x:c>
      <x:c r="G48" t="str">
        <x:f>IF(G$1="","",IFERROR(INDEX('包络曲线数据'!$B$2:$K$742,ROW()-1,MATCH(G$1,'包络曲线数据'!$B$1:$K$1,0)),""))</x:f>
      </x:c>
    </x:row>
    <x:row r="49">
      <x:c r="A49" t="n">
        <x:v>4.7</x:v>
      </x:c>
      <x:c r="B49" t="n">
        <x:f>IF(B$1="","",IFERROR(INDEX('包络曲线数据'!$B$2:$K$742,ROW()-1,MATCH(B$1,'包络曲线数据'!$B$1:$K$1,0)),""))</x:f>
        <x:v>71.50987101586423</x:v>
      </x:c>
      <x:c r="C49" t="n">
        <x:f>IF(C$1="","",IFERROR(INDEX('包络曲线数据'!$B$2:$K$742,ROW()-1,MATCH(C$1,'包络曲线数据'!$B$1:$K$1,0)),""))</x:f>
        <x:v>57.51897451777818</x:v>
      </x:c>
      <x:c r="D49" t="str">
        <x:f>IF(D$1="","",IFERROR(INDEX('包络曲线数据'!$B$2:$K$742,ROW()-1,MATCH(D$1,'包络曲线数据'!$B$1:$K$1,0)),""))</x:f>
      </x:c>
      <x:c r="E49" t="str">
        <x:f>IF(E$1="","",IFERROR(INDEX('包络曲线数据'!$B$2:$K$742,ROW()-1,MATCH(E$1,'包络曲线数据'!$B$1:$K$1,0)),""))</x:f>
      </x:c>
      <x:c r="F49" t="str">
        <x:f>IF(F$1="","",IFERROR(INDEX('包络曲线数据'!$B$2:$K$742,ROW()-1,MATCH(F$1,'包络曲线数据'!$B$1:$K$1,0)),""))</x:f>
      </x:c>
      <x:c r="G49" t="str">
        <x:f>IF(G$1="","",IFERROR(INDEX('包络曲线数据'!$B$2:$K$742,ROW()-1,MATCH(G$1,'包络曲线数据'!$B$1:$K$1,0)),""))</x:f>
      </x:c>
    </x:row>
    <x:row r="50">
      <x:c r="A50" t="n">
        <x:v>4.800000000000001</x:v>
      </x:c>
      <x:c r="B50" t="n">
        <x:f>IF(B$1="","",IFERROR(INDEX('包络曲线数据'!$B$2:$K$742,ROW()-1,MATCH(B$1,'包络曲线数据'!$B$1:$K$1,0)),""))</x:f>
        <x:v>78.26063031769108</x:v>
      </x:c>
      <x:c r="C50" t="n">
        <x:f>IF(C$1="","",IFERROR(INDEX('包络曲线数据'!$B$2:$K$742,ROW()-1,MATCH(C$1,'包络曲线数据'!$B$1:$K$1,0)),""))</x:f>
        <x:v>50</x:v>
      </x:c>
      <x:c r="D50" t="str">
        <x:f>IF(D$1="","",IFERROR(INDEX('包络曲线数据'!$B$2:$K$742,ROW()-1,MATCH(D$1,'包络曲线数据'!$B$1:$K$1,0)),""))</x:f>
      </x:c>
      <x:c r="E50" t="str">
        <x:f>IF(E$1="","",IFERROR(INDEX('包络曲线数据'!$B$2:$K$742,ROW()-1,MATCH(E$1,'包络曲线数据'!$B$1:$K$1,0)),""))</x:f>
      </x:c>
      <x:c r="F50" t="str">
        <x:f>IF(F$1="","",IFERROR(INDEX('包络曲线数据'!$B$2:$K$742,ROW()-1,MATCH(F$1,'包络曲线数据'!$B$1:$K$1,0)),""))</x:f>
      </x:c>
      <x:c r="G50" t="str">
        <x:f>IF(G$1="","",IFERROR(INDEX('包络曲线数据'!$B$2:$K$742,ROW()-1,MATCH(G$1,'包络曲线数据'!$B$1:$K$1,0)),""))</x:f>
      </x:c>
    </x:row>
    <x:row r="51">
      <x:c r="A51" t="n">
        <x:v>4.9</x:v>
      </x:c>
      <x:c r="B51" t="n">
        <x:f>IF(B$1="","",IFERROR(INDEX('包络曲线数据'!$B$2:$K$742,ROW()-1,MATCH(B$1,'包络曲线数据'!$B$1:$K$1,0)),""))</x:f>
        <x:v>78.26063031769108</x:v>
      </x:c>
      <x:c r="C51" t="n">
        <x:f>IF(C$1="","",IFERROR(INDEX('包络曲线数据'!$B$2:$K$742,ROW()-1,MATCH(C$1,'包络曲线数据'!$B$1:$K$1,0)),""))</x:f>
        <x:v>65.11176962947985</x:v>
      </x:c>
      <x:c r="D51" t="str">
        <x:f>IF(D$1="","",IFERROR(INDEX('包络曲线数据'!$B$2:$K$742,ROW()-1,MATCH(D$1,'包络曲线数据'!$B$1:$K$1,0)),""))</x:f>
      </x:c>
      <x:c r="E51" t="str">
        <x:f>IF(E$1="","",IFERROR(INDEX('包络曲线数据'!$B$2:$K$742,ROW()-1,MATCH(E$1,'包络曲线数据'!$B$1:$K$1,0)),""))</x:f>
      </x:c>
      <x:c r="F51" t="str">
        <x:f>IF(F$1="","",IFERROR(INDEX('包络曲线数据'!$B$2:$K$742,ROW()-1,MATCH(F$1,'包络曲线数据'!$B$1:$K$1,0)),""))</x:f>
      </x:c>
      <x:c r="G51" t="str">
        <x:f>IF(G$1="","",IFERROR(INDEX('包络曲线数据'!$B$2:$K$742,ROW()-1,MATCH(G$1,'包络曲线数据'!$B$1:$K$1,0)),""))</x:f>
      </x:c>
    </x:row>
    <x:row r="52">
      <x:c r="A52" t="n">
        <x:v>5</x:v>
      </x:c>
      <x:c r="B52" t="n">
        <x:f>IF(B$1="","",IFERROR(INDEX('包络曲线数据'!$B$2:$K$742,ROW()-1,MATCH(B$1,'包络曲线数据'!$B$1:$K$1,0)),""))</x:f>
        <x:v>67.38235913612976</x:v>
      </x:c>
      <x:c r="C52" t="n">
        <x:f>IF(C$1="","",IFERROR(INDEX('包络曲线数据'!$B$2:$K$742,ROW()-1,MATCH(C$1,'包络曲线数据'!$B$1:$K$1,0)),""))</x:f>
        <x:v>65.11176962947985</x:v>
      </x:c>
      <x:c r="D52" t="str">
        <x:f>IF(D$1="","",IFERROR(INDEX('包络曲线数据'!$B$2:$K$742,ROW()-1,MATCH(D$1,'包络曲线数据'!$B$1:$K$1,0)),""))</x:f>
      </x:c>
      <x:c r="E52" t="str">
        <x:f>IF(E$1="","",IFERROR(INDEX('包络曲线数据'!$B$2:$K$742,ROW()-1,MATCH(E$1,'包络曲线数据'!$B$1:$K$1,0)),""))</x:f>
      </x:c>
      <x:c r="F52" t="str">
        <x:f>IF(F$1="","",IFERROR(INDEX('包络曲线数据'!$B$2:$K$742,ROW()-1,MATCH(F$1,'包络曲线数据'!$B$1:$K$1,0)),""))</x:f>
      </x:c>
      <x:c r="G52" t="str">
        <x:f>IF(G$1="","",IFERROR(INDEX('包络曲线数据'!$B$2:$K$742,ROW()-1,MATCH(G$1,'包络曲线数据'!$B$1:$K$1,0)),""))</x:f>
      </x:c>
    </x:row>
    <x:row r="53">
      <x:c r="A53" t="n">
        <x:v>5.1000000000000005</x:v>
      </x:c>
      <x:c r="B53" t="n">
        <x:f>IF(B$1="","",IFERROR(INDEX('包络曲线数据'!$B$2:$K$742,ROW()-1,MATCH(B$1,'包络曲线数据'!$B$1:$K$1,0)),""))</x:f>
        <x:v>58.90569430947123</x:v>
      </x:c>
      <x:c r="C53" t="n">
        <x:f>IF(C$1="","",IFERROR(INDEX('包络曲线数据'!$B$2:$K$742,ROW()-1,MATCH(C$1,'包络曲线数据'!$B$1:$K$1,0)),""))</x:f>
        <x:v>50.00000000000075</x:v>
      </x:c>
      <x:c r="D53" t="str">
        <x:f>IF(D$1="","",IFERROR(INDEX('包络曲线数据'!$B$2:$K$742,ROW()-1,MATCH(D$1,'包络曲线数据'!$B$1:$K$1,0)),""))</x:f>
      </x:c>
      <x:c r="E53" t="str">
        <x:f>IF(E$1="","",IFERROR(INDEX('包络曲线数据'!$B$2:$K$742,ROW()-1,MATCH(E$1,'包络曲线数据'!$B$1:$K$1,0)),""))</x:f>
      </x:c>
      <x:c r="F53" t="str">
        <x:f>IF(F$1="","",IFERROR(INDEX('包络曲线数据'!$B$2:$K$742,ROW()-1,MATCH(F$1,'包络曲线数据'!$B$1:$K$1,0)),""))</x:f>
      </x:c>
      <x:c r="G53" t="str">
        <x:f>IF(G$1="","",IFERROR(INDEX('包络曲线数据'!$B$2:$K$742,ROW()-1,MATCH(G$1,'包络曲线数据'!$B$1:$K$1,0)),""))</x:f>
      </x:c>
    </x:row>
    <x:row r="54">
      <x:c r="A54" t="n">
        <x:v>5.2</x:v>
      </x:c>
      <x:c r="B54" t="n">
        <x:f>IF(B$1="","",IFERROR(INDEX('包络曲线数据'!$B$2:$K$742,ROW()-1,MATCH(B$1,'包络曲线数据'!$B$1:$K$1,0)),""))</x:f>
        <x:v>58.60649758421173</x:v>
      </x:c>
      <x:c r="C54" t="n">
        <x:f>IF(C$1="","",IFERROR(INDEX('包络曲线数据'!$B$2:$K$742,ROW()-1,MATCH(C$1,'包络曲线数据'!$B$1:$K$1,0)),""))</x:f>
        <x:v>74.71367516741543</x:v>
      </x:c>
      <x:c r="D54" t="str">
        <x:f>IF(D$1="","",IFERROR(INDEX('包络曲线数据'!$B$2:$K$742,ROW()-1,MATCH(D$1,'包络曲线数据'!$B$1:$K$1,0)),""))</x:f>
      </x:c>
      <x:c r="E54" t="str">
        <x:f>IF(E$1="","",IFERROR(INDEX('包络曲线数据'!$B$2:$K$742,ROW()-1,MATCH(E$1,'包络曲线数据'!$B$1:$K$1,0)),""))</x:f>
      </x:c>
      <x:c r="F54" t="str">
        <x:f>IF(F$1="","",IFERROR(INDEX('包络曲线数据'!$B$2:$K$742,ROW()-1,MATCH(F$1,'包络曲线数据'!$B$1:$K$1,0)),""))</x:f>
      </x:c>
      <x:c r="G54" t="str">
        <x:f>IF(G$1="","",IFERROR(INDEX('包络曲线数据'!$B$2:$K$742,ROW()-1,MATCH(G$1,'包络曲线数据'!$B$1:$K$1,0)),""))</x:f>
      </x:c>
    </x:row>
    <x:row r="55">
      <x:c r="A55" t="n">
        <x:v>5.300000000000001</x:v>
      </x:c>
      <x:c r="B55" t="n">
        <x:f>IF(B$1="","",IFERROR(INDEX('包络曲线数据'!$B$2:$K$742,ROW()-1,MATCH(B$1,'包络曲线数据'!$B$1:$K$1,0)),""))</x:f>
        <x:v>58.307300858952225</x:v>
      </x:c>
      <x:c r="C55" t="n">
        <x:f>IF(C$1="","",IFERROR(INDEX('包络曲线数据'!$B$2:$K$742,ROW()-1,MATCH(C$1,'包络曲线数据'!$B$1:$K$1,0)),""))</x:f>
        <x:v>74.71367516741543</x:v>
      </x:c>
      <x:c r="D55" t="str">
        <x:f>IF(D$1="","",IFERROR(INDEX('包络曲线数据'!$B$2:$K$742,ROW()-1,MATCH(D$1,'包络曲线数据'!$B$1:$K$1,0)),""))</x:f>
      </x:c>
      <x:c r="E55" t="str">
        <x:f>IF(E$1="","",IFERROR(INDEX('包络曲线数据'!$B$2:$K$742,ROW()-1,MATCH(E$1,'包络曲线数据'!$B$1:$K$1,0)),""))</x:f>
      </x:c>
      <x:c r="F55" t="str">
        <x:f>IF(F$1="","",IFERROR(INDEX('包络曲线数据'!$B$2:$K$742,ROW()-1,MATCH(F$1,'包络曲线数据'!$B$1:$K$1,0)),""))</x:f>
      </x:c>
      <x:c r="G55" t="str">
        <x:f>IF(G$1="","",IFERROR(INDEX('包络曲线数据'!$B$2:$K$742,ROW()-1,MATCH(G$1,'包络曲线数据'!$B$1:$K$1,0)),""))</x:f>
      </x:c>
    </x:row>
    <x:row r="56">
      <x:c r="A56" t="n">
        <x:v>5.4</x:v>
      </x:c>
      <x:c r="B56" t="n">
        <x:f>IF(B$1="","",IFERROR(INDEX('包络曲线数据'!$B$2:$K$742,ROW()-1,MATCH(B$1,'包络曲线数据'!$B$1:$K$1,0)),""))</x:f>
        <x:v>58.00810413369272</x:v>
      </x:c>
      <x:c r="C56" t="n">
        <x:f>IF(C$1="","",IFERROR(INDEX('包络曲线数据'!$B$2:$K$742,ROW()-1,MATCH(C$1,'包络曲线数据'!$B$1:$K$1,0)),""))</x:f>
        <x:v>73.38995917132736</x:v>
      </x:c>
      <x:c r="D56" t="str">
        <x:f>IF(D$1="","",IFERROR(INDEX('包络曲线数据'!$B$2:$K$742,ROW()-1,MATCH(D$1,'包络曲线数据'!$B$1:$K$1,0)),""))</x:f>
      </x:c>
      <x:c r="E56" t="str">
        <x:f>IF(E$1="","",IFERROR(INDEX('包络曲线数据'!$B$2:$K$742,ROW()-1,MATCH(E$1,'包络曲线数据'!$B$1:$K$1,0)),""))</x:f>
      </x:c>
      <x:c r="F56" t="str">
        <x:f>IF(F$1="","",IFERROR(INDEX('包络曲线数据'!$B$2:$K$742,ROW()-1,MATCH(F$1,'包络曲线数据'!$B$1:$K$1,0)),""))</x:f>
      </x:c>
      <x:c r="G56" t="str">
        <x:f>IF(G$1="","",IFERROR(INDEX('包络曲线数据'!$B$2:$K$742,ROW()-1,MATCH(G$1,'包络曲线数据'!$B$1:$K$1,0)),""))</x:f>
      </x:c>
    </x:row>
    <x:row r="57">
      <x:c r="A57" t="n">
        <x:v>5.5</x:v>
      </x:c>
      <x:c r="B57" t="n">
        <x:f>IF(B$1="","",IFERROR(INDEX('包络曲线数据'!$B$2:$K$742,ROW()-1,MATCH(B$1,'包络曲线数据'!$B$1:$K$1,0)),""))</x:f>
        <x:v>57.70890740843322</x:v>
      </x:c>
      <x:c r="C57" t="n">
        <x:f>IF(C$1="","",IFERROR(INDEX('包络曲线数据'!$B$2:$K$742,ROW()-1,MATCH(C$1,'包络曲线数据'!$B$1:$K$1,0)),""))</x:f>
        <x:v>67.61944396885188</x:v>
      </x:c>
      <x:c r="D57" t="str">
        <x:f>IF(D$1="","",IFERROR(INDEX('包络曲线数据'!$B$2:$K$742,ROW()-1,MATCH(D$1,'包络曲线数据'!$B$1:$K$1,0)),""))</x:f>
      </x:c>
      <x:c r="E57" t="str">
        <x:f>IF(E$1="","",IFERROR(INDEX('包络曲线数据'!$B$2:$K$742,ROW()-1,MATCH(E$1,'包络曲线数据'!$B$1:$K$1,0)),""))</x:f>
      </x:c>
      <x:c r="F57" t="str">
        <x:f>IF(F$1="","",IFERROR(INDEX('包络曲线数据'!$B$2:$K$742,ROW()-1,MATCH(F$1,'包络曲线数据'!$B$1:$K$1,0)),""))</x:f>
      </x:c>
      <x:c r="G57" t="str">
        <x:f>IF(G$1="","",IFERROR(INDEX('包络曲线数据'!$B$2:$K$742,ROW()-1,MATCH(G$1,'包络曲线数据'!$B$1:$K$1,0)),""))</x:f>
      </x:c>
    </x:row>
    <x:row r="58">
      <x:c r="A58" t="n">
        <x:v>5.6000000000000005</x:v>
      </x:c>
      <x:c r="B58" t="n">
        <x:f>IF(B$1="","",IFERROR(INDEX('包络曲线数据'!$B$2:$K$742,ROW()-1,MATCH(B$1,'包络曲线数据'!$B$1:$K$1,0)),""))</x:f>
        <x:v>57.40971068317387</x:v>
      </x:c>
      <x:c r="C58" t="n">
        <x:f>IF(C$1="","",IFERROR(INDEX('包络曲线数据'!$B$2:$K$742,ROW()-1,MATCH(C$1,'包络曲线数据'!$B$1:$K$1,0)),""))</x:f>
        <x:v>62.66397401307484</x:v>
      </x:c>
      <x:c r="D58" t="str">
        <x:f>IF(D$1="","",IFERROR(INDEX('包络曲线数据'!$B$2:$K$742,ROW()-1,MATCH(D$1,'包络曲线数据'!$B$1:$K$1,0)),""))</x:f>
      </x:c>
      <x:c r="E58" t="str">
        <x:f>IF(E$1="","",IFERROR(INDEX('包络曲线数据'!$B$2:$K$742,ROW()-1,MATCH(E$1,'包络曲线数据'!$B$1:$K$1,0)),""))</x:f>
      </x:c>
      <x:c r="F58" t="str">
        <x:f>IF(F$1="","",IFERROR(INDEX('包络曲线数据'!$B$2:$K$742,ROW()-1,MATCH(F$1,'包络曲线数据'!$B$1:$K$1,0)),""))</x:f>
      </x:c>
      <x:c r="G58" t="str">
        <x:f>IF(G$1="","",IFERROR(INDEX('包络曲线数据'!$B$2:$K$742,ROW()-1,MATCH(G$1,'包络曲线数据'!$B$1:$K$1,0)),""))</x:f>
      </x:c>
    </x:row>
    <x:row r="59">
      <x:c r="A59" t="n">
        <x:v>5.7</x:v>
      </x:c>
      <x:c r="B59" t="n">
        <x:f>IF(B$1="","",IFERROR(INDEX('包络曲线数据'!$B$2:$K$742,ROW()-1,MATCH(B$1,'包络曲线数据'!$B$1:$K$1,0)),""))</x:f>
        <x:v>62.18741614980881</x:v>
      </x:c>
      <x:c r="C59" t="n">
        <x:f>IF(C$1="","",IFERROR(INDEX('包络曲线数据'!$B$2:$K$742,ROW()-1,MATCH(C$1,'包络曲线数据'!$B$1:$K$1,0)),""))</x:f>
        <x:v>66.18080703720179</x:v>
      </x:c>
      <x:c r="D59" t="str">
        <x:f>IF(D$1="","",IFERROR(INDEX('包络曲线数据'!$B$2:$K$742,ROW()-1,MATCH(D$1,'包络曲线数据'!$B$1:$K$1,0)),""))</x:f>
      </x:c>
      <x:c r="E59" t="str">
        <x:f>IF(E$1="","",IFERROR(INDEX('包络曲线数据'!$B$2:$K$742,ROW()-1,MATCH(E$1,'包络曲线数据'!$B$1:$K$1,0)),""))</x:f>
      </x:c>
      <x:c r="F59" t="str">
        <x:f>IF(F$1="","",IFERROR(INDEX('包络曲线数据'!$B$2:$K$742,ROW()-1,MATCH(F$1,'包络曲线数据'!$B$1:$K$1,0)),""))</x:f>
      </x:c>
      <x:c r="G59" t="str">
        <x:f>IF(G$1="","",IFERROR(INDEX('包络曲线数据'!$B$2:$K$742,ROW()-1,MATCH(G$1,'包络曲线数据'!$B$1:$K$1,0)),""))</x:f>
      </x:c>
    </x:row>
    <x:row r="60">
      <x:c r="A60" t="n">
        <x:v>5.800000000000001</x:v>
      </x:c>
      <x:c r="B60" t="n">
        <x:f>IF(B$1="","",IFERROR(INDEX('包络曲线数据'!$B$2:$K$742,ROW()-1,MATCH(B$1,'包络曲线数据'!$B$1:$K$1,0)),""))</x:f>
        <x:v>62.18741614980877</x:v>
      </x:c>
      <x:c r="C60" t="n">
        <x:f>IF(C$1="","",IFERROR(INDEX('包络曲线数据'!$B$2:$K$742,ROW()-1,MATCH(C$1,'包络曲线数据'!$B$1:$K$1,0)),""))</x:f>
        <x:v>66.94784414031488</x:v>
      </x:c>
      <x:c r="D60" t="str">
        <x:f>IF(D$1="","",IFERROR(INDEX('包络曲线数据'!$B$2:$K$742,ROW()-1,MATCH(D$1,'包络曲线数据'!$B$1:$K$1,0)),""))</x:f>
      </x:c>
      <x:c r="E60" t="str">
        <x:f>IF(E$1="","",IFERROR(INDEX('包络曲线数据'!$B$2:$K$742,ROW()-1,MATCH(E$1,'包络曲线数据'!$B$1:$K$1,0)),""))</x:f>
      </x:c>
      <x:c r="F60" t="str">
        <x:f>IF(F$1="","",IFERROR(INDEX('包络曲线数据'!$B$2:$K$742,ROW()-1,MATCH(F$1,'包络曲线数据'!$B$1:$K$1,0)),""))</x:f>
      </x:c>
      <x:c r="G60" t="str">
        <x:f>IF(G$1="","",IFERROR(INDEX('包络曲线数据'!$B$2:$K$742,ROW()-1,MATCH(G$1,'包络曲线数据'!$B$1:$K$1,0)),""))</x:f>
      </x:c>
    </x:row>
    <x:row r="61">
      <x:c r="A61" t="n">
        <x:v>5.9</x:v>
      </x:c>
      <x:c r="B61" t="n">
        <x:f>IF(B$1="","",IFERROR(INDEX('包络曲线数据'!$B$2:$K$742,ROW()-1,MATCH(B$1,'包络曲线数据'!$B$1:$K$1,0)),""))</x:f>
        <x:v>67.31592473873148</x:v>
      </x:c>
      <x:c r="C61" t="n">
        <x:f>IF(C$1="","",IFERROR(INDEX('包络曲线数据'!$B$2:$K$742,ROW()-1,MATCH(C$1,'包络曲线数据'!$B$1:$K$1,0)),""))</x:f>
        <x:v>66.9119930359274</x:v>
      </x:c>
      <x:c r="D61" t="str">
        <x:f>IF(D$1="","",IFERROR(INDEX('包络曲线数据'!$B$2:$K$742,ROW()-1,MATCH(D$1,'包络曲线数据'!$B$1:$K$1,0)),""))</x:f>
      </x:c>
      <x:c r="E61" t="str">
        <x:f>IF(E$1="","",IFERROR(INDEX('包络曲线数据'!$B$2:$K$742,ROW()-1,MATCH(E$1,'包络曲线数据'!$B$1:$K$1,0)),""))</x:f>
      </x:c>
      <x:c r="F61" t="str">
        <x:f>IF(F$1="","",IFERROR(INDEX('包络曲线数据'!$B$2:$K$742,ROW()-1,MATCH(F$1,'包络曲线数据'!$B$1:$K$1,0)),""))</x:f>
      </x:c>
      <x:c r="G61" t="str">
        <x:f>IF(G$1="","",IFERROR(INDEX('包络曲线数据'!$B$2:$K$742,ROW()-1,MATCH(G$1,'包络曲线数据'!$B$1:$K$1,0)),""))</x:f>
      </x:c>
    </x:row>
    <x:row r="62">
      <x:c r="A62" t="n">
        <x:v>6</x:v>
      </x:c>
      <x:c r="B62" t="n">
        <x:f>IF(B$1="","",IFERROR(INDEX('包络曲线数据'!$B$2:$K$742,ROW()-1,MATCH(B$1,'包络曲线数据'!$B$1:$K$1,0)),""))</x:f>
        <x:v>71.88504519754292</x:v>
      </x:c>
      <x:c r="C62" t="n">
        <x:f>IF(C$1="","",IFERROR(INDEX('包络曲线数据'!$B$2:$K$742,ROW()-1,MATCH(C$1,'包络曲线数据'!$B$1:$K$1,0)),""))</x:f>
        <x:v>68.36557441241908</x:v>
      </x:c>
      <x:c r="D62" t="str">
        <x:f>IF(D$1="","",IFERROR(INDEX('包络曲线数据'!$B$2:$K$742,ROW()-1,MATCH(D$1,'包络曲线数据'!$B$1:$K$1,0)),""))</x:f>
      </x:c>
      <x:c r="E62" t="str">
        <x:f>IF(E$1="","",IFERROR(INDEX('包络曲线数据'!$B$2:$K$742,ROW()-1,MATCH(E$1,'包络曲线数据'!$B$1:$K$1,0)),""))</x:f>
      </x:c>
      <x:c r="F62" t="str">
        <x:f>IF(F$1="","",IFERROR(INDEX('包络曲线数据'!$B$2:$K$742,ROW()-1,MATCH(F$1,'包络曲线数据'!$B$1:$K$1,0)),""))</x:f>
      </x:c>
      <x:c r="G62" t="str">
        <x:f>IF(G$1="","",IFERROR(INDEX('包络曲线数据'!$B$2:$K$742,ROW()-1,MATCH(G$1,'包络曲线数据'!$B$1:$K$1,0)),""))</x:f>
      </x:c>
    </x:row>
    <x:row r="63">
      <x:c r="A63" t="n">
        <x:v>6.1000000000000005</x:v>
      </x:c>
      <x:c r="B63" t="n">
        <x:f>IF(B$1="","",IFERROR(INDEX('包络曲线数据'!$B$2:$K$742,ROW()-1,MATCH(B$1,'包络曲线数据'!$B$1:$K$1,0)),""))</x:f>
        <x:v>71.88504519754292</x:v>
      </x:c>
      <x:c r="C63" t="n">
        <x:f>IF(C$1="","",IFERROR(INDEX('包络曲线数据'!$B$2:$K$742,ROW()-1,MATCH(C$1,'包络曲线数据'!$B$1:$K$1,0)),""))</x:f>
        <x:v>68.36557441241908</x:v>
      </x:c>
      <x:c r="D63" t="str">
        <x:f>IF(D$1="","",IFERROR(INDEX('包络曲线数据'!$B$2:$K$742,ROW()-1,MATCH(D$1,'包络曲线数据'!$B$1:$K$1,0)),""))</x:f>
      </x:c>
      <x:c r="E63" t="str">
        <x:f>IF(E$1="","",IFERROR(INDEX('包络曲线数据'!$B$2:$K$742,ROW()-1,MATCH(E$1,'包络曲线数据'!$B$1:$K$1,0)),""))</x:f>
      </x:c>
      <x:c r="F63" t="str">
        <x:f>IF(F$1="","",IFERROR(INDEX('包络曲线数据'!$B$2:$K$742,ROW()-1,MATCH(F$1,'包络曲线数据'!$B$1:$K$1,0)),""))</x:f>
      </x:c>
      <x:c r="G63" t="str">
        <x:f>IF(G$1="","",IFERROR(INDEX('包络曲线数据'!$B$2:$K$742,ROW()-1,MATCH(G$1,'包络曲线数据'!$B$1:$K$1,0)),""))</x:f>
      </x:c>
    </x:row>
    <x:row r="64">
      <x:c r="A64" t="n">
        <x:v>6.2</x:v>
      </x:c>
      <x:c r="B64" t="n">
        <x:f>IF(B$1="","",IFERROR(INDEX('包络曲线数据'!$B$2:$K$742,ROW()-1,MATCH(B$1,'包络曲线数据'!$B$1:$K$1,0)),""))</x:f>
        <x:v>68.11425247299934</x:v>
      </x:c>
      <x:c r="C64" t="n">
        <x:f>IF(C$1="","",IFERROR(INDEX('包络曲线数据'!$B$2:$K$742,ROW()-1,MATCH(C$1,'包络曲线数据'!$B$1:$K$1,0)),""))</x:f>
        <x:v>67.12370942929456</x:v>
      </x:c>
      <x:c r="D64" t="str">
        <x:f>IF(D$1="","",IFERROR(INDEX('包络曲线数据'!$B$2:$K$742,ROW()-1,MATCH(D$1,'包络曲线数据'!$B$1:$K$1,0)),""))</x:f>
      </x:c>
      <x:c r="E64" t="str">
        <x:f>IF(E$1="","",IFERROR(INDEX('包络曲线数据'!$B$2:$K$742,ROW()-1,MATCH(E$1,'包络曲线数据'!$B$1:$K$1,0)),""))</x:f>
      </x:c>
      <x:c r="F64" t="str">
        <x:f>IF(F$1="","",IFERROR(INDEX('包络曲线数据'!$B$2:$K$742,ROW()-1,MATCH(F$1,'包络曲线数据'!$B$1:$K$1,0)),""))</x:f>
      </x:c>
      <x:c r="G64" t="str">
        <x:f>IF(G$1="","",IFERROR(INDEX('包络曲线数据'!$B$2:$K$742,ROW()-1,MATCH(G$1,'包络曲线数据'!$B$1:$K$1,0)),""))</x:f>
      </x:c>
    </x:row>
    <x:row r="65">
      <x:c r="A65" t="n">
        <x:v>6.300000000000001</x:v>
      </x:c>
      <x:c r="B65" t="n">
        <x:f>IF(B$1="","",IFERROR(INDEX('包络曲线数据'!$B$2:$K$742,ROW()-1,MATCH(B$1,'包络曲线数据'!$B$1:$K$1,0)),""))</x:f>
        <x:v>61.81088726014318</x:v>
      </x:c>
      <x:c r="C65" t="n">
        <x:f>IF(C$1="","",IFERROR(INDEX('包络曲线数据'!$B$2:$K$742,ROW()-1,MATCH(C$1,'包络曲线数据'!$B$1:$K$1,0)),""))</x:f>
        <x:v>68.52305319845077</x:v>
      </x:c>
      <x:c r="D65" t="str">
        <x:f>IF(D$1="","",IFERROR(INDEX('包络曲线数据'!$B$2:$K$742,ROW()-1,MATCH(D$1,'包络曲线数据'!$B$1:$K$1,0)),""))</x:f>
      </x:c>
      <x:c r="E65" t="str">
        <x:f>IF(E$1="","",IFERROR(INDEX('包络曲线数据'!$B$2:$K$742,ROW()-1,MATCH(E$1,'包络曲线数据'!$B$1:$K$1,0)),""))</x:f>
      </x:c>
      <x:c r="F65" t="str">
        <x:f>IF(F$1="","",IFERROR(INDEX('包络曲线数据'!$B$2:$K$742,ROW()-1,MATCH(F$1,'包络曲线数据'!$B$1:$K$1,0)),""))</x:f>
      </x:c>
      <x:c r="G65" t="str">
        <x:f>IF(G$1="","",IFERROR(INDEX('包络曲线数据'!$B$2:$K$742,ROW()-1,MATCH(G$1,'包络曲线数据'!$B$1:$K$1,0)),""))</x:f>
      </x:c>
    </x:row>
    <x:row r="66">
      <x:c r="A66" t="n">
        <x:v>6.4</x:v>
      </x:c>
      <x:c r="B66" t="n">
        <x:f>IF(B$1="","",IFERROR(INDEX('包络曲线数据'!$B$2:$K$742,ROW()-1,MATCH(B$1,'包络曲线数据'!$B$1:$K$1,0)),""))</x:f>
        <x:v>64.83361725871221</x:v>
      </x:c>
      <x:c r="C66" t="n">
        <x:f>IF(C$1="","",IFERROR(INDEX('包络曲线数据'!$B$2:$K$742,ROW()-1,MATCH(C$1,'包络曲线数据'!$B$1:$K$1,0)),""))</x:f>
        <x:v>69.31347689943121</x:v>
      </x:c>
      <x:c r="D66" t="str">
        <x:f>IF(D$1="","",IFERROR(INDEX('包络曲线数据'!$B$2:$K$742,ROW()-1,MATCH(D$1,'包络曲线数据'!$B$1:$K$1,0)),""))</x:f>
      </x:c>
      <x:c r="E66" t="str">
        <x:f>IF(E$1="","",IFERROR(INDEX('包络曲线数据'!$B$2:$K$742,ROW()-1,MATCH(E$1,'包络曲线数据'!$B$1:$K$1,0)),""))</x:f>
      </x:c>
      <x:c r="F66" t="str">
        <x:f>IF(F$1="","",IFERROR(INDEX('包络曲线数据'!$B$2:$K$742,ROW()-1,MATCH(F$1,'包络曲线数据'!$B$1:$K$1,0)),""))</x:f>
      </x:c>
      <x:c r="G66" t="str">
        <x:f>IF(G$1="","",IFERROR(INDEX('包络曲线数据'!$B$2:$K$742,ROW()-1,MATCH(G$1,'包络曲线数据'!$B$1:$K$1,0)),""))</x:f>
      </x:c>
    </x:row>
    <x:row r="67">
      <x:c r="A67" t="n">
        <x:v>6.5</x:v>
      </x:c>
      <x:c r="B67" t="n">
        <x:f>IF(B$1="","",IFERROR(INDEX('包络曲线数据'!$B$2:$K$742,ROW()-1,MATCH(B$1,'包络曲线数据'!$B$1:$K$1,0)),""))</x:f>
        <x:v>65.59639357869898</x:v>
      </x:c>
      <x:c r="C67" t="n">
        <x:f>IF(C$1="","",IFERROR(INDEX('包络曲线数据'!$B$2:$K$742,ROW()-1,MATCH(C$1,'包络曲线数据'!$B$1:$K$1,0)),""))</x:f>
        <x:v>69.31347689943121</x:v>
      </x:c>
      <x:c r="D67" t="str">
        <x:f>IF(D$1="","",IFERROR(INDEX('包络曲线数据'!$B$2:$K$742,ROW()-1,MATCH(D$1,'包络曲线数据'!$B$1:$K$1,0)),""))</x:f>
      </x:c>
      <x:c r="E67" t="str">
        <x:f>IF(E$1="","",IFERROR(INDEX('包络曲线数据'!$B$2:$K$742,ROW()-1,MATCH(E$1,'包络曲线数据'!$B$1:$K$1,0)),""))</x:f>
      </x:c>
      <x:c r="F67" t="str">
        <x:f>IF(F$1="","",IFERROR(INDEX('包络曲线数据'!$B$2:$K$742,ROW()-1,MATCH(F$1,'包络曲线数据'!$B$1:$K$1,0)),""))</x:f>
      </x:c>
      <x:c r="G67" t="str">
        <x:f>IF(G$1="","",IFERROR(INDEX('包络曲线数据'!$B$2:$K$742,ROW()-1,MATCH(G$1,'包络曲线数据'!$B$1:$K$1,0)),""))</x:f>
      </x:c>
    </x:row>
    <x:row r="68">
      <x:c r="A68" t="n">
        <x:v>6.6000000000000005</x:v>
      </x:c>
      <x:c r="B68" t="n">
        <x:f>IF(B$1="","",IFERROR(INDEX('包络曲线数据'!$B$2:$K$742,ROW()-1,MATCH(B$1,'包络曲线数据'!$B$1:$K$1,0)),""))</x:f>
        <x:v>66.68433154516521</x:v>
      </x:c>
      <x:c r="C68" t="n">
        <x:f>IF(C$1="","",IFERROR(INDEX('包络曲线数据'!$B$2:$K$742,ROW()-1,MATCH(C$1,'包络曲线数据'!$B$1:$K$1,0)),""))</x:f>
        <x:v>69.14511943454242</x:v>
      </x:c>
      <x:c r="D68" t="str">
        <x:f>IF(D$1="","",IFERROR(INDEX('包络曲线数据'!$B$2:$K$742,ROW()-1,MATCH(D$1,'包络曲线数据'!$B$1:$K$1,0)),""))</x:f>
      </x:c>
      <x:c r="E68" t="str">
        <x:f>IF(E$1="","",IFERROR(INDEX('包络曲线数据'!$B$2:$K$742,ROW()-1,MATCH(E$1,'包络曲线数据'!$B$1:$K$1,0)),""))</x:f>
      </x:c>
      <x:c r="F68" t="str">
        <x:f>IF(F$1="","",IFERROR(INDEX('包络曲线数据'!$B$2:$K$742,ROW()-1,MATCH(F$1,'包络曲线数据'!$B$1:$K$1,0)),""))</x:f>
      </x:c>
      <x:c r="G68" t="str">
        <x:f>IF(G$1="","",IFERROR(INDEX('包络曲线数据'!$B$2:$K$742,ROW()-1,MATCH(G$1,'包络曲线数据'!$B$1:$K$1,0)),""))</x:f>
      </x:c>
    </x:row>
    <x:row r="69">
      <x:c r="A69" t="n">
        <x:v>6.7</x:v>
      </x:c>
      <x:c r="B69" t="n">
        <x:f>IF(B$1="","",IFERROR(INDEX('包络曲线数据'!$B$2:$K$742,ROW()-1,MATCH(B$1,'包络曲线数据'!$B$1:$K$1,0)),""))</x:f>
        <x:v>66.68433154516521</x:v>
      </x:c>
      <x:c r="C69" t="n">
        <x:f>IF(C$1="","",IFERROR(INDEX('包络曲线数据'!$B$2:$K$742,ROW()-1,MATCH(C$1,'包络曲线数据'!$B$1:$K$1,0)),""))</x:f>
        <x:v>69.14511943454242</x:v>
      </x:c>
      <x:c r="D69" t="str">
        <x:f>IF(D$1="","",IFERROR(INDEX('包络曲线数据'!$B$2:$K$742,ROW()-1,MATCH(D$1,'包络曲线数据'!$B$1:$K$1,0)),""))</x:f>
      </x:c>
      <x:c r="E69" t="str">
        <x:f>IF(E$1="","",IFERROR(INDEX('包络曲线数据'!$B$2:$K$742,ROW()-1,MATCH(E$1,'包络曲线数据'!$B$1:$K$1,0)),""))</x:f>
      </x:c>
      <x:c r="F69" t="str">
        <x:f>IF(F$1="","",IFERROR(INDEX('包络曲线数据'!$B$2:$K$742,ROW()-1,MATCH(F$1,'包络曲线数据'!$B$1:$K$1,0)),""))</x:f>
      </x:c>
      <x:c r="G69" t="str">
        <x:f>IF(G$1="","",IFERROR(INDEX('包络曲线数据'!$B$2:$K$742,ROW()-1,MATCH(G$1,'包络曲线数据'!$B$1:$K$1,0)),""))</x:f>
      </x:c>
    </x:row>
    <x:row r="70">
      <x:c r="A70" t="n">
        <x:v>6.800000000000001</x:v>
      </x:c>
      <x:c r="B70" t="n">
        <x:f>IF(B$1="","",IFERROR(INDEX('包络曲线数据'!$B$2:$K$742,ROW()-1,MATCH(B$1,'包络曲线数据'!$B$1:$K$1,0)),""))</x:f>
        <x:v>64.651620147721</x:v>
      </x:c>
      <x:c r="C70" t="n">
        <x:f>IF(C$1="","",IFERROR(INDEX('包络曲线数据'!$B$2:$K$742,ROW()-1,MATCH(C$1,'包络曲线数据'!$B$1:$K$1,0)),""))</x:f>
        <x:v>69.0516351359886</x:v>
      </x:c>
      <x:c r="D70" t="str">
        <x:f>IF(D$1="","",IFERROR(INDEX('包络曲线数据'!$B$2:$K$742,ROW()-1,MATCH(D$1,'包络曲线数据'!$B$1:$K$1,0)),""))</x:f>
      </x:c>
      <x:c r="E70" t="str">
        <x:f>IF(E$1="","",IFERROR(INDEX('包络曲线数据'!$B$2:$K$742,ROW()-1,MATCH(E$1,'包络曲线数据'!$B$1:$K$1,0)),""))</x:f>
      </x:c>
      <x:c r="F70" t="str">
        <x:f>IF(F$1="","",IFERROR(INDEX('包络曲线数据'!$B$2:$K$742,ROW()-1,MATCH(F$1,'包络曲线数据'!$B$1:$K$1,0)),""))</x:f>
      </x:c>
      <x:c r="G70" t="str">
        <x:f>IF(G$1="","",IFERROR(INDEX('包络曲线数据'!$B$2:$K$742,ROW()-1,MATCH(G$1,'包络曲线数据'!$B$1:$K$1,0)),""))</x:f>
      </x:c>
    </x:row>
    <x:row r="71">
      <x:c r="A71" t="n">
        <x:v>6.9</x:v>
      </x:c>
      <x:c r="B71" t="n">
        <x:f>IF(B$1="","",IFERROR(INDEX('包络曲线数据'!$B$2:$K$742,ROW()-1,MATCH(B$1,'包络曲线数据'!$B$1:$K$1,0)),""))</x:f>
        <x:v>66.3751368514989</x:v>
      </x:c>
      <x:c r="C71" t="n">
        <x:f>IF(C$1="","",IFERROR(INDEX('包络曲线数据'!$B$2:$K$742,ROW()-1,MATCH(C$1,'包络曲线数据'!$B$1:$K$1,0)),""))</x:f>
        <x:v>82.32621299569381</x:v>
      </x:c>
      <x:c r="D71" t="str">
        <x:f>IF(D$1="","",IFERROR(INDEX('包络曲线数据'!$B$2:$K$742,ROW()-1,MATCH(D$1,'包络曲线数据'!$B$1:$K$1,0)),""))</x:f>
      </x:c>
      <x:c r="E71" t="str">
        <x:f>IF(E$1="","",IFERROR(INDEX('包络曲线数据'!$B$2:$K$742,ROW()-1,MATCH(E$1,'包络曲线数据'!$B$1:$K$1,0)),""))</x:f>
      </x:c>
      <x:c r="F71" t="str">
        <x:f>IF(F$1="","",IFERROR(INDEX('包络曲线数据'!$B$2:$K$742,ROW()-1,MATCH(F$1,'包络曲线数据'!$B$1:$K$1,0)),""))</x:f>
      </x:c>
      <x:c r="G71" t="str">
        <x:f>IF(G$1="","",IFERROR(INDEX('包络曲线数据'!$B$2:$K$742,ROW()-1,MATCH(G$1,'包络曲线数据'!$B$1:$K$1,0)),""))</x:f>
      </x:c>
    </x:row>
    <x:row r="72">
      <x:c r="A72" t="n">
        <x:v>7</x:v>
      </x:c>
      <x:c r="B72" t="n">
        <x:f>IF(B$1="","",IFERROR(INDEX('包络曲线数据'!$B$2:$K$742,ROW()-1,MATCH(B$1,'包络曲线数据'!$B$1:$K$1,0)),""))</x:f>
        <x:v>66.3751368514989</x:v>
      </x:c>
      <x:c r="C72" t="n">
        <x:f>IF(C$1="","",IFERROR(INDEX('包络曲线数据'!$B$2:$K$742,ROW()-1,MATCH(C$1,'包络曲线数据'!$B$1:$K$1,0)),""))</x:f>
        <x:v>85.0196241764834</x:v>
      </x:c>
      <x:c r="D72" t="str">
        <x:f>IF(D$1="","",IFERROR(INDEX('包络曲线数据'!$B$2:$K$742,ROW()-1,MATCH(D$1,'包络曲线数据'!$B$1:$K$1,0)),""))</x:f>
      </x:c>
      <x:c r="E72" t="str">
        <x:f>IF(E$1="","",IFERROR(INDEX('包络曲线数据'!$B$2:$K$742,ROW()-1,MATCH(E$1,'包络曲线数据'!$B$1:$K$1,0)),""))</x:f>
      </x:c>
      <x:c r="F72" t="str">
        <x:f>IF(F$1="","",IFERROR(INDEX('包络曲线数据'!$B$2:$K$742,ROW()-1,MATCH(F$1,'包络曲线数据'!$B$1:$K$1,0)),""))</x:f>
      </x:c>
      <x:c r="G72" t="str">
        <x:f>IF(G$1="","",IFERROR(INDEX('包络曲线数据'!$B$2:$K$742,ROW()-1,MATCH(G$1,'包络曲线数据'!$B$1:$K$1,0)),""))</x:f>
      </x:c>
    </x:row>
    <x:row r="73">
      <x:c r="A73" t="n">
        <x:v>7.1000000000000005</x:v>
      </x:c>
      <x:c r="B73" t="n">
        <x:f>IF(B$1="","",IFERROR(INDEX('包络曲线数据'!$B$2:$K$742,ROW()-1,MATCH(B$1,'包络曲线数据'!$B$1:$K$1,0)),""))</x:f>
        <x:v>66.78922624536824</x:v>
      </x:c>
      <x:c r="C73" t="n">
        <x:f>IF(C$1="","",IFERROR(INDEX('包络曲线数据'!$B$2:$K$742,ROW()-1,MATCH(C$1,'包络曲线数据'!$B$1:$K$1,0)),""))</x:f>
        <x:v>85.01962417648338</x:v>
      </x:c>
      <x:c r="D73" t="str">
        <x:f>IF(D$1="","",IFERROR(INDEX('包络曲线数据'!$B$2:$K$742,ROW()-1,MATCH(D$1,'包络曲线数据'!$B$1:$K$1,0)),""))</x:f>
      </x:c>
      <x:c r="E73" t="str">
        <x:f>IF(E$1="","",IFERROR(INDEX('包络曲线数据'!$B$2:$K$742,ROW()-1,MATCH(E$1,'包络曲线数据'!$B$1:$K$1,0)),""))</x:f>
      </x:c>
      <x:c r="F73" t="str">
        <x:f>IF(F$1="","",IFERROR(INDEX('包络曲线数据'!$B$2:$K$742,ROW()-1,MATCH(F$1,'包络曲线数据'!$B$1:$K$1,0)),""))</x:f>
      </x:c>
      <x:c r="G73" t="str">
        <x:f>IF(G$1="","",IFERROR(INDEX('包络曲线数据'!$B$2:$K$742,ROW()-1,MATCH(G$1,'包络曲线数据'!$B$1:$K$1,0)),""))</x:f>
      </x:c>
    </x:row>
    <x:row r="74">
      <x:c r="A74" t="n">
        <x:v>7.2</x:v>
      </x:c>
      <x:c r="B74" t="n">
        <x:f>IF(B$1="","",IFERROR(INDEX('包络曲线数据'!$B$2:$K$742,ROW()-1,MATCH(B$1,'包络曲线数据'!$B$1:$K$1,0)),""))</x:f>
        <x:v>66.78922624536824</x:v>
      </x:c>
      <x:c r="C74" t="n">
        <x:f>IF(C$1="","",IFERROR(INDEX('包络曲线数据'!$B$2:$K$742,ROW()-1,MATCH(C$1,'包络曲线数据'!$B$1:$K$1,0)),""))</x:f>
        <x:v>75.91417737440352</x:v>
      </x:c>
      <x:c r="D74" t="str">
        <x:f>IF(D$1="","",IFERROR(INDEX('包络曲线数据'!$B$2:$K$742,ROW()-1,MATCH(D$1,'包络曲线数据'!$B$1:$K$1,0)),""))</x:f>
      </x:c>
      <x:c r="E74" t="str">
        <x:f>IF(E$1="","",IFERROR(INDEX('包络曲线数据'!$B$2:$K$742,ROW()-1,MATCH(E$1,'包络曲线数据'!$B$1:$K$1,0)),""))</x:f>
      </x:c>
      <x:c r="F74" t="str">
        <x:f>IF(F$1="","",IFERROR(INDEX('包络曲线数据'!$B$2:$K$742,ROW()-1,MATCH(F$1,'包络曲线数据'!$B$1:$K$1,0)),""))</x:f>
      </x:c>
      <x:c r="G74" t="str">
        <x:f>IF(G$1="","",IFERROR(INDEX('包络曲线数据'!$B$2:$K$742,ROW()-1,MATCH(G$1,'包络曲线数据'!$B$1:$K$1,0)),""))</x:f>
      </x:c>
    </x:row>
    <x:row r="75">
      <x:c r="A75" t="n">
        <x:v>7.300000000000001</x:v>
      </x:c>
      <x:c r="B75" t="n">
        <x:f>IF(B$1="","",IFERROR(INDEX('包络曲线数据'!$B$2:$K$742,ROW()-1,MATCH(B$1,'包络曲线数据'!$B$1:$K$1,0)),""))</x:f>
        <x:v>66.36885254932018</x:v>
      </x:c>
      <x:c r="C75" t="n">
        <x:f>IF(C$1="","",IFERROR(INDEX('包络曲线数据'!$B$2:$K$742,ROW()-1,MATCH(C$1,'包络曲线数据'!$B$1:$K$1,0)),""))</x:f>
        <x:v>69.71139131957179</x:v>
      </x:c>
      <x:c r="D75" t="str">
        <x:f>IF(D$1="","",IFERROR(INDEX('包络曲线数据'!$B$2:$K$742,ROW()-1,MATCH(D$1,'包络曲线数据'!$B$1:$K$1,0)),""))</x:f>
      </x:c>
      <x:c r="E75" t="str">
        <x:f>IF(E$1="","",IFERROR(INDEX('包络曲线数据'!$B$2:$K$742,ROW()-1,MATCH(E$1,'包络曲线数据'!$B$1:$K$1,0)),""))</x:f>
      </x:c>
      <x:c r="F75" t="str">
        <x:f>IF(F$1="","",IFERROR(INDEX('包络曲线数据'!$B$2:$K$742,ROW()-1,MATCH(F$1,'包络曲线数据'!$B$1:$K$1,0)),""))</x:f>
      </x:c>
      <x:c r="G75" t="str">
        <x:f>IF(G$1="","",IFERROR(INDEX('包络曲线数据'!$B$2:$K$742,ROW()-1,MATCH(G$1,'包络曲线数据'!$B$1:$K$1,0)),""))</x:f>
      </x:c>
    </x:row>
    <x:row r="76">
      <x:c r="A76" t="n">
        <x:v>7.4</x:v>
      </x:c>
      <x:c r="B76" t="n">
        <x:f>IF(B$1="","",IFERROR(INDEX('包络曲线数据'!$B$2:$K$742,ROW()-1,MATCH(B$1,'包络曲线数据'!$B$1:$K$1,0)),""))</x:f>
        <x:v>66.11004770911029</x:v>
      </x:c>
      <x:c r="C76" t="n">
        <x:f>IF(C$1="","",IFERROR(INDEX('包络曲线数据'!$B$2:$K$742,ROW()-1,MATCH(C$1,'包络曲线数据'!$B$1:$K$1,0)),""))</x:f>
        <x:v>56.6292311708693</x:v>
      </x:c>
      <x:c r="D76" t="str">
        <x:f>IF(D$1="","",IFERROR(INDEX('包络曲线数据'!$B$2:$K$742,ROW()-1,MATCH(D$1,'包络曲线数据'!$B$1:$K$1,0)),""))</x:f>
      </x:c>
      <x:c r="E76" t="str">
        <x:f>IF(E$1="","",IFERROR(INDEX('包络曲线数据'!$B$2:$K$742,ROW()-1,MATCH(E$1,'包络曲线数据'!$B$1:$K$1,0)),""))</x:f>
      </x:c>
      <x:c r="F76" t="str">
        <x:f>IF(F$1="","",IFERROR(INDEX('包络曲线数据'!$B$2:$K$742,ROW()-1,MATCH(F$1,'包络曲线数据'!$B$1:$K$1,0)),""))</x:f>
      </x:c>
      <x:c r="G76" t="str">
        <x:f>IF(G$1="","",IFERROR(INDEX('包络曲线数据'!$B$2:$K$742,ROW()-1,MATCH(G$1,'包络曲线数据'!$B$1:$K$1,0)),""))</x:f>
      </x:c>
    </x:row>
    <x:row r="77">
      <x:c r="A77" t="n">
        <x:v>7.5</x:v>
      </x:c>
      <x:c r="B77" t="n">
        <x:f>IF(B$1="","",IFERROR(INDEX('包络曲线数据'!$B$2:$K$742,ROW()-1,MATCH(B$1,'包络曲线数据'!$B$1:$K$1,0)),""))</x:f>
        <x:v>65.62629568350751</x:v>
      </x:c>
      <x:c r="C77" t="n">
        <x:f>IF(C$1="","",IFERROR(INDEX('包络曲线数据'!$B$2:$K$742,ROW()-1,MATCH(C$1,'包络曲线数据'!$B$1:$K$1,0)),""))</x:f>
        <x:v>56.0375293343452</x:v>
      </x:c>
      <x:c r="D77" t="str">
        <x:f>IF(D$1="","",IFERROR(INDEX('包络曲线数据'!$B$2:$K$742,ROW()-1,MATCH(D$1,'包络曲线数据'!$B$1:$K$1,0)),""))</x:f>
      </x:c>
      <x:c r="E77" t="str">
        <x:f>IF(E$1="","",IFERROR(INDEX('包络曲线数据'!$B$2:$K$742,ROW()-1,MATCH(E$1,'包络曲线数据'!$B$1:$K$1,0)),""))</x:f>
      </x:c>
      <x:c r="F77" t="str">
        <x:f>IF(F$1="","",IFERROR(INDEX('包络曲线数据'!$B$2:$K$742,ROW()-1,MATCH(F$1,'包络曲线数据'!$B$1:$K$1,0)),""))</x:f>
      </x:c>
      <x:c r="G77" t="str">
        <x:f>IF(G$1="","",IFERROR(INDEX('包络曲线数据'!$B$2:$K$742,ROW()-1,MATCH(G$1,'包络曲线数据'!$B$1:$K$1,0)),""))</x:f>
      </x:c>
    </x:row>
    <x:row r="78">
      <x:c r="A78" t="n">
        <x:v>7.6000000000000005</x:v>
      </x:c>
      <x:c r="B78" t="n">
        <x:f>IF(B$1="","",IFERROR(INDEX('包络曲线数据'!$B$2:$K$742,ROW()-1,MATCH(B$1,'包络曲线数据'!$B$1:$K$1,0)),""))</x:f>
        <x:v>76.87001486596793</x:v>
      </x:c>
      <x:c r="C78" t="n">
        <x:f>IF(C$1="","",IFERROR(INDEX('包络曲线数据'!$B$2:$K$742,ROW()-1,MATCH(C$1,'包络曲线数据'!$B$1:$K$1,0)),""))</x:f>
        <x:v>50</x:v>
      </x:c>
      <x:c r="D78" t="str">
        <x:f>IF(D$1="","",IFERROR(INDEX('包络曲线数据'!$B$2:$K$742,ROW()-1,MATCH(D$1,'包络曲线数据'!$B$1:$K$1,0)),""))</x:f>
      </x:c>
      <x:c r="E78" t="str">
        <x:f>IF(E$1="","",IFERROR(INDEX('包络曲线数据'!$B$2:$K$742,ROW()-1,MATCH(E$1,'包络曲线数据'!$B$1:$K$1,0)),""))</x:f>
      </x:c>
      <x:c r="F78" t="str">
        <x:f>IF(F$1="","",IFERROR(INDEX('包络曲线数据'!$B$2:$K$742,ROW()-1,MATCH(F$1,'包络曲线数据'!$B$1:$K$1,0)),""))</x:f>
      </x:c>
      <x:c r="G78" t="str">
        <x:f>IF(G$1="","",IFERROR(INDEX('包络曲线数据'!$B$2:$K$742,ROW()-1,MATCH(G$1,'包络曲线数据'!$B$1:$K$1,0)),""))</x:f>
      </x:c>
    </x:row>
    <x:row r="79">
      <x:c r="A79" t="n">
        <x:v>7.7</x:v>
      </x:c>
      <x:c r="B79" t="n">
        <x:f>IF(B$1="","",IFERROR(INDEX('包络曲线数据'!$B$2:$K$742,ROW()-1,MATCH(B$1,'包络曲线数据'!$B$1:$K$1,0)),""))</x:f>
        <x:v>76.87001486596793</x:v>
      </x:c>
      <x:c r="C79" t="n">
        <x:f>IF(C$1="","",IFERROR(INDEX('包络曲线数据'!$B$2:$K$742,ROW()-1,MATCH(C$1,'包络曲线数据'!$B$1:$K$1,0)),""))</x:f>
        <x:v>63.98528142988954</x:v>
      </x:c>
      <x:c r="D79" t="str">
        <x:f>IF(D$1="","",IFERROR(INDEX('包络曲线数据'!$B$2:$K$742,ROW()-1,MATCH(D$1,'包络曲线数据'!$B$1:$K$1,0)),""))</x:f>
      </x:c>
      <x:c r="E79" t="str">
        <x:f>IF(E$1="","",IFERROR(INDEX('包络曲线数据'!$B$2:$K$742,ROW()-1,MATCH(E$1,'包络曲线数据'!$B$1:$K$1,0)),""))</x:f>
      </x:c>
      <x:c r="F79" t="str">
        <x:f>IF(F$1="","",IFERROR(INDEX('包络曲线数据'!$B$2:$K$742,ROW()-1,MATCH(F$1,'包络曲线数据'!$B$1:$K$1,0)),""))</x:f>
      </x:c>
      <x:c r="G79" t="str">
        <x:f>IF(G$1="","",IFERROR(INDEX('包络曲线数据'!$B$2:$K$742,ROW()-1,MATCH(G$1,'包络曲线数据'!$B$1:$K$1,0)),""))</x:f>
      </x:c>
    </x:row>
    <x:row r="80">
      <x:c r="A80" t="n">
        <x:v>7.800000000000001</x:v>
      </x:c>
      <x:c r="B80" t="n">
        <x:f>IF(B$1="","",IFERROR(INDEX('包络曲线数据'!$B$2:$K$742,ROW()-1,MATCH(B$1,'包络曲线数据'!$B$1:$K$1,0)),""))</x:f>
        <x:v>73.19650312979871</x:v>
      </x:c>
      <x:c r="C80" t="n">
        <x:f>IF(C$1="","",IFERROR(INDEX('包络曲线数据'!$B$2:$K$742,ROW()-1,MATCH(C$1,'包络曲线数据'!$B$1:$K$1,0)),""))</x:f>
        <x:v>64.92034643048581</x:v>
      </x:c>
      <x:c r="D80" t="str">
        <x:f>IF(D$1="","",IFERROR(INDEX('包络曲线数据'!$B$2:$K$742,ROW()-1,MATCH(D$1,'包络曲线数据'!$B$1:$K$1,0)),""))</x:f>
      </x:c>
      <x:c r="E80" t="str">
        <x:f>IF(E$1="","",IFERROR(INDEX('包络曲线数据'!$B$2:$K$742,ROW()-1,MATCH(E$1,'包络曲线数据'!$B$1:$K$1,0)),""))</x:f>
      </x:c>
      <x:c r="F80" t="str">
        <x:f>IF(F$1="","",IFERROR(INDEX('包络曲线数据'!$B$2:$K$742,ROW()-1,MATCH(F$1,'包络曲线数据'!$B$1:$K$1,0)),""))</x:f>
      </x:c>
      <x:c r="G80" t="str">
        <x:f>IF(G$1="","",IFERROR(INDEX('包络曲线数据'!$B$2:$K$742,ROW()-1,MATCH(G$1,'包络曲线数据'!$B$1:$K$1,0)),""))</x:f>
      </x:c>
    </x:row>
    <x:row r="81">
      <x:c r="A81" t="n">
        <x:v>7.9</x:v>
      </x:c>
      <x:c r="B81" t="n">
        <x:f>IF(B$1="","",IFERROR(INDEX('包络曲线数据'!$B$2:$K$742,ROW()-1,MATCH(B$1,'包络曲线数据'!$B$1:$K$1,0)),""))</x:f>
        <x:v>63.306340267701586</x:v>
      </x:c>
      <x:c r="C81" t="n">
        <x:f>IF(C$1="","",IFERROR(INDEX('包络曲线数据'!$B$2:$K$742,ROW()-1,MATCH(C$1,'包络曲线数据'!$B$1:$K$1,0)),""))</x:f>
        <x:v>64.92034643048581</x:v>
      </x:c>
      <x:c r="D81" t="str">
        <x:f>IF(D$1="","",IFERROR(INDEX('包络曲线数据'!$B$2:$K$742,ROW()-1,MATCH(D$1,'包络曲线数据'!$B$1:$K$1,0)),""))</x:f>
      </x:c>
      <x:c r="E81" t="str">
        <x:f>IF(E$1="","",IFERROR(INDEX('包络曲线数据'!$B$2:$K$742,ROW()-1,MATCH(E$1,'包络曲线数据'!$B$1:$K$1,0)),""))</x:f>
      </x:c>
      <x:c r="F81" t="str">
        <x:f>IF(F$1="","",IFERROR(INDEX('包络曲线数据'!$B$2:$K$742,ROW()-1,MATCH(F$1,'包络曲线数据'!$B$1:$K$1,0)),""))</x:f>
      </x:c>
      <x:c r="G81" t="str">
        <x:f>IF(G$1="","",IFERROR(INDEX('包络曲线数据'!$B$2:$K$742,ROW()-1,MATCH(G$1,'包络曲线数据'!$B$1:$K$1,0)),""))</x:f>
      </x:c>
    </x:row>
    <x:row r="82">
      <x:c r="A82" t="n">
        <x:v>8</x:v>
      </x:c>
      <x:c r="B82" t="n">
        <x:f>IF(B$1="","",IFERROR(INDEX('包络曲线数据'!$B$2:$K$742,ROW()-1,MATCH(B$1,'包络曲线数据'!$B$1:$K$1,0)),""))</x:f>
        <x:v>58.54296568726665</x:v>
      </x:c>
      <x:c r="C82" t="n">
        <x:f>IF(C$1="","",IFERROR(INDEX('包络曲线数据'!$B$2:$K$742,ROW()-1,MATCH(C$1,'包络曲线数据'!$B$1:$K$1,0)),""))</x:f>
        <x:v>57.14753933904788</x:v>
      </x:c>
      <x:c r="D82" t="str">
        <x:f>IF(D$1="","",IFERROR(INDEX('包络曲线数据'!$B$2:$K$742,ROW()-1,MATCH(D$1,'包络曲线数据'!$B$1:$K$1,0)),""))</x:f>
      </x:c>
      <x:c r="E82" t="str">
        <x:f>IF(E$1="","",IFERROR(INDEX('包络曲线数据'!$B$2:$K$742,ROW()-1,MATCH(E$1,'包络曲线数据'!$B$1:$K$1,0)),""))</x:f>
      </x:c>
      <x:c r="F82" t="str">
        <x:f>IF(F$1="","",IFERROR(INDEX('包络曲线数据'!$B$2:$K$742,ROW()-1,MATCH(F$1,'包络曲线数据'!$B$1:$K$1,0)),""))</x:f>
      </x:c>
      <x:c r="G82" t="str">
        <x:f>IF(G$1="","",IFERROR(INDEX('包络曲线数据'!$B$2:$K$742,ROW()-1,MATCH(G$1,'包络曲线数据'!$B$1:$K$1,0)),""))</x:f>
      </x:c>
    </x:row>
    <x:row r="83">
      <x:c r="A83" t="n">
        <x:v>8.1</x:v>
      </x:c>
      <x:c r="B83" t="n">
        <x:f>IF(B$1="","",IFERROR(INDEX('包络曲线数据'!$B$2:$K$742,ROW()-1,MATCH(B$1,'包络曲线数据'!$B$1:$K$1,0)),""))</x:f>
        <x:v>57.45599839028682</x:v>
      </x:c>
      <x:c r="C83" t="n">
        <x:f>IF(C$1="","",IFERROR(INDEX('包络曲线数据'!$B$2:$K$742,ROW()-1,MATCH(C$1,'包络曲线数据'!$B$1:$K$1,0)),""))</x:f>
        <x:v>69.06010490412771</x:v>
      </x:c>
      <x:c r="D83" t="str">
        <x:f>IF(D$1="","",IFERROR(INDEX('包络曲线数据'!$B$2:$K$742,ROW()-1,MATCH(D$1,'包络曲线数据'!$B$1:$K$1,0)),""))</x:f>
      </x:c>
      <x:c r="E83" t="str">
        <x:f>IF(E$1="","",IFERROR(INDEX('包络曲线数据'!$B$2:$K$742,ROW()-1,MATCH(E$1,'包络曲线数据'!$B$1:$K$1,0)),""))</x:f>
      </x:c>
      <x:c r="F83" t="str">
        <x:f>IF(F$1="","",IFERROR(INDEX('包络曲线数据'!$B$2:$K$742,ROW()-1,MATCH(F$1,'包络曲线数据'!$B$1:$K$1,0)),""))</x:f>
      </x:c>
      <x:c r="G83" t="str">
        <x:f>IF(G$1="","",IFERROR(INDEX('包络曲线数据'!$B$2:$K$742,ROW()-1,MATCH(G$1,'包络曲线数据'!$B$1:$K$1,0)),""))</x:f>
      </x:c>
    </x:row>
    <x:row r="84">
      <x:c r="A84" t="n">
        <x:v>8.200000000000001</x:v>
      </x:c>
      <x:c r="B84" t="n">
        <x:f>IF(B$1="","",IFERROR(INDEX('包络曲线数据'!$B$2:$K$742,ROW()-1,MATCH(B$1,'包络曲线数据'!$B$1:$K$1,0)),""))</x:f>
        <x:v>56.36903109330699</x:v>
      </x:c>
      <x:c r="C84" t="n">
        <x:f>IF(C$1="","",IFERROR(INDEX('包络曲线数据'!$B$2:$K$742,ROW()-1,MATCH(C$1,'包络曲线数据'!$B$1:$K$1,0)),""))</x:f>
        <x:v>73.82513113015978</x:v>
      </x:c>
      <x:c r="D84" t="str">
        <x:f>IF(D$1="","",IFERROR(INDEX('包络曲线数据'!$B$2:$K$742,ROW()-1,MATCH(D$1,'包络曲线数据'!$B$1:$K$1,0)),""))</x:f>
      </x:c>
      <x:c r="E84" t="str">
        <x:f>IF(E$1="","",IFERROR(INDEX('包络曲线数据'!$B$2:$K$742,ROW()-1,MATCH(E$1,'包络曲线数据'!$B$1:$K$1,0)),""))</x:f>
      </x:c>
      <x:c r="F84" t="str">
        <x:f>IF(F$1="","",IFERROR(INDEX('包络曲线数据'!$B$2:$K$742,ROW()-1,MATCH(F$1,'包络曲线数据'!$B$1:$K$1,0)),""))</x:f>
      </x:c>
      <x:c r="G84" t="str">
        <x:f>IF(G$1="","",IFERROR(INDEX('包络曲线数据'!$B$2:$K$742,ROW()-1,MATCH(G$1,'包络曲线数据'!$B$1:$K$1,0)),""))</x:f>
      </x:c>
    </x:row>
    <x:row r="85">
      <x:c r="A85" t="n">
        <x:v>8.3</x:v>
      </x:c>
      <x:c r="B85" t="n">
        <x:f>IF(B$1="","",IFERROR(INDEX('包络曲线数据'!$B$2:$K$742,ROW()-1,MATCH(B$1,'包络曲线数据'!$B$1:$K$1,0)),""))</x:f>
        <x:v>55.28206379632716</x:v>
      </x:c>
      <x:c r="C85" t="n">
        <x:f>IF(C$1="","",IFERROR(INDEX('包络曲线数据'!$B$2:$K$742,ROW()-1,MATCH(C$1,'包络曲线数据'!$B$1:$K$1,0)),""))</x:f>
        <x:v>73.16434377382075</x:v>
      </x:c>
      <x:c r="D85" t="str">
        <x:f>IF(D$1="","",IFERROR(INDEX('包络曲线数据'!$B$2:$K$742,ROW()-1,MATCH(D$1,'包络曲线数据'!$B$1:$K$1,0)),""))</x:f>
      </x:c>
      <x:c r="E85" t="str">
        <x:f>IF(E$1="","",IFERROR(INDEX('包络曲线数据'!$B$2:$K$742,ROW()-1,MATCH(E$1,'包络曲线数据'!$B$1:$K$1,0)),""))</x:f>
      </x:c>
      <x:c r="F85" t="str">
        <x:f>IF(F$1="","",IFERROR(INDEX('包络曲线数据'!$B$2:$K$742,ROW()-1,MATCH(F$1,'包络曲线数据'!$B$1:$K$1,0)),""))</x:f>
      </x:c>
      <x:c r="G85" t="str">
        <x:f>IF(G$1="","",IFERROR(INDEX('包络曲线数据'!$B$2:$K$742,ROW()-1,MATCH(G$1,'包络曲线数据'!$B$1:$K$1,0)),""))</x:f>
      </x:c>
    </x:row>
    <x:row r="86">
      <x:c r="A86" t="n">
        <x:v>8.4</x:v>
      </x:c>
      <x:c r="B86" t="n">
        <x:f>IF(B$1="","",IFERROR(INDEX('包络曲线数据'!$B$2:$K$742,ROW()-1,MATCH(B$1,'包络曲线数据'!$B$1:$K$1,0)),""))</x:f>
        <x:v>54.195096499347336</x:v>
      </x:c>
      <x:c r="C86" t="n">
        <x:f>IF(C$1="","",IFERROR(INDEX('包络曲线数据'!$B$2:$K$742,ROW()-1,MATCH(C$1,'包络曲线数据'!$B$1:$K$1,0)),""))</x:f>
        <x:v>69.18064065343654</x:v>
      </x:c>
      <x:c r="D86" t="str">
        <x:f>IF(D$1="","",IFERROR(INDEX('包络曲线数据'!$B$2:$K$742,ROW()-1,MATCH(D$1,'包络曲线数据'!$B$1:$K$1,0)),""))</x:f>
      </x:c>
      <x:c r="E86" t="str">
        <x:f>IF(E$1="","",IFERROR(INDEX('包络曲线数据'!$B$2:$K$742,ROW()-1,MATCH(E$1,'包络曲线数据'!$B$1:$K$1,0)),""))</x:f>
      </x:c>
      <x:c r="F86" t="str">
        <x:f>IF(F$1="","",IFERROR(INDEX('包络曲线数据'!$B$2:$K$742,ROW()-1,MATCH(F$1,'包络曲线数据'!$B$1:$K$1,0)),""))</x:f>
      </x:c>
      <x:c r="G86" t="str">
        <x:f>IF(G$1="","",IFERROR(INDEX('包络曲线数据'!$B$2:$K$742,ROW()-1,MATCH(G$1,'包络曲线数据'!$B$1:$K$1,0)),""))</x:f>
      </x:c>
    </x:row>
    <x:row r="87">
      <x:c r="A87" t="n">
        <x:v>8.5</x:v>
      </x:c>
      <x:c r="B87" t="n">
        <x:f>IF(B$1="","",IFERROR(INDEX('包络曲线数据'!$B$2:$K$742,ROW()-1,MATCH(B$1,'包络曲线数据'!$B$1:$K$1,0)),""))</x:f>
        <x:v>53.108129202367515</x:v>
      </x:c>
      <x:c r="C87" t="n">
        <x:f>IF(C$1="","",IFERROR(INDEX('包络曲线数据'!$B$2:$K$742,ROW()-1,MATCH(C$1,'包络曲线数据'!$B$1:$K$1,0)),""))</x:f>
        <x:v>64.51825080963157</x:v>
      </x:c>
      <x:c r="D87" t="str">
        <x:f>IF(D$1="","",IFERROR(INDEX('包络曲线数据'!$B$2:$K$742,ROW()-1,MATCH(D$1,'包络曲线数据'!$B$1:$K$1,0)),""))</x:f>
      </x:c>
      <x:c r="E87" t="str">
        <x:f>IF(E$1="","",IFERROR(INDEX('包络曲线数据'!$B$2:$K$742,ROW()-1,MATCH(E$1,'包络曲线数据'!$B$1:$K$1,0)),""))</x:f>
      </x:c>
      <x:c r="F87" t="str">
        <x:f>IF(F$1="","",IFERROR(INDEX('包络曲线数据'!$B$2:$K$742,ROW()-1,MATCH(F$1,'包络曲线数据'!$B$1:$K$1,0)),""))</x:f>
      </x:c>
      <x:c r="G87" t="str">
        <x:f>IF(G$1="","",IFERROR(INDEX('包络曲线数据'!$B$2:$K$742,ROW()-1,MATCH(G$1,'包络曲线数据'!$B$1:$K$1,0)),""))</x:f>
      </x:c>
    </x:row>
    <x:row r="88">
      <x:c r="A88" t="n">
        <x:v>8.6</x:v>
      </x:c>
      <x:c r="B88" t="n">
        <x:f>IF(B$1="","",IFERROR(INDEX('包络曲线数据'!$B$2:$K$742,ROW()-1,MATCH(B$1,'包络曲线数据'!$B$1:$K$1,0)),""))</x:f>
        <x:v>55.850170161889956</x:v>
      </x:c>
      <x:c r="C88" t="n">
        <x:f>IF(C$1="","",IFERROR(INDEX('包络曲线数据'!$B$2:$K$742,ROW()-1,MATCH(C$1,'包络曲线数据'!$B$1:$K$1,0)),""))</x:f>
        <x:v>63.94570314056074</x:v>
      </x:c>
      <x:c r="D88" t="str">
        <x:f>IF(D$1="","",IFERROR(INDEX('包络曲线数据'!$B$2:$K$742,ROW()-1,MATCH(D$1,'包络曲线数据'!$B$1:$K$1,0)),""))</x:f>
      </x:c>
      <x:c r="E88" t="str">
        <x:f>IF(E$1="","",IFERROR(INDEX('包络曲线数据'!$B$2:$K$742,ROW()-1,MATCH(E$1,'包络曲线数据'!$B$1:$K$1,0)),""))</x:f>
      </x:c>
      <x:c r="F88" t="str">
        <x:f>IF(F$1="","",IFERROR(INDEX('包络曲线数据'!$B$2:$K$742,ROW()-1,MATCH(F$1,'包络曲线数据'!$B$1:$K$1,0)),""))</x:f>
      </x:c>
      <x:c r="G88" t="str">
        <x:f>IF(G$1="","",IFERROR(INDEX('包络曲线数据'!$B$2:$K$742,ROW()-1,MATCH(G$1,'包络曲线数据'!$B$1:$K$1,0)),""))</x:f>
      </x:c>
    </x:row>
    <x:row r="89">
      <x:c r="A89" t="n">
        <x:v>8.700000000000001</x:v>
      </x:c>
      <x:c r="B89" t="n">
        <x:f>IF(B$1="","",IFERROR(INDEX('包络曲线数据'!$B$2:$K$742,ROW()-1,MATCH(B$1,'包络曲线数据'!$B$1:$K$1,0)),""))</x:f>
        <x:v>63.79223985767615</x:v>
      </x:c>
      <x:c r="C89" t="n">
        <x:f>IF(C$1="","",IFERROR(INDEX('包络曲线数据'!$B$2:$K$742,ROW()-1,MATCH(C$1,'包络曲线数据'!$B$1:$K$1,0)),""))</x:f>
        <x:v>66.71952072544124</x:v>
      </x:c>
      <x:c r="D89" t="str">
        <x:f>IF(D$1="","",IFERROR(INDEX('包络曲线数据'!$B$2:$K$742,ROW()-1,MATCH(D$1,'包络曲线数据'!$B$1:$K$1,0)),""))</x:f>
      </x:c>
      <x:c r="E89" t="str">
        <x:f>IF(E$1="","",IFERROR(INDEX('包络曲线数据'!$B$2:$K$742,ROW()-1,MATCH(E$1,'包络曲线数据'!$B$1:$K$1,0)),""))</x:f>
      </x:c>
      <x:c r="F89" t="str">
        <x:f>IF(F$1="","",IFERROR(INDEX('包络曲线数据'!$B$2:$K$742,ROW()-1,MATCH(F$1,'包络曲线数据'!$B$1:$K$1,0)),""))</x:f>
      </x:c>
      <x:c r="G89" t="str">
        <x:f>IF(G$1="","",IFERROR(INDEX('包络曲线数据'!$B$2:$K$742,ROW()-1,MATCH(G$1,'包络曲线数据'!$B$1:$K$1,0)),""))</x:f>
      </x:c>
    </x:row>
    <x:row r="90">
      <x:c r="A90" t="n">
        <x:v>8.8</x:v>
      </x:c>
      <x:c r="B90" t="n">
        <x:f>IF(B$1="","",IFERROR(INDEX('包络曲线数据'!$B$2:$K$742,ROW()-1,MATCH(B$1,'包络曲线数据'!$B$1:$K$1,0)),""))</x:f>
        <x:v>71.7343095534622</x:v>
      </x:c>
      <x:c r="C90" t="n">
        <x:f>IF(C$1="","",IFERROR(INDEX('包络曲线数据'!$B$2:$K$742,ROW()-1,MATCH(C$1,'包络曲线数据'!$B$1:$K$1,0)),""))</x:f>
        <x:v>66.71952072544124</x:v>
      </x:c>
      <x:c r="D90" t="str">
        <x:f>IF(D$1="","",IFERROR(INDEX('包络曲线数据'!$B$2:$K$742,ROW()-1,MATCH(D$1,'包络曲线数据'!$B$1:$K$1,0)),""))</x:f>
      </x:c>
      <x:c r="E90" t="str">
        <x:f>IF(E$1="","",IFERROR(INDEX('包络曲线数据'!$B$2:$K$742,ROW()-1,MATCH(E$1,'包络曲线数据'!$B$1:$K$1,0)),""))</x:f>
      </x:c>
      <x:c r="F90" t="str">
        <x:f>IF(F$1="","",IFERROR(INDEX('包络曲线数据'!$B$2:$K$742,ROW()-1,MATCH(F$1,'包络曲线数据'!$B$1:$K$1,0)),""))</x:f>
      </x:c>
      <x:c r="G90" t="str">
        <x:f>IF(G$1="","",IFERROR(INDEX('包络曲线数据'!$B$2:$K$742,ROW()-1,MATCH(G$1,'包络曲线数据'!$B$1:$K$1,0)),""))</x:f>
      </x:c>
    </x:row>
    <x:row r="91">
      <x:c r="A91" t="n">
        <x:v>8.9</x:v>
      </x:c>
      <x:c r="B91" t="n">
        <x:f>IF(B$1="","",IFERROR(INDEX('包络曲线数据'!$B$2:$K$742,ROW()-1,MATCH(B$1,'包络曲线数据'!$B$1:$K$1,0)),""))</x:f>
        <x:v>71.7343095534622</x:v>
      </x:c>
      <x:c r="C91" t="n">
        <x:f>IF(C$1="","",IFERROR(INDEX('包络曲线数据'!$B$2:$K$742,ROW()-1,MATCH(C$1,'包络曲线数据'!$B$1:$K$1,0)),""))</x:f>
        <x:v>66.07563352531949</x:v>
      </x:c>
      <x:c r="D91" t="str">
        <x:f>IF(D$1="","",IFERROR(INDEX('包络曲线数据'!$B$2:$K$742,ROW()-1,MATCH(D$1,'包络曲线数据'!$B$1:$K$1,0)),""))</x:f>
      </x:c>
      <x:c r="E91" t="str">
        <x:f>IF(E$1="","",IFERROR(INDEX('包络曲线数据'!$B$2:$K$742,ROW()-1,MATCH(E$1,'包络曲线数据'!$B$1:$K$1,0)),""))</x:f>
      </x:c>
      <x:c r="F91" t="str">
        <x:f>IF(F$1="","",IFERROR(INDEX('包络曲线数据'!$B$2:$K$742,ROW()-1,MATCH(F$1,'包络曲线数据'!$B$1:$K$1,0)),""))</x:f>
      </x:c>
      <x:c r="G91" t="str">
        <x:f>IF(G$1="","",IFERROR(INDEX('包络曲线数据'!$B$2:$K$742,ROW()-1,MATCH(G$1,'包络曲线数据'!$B$1:$K$1,0)),""))</x:f>
      </x:c>
    </x:row>
    <x:row r="92">
      <x:c r="A92" t="n">
        <x:v>9</x:v>
      </x:c>
      <x:c r="B92" t="n">
        <x:f>IF(B$1="","",IFERROR(INDEX('包络曲线数据'!$B$2:$K$742,ROW()-1,MATCH(B$1,'包络曲线数据'!$B$1:$K$1,0)),""))</x:f>
        <x:v>70.07418209107477</x:v>
      </x:c>
      <x:c r="C92" t="n">
        <x:f>IF(C$1="","",IFERROR(INDEX('包络曲线数据'!$B$2:$K$742,ROW()-1,MATCH(C$1,'包络曲线数据'!$B$1:$K$1,0)),""))</x:f>
        <x:v>65.98804811693303</x:v>
      </x:c>
      <x:c r="D92" t="str">
        <x:f>IF(D$1="","",IFERROR(INDEX('包络曲线数据'!$B$2:$K$742,ROW()-1,MATCH(D$1,'包络曲线数据'!$B$1:$K$1,0)),""))</x:f>
      </x:c>
      <x:c r="E92" t="str">
        <x:f>IF(E$1="","",IFERROR(INDEX('包络曲线数据'!$B$2:$K$742,ROW()-1,MATCH(E$1,'包络曲线数据'!$B$1:$K$1,0)),""))</x:f>
      </x:c>
      <x:c r="F92" t="str">
        <x:f>IF(F$1="","",IFERROR(INDEX('包络曲线数据'!$B$2:$K$742,ROW()-1,MATCH(F$1,'包络曲线数据'!$B$1:$K$1,0)),""))</x:f>
      </x:c>
      <x:c r="G92" t="str">
        <x:f>IF(G$1="","",IFERROR(INDEX('包络曲线数据'!$B$2:$K$742,ROW()-1,MATCH(G$1,'包络曲线数据'!$B$1:$K$1,0)),""))</x:f>
      </x:c>
    </x:row>
    <x:row r="93">
      <x:c r="A93" t="n">
        <x:v>9.1</x:v>
      </x:c>
      <x:c r="B93" t="n">
        <x:f>IF(B$1="","",IFERROR(INDEX('包络曲线数据'!$B$2:$K$742,ROW()-1,MATCH(B$1,'包络曲线数据'!$B$1:$K$1,0)),""))</x:f>
        <x:v>63.53908733309821</x:v>
      </x:c>
      <x:c r="C93" t="n">
        <x:f>IF(C$1="","",IFERROR(INDEX('包络曲线数据'!$B$2:$K$742,ROW()-1,MATCH(C$1,'包络曲线数据'!$B$1:$K$1,0)),""))</x:f>
        <x:v>66.0505093524279</x:v>
      </x:c>
      <x:c r="D93" t="str">
        <x:f>IF(D$1="","",IFERROR(INDEX('包络曲线数据'!$B$2:$K$742,ROW()-1,MATCH(D$1,'包络曲线数据'!$B$1:$K$1,0)),""))</x:f>
      </x:c>
      <x:c r="E93" t="str">
        <x:f>IF(E$1="","",IFERROR(INDEX('包络曲线数据'!$B$2:$K$742,ROW()-1,MATCH(E$1,'包络曲线数据'!$B$1:$K$1,0)),""))</x:f>
      </x:c>
      <x:c r="F93" t="str">
        <x:f>IF(F$1="","",IFERROR(INDEX('包络曲线数据'!$B$2:$K$742,ROW()-1,MATCH(F$1,'包络曲线数据'!$B$1:$K$1,0)),""))</x:f>
      </x:c>
      <x:c r="G93" t="str">
        <x:f>IF(G$1="","",IFERROR(INDEX('包络曲线数据'!$B$2:$K$742,ROW()-1,MATCH(G$1,'包络曲线数据'!$B$1:$K$1,0)),""))</x:f>
      </x:c>
    </x:row>
    <x:row r="94">
      <x:c r="A94" t="n">
        <x:v>9.200000000000001</x:v>
      </x:c>
      <x:c r="B94" t="n">
        <x:f>IF(B$1="","",IFERROR(INDEX('包络曲线数据'!$B$2:$K$742,ROW()-1,MATCH(B$1,'包络曲线数据'!$B$1:$K$1,0)),""))</x:f>
        <x:v>60.14897958172394</x:v>
      </x:c>
      <x:c r="C94" t="n">
        <x:f>IF(C$1="","",IFERROR(INDEX('包络曲线数据'!$B$2:$K$742,ROW()-1,MATCH(C$1,'包络曲线数据'!$B$1:$K$1,0)),""))</x:f>
        <x:v>66.050509352428</x:v>
      </x:c>
      <x:c r="D94" t="str">
        <x:f>IF(D$1="","",IFERROR(INDEX('包络曲线数据'!$B$2:$K$742,ROW()-1,MATCH(D$1,'包络曲线数据'!$B$1:$K$1,0)),""))</x:f>
      </x:c>
      <x:c r="E94" t="str">
        <x:f>IF(E$1="","",IFERROR(INDEX('包络曲线数据'!$B$2:$K$742,ROW()-1,MATCH(E$1,'包络曲线数据'!$B$1:$K$1,0)),""))</x:f>
      </x:c>
      <x:c r="F94" t="str">
        <x:f>IF(F$1="","",IFERROR(INDEX('包络曲线数据'!$B$2:$K$742,ROW()-1,MATCH(F$1,'包络曲线数据'!$B$1:$K$1,0)),""))</x:f>
      </x:c>
      <x:c r="G94" t="str">
        <x:f>IF(G$1="","",IFERROR(INDEX('包络曲线数据'!$B$2:$K$742,ROW()-1,MATCH(G$1,'包络曲线数据'!$B$1:$K$1,0)),""))</x:f>
      </x:c>
    </x:row>
    <x:row r="95">
      <x:c r="A95" t="n">
        <x:v>9.3</x:v>
      </x:c>
      <x:c r="B95" t="n">
        <x:f>IF(B$1="","",IFERROR(INDEX('包络曲线数据'!$B$2:$K$742,ROW()-1,MATCH(B$1,'包络曲线数据'!$B$1:$K$1,0)),""))</x:f>
        <x:v>63.82650838675592</x:v>
      </x:c>
      <x:c r="C95" t="n">
        <x:f>IF(C$1="","",IFERROR(INDEX('包络曲线数据'!$B$2:$K$742,ROW()-1,MATCH(C$1,'包络曲线数据'!$B$1:$K$1,0)),""))</x:f>
        <x:v>67.10779359976837</x:v>
      </x:c>
      <x:c r="D95" t="str">
        <x:f>IF(D$1="","",IFERROR(INDEX('包络曲线数据'!$B$2:$K$742,ROW()-1,MATCH(D$1,'包络曲线数据'!$B$1:$K$1,0)),""))</x:f>
      </x:c>
      <x:c r="E95" t="str">
        <x:f>IF(E$1="","",IFERROR(INDEX('包络曲线数据'!$B$2:$K$742,ROW()-1,MATCH(E$1,'包络曲线数据'!$B$1:$K$1,0)),""))</x:f>
      </x:c>
      <x:c r="F95" t="str">
        <x:f>IF(F$1="","",IFERROR(INDEX('包络曲线数据'!$B$2:$K$742,ROW()-1,MATCH(F$1,'包络曲线数据'!$B$1:$K$1,0)),""))</x:f>
      </x:c>
      <x:c r="G95" t="str">
        <x:f>IF(G$1="","",IFERROR(INDEX('包络曲线数据'!$B$2:$K$742,ROW()-1,MATCH(G$1,'包络曲线数据'!$B$1:$K$1,0)),""))</x:f>
      </x:c>
    </x:row>
    <x:row r="96">
      <x:c r="A96" t="n">
        <x:v>9.4</x:v>
      </x:c>
      <x:c r="B96" t="n">
        <x:f>IF(B$1="","",IFERROR(INDEX('包络曲线数据'!$B$2:$K$742,ROW()-1,MATCH(B$1,'包络曲线数据'!$B$1:$K$1,0)),""))</x:f>
        <x:v>65.45627524430374</x:v>
      </x:c>
      <x:c r="C96" t="n">
        <x:f>IF(C$1="","",IFERROR(INDEX('包络曲线数据'!$B$2:$K$742,ROW()-1,MATCH(C$1,'包络曲线数据'!$B$1:$K$1,0)),""))</x:f>
        <x:v>67.9220870568854</x:v>
      </x:c>
      <x:c r="D96" t="str">
        <x:f>IF(D$1="","",IFERROR(INDEX('包络曲线数据'!$B$2:$K$742,ROW()-1,MATCH(D$1,'包络曲线数据'!$B$1:$K$1,0)),""))</x:f>
      </x:c>
      <x:c r="E96" t="str">
        <x:f>IF(E$1="","",IFERROR(INDEX('包络曲线数据'!$B$2:$K$742,ROW()-1,MATCH(E$1,'包络曲线数据'!$B$1:$K$1,0)),""))</x:f>
      </x:c>
      <x:c r="F96" t="str">
        <x:f>IF(F$1="","",IFERROR(INDEX('包络曲线数据'!$B$2:$K$742,ROW()-1,MATCH(F$1,'包络曲线数据'!$B$1:$K$1,0)),""))</x:f>
      </x:c>
      <x:c r="G96" t="str">
        <x:f>IF(G$1="","",IFERROR(INDEX('包络曲线数据'!$B$2:$K$742,ROW()-1,MATCH(G$1,'包络曲线数据'!$B$1:$K$1,0)),""))</x:f>
      </x:c>
    </x:row>
    <x:row r="97">
      <x:c r="A97" t="n">
        <x:v>9.5</x:v>
      </x:c>
      <x:c r="B97" t="n">
        <x:f>IF(B$1="","",IFERROR(INDEX('包络曲线数据'!$B$2:$K$742,ROW()-1,MATCH(B$1,'包络曲线数据'!$B$1:$K$1,0)),""))</x:f>
        <x:v>65.45627524430374</x:v>
      </x:c>
      <x:c r="C97" t="n">
        <x:f>IF(C$1="","",IFERROR(INDEX('包络曲线数据'!$B$2:$K$742,ROW()-1,MATCH(C$1,'包络曲线数据'!$B$1:$K$1,0)),""))</x:f>
        <x:v>67.9220870568854</x:v>
      </x:c>
      <x:c r="D97" t="str">
        <x:f>IF(D$1="","",IFERROR(INDEX('包络曲线数据'!$B$2:$K$742,ROW()-1,MATCH(D$1,'包络曲线数据'!$B$1:$K$1,0)),""))</x:f>
      </x:c>
      <x:c r="E97" t="str">
        <x:f>IF(E$1="","",IFERROR(INDEX('包络曲线数据'!$B$2:$K$742,ROW()-1,MATCH(E$1,'包络曲线数据'!$B$1:$K$1,0)),""))</x:f>
      </x:c>
      <x:c r="F97" t="str">
        <x:f>IF(F$1="","",IFERROR(INDEX('包络曲线数据'!$B$2:$K$742,ROW()-1,MATCH(F$1,'包络曲线数据'!$B$1:$K$1,0)),""))</x:f>
      </x:c>
      <x:c r="G97" t="str">
        <x:f>IF(G$1="","",IFERROR(INDEX('包络曲线数据'!$B$2:$K$742,ROW()-1,MATCH(G$1,'包络曲线数据'!$B$1:$K$1,0)),""))</x:f>
      </x:c>
    </x:row>
    <x:row r="98">
      <x:c r="A98" t="n">
        <x:v>9.600000000000001</x:v>
      </x:c>
      <x:c r="B98" t="n">
        <x:f>IF(B$1="","",IFERROR(INDEX('包络曲线数据'!$B$2:$K$742,ROW()-1,MATCH(B$1,'包络曲线数据'!$B$1:$K$1,0)),""))</x:f>
        <x:v>65.4462725343106</x:v>
      </x:c>
      <x:c r="C98" t="n">
        <x:f>IF(C$1="","",IFERROR(INDEX('包络曲线数据'!$B$2:$K$742,ROW()-1,MATCH(C$1,'包络曲线数据'!$B$1:$K$1,0)),""))</x:f>
        <x:v>67.11312926220808</x:v>
      </x:c>
      <x:c r="D98" t="str">
        <x:f>IF(D$1="","",IFERROR(INDEX('包络曲线数据'!$B$2:$K$742,ROW()-1,MATCH(D$1,'包络曲线数据'!$B$1:$K$1,0)),""))</x:f>
      </x:c>
      <x:c r="E98" t="str">
        <x:f>IF(E$1="","",IFERROR(INDEX('包络曲线数据'!$B$2:$K$742,ROW()-1,MATCH(E$1,'包络曲线数据'!$B$1:$K$1,0)),""))</x:f>
      </x:c>
      <x:c r="F98" t="str">
        <x:f>IF(F$1="","",IFERROR(INDEX('包络曲线数据'!$B$2:$K$742,ROW()-1,MATCH(F$1,'包络曲线数据'!$B$1:$K$1,0)),""))</x:f>
      </x:c>
      <x:c r="G98" t="str">
        <x:f>IF(G$1="","",IFERROR(INDEX('包络曲线数据'!$B$2:$K$742,ROW()-1,MATCH(G$1,'包络曲线数据'!$B$1:$K$1,0)),""))</x:f>
      </x:c>
    </x:row>
    <x:row r="99">
      <x:c r="A99" t="n">
        <x:v>9.700000000000001</x:v>
      </x:c>
      <x:c r="B99" t="n">
        <x:f>IF(B$1="","",IFERROR(INDEX('包络曲线数据'!$B$2:$K$742,ROW()-1,MATCH(B$1,'包络曲线数据'!$B$1:$K$1,0)),""))</x:f>
        <x:v>65.88729823424887</x:v>
      </x:c>
      <x:c r="C99" t="n">
        <x:f>IF(C$1="","",IFERROR(INDEX('包络曲线数据'!$B$2:$K$742,ROW()-1,MATCH(C$1,'包络曲线数据'!$B$1:$K$1,0)),""))</x:f>
        <x:v>67.11312926220808</x:v>
      </x:c>
      <x:c r="D99" t="str">
        <x:f>IF(D$1="","",IFERROR(INDEX('包络曲线数据'!$B$2:$K$742,ROW()-1,MATCH(D$1,'包络曲线数据'!$B$1:$K$1,0)),""))</x:f>
      </x:c>
      <x:c r="E99" t="str">
        <x:f>IF(E$1="","",IFERROR(INDEX('包络曲线数据'!$B$2:$K$742,ROW()-1,MATCH(E$1,'包络曲线数据'!$B$1:$K$1,0)),""))</x:f>
      </x:c>
      <x:c r="F99" t="str">
        <x:f>IF(F$1="","",IFERROR(INDEX('包络曲线数据'!$B$2:$K$742,ROW()-1,MATCH(F$1,'包络曲线数据'!$B$1:$K$1,0)),""))</x:f>
      </x:c>
      <x:c r="G99" t="str">
        <x:f>IF(G$1="","",IFERROR(INDEX('包络曲线数据'!$B$2:$K$742,ROW()-1,MATCH(G$1,'包络曲线数据'!$B$1:$K$1,0)),""))</x:f>
      </x:c>
    </x:row>
    <x:row r="100">
      <x:c r="A100" t="n">
        <x:v>9.8</x:v>
      </x:c>
      <x:c r="B100" t="n">
        <x:f>IF(B$1="","",IFERROR(INDEX('包络曲线数据'!$B$2:$K$742,ROW()-1,MATCH(B$1,'包络曲线数据'!$B$1:$K$1,0)),""))</x:f>
        <x:v>65.88729823424887</x:v>
      </x:c>
      <x:c r="C100" t="n">
        <x:f>IF(C$1="","",IFERROR(INDEX('包络曲线数据'!$B$2:$K$742,ROW()-1,MATCH(C$1,'包络曲线数据'!$B$1:$K$1,0)),""))</x:f>
        <x:v>65.8179588973982</x:v>
      </x:c>
      <x:c r="D100" t="str">
        <x:f>IF(D$1="","",IFERROR(INDEX('包络曲线数据'!$B$2:$K$742,ROW()-1,MATCH(D$1,'包络曲线数据'!$B$1:$K$1,0)),""))</x:f>
      </x:c>
      <x:c r="E100" t="str">
        <x:f>IF(E$1="","",IFERROR(INDEX('包络曲线数据'!$B$2:$K$742,ROW()-1,MATCH(E$1,'包络曲线数据'!$B$1:$K$1,0)),""))</x:f>
      </x:c>
      <x:c r="F100" t="str">
        <x:f>IF(F$1="","",IFERROR(INDEX('包络曲线数据'!$B$2:$K$742,ROW()-1,MATCH(F$1,'包络曲线数据'!$B$1:$K$1,0)),""))</x:f>
      </x:c>
      <x:c r="G100" t="str">
        <x:f>IF(G$1="","",IFERROR(INDEX('包络曲线数据'!$B$2:$K$742,ROW()-1,MATCH(G$1,'包络曲线数据'!$B$1:$K$1,0)),""))</x:f>
      </x:c>
    </x:row>
    <x:row r="101">
      <x:c r="A101" t="n">
        <x:v>9.9</x:v>
      </x:c>
      <x:c r="B101" t="n">
        <x:f>IF(B$1="","",IFERROR(INDEX('包络曲线数据'!$B$2:$K$742,ROW()-1,MATCH(B$1,'包络曲线数据'!$B$1:$K$1,0)),""))</x:f>
        <x:v>65.30897078238257</x:v>
      </x:c>
      <x:c r="C101" t="n">
        <x:f>IF(C$1="","",IFERROR(INDEX('包络曲线数据'!$B$2:$K$742,ROW()-1,MATCH(C$1,'包络曲线数据'!$B$1:$K$1,0)),""))</x:f>
        <x:v>83.12688556508151</x:v>
      </x:c>
      <x:c r="D101" t="str">
        <x:f>IF(D$1="","",IFERROR(INDEX('包络曲线数据'!$B$2:$K$742,ROW()-1,MATCH(D$1,'包络曲线数据'!$B$1:$K$1,0)),""))</x:f>
      </x:c>
      <x:c r="E101" t="str">
        <x:f>IF(E$1="","",IFERROR(INDEX('包络曲线数据'!$B$2:$K$742,ROW()-1,MATCH(E$1,'包络曲线数据'!$B$1:$K$1,0)),""))</x:f>
      </x:c>
      <x:c r="F101" t="str">
        <x:f>IF(F$1="","",IFERROR(INDEX('包络曲线数据'!$B$2:$K$742,ROW()-1,MATCH(F$1,'包络曲线数据'!$B$1:$K$1,0)),""))</x:f>
      </x:c>
      <x:c r="G101" t="str">
        <x:f>IF(G$1="","",IFERROR(INDEX('包络曲线数据'!$B$2:$K$742,ROW()-1,MATCH(G$1,'包络曲线数据'!$B$1:$K$1,0)),""))</x:f>
      </x:c>
    </x:row>
    <x:row r="102">
      <x:c r="A102" t="n">
        <x:v>10</x:v>
      </x:c>
      <x:c r="B102" t="n">
        <x:f>IF(B$1="","",IFERROR(INDEX('包络曲线数据'!$B$2:$K$742,ROW()-1,MATCH(B$1,'包络曲线数据'!$B$1:$K$1,0)),""))</x:f>
        <x:v>65.81437171921273</x:v>
      </x:c>
      <x:c r="C102" t="n">
        <x:f>IF(C$1="","",IFERROR(INDEX('包络曲线数据'!$B$2:$K$742,ROW()-1,MATCH(C$1,'包络曲线数据'!$B$1:$K$1,0)),""))</x:f>
        <x:v>83.12688556508151</x:v>
      </x:c>
      <x:c r="D102" t="str">
        <x:f>IF(D$1="","",IFERROR(INDEX('包络曲线数据'!$B$2:$K$742,ROW()-1,MATCH(D$1,'包络曲线数据'!$B$1:$K$1,0)),""))</x:f>
      </x:c>
      <x:c r="E102" t="str">
        <x:f>IF(E$1="","",IFERROR(INDEX('包络曲线数据'!$B$2:$K$742,ROW()-1,MATCH(E$1,'包络曲线数据'!$B$1:$K$1,0)),""))</x:f>
      </x:c>
      <x:c r="F102" t="str">
        <x:f>IF(F$1="","",IFERROR(INDEX('包络曲线数据'!$B$2:$K$742,ROW()-1,MATCH(F$1,'包络曲线数据'!$B$1:$K$1,0)),""))</x:f>
      </x:c>
      <x:c r="G102" t="str">
        <x:f>IF(G$1="","",IFERROR(INDEX('包络曲线数据'!$B$2:$K$742,ROW()-1,MATCH(G$1,'包络曲线数据'!$B$1:$K$1,0)),""))</x:f>
      </x:c>
    </x:row>
    <x:row r="103">
      <x:c r="A103" t="n">
        <x:v>10.100000000000001</x:v>
      </x:c>
      <x:c r="B103" t="n">
        <x:f>IF(B$1="","",IFERROR(INDEX('包络曲线数据'!$B$2:$K$742,ROW()-1,MATCH(B$1,'包络曲线数据'!$B$1:$K$1,0)),""))</x:f>
        <x:v>66.15539314312804</x:v>
      </x:c>
      <x:c r="C103" t="n">
        <x:f>IF(C$1="","",IFERROR(INDEX('包络曲线数据'!$B$2:$K$742,ROW()-1,MATCH(C$1,'包络曲线数据'!$B$1:$K$1,0)),""))</x:f>
        <x:v>77.91787372310951</x:v>
      </x:c>
      <x:c r="D103" t="str">
        <x:f>IF(D$1="","",IFERROR(INDEX('包络曲线数据'!$B$2:$K$742,ROW()-1,MATCH(D$1,'包络曲线数据'!$B$1:$K$1,0)),""))</x:f>
      </x:c>
      <x:c r="E103" t="str">
        <x:f>IF(E$1="","",IFERROR(INDEX('包络曲线数据'!$B$2:$K$742,ROW()-1,MATCH(E$1,'包络曲线数据'!$B$1:$K$1,0)),""))</x:f>
      </x:c>
      <x:c r="F103" t="str">
        <x:f>IF(F$1="","",IFERROR(INDEX('包络曲线数据'!$B$2:$K$742,ROW()-1,MATCH(F$1,'包络曲线数据'!$B$1:$K$1,0)),""))</x:f>
      </x:c>
      <x:c r="G103" t="str">
        <x:f>IF(G$1="","",IFERROR(INDEX('包络曲线数据'!$B$2:$K$742,ROW()-1,MATCH(G$1,'包络曲线数据'!$B$1:$K$1,0)),""))</x:f>
      </x:c>
    </x:row>
    <x:row r="104">
      <x:c r="A104" t="n">
        <x:v>10.200000000000001</x:v>
      </x:c>
      <x:c r="B104" t="n">
        <x:f>IF(B$1="","",IFERROR(INDEX('包络曲线数据'!$B$2:$K$742,ROW()-1,MATCH(B$1,'包络曲线数据'!$B$1:$K$1,0)),""))</x:f>
        <x:v>66.50221136664057</x:v>
      </x:c>
      <x:c r="C104" t="n">
        <x:f>IF(C$1="","",IFERROR(INDEX('包络曲线数据'!$B$2:$K$742,ROW()-1,MATCH(C$1,'包络曲线数据'!$B$1:$K$1,0)),""))</x:f>
        <x:v>69.20423379597057</x:v>
      </x:c>
      <x:c r="D104" t="str">
        <x:f>IF(D$1="","",IFERROR(INDEX('包络曲线数据'!$B$2:$K$742,ROW()-1,MATCH(D$1,'包络曲线数据'!$B$1:$K$1,0)),""))</x:f>
      </x:c>
      <x:c r="E104" t="str">
        <x:f>IF(E$1="","",IFERROR(INDEX('包络曲线数据'!$B$2:$K$742,ROW()-1,MATCH(E$1,'包络曲线数据'!$B$1:$K$1,0)),""))</x:f>
      </x:c>
      <x:c r="F104" t="str">
        <x:f>IF(F$1="","",IFERROR(INDEX('包络曲线数据'!$B$2:$K$742,ROW()-1,MATCH(F$1,'包络曲线数据'!$B$1:$K$1,0)),""))</x:f>
      </x:c>
      <x:c r="G104" t="str">
        <x:f>IF(G$1="","",IFERROR(INDEX('包络曲线数据'!$B$2:$K$742,ROW()-1,MATCH(G$1,'包络曲线数据'!$B$1:$K$1,0)),""))</x:f>
      </x:c>
    </x:row>
    <x:row r="105">
      <x:c r="A105" t="n">
        <x:v>10.3</x:v>
      </x:c>
      <x:c r="B105" t="n">
        <x:f>IF(B$1="","",IFERROR(INDEX('包络曲线数据'!$B$2:$K$742,ROW()-1,MATCH(B$1,'包络曲线数据'!$B$1:$K$1,0)),""))</x:f>
        <x:v>66.86814514135094</x:v>
      </x:c>
      <x:c r="C105" t="n">
        <x:f>IF(C$1="","",IFERROR(INDEX('包络曲线数据'!$B$2:$K$742,ROW()-1,MATCH(C$1,'包络曲线数据'!$B$1:$K$1,0)),""))</x:f>
        <x:v>60.86240395579442</x:v>
      </x:c>
      <x:c r="D105" t="str">
        <x:f>IF(D$1="","",IFERROR(INDEX('包络曲线数据'!$B$2:$K$742,ROW()-1,MATCH(D$1,'包络曲线数据'!$B$1:$K$1,0)),""))</x:f>
      </x:c>
      <x:c r="E105" t="str">
        <x:f>IF(E$1="","",IFERROR(INDEX('包络曲线数据'!$B$2:$K$742,ROW()-1,MATCH(E$1,'包络曲线数据'!$B$1:$K$1,0)),""))</x:f>
      </x:c>
      <x:c r="F105" t="str">
        <x:f>IF(F$1="","",IFERROR(INDEX('包络曲线数据'!$B$2:$K$742,ROW()-1,MATCH(F$1,'包络曲线数据'!$B$1:$K$1,0)),""))</x:f>
      </x:c>
      <x:c r="G105" t="str">
        <x:f>IF(G$1="","",IFERROR(INDEX('包络曲线数据'!$B$2:$K$742,ROW()-1,MATCH(G$1,'包络曲线数据'!$B$1:$K$1,0)),""))</x:f>
      </x:c>
    </x:row>
    <x:row r="106">
      <x:c r="A106" t="n">
        <x:v>10.4</x:v>
      </x:c>
      <x:c r="B106" t="n">
        <x:f>IF(B$1="","",IFERROR(INDEX('包络曲线数据'!$B$2:$K$742,ROW()-1,MATCH(B$1,'包络曲线数据'!$B$1:$K$1,0)),""))</x:f>
        <x:v>66.86814514135094</x:v>
      </x:c>
      <x:c r="C106" t="n">
        <x:f>IF(C$1="","",IFERROR(INDEX('包络曲线数据'!$B$2:$K$742,ROW()-1,MATCH(C$1,'包络曲线数据'!$B$1:$K$1,0)),""))</x:f>
        <x:v>50</x:v>
      </x:c>
      <x:c r="D106" t="str">
        <x:f>IF(D$1="","",IFERROR(INDEX('包络曲线数据'!$B$2:$K$742,ROW()-1,MATCH(D$1,'包络曲线数据'!$B$1:$K$1,0)),""))</x:f>
      </x:c>
      <x:c r="E106" t="str">
        <x:f>IF(E$1="","",IFERROR(INDEX('包络曲线数据'!$B$2:$K$742,ROW()-1,MATCH(E$1,'包络曲线数据'!$B$1:$K$1,0)),""))</x:f>
      </x:c>
      <x:c r="F106" t="str">
        <x:f>IF(F$1="","",IFERROR(INDEX('包络曲线数据'!$B$2:$K$742,ROW()-1,MATCH(F$1,'包络曲线数据'!$B$1:$K$1,0)),""))</x:f>
      </x:c>
      <x:c r="G106" t="str">
        <x:f>IF(G$1="","",IFERROR(INDEX('包络曲线数据'!$B$2:$K$742,ROW()-1,MATCH(G$1,'包络曲线数据'!$B$1:$K$1,0)),""))</x:f>
      </x:c>
    </x:row>
    <x:row r="107">
      <x:c r="A107" t="n">
        <x:v>10.5</x:v>
      </x:c>
      <x:c r="B107" t="n">
        <x:f>IF(B$1="","",IFERROR(INDEX('包络曲线数据'!$B$2:$K$742,ROW()-1,MATCH(B$1,'包络曲线数据'!$B$1:$K$1,0)),""))</x:f>
        <x:v>61.82297939802218</x:v>
      </x:c>
      <x:c r="C107" t="n">
        <x:f>IF(C$1="","",IFERROR(INDEX('包络曲线数据'!$B$2:$K$742,ROW()-1,MATCH(C$1,'包络曲线数据'!$B$1:$K$1,0)),""))</x:f>
        <x:v>50</x:v>
      </x:c>
      <x:c r="D107" t="str">
        <x:f>IF(D$1="","",IFERROR(INDEX('包络曲线数据'!$B$2:$K$742,ROW()-1,MATCH(D$1,'包络曲线数据'!$B$1:$K$1,0)),""))</x:f>
      </x:c>
      <x:c r="E107" t="str">
        <x:f>IF(E$1="","",IFERROR(INDEX('包络曲线数据'!$B$2:$K$742,ROW()-1,MATCH(E$1,'包络曲线数据'!$B$1:$K$1,0)),""))</x:f>
      </x:c>
      <x:c r="F107" t="str">
        <x:f>IF(F$1="","",IFERROR(INDEX('包络曲线数据'!$B$2:$K$742,ROW()-1,MATCH(F$1,'包络曲线数据'!$B$1:$K$1,0)),""))</x:f>
      </x:c>
      <x:c r="G107" t="str">
        <x:f>IF(G$1="","",IFERROR(INDEX('包络曲线数据'!$B$2:$K$742,ROW()-1,MATCH(G$1,'包络曲线数据'!$B$1:$K$1,0)),""))</x:f>
      </x:c>
    </x:row>
    <x:row r="108">
      <x:c r="A108" t="n">
        <x:v>10.600000000000001</x:v>
      </x:c>
      <x:c r="B108" t="n">
        <x:f>IF(B$1="","",IFERROR(INDEX('包络曲线数据'!$B$2:$K$742,ROW()-1,MATCH(B$1,'包络曲线数据'!$B$1:$K$1,0)),""))</x:f>
        <x:v>56.74445610376082</x:v>
      </x:c>
      <x:c r="C108" t="n">
        <x:f>IF(C$1="","",IFERROR(INDEX('包络曲线数据'!$B$2:$K$742,ROW()-1,MATCH(C$1,'包络曲线数据'!$B$1:$K$1,0)),""))</x:f>
        <x:v>53.003234621727906</x:v>
      </x:c>
      <x:c r="D108" t="str">
        <x:f>IF(D$1="","",IFERROR(INDEX('包络曲线数据'!$B$2:$K$742,ROW()-1,MATCH(D$1,'包络曲线数据'!$B$1:$K$1,0)),""))</x:f>
      </x:c>
      <x:c r="E108" t="str">
        <x:f>IF(E$1="","",IFERROR(INDEX('包络曲线数据'!$B$2:$K$742,ROW()-1,MATCH(E$1,'包络曲线数据'!$B$1:$K$1,0)),""))</x:f>
      </x:c>
      <x:c r="F108" t="str">
        <x:f>IF(F$1="","",IFERROR(INDEX('包络曲线数据'!$B$2:$K$742,ROW()-1,MATCH(F$1,'包络曲线数据'!$B$1:$K$1,0)),""))</x:f>
      </x:c>
      <x:c r="G108" t="str">
        <x:f>IF(G$1="","",IFERROR(INDEX('包络曲线数据'!$B$2:$K$742,ROW()-1,MATCH(G$1,'包络曲线数据'!$B$1:$K$1,0)),""))</x:f>
      </x:c>
    </x:row>
    <x:row r="109">
      <x:c r="A109" t="n">
        <x:v>10.700000000000001</x:v>
      </x:c>
      <x:c r="B109" t="n">
        <x:f>IF(B$1="","",IFERROR(INDEX('包络曲线数据'!$B$2:$K$742,ROW()-1,MATCH(B$1,'包络曲线数据'!$B$1:$K$1,0)),""))</x:f>
        <x:v>55.29891743696106</x:v>
      </x:c>
      <x:c r="C109" t="n">
        <x:f>IF(C$1="","",IFERROR(INDEX('包络曲线数据'!$B$2:$K$742,ROW()-1,MATCH(C$1,'包络曲线数据'!$B$1:$K$1,0)),""))</x:f>
        <x:v>62.99510800944526</x:v>
      </x:c>
      <x:c r="D109" t="str">
        <x:f>IF(D$1="","",IFERROR(INDEX('包络曲线数据'!$B$2:$K$742,ROW()-1,MATCH(D$1,'包络曲线数据'!$B$1:$K$1,0)),""))</x:f>
      </x:c>
      <x:c r="E109" t="str">
        <x:f>IF(E$1="","",IFERROR(INDEX('包络曲线数据'!$B$2:$K$742,ROW()-1,MATCH(E$1,'包络曲线数据'!$B$1:$K$1,0)),""))</x:f>
      </x:c>
      <x:c r="F109" t="str">
        <x:f>IF(F$1="","",IFERROR(INDEX('包络曲线数据'!$B$2:$K$742,ROW()-1,MATCH(F$1,'包络曲线数据'!$B$1:$K$1,0)),""))</x:f>
      </x:c>
      <x:c r="G109" t="str">
        <x:f>IF(G$1="","",IFERROR(INDEX('包络曲线数据'!$B$2:$K$742,ROW()-1,MATCH(G$1,'包络曲线数据'!$B$1:$K$1,0)),""))</x:f>
      </x:c>
    </x:row>
    <x:row r="110">
      <x:c r="A110" t="n">
        <x:v>10.8</x:v>
      </x:c>
      <x:c r="B110" t="n">
        <x:f>IF(B$1="","",IFERROR(INDEX('包络曲线数据'!$B$2:$K$742,ROW()-1,MATCH(B$1,'包络曲线数据'!$B$1:$K$1,0)),""))</x:f>
        <x:v>53.853378770161314</x:v>
      </x:c>
      <x:c r="C110" t="n">
        <x:f>IF(C$1="","",IFERROR(INDEX('包络曲线数据'!$B$2:$K$742,ROW()-1,MATCH(C$1,'包络曲线数据'!$B$1:$K$1,0)),""))</x:f>
        <x:v>62.99510800944526</x:v>
      </x:c>
      <x:c r="D110" t="str">
        <x:f>IF(D$1="","",IFERROR(INDEX('包络曲线数据'!$B$2:$K$742,ROW()-1,MATCH(D$1,'包络曲线数据'!$B$1:$K$1,0)),""))</x:f>
      </x:c>
      <x:c r="E110" t="str">
        <x:f>IF(E$1="","",IFERROR(INDEX('包络曲线数据'!$B$2:$K$742,ROW()-1,MATCH(E$1,'包络曲线数据'!$B$1:$K$1,0)),""))</x:f>
      </x:c>
      <x:c r="F110" t="str">
        <x:f>IF(F$1="","",IFERROR(INDEX('包络曲线数据'!$B$2:$K$742,ROW()-1,MATCH(F$1,'包络曲线数据'!$B$1:$K$1,0)),""))</x:f>
      </x:c>
      <x:c r="G110" t="str">
        <x:f>IF(G$1="","",IFERROR(INDEX('包络曲线数据'!$B$2:$K$742,ROW()-1,MATCH(G$1,'包络曲线数据'!$B$1:$K$1,0)),""))</x:f>
      </x:c>
    </x:row>
    <x:row r="111">
      <x:c r="A111" t="n">
        <x:v>10.9</x:v>
      </x:c>
      <x:c r="B111" t="n">
        <x:f>IF(B$1="","",IFERROR(INDEX('包络曲线数据'!$B$2:$K$742,ROW()-1,MATCH(B$1,'包络曲线数据'!$B$1:$K$1,0)),""))</x:f>
        <x:v>53.04938616208195</x:v>
      </x:c>
      <x:c r="C111" t="n">
        <x:f>IF(C$1="","",IFERROR(INDEX('包络曲线数据'!$B$2:$K$742,ROW()-1,MATCH(C$1,'包络曲线数据'!$B$1:$K$1,0)),""))</x:f>
        <x:v>55.34057222845064</x:v>
      </x:c>
      <x:c r="D111" t="str">
        <x:f>IF(D$1="","",IFERROR(INDEX('包络曲线数据'!$B$2:$K$742,ROW()-1,MATCH(D$1,'包络曲线数据'!$B$1:$K$1,0)),""))</x:f>
      </x:c>
      <x:c r="E111" t="str">
        <x:f>IF(E$1="","",IFERROR(INDEX('包络曲线数据'!$B$2:$K$742,ROW()-1,MATCH(E$1,'包络曲线数据'!$B$1:$K$1,0)),""))</x:f>
      </x:c>
      <x:c r="F111" t="str">
        <x:f>IF(F$1="","",IFERROR(INDEX('包络曲线数据'!$B$2:$K$742,ROW()-1,MATCH(F$1,'包络曲线数据'!$B$1:$K$1,0)),""))</x:f>
      </x:c>
      <x:c r="G111" t="str">
        <x:f>IF(G$1="","",IFERROR(INDEX('包络曲线数据'!$B$2:$K$742,ROW()-1,MATCH(G$1,'包络曲线数据'!$B$1:$K$1,0)),""))</x:f>
      </x:c>
    </x:row>
    <x:row r="112">
      <x:c r="A112" t="n">
        <x:v>11</x:v>
      </x:c>
      <x:c r="B112" t="n">
        <x:f>IF(B$1="","",IFERROR(INDEX('包络曲线数据'!$B$2:$K$742,ROW()-1,MATCH(B$1,'包络曲线数据'!$B$1:$K$1,0)),""))</x:f>
        <x:v>54.81157778888419</x:v>
      </x:c>
      <x:c r="C112" t="n">
        <x:f>IF(C$1="","",IFERROR(INDEX('包络曲线数据'!$B$2:$K$742,ROW()-1,MATCH(C$1,'包络曲线数据'!$B$1:$K$1,0)),""))</x:f>
        <x:v>68.91205139392386</x:v>
      </x:c>
      <x:c r="D112" t="str">
        <x:f>IF(D$1="","",IFERROR(INDEX('包络曲线数据'!$B$2:$K$742,ROW()-1,MATCH(D$1,'包络曲线数据'!$B$1:$K$1,0)),""))</x:f>
      </x:c>
      <x:c r="E112" t="str">
        <x:f>IF(E$1="","",IFERROR(INDEX('包络曲线数据'!$B$2:$K$742,ROW()-1,MATCH(E$1,'包络曲线数据'!$B$1:$K$1,0)),""))</x:f>
      </x:c>
      <x:c r="F112" t="str">
        <x:f>IF(F$1="","",IFERROR(INDEX('包络曲线数据'!$B$2:$K$742,ROW()-1,MATCH(F$1,'包络曲线数据'!$B$1:$K$1,0)),""))</x:f>
      </x:c>
      <x:c r="G112" t="str">
        <x:f>IF(G$1="","",IFERROR(INDEX('包络曲线数据'!$B$2:$K$742,ROW()-1,MATCH(G$1,'包络曲线数据'!$B$1:$K$1,0)),""))</x:f>
      </x:c>
    </x:row>
    <x:row r="113">
      <x:c r="A113" t="n">
        <x:v>11.100000000000001</x:v>
      </x:c>
      <x:c r="B113" t="n">
        <x:f>IF(B$1="","",IFERROR(INDEX('包络曲线数据'!$B$2:$K$742,ROW()-1,MATCH(B$1,'包络曲线数据'!$B$1:$K$1,0)),""))</x:f>
        <x:v>54.811577788884094</x:v>
      </x:c>
      <x:c r="C113" t="n">
        <x:f>IF(C$1="","",IFERROR(INDEX('包络曲线数据'!$B$2:$K$742,ROW()-1,MATCH(C$1,'包络曲线数据'!$B$1:$K$1,0)),""))</x:f>
        <x:v>73.5136397979378</x:v>
      </x:c>
      <x:c r="D113" t="str">
        <x:f>IF(D$1="","",IFERROR(INDEX('包络曲线数据'!$B$2:$K$742,ROW()-1,MATCH(D$1,'包络曲线数据'!$B$1:$K$1,0)),""))</x:f>
      </x:c>
      <x:c r="E113" t="str">
        <x:f>IF(E$1="","",IFERROR(INDEX('包络曲线数据'!$B$2:$K$742,ROW()-1,MATCH(E$1,'包络曲线数据'!$B$1:$K$1,0)),""))</x:f>
      </x:c>
      <x:c r="F113" t="str">
        <x:f>IF(F$1="","",IFERROR(INDEX('包络曲线数据'!$B$2:$K$742,ROW()-1,MATCH(F$1,'包络曲线数据'!$B$1:$K$1,0)),""))</x:f>
      </x:c>
      <x:c r="G113" t="str">
        <x:f>IF(G$1="","",IFERROR(INDEX('包络曲线数据'!$B$2:$K$742,ROW()-1,MATCH(G$1,'包络曲线数据'!$B$1:$K$1,0)),""))</x:f>
      </x:c>
    </x:row>
    <x:row r="114">
      <x:c r="A114" t="n">
        <x:v>11.200000000000001</x:v>
      </x:c>
      <x:c r="B114" t="n">
        <x:f>IF(B$1="","",IFERROR(INDEX('包络曲线数据'!$B$2:$K$742,ROW()-1,MATCH(B$1,'包络曲线数据'!$B$1:$K$1,0)),""))</x:f>
        <x:v>50.000000000000036</x:v>
      </x:c>
      <x:c r="C114" t="n">
        <x:f>IF(C$1="","",IFERROR(INDEX('包络曲线数据'!$B$2:$K$742,ROW()-1,MATCH(C$1,'包络曲线数据'!$B$1:$K$1,0)),""))</x:f>
        <x:v>73.5136397979378</x:v>
      </x:c>
      <x:c r="D114" t="str">
        <x:f>IF(D$1="","",IFERROR(INDEX('包络曲线数据'!$B$2:$K$742,ROW()-1,MATCH(D$1,'包络曲线数据'!$B$1:$K$1,0)),""))</x:f>
      </x:c>
      <x:c r="E114" t="str">
        <x:f>IF(E$1="","",IFERROR(INDEX('包络曲线数据'!$B$2:$K$742,ROW()-1,MATCH(E$1,'包络曲线数据'!$B$1:$K$1,0)),""))</x:f>
      </x:c>
      <x:c r="F114" t="str">
        <x:f>IF(F$1="","",IFERROR(INDEX('包络曲线数据'!$B$2:$K$742,ROW()-1,MATCH(F$1,'包络曲线数据'!$B$1:$K$1,0)),""))</x:f>
      </x:c>
      <x:c r="G114" t="str">
        <x:f>IF(G$1="","",IFERROR(INDEX('包络曲线数据'!$B$2:$K$742,ROW()-1,MATCH(G$1,'包络曲线数据'!$B$1:$K$1,0)),""))</x:f>
      </x:c>
    </x:row>
    <x:row r="115">
      <x:c r="A115" t="n">
        <x:v>11.3</x:v>
      </x:c>
      <x:c r="B115" t="n">
        <x:f>IF(B$1="","",IFERROR(INDEX('包络曲线数据'!$B$2:$K$742,ROW()-1,MATCH(B$1,'包络曲线数据'!$B$1:$K$1,0)),""))</x:f>
        <x:v>51.90650251013764</x:v>
      </x:c>
      <x:c r="C115" t="n">
        <x:f>IF(C$1="","",IFERROR(INDEX('包络曲线数据'!$B$2:$K$742,ROW()-1,MATCH(C$1,'包络曲线数据'!$B$1:$K$1,0)),""))</x:f>
        <x:v>67.42284548335465</x:v>
      </x:c>
      <x:c r="D115" t="str">
        <x:f>IF(D$1="","",IFERROR(INDEX('包络曲线数据'!$B$2:$K$742,ROW()-1,MATCH(D$1,'包络曲线数据'!$B$1:$K$1,0)),""))</x:f>
      </x:c>
      <x:c r="E115" t="str">
        <x:f>IF(E$1="","",IFERROR(INDEX('包络曲线数据'!$B$2:$K$742,ROW()-1,MATCH(E$1,'包络曲线数据'!$B$1:$K$1,0)),""))</x:f>
      </x:c>
      <x:c r="F115" t="str">
        <x:f>IF(F$1="","",IFERROR(INDEX('包络曲线数据'!$B$2:$K$742,ROW()-1,MATCH(F$1,'包络曲线数据'!$B$1:$K$1,0)),""))</x:f>
      </x:c>
      <x:c r="G115" t="str">
        <x:f>IF(G$1="","",IFERROR(INDEX('包络曲线数据'!$B$2:$K$742,ROW()-1,MATCH(G$1,'包络曲线数据'!$B$1:$K$1,0)),""))</x:f>
      </x:c>
    </x:row>
    <x:row r="116">
      <x:c r="A116" t="n">
        <x:v>11.4</x:v>
      </x:c>
      <x:c r="B116" t="n">
        <x:f>IF(B$1="","",IFERROR(INDEX('包络曲线数据'!$B$2:$K$742,ROW()-1,MATCH(B$1,'包络曲线数据'!$B$1:$K$1,0)),""))</x:f>
        <x:v>52.66910351419267</x:v>
      </x:c>
      <x:c r="C116" t="n">
        <x:f>IF(C$1="","",IFERROR(INDEX('包络曲线数据'!$B$2:$K$742,ROW()-1,MATCH(C$1,'包络曲线数据'!$B$1:$K$1,0)),""))</x:f>
        <x:v>63.637415552659924</x:v>
      </x:c>
      <x:c r="D116" t="str">
        <x:f>IF(D$1="","",IFERROR(INDEX('包络曲线数据'!$B$2:$K$742,ROW()-1,MATCH(D$1,'包络曲线数据'!$B$1:$K$1,0)),""))</x:f>
      </x:c>
      <x:c r="E116" t="str">
        <x:f>IF(E$1="","",IFERROR(INDEX('包络曲线数据'!$B$2:$K$742,ROW()-1,MATCH(E$1,'包络曲线数据'!$B$1:$K$1,0)),""))</x:f>
      </x:c>
      <x:c r="F116" t="str">
        <x:f>IF(F$1="","",IFERROR(INDEX('包络曲线数据'!$B$2:$K$742,ROW()-1,MATCH(F$1,'包络曲线数据'!$B$1:$K$1,0)),""))</x:f>
      </x:c>
      <x:c r="G116" t="str">
        <x:f>IF(G$1="","",IFERROR(INDEX('包络曲线数据'!$B$2:$K$742,ROW()-1,MATCH(G$1,'包络曲线数据'!$B$1:$K$1,0)),""))</x:f>
      </x:c>
    </x:row>
    <x:row r="117">
      <x:c r="A117" t="n">
        <x:v>11.5</x:v>
      </x:c>
      <x:c r="B117" t="n">
        <x:f>IF(B$1="","",IFERROR(INDEX('包络曲线数据'!$B$2:$K$742,ROW()-1,MATCH(B$1,'包络曲线数据'!$B$1:$K$1,0)),""))</x:f>
        <x:v>53.326755461310654</x:v>
      </x:c>
      <x:c r="C117" t="n">
        <x:f>IF(C$1="","",IFERROR(INDEX('包络曲线数据'!$B$2:$K$742,ROW()-1,MATCH(C$1,'包络曲线数据'!$B$1:$K$1,0)),""))</x:f>
        <x:v>61.380246225902376</x:v>
      </x:c>
      <x:c r="D117" t="str">
        <x:f>IF(D$1="","",IFERROR(INDEX('包络曲线数据'!$B$2:$K$742,ROW()-1,MATCH(D$1,'包络曲线数据'!$B$1:$K$1,0)),""))</x:f>
      </x:c>
      <x:c r="E117" t="str">
        <x:f>IF(E$1="","",IFERROR(INDEX('包络曲线数据'!$B$2:$K$742,ROW()-1,MATCH(E$1,'包络曲线数据'!$B$1:$K$1,0)),""))</x:f>
      </x:c>
      <x:c r="F117" t="str">
        <x:f>IF(F$1="","",IFERROR(INDEX('包络曲线数据'!$B$2:$K$742,ROW()-1,MATCH(F$1,'包络曲线数据'!$B$1:$K$1,0)),""))</x:f>
      </x:c>
      <x:c r="G117" t="str">
        <x:f>IF(G$1="","",IFERROR(INDEX('包络曲线数据'!$B$2:$K$742,ROW()-1,MATCH(G$1,'包络曲线数据'!$B$1:$K$1,0)),""))</x:f>
      </x:c>
    </x:row>
    <x:row r="118">
      <x:c r="A118" t="n">
        <x:v>11.600000000000001</x:v>
      </x:c>
      <x:c r="B118" t="n">
        <x:f>IF(B$1="","",IFERROR(INDEX('包络曲线数据'!$B$2:$K$742,ROW()-1,MATCH(B$1,'包络曲线数据'!$B$1:$K$1,0)),""))</x:f>
        <x:v>54.14882039520814</x:v>
      </x:c>
      <x:c r="C118" t="n">
        <x:f>IF(C$1="","",IFERROR(INDEX('包络曲线数据'!$B$2:$K$742,ROW()-1,MATCH(C$1,'包络曲线数据'!$B$1:$K$1,0)),""))</x:f>
        <x:v>65.24905093875137</x:v>
      </x:c>
      <x:c r="D118" t="str">
        <x:f>IF(D$1="","",IFERROR(INDEX('包络曲线数据'!$B$2:$K$742,ROW()-1,MATCH(D$1,'包络曲线数据'!$B$1:$K$1,0)),""))</x:f>
      </x:c>
      <x:c r="E118" t="str">
        <x:f>IF(E$1="","",IFERROR(INDEX('包络曲线数据'!$B$2:$K$742,ROW()-1,MATCH(E$1,'包络曲线数据'!$B$1:$K$1,0)),""))</x:f>
      </x:c>
      <x:c r="F118" t="str">
        <x:f>IF(F$1="","",IFERROR(INDEX('包络曲线数据'!$B$2:$K$742,ROW()-1,MATCH(F$1,'包络曲线数据'!$B$1:$K$1,0)),""))</x:f>
      </x:c>
      <x:c r="G118" t="str">
        <x:f>IF(G$1="","",IFERROR(INDEX('包络曲线数据'!$B$2:$K$742,ROW()-1,MATCH(G$1,'包络曲线数据'!$B$1:$K$1,0)),""))</x:f>
      </x:c>
    </x:row>
    <x:row r="119">
      <x:c r="A119" t="n">
        <x:v>11.700000000000001</x:v>
      </x:c>
      <x:c r="B119" t="n">
        <x:f>IF(B$1="","",IFERROR(INDEX('包络曲线数据'!$B$2:$K$742,ROW()-1,MATCH(B$1,'包络曲线数据'!$B$1:$K$1,0)),""))</x:f>
        <x:v>54.97088532910561</x:v>
      </x:c>
      <x:c r="C119" t="n">
        <x:f>IF(C$1="","",IFERROR(INDEX('包络曲线数据'!$B$2:$K$742,ROW()-1,MATCH(C$1,'包络曲线数据'!$B$1:$K$1,0)),""))</x:f>
        <x:v>65.25214165423691</x:v>
      </x:c>
      <x:c r="D119" t="str">
        <x:f>IF(D$1="","",IFERROR(INDEX('包络曲线数据'!$B$2:$K$742,ROW()-1,MATCH(D$1,'包络曲线数据'!$B$1:$K$1,0)),""))</x:f>
      </x:c>
      <x:c r="E119" t="str">
        <x:f>IF(E$1="","",IFERROR(INDEX('包络曲线数据'!$B$2:$K$742,ROW()-1,MATCH(E$1,'包络曲线数据'!$B$1:$K$1,0)),""))</x:f>
      </x:c>
      <x:c r="F119" t="str">
        <x:f>IF(F$1="","",IFERROR(INDEX('包络曲线数据'!$B$2:$K$742,ROW()-1,MATCH(F$1,'包络曲线数据'!$B$1:$K$1,0)),""))</x:f>
      </x:c>
      <x:c r="G119" t="str">
        <x:f>IF(G$1="","",IFERROR(INDEX('包络曲线数据'!$B$2:$K$742,ROW()-1,MATCH(G$1,'包络曲线数据'!$B$1:$K$1,0)),""))</x:f>
      </x:c>
    </x:row>
    <x:row r="120">
      <x:c r="A120" t="n">
        <x:v>11.8</x:v>
      </x:c>
      <x:c r="B120" t="n">
        <x:f>IF(B$1="","",IFERROR(INDEX('包络曲线数据'!$B$2:$K$742,ROW()-1,MATCH(B$1,'包络曲线数据'!$B$1:$K$1,0)),""))</x:f>
        <x:v>55.88567405555459</x:v>
      </x:c>
      <x:c r="C120" t="n">
        <x:f>IF(C$1="","",IFERROR(INDEX('包络曲线数据'!$B$2:$K$742,ROW()-1,MATCH(C$1,'包络曲线数据'!$B$1:$K$1,0)),""))</x:f>
        <x:v>64.95923572709592</x:v>
      </x:c>
      <x:c r="D120" t="str">
        <x:f>IF(D$1="","",IFERROR(INDEX('包络曲线数据'!$B$2:$K$742,ROW()-1,MATCH(D$1,'包络曲线数据'!$B$1:$K$1,0)),""))</x:f>
      </x:c>
      <x:c r="E120" t="str">
        <x:f>IF(E$1="","",IFERROR(INDEX('包络曲线数据'!$B$2:$K$742,ROW()-1,MATCH(E$1,'包络曲线数据'!$B$1:$K$1,0)),""))</x:f>
      </x:c>
      <x:c r="F120" t="str">
        <x:f>IF(F$1="","",IFERROR(INDEX('包络曲线数据'!$B$2:$K$742,ROW()-1,MATCH(F$1,'包络曲线数据'!$B$1:$K$1,0)),""))</x:f>
      </x:c>
      <x:c r="G120" t="str">
        <x:f>IF(G$1="","",IFERROR(INDEX('包络曲线数据'!$B$2:$K$742,ROW()-1,MATCH(G$1,'包络曲线数据'!$B$1:$K$1,0)),""))</x:f>
      </x:c>
    </x:row>
    <x:row r="121">
      <x:c r="A121" t="n">
        <x:v>11.9</x:v>
      </x:c>
      <x:c r="B121" t="n">
        <x:f>IF(B$1="","",IFERROR(INDEX('包络曲线数据'!$B$2:$K$742,ROW()-1,MATCH(B$1,'包络曲线数据'!$B$1:$K$1,0)),""))</x:f>
        <x:v>57.17135795220955</x:v>
      </x:c>
      <x:c r="C121" t="n">
        <x:f>IF(C$1="","",IFERROR(INDEX('包络曲线数据'!$B$2:$K$742,ROW()-1,MATCH(C$1,'包络曲线数据'!$B$1:$K$1,0)),""))</x:f>
        <x:v>66.4764525429405</x:v>
      </x:c>
      <x:c r="D121" t="str">
        <x:f>IF(D$1="","",IFERROR(INDEX('包络曲线数据'!$B$2:$K$742,ROW()-1,MATCH(D$1,'包络曲线数据'!$B$1:$K$1,0)),""))</x:f>
      </x:c>
      <x:c r="E121" t="str">
        <x:f>IF(E$1="","",IFERROR(INDEX('包络曲线数据'!$B$2:$K$742,ROW()-1,MATCH(E$1,'包络曲线数据'!$B$1:$K$1,0)),""))</x:f>
      </x:c>
      <x:c r="F121" t="str">
        <x:f>IF(F$1="","",IFERROR(INDEX('包络曲线数据'!$B$2:$K$742,ROW()-1,MATCH(F$1,'包络曲线数据'!$B$1:$K$1,0)),""))</x:f>
      </x:c>
      <x:c r="G121" t="str">
        <x:f>IF(G$1="","",IFERROR(INDEX('包络曲线数据'!$B$2:$K$742,ROW()-1,MATCH(G$1,'包络曲线数据'!$B$1:$K$1,0)),""))</x:f>
      </x:c>
    </x:row>
    <x:row r="122">
      <x:c r="A122" t="n">
        <x:v>12</x:v>
      </x:c>
      <x:c r="B122" t="n">
        <x:f>IF(B$1="","",IFERROR(INDEX('包络曲线数据'!$B$2:$K$742,ROW()-1,MATCH(B$1,'包络曲线数据'!$B$1:$K$1,0)),""))</x:f>
        <x:v>57.42849473154054</x:v>
      </x:c>
      <x:c r="C122" t="n">
        <x:f>IF(C$1="","",IFERROR(INDEX('包络曲线数据'!$B$2:$K$742,ROW()-1,MATCH(C$1,'包络曲线数据'!$B$1:$K$1,0)),""))</x:f>
        <x:v>66.4764525429405</x:v>
      </x:c>
      <x:c r="D122" t="str">
        <x:f>IF(D$1="","",IFERROR(INDEX('包络曲线数据'!$B$2:$K$742,ROW()-1,MATCH(D$1,'包络曲线数据'!$B$1:$K$1,0)),""))</x:f>
      </x:c>
      <x:c r="E122" t="str">
        <x:f>IF(E$1="","",IFERROR(INDEX('包络曲线数据'!$B$2:$K$742,ROW()-1,MATCH(E$1,'包络曲线数据'!$B$1:$K$1,0)),""))</x:f>
      </x:c>
      <x:c r="F122" t="str">
        <x:f>IF(F$1="","",IFERROR(INDEX('包络曲线数据'!$B$2:$K$742,ROW()-1,MATCH(F$1,'包络曲线数据'!$B$1:$K$1,0)),""))</x:f>
      </x:c>
      <x:c r="G122" t="str">
        <x:f>IF(G$1="","",IFERROR(INDEX('包络曲线数据'!$B$2:$K$742,ROW()-1,MATCH(G$1,'包络曲线数据'!$B$1:$K$1,0)),""))</x:f>
      </x:c>
    </x:row>
    <x:row r="123">
      <x:c r="A123" t="n">
        <x:v>12.100000000000001</x:v>
      </x:c>
      <x:c r="B123" t="n">
        <x:f>IF(B$1="","",IFERROR(INDEX('包络曲线数据'!$B$2:$K$742,ROW()-1,MATCH(B$1,'包络曲线数据'!$B$1:$K$1,0)),""))</x:f>
        <x:v>53.799272094185035</x:v>
      </x:c>
      <x:c r="C123" t="n">
        <x:f>IF(C$1="","",IFERROR(INDEX('包络曲线数据'!$B$2:$K$742,ROW()-1,MATCH(C$1,'包络曲线数据'!$B$1:$K$1,0)),""))</x:f>
        <x:v>65.69827231943236</x:v>
      </x:c>
      <x:c r="D123" t="str">
        <x:f>IF(D$1="","",IFERROR(INDEX('包络曲线数据'!$B$2:$K$742,ROW()-1,MATCH(D$1,'包络曲线数据'!$B$1:$K$1,0)),""))</x:f>
      </x:c>
      <x:c r="E123" t="str">
        <x:f>IF(E$1="","",IFERROR(INDEX('包络曲线数据'!$B$2:$K$742,ROW()-1,MATCH(E$1,'包络曲线数据'!$B$1:$K$1,0)),""))</x:f>
      </x:c>
      <x:c r="F123" t="str">
        <x:f>IF(F$1="","",IFERROR(INDEX('包络曲线数据'!$B$2:$K$742,ROW()-1,MATCH(F$1,'包络曲线数据'!$B$1:$K$1,0)),""))</x:f>
      </x:c>
      <x:c r="G123" t="str">
        <x:f>IF(G$1="","",IFERROR(INDEX('包络曲线数据'!$B$2:$K$742,ROW()-1,MATCH(G$1,'包络曲线数据'!$B$1:$K$1,0)),""))</x:f>
      </x:c>
    </x:row>
    <x:row r="124">
      <x:c r="A124" t="n">
        <x:v>12.200000000000001</x:v>
      </x:c>
      <x:c r="B124" t="n">
        <x:f>IF(B$1="","",IFERROR(INDEX('包络曲线数据'!$B$2:$K$742,ROW()-1,MATCH(B$1,'包络曲线数据'!$B$1:$K$1,0)),""))</x:f>
        <x:v>53.79927209418501</x:v>
      </x:c>
      <x:c r="C124" t="n">
        <x:f>IF(C$1="","",IFERROR(INDEX('包络曲线数据'!$B$2:$K$742,ROW()-1,MATCH(C$1,'包络曲线数据'!$B$1:$K$1,0)),""))</x:f>
        <x:v>65.69827231943245</x:v>
      </x:c>
      <x:c r="D124" t="str">
        <x:f>IF(D$1="","",IFERROR(INDEX('包络曲线数据'!$B$2:$K$742,ROW()-1,MATCH(D$1,'包络曲线数据'!$B$1:$K$1,0)),""))</x:f>
      </x:c>
      <x:c r="E124" t="str">
        <x:f>IF(E$1="","",IFERROR(INDEX('包络曲线数据'!$B$2:$K$742,ROW()-1,MATCH(E$1,'包络曲线数据'!$B$1:$K$1,0)),""))</x:f>
      </x:c>
      <x:c r="F124" t="str">
        <x:f>IF(F$1="","",IFERROR(INDEX('包络曲线数据'!$B$2:$K$742,ROW()-1,MATCH(F$1,'包络曲线数据'!$B$1:$K$1,0)),""))</x:f>
      </x:c>
      <x:c r="G124" t="str">
        <x:f>IF(G$1="","",IFERROR(INDEX('包络曲线数据'!$B$2:$K$742,ROW()-1,MATCH(G$1,'包络曲线数据'!$B$1:$K$1,0)),""))</x:f>
      </x:c>
    </x:row>
    <x:row r="125">
      <x:c r="A125" t="n">
        <x:v>12.3</x:v>
      </x:c>
      <x:c r="B125" t="n">
        <x:f>IF(B$1="","",IFERROR(INDEX('包络曲线数据'!$B$2:$K$742,ROW()-1,MATCH(B$1,'包络曲线数据'!$B$1:$K$1,0)),""))</x:f>
        <x:v>52.22937066049306</x:v>
      </x:c>
      <x:c r="C125" t="n">
        <x:f>IF(C$1="","",IFERROR(INDEX('包络曲线数据'!$B$2:$K$742,ROW()-1,MATCH(C$1,'包络曲线数据'!$B$1:$K$1,0)),""))</x:f>
        <x:v>66.7721268806605</x:v>
      </x:c>
      <x:c r="D125" t="str">
        <x:f>IF(D$1="","",IFERROR(INDEX('包络曲线数据'!$B$2:$K$742,ROW()-1,MATCH(D$1,'包络曲线数据'!$B$1:$K$1,0)),""))</x:f>
      </x:c>
      <x:c r="E125" t="str">
        <x:f>IF(E$1="","",IFERROR(INDEX('包络曲线数据'!$B$2:$K$742,ROW()-1,MATCH(E$1,'包络曲线数据'!$B$1:$K$1,0)),""))</x:f>
      </x:c>
      <x:c r="F125" t="str">
        <x:f>IF(F$1="","",IFERROR(INDEX('包络曲线数据'!$B$2:$K$742,ROW()-1,MATCH(F$1,'包络曲线数据'!$B$1:$K$1,0)),""))</x:f>
      </x:c>
      <x:c r="G125" t="str">
        <x:f>IF(G$1="","",IFERROR(INDEX('包络曲线数据'!$B$2:$K$742,ROW()-1,MATCH(G$1,'包络曲线数据'!$B$1:$K$1,0)),""))</x:f>
      </x:c>
    </x:row>
    <x:row r="126">
      <x:c r="A126" t="n">
        <x:v>12.4</x:v>
      </x:c>
      <x:c r="B126" t="n">
        <x:f>IF(B$1="","",IFERROR(INDEX('包络曲线数据'!$B$2:$K$742,ROW()-1,MATCH(B$1,'包络曲线数据'!$B$1:$K$1,0)),""))</x:f>
        <x:v>56.00873084525152</x:v>
      </x:c>
      <x:c r="C126" t="n">
        <x:f>IF(C$1="","",IFERROR(INDEX('包络曲线数据'!$B$2:$K$742,ROW()-1,MATCH(C$1,'包络曲线数据'!$B$1:$K$1,0)),""))</x:f>
        <x:v>66.7721268806605</x:v>
      </x:c>
      <x:c r="D126" t="str">
        <x:f>IF(D$1="","",IFERROR(INDEX('包络曲线数据'!$B$2:$K$742,ROW()-1,MATCH(D$1,'包络曲线数据'!$B$1:$K$1,0)),""))</x:f>
      </x:c>
      <x:c r="E126" t="str">
        <x:f>IF(E$1="","",IFERROR(INDEX('包络曲线数据'!$B$2:$K$742,ROW()-1,MATCH(E$1,'包络曲线数据'!$B$1:$K$1,0)),""))</x:f>
      </x:c>
      <x:c r="F126" t="str">
        <x:f>IF(F$1="","",IFERROR(INDEX('包络曲线数据'!$B$2:$K$742,ROW()-1,MATCH(F$1,'包络曲线数据'!$B$1:$K$1,0)),""))</x:f>
      </x:c>
      <x:c r="G126" t="str">
        <x:f>IF(G$1="","",IFERROR(INDEX('包络曲线数据'!$B$2:$K$742,ROW()-1,MATCH(G$1,'包络曲线数据'!$B$1:$K$1,0)),""))</x:f>
      </x:c>
    </x:row>
    <x:row r="127">
      <x:c r="A127" t="n">
        <x:v>12.5</x:v>
      </x:c>
      <x:c r="B127" t="n">
        <x:f>IF(B$1="","",IFERROR(INDEX('包络曲线数据'!$B$2:$K$742,ROW()-1,MATCH(B$1,'包络曲线数据'!$B$1:$K$1,0)),""))</x:f>
        <x:v>56.01150133997375</x:v>
      </x:c>
      <x:c r="C127" t="n">
        <x:f>IF(C$1="","",IFERROR(INDEX('包络曲线数据'!$B$2:$K$742,ROW()-1,MATCH(C$1,'包络曲线数据'!$B$1:$K$1,0)),""))</x:f>
        <x:v>67.99885294640791</x:v>
      </x:c>
      <x:c r="D127" t="str">
        <x:f>IF(D$1="","",IFERROR(INDEX('包络曲线数据'!$B$2:$K$742,ROW()-1,MATCH(D$1,'包络曲线数据'!$B$1:$K$1,0)),""))</x:f>
      </x:c>
      <x:c r="E127" t="str">
        <x:f>IF(E$1="","",IFERROR(INDEX('包络曲线数据'!$B$2:$K$742,ROW()-1,MATCH(E$1,'包络曲线数据'!$B$1:$K$1,0)),""))</x:f>
      </x:c>
      <x:c r="F127" t="str">
        <x:f>IF(F$1="","",IFERROR(INDEX('包络曲线数据'!$B$2:$K$742,ROW()-1,MATCH(F$1,'包络曲线数据'!$B$1:$K$1,0)),""))</x:f>
      </x:c>
      <x:c r="G127" t="str">
        <x:f>IF(G$1="","",IFERROR(INDEX('包络曲线数据'!$B$2:$K$742,ROW()-1,MATCH(G$1,'包络曲线数据'!$B$1:$K$1,0)),""))</x:f>
      </x:c>
    </x:row>
    <x:row r="128">
      <x:c r="A128" t="n">
        <x:v>12.600000000000001</x:v>
      </x:c>
      <x:c r="B128" t="n">
        <x:f>IF(B$1="","",IFERROR(INDEX('包络曲线数据'!$B$2:$K$742,ROW()-1,MATCH(B$1,'包络曲线数据'!$B$1:$K$1,0)),""))</x:f>
        <x:v>56.017042329418196</x:v>
      </x:c>
      <x:c r="C128" t="n">
        <x:f>IF(C$1="","",IFERROR(INDEX('包络曲线数据'!$B$2:$K$742,ROW()-1,MATCH(C$1,'包络曲线数据'!$B$1:$K$1,0)),""))</x:f>
        <x:v>67.99885294640791</x:v>
      </x:c>
      <x:c r="D128" t="str">
        <x:f>IF(D$1="","",IFERROR(INDEX('包络曲线数据'!$B$2:$K$742,ROW()-1,MATCH(D$1,'包络曲线数据'!$B$1:$K$1,0)),""))</x:f>
      </x:c>
      <x:c r="E128" t="str">
        <x:f>IF(E$1="","",IFERROR(INDEX('包络曲线数据'!$B$2:$K$742,ROW()-1,MATCH(E$1,'包络曲线数据'!$B$1:$K$1,0)),""))</x:f>
      </x:c>
      <x:c r="F128" t="str">
        <x:f>IF(F$1="","",IFERROR(INDEX('包络曲线数据'!$B$2:$K$742,ROW()-1,MATCH(F$1,'包络曲线数据'!$B$1:$K$1,0)),""))</x:f>
      </x:c>
      <x:c r="G128" t="str">
        <x:f>IF(G$1="","",IFERROR(INDEX('包络曲线数据'!$B$2:$K$742,ROW()-1,MATCH(G$1,'包络曲线数据'!$B$1:$K$1,0)),""))</x:f>
      </x:c>
    </x:row>
    <x:row r="129">
      <x:c r="A129" t="n">
        <x:v>12.700000000000001</x:v>
      </x:c>
      <x:c r="B129" t="n">
        <x:f>IF(B$1="","",IFERROR(INDEX('包络曲线数据'!$B$2:$K$742,ROW()-1,MATCH(B$1,'包络曲线数据'!$B$1:$K$1,0)),""))</x:f>
        <x:v>57.38275074994902</x:v>
      </x:c>
      <x:c r="C129" t="n">
        <x:f>IF(C$1="","",IFERROR(INDEX('包络曲线数据'!$B$2:$K$742,ROW()-1,MATCH(C$1,'包络曲线数据'!$B$1:$K$1,0)),""))</x:f>
        <x:v>66.67140563718941</x:v>
      </x:c>
      <x:c r="D129" t="str">
        <x:f>IF(D$1="","",IFERROR(INDEX('包络曲线数据'!$B$2:$K$742,ROW()-1,MATCH(D$1,'包络曲线数据'!$B$1:$K$1,0)),""))</x:f>
      </x:c>
      <x:c r="E129" t="str">
        <x:f>IF(E$1="","",IFERROR(INDEX('包络曲线数据'!$B$2:$K$742,ROW()-1,MATCH(E$1,'包络曲线数据'!$B$1:$K$1,0)),""))</x:f>
      </x:c>
      <x:c r="F129" t="str">
        <x:f>IF(F$1="","",IFERROR(INDEX('包络曲线数据'!$B$2:$K$742,ROW()-1,MATCH(F$1,'包络曲线数据'!$B$1:$K$1,0)),""))</x:f>
      </x:c>
      <x:c r="G129" t="str">
        <x:f>IF(G$1="","",IFERROR(INDEX('包络曲线数据'!$B$2:$K$742,ROW()-1,MATCH(G$1,'包络曲线数据'!$B$1:$K$1,0)),""))</x:f>
      </x:c>
    </x:row>
    <x:row r="130">
      <x:c r="A130" t="n">
        <x:v>12.8</x:v>
      </x:c>
      <x:c r="B130" t="n">
        <x:f>IF(B$1="","",IFERROR(INDEX('包络曲线数据'!$B$2:$K$742,ROW()-1,MATCH(B$1,'包络曲线数据'!$B$1:$K$1,0)),""))</x:f>
        <x:v>57.59190116666022</x:v>
      </x:c>
      <x:c r="C130" t="n">
        <x:f>IF(C$1="","",IFERROR(INDEX('包络曲线数据'!$B$2:$K$742,ROW()-1,MATCH(C$1,'包络曲线数据'!$B$1:$K$1,0)),""))</x:f>
        <x:v>60.826090936990994</x:v>
      </x:c>
      <x:c r="D130" t="str">
        <x:f>IF(D$1="","",IFERROR(INDEX('包络曲线数据'!$B$2:$K$742,ROW()-1,MATCH(D$1,'包络曲线数据'!$B$1:$K$1,0)),""))</x:f>
      </x:c>
      <x:c r="E130" t="str">
        <x:f>IF(E$1="","",IFERROR(INDEX('包络曲线数据'!$B$2:$K$742,ROW()-1,MATCH(E$1,'包络曲线数据'!$B$1:$K$1,0)),""))</x:f>
      </x:c>
      <x:c r="F130" t="str">
        <x:f>IF(F$1="","",IFERROR(INDEX('包络曲线数据'!$B$2:$K$742,ROW()-1,MATCH(F$1,'包络曲线数据'!$B$1:$K$1,0)),""))</x:f>
      </x:c>
      <x:c r="G130" t="str">
        <x:f>IF(G$1="","",IFERROR(INDEX('包络曲线数据'!$B$2:$K$742,ROW()-1,MATCH(G$1,'包络曲线数据'!$B$1:$K$1,0)),""))</x:f>
      </x:c>
    </x:row>
    <x:row r="131">
      <x:c r="A131" t="n">
        <x:v>12.9</x:v>
      </x:c>
      <x:c r="B131" t="n">
        <x:f>IF(B$1="","",IFERROR(INDEX('包络曲线数据'!$B$2:$K$742,ROW()-1,MATCH(B$1,'包络曲线数据'!$B$1:$K$1,0)),""))</x:f>
        <x:v>54.64134279690526</x:v>
      </x:c>
      <x:c r="C131" t="n">
        <x:f>IF(C$1="","",IFERROR(INDEX('包络曲线数据'!$B$2:$K$742,ROW()-1,MATCH(C$1,'包络曲线数据'!$B$1:$K$1,0)),""))</x:f>
        <x:v>80.52899499126625</x:v>
      </x:c>
      <x:c r="D131" t="str">
        <x:f>IF(D$1="","",IFERROR(INDEX('包络曲线数据'!$B$2:$K$742,ROW()-1,MATCH(D$1,'包络曲线数据'!$B$1:$K$1,0)),""))</x:f>
      </x:c>
      <x:c r="E131" t="str">
        <x:f>IF(E$1="","",IFERROR(INDEX('包络曲线数据'!$B$2:$K$742,ROW()-1,MATCH(E$1,'包络曲线数据'!$B$1:$K$1,0)),""))</x:f>
      </x:c>
      <x:c r="F131" t="str">
        <x:f>IF(F$1="","",IFERROR(INDEX('包络曲线数据'!$B$2:$K$742,ROW()-1,MATCH(F$1,'包络曲线数据'!$B$1:$K$1,0)),""))</x:f>
      </x:c>
      <x:c r="G131" t="str">
        <x:f>IF(G$1="","",IFERROR(INDEX('包络曲线数据'!$B$2:$K$742,ROW()-1,MATCH(G$1,'包络曲线数据'!$B$1:$K$1,0)),""))</x:f>
      </x:c>
    </x:row>
    <x:row r="132">
      <x:c r="A132" t="n">
        <x:v>13</x:v>
      </x:c>
      <x:c r="B132" t="n">
        <x:f>IF(B$1="","",IFERROR(INDEX('包络曲线数据'!$B$2:$K$742,ROW()-1,MATCH(B$1,'包络曲线数据'!$B$1:$K$1,0)),""))</x:f>
        <x:v>51.74235753740692</x:v>
      </x:c>
      <x:c r="C132" t="n">
        <x:f>IF(C$1="","",IFERROR(INDEX('包络曲线数据'!$B$2:$K$742,ROW()-1,MATCH(C$1,'包络曲线数据'!$B$1:$K$1,0)),""))</x:f>
        <x:v>81.09136797798035</x:v>
      </x:c>
      <x:c r="D132" t="str">
        <x:f>IF(D$1="","",IFERROR(INDEX('包络曲线数据'!$B$2:$K$742,ROW()-1,MATCH(D$1,'包络曲线数据'!$B$1:$K$1,0)),""))</x:f>
      </x:c>
      <x:c r="E132" t="str">
        <x:f>IF(E$1="","",IFERROR(INDEX('包络曲线数据'!$B$2:$K$742,ROW()-1,MATCH(E$1,'包络曲线数据'!$B$1:$K$1,0)),""))</x:f>
      </x:c>
      <x:c r="F132" t="str">
        <x:f>IF(F$1="","",IFERROR(INDEX('包络曲线数据'!$B$2:$K$742,ROW()-1,MATCH(F$1,'包络曲线数据'!$B$1:$K$1,0)),""))</x:f>
      </x:c>
      <x:c r="G132" t="str">
        <x:f>IF(G$1="","",IFERROR(INDEX('包络曲线数据'!$B$2:$K$742,ROW()-1,MATCH(G$1,'包络曲线数据'!$B$1:$K$1,0)),""))</x:f>
      </x:c>
    </x:row>
    <x:row r="133">
      <x:c r="A133" t="n">
        <x:v>13.100000000000001</x:v>
      </x:c>
      <x:c r="B133" t="n">
        <x:f>IF(B$1="","",IFERROR(INDEX('包络曲线数据'!$B$2:$K$742,ROW()-1,MATCH(B$1,'包络曲线数据'!$B$1:$K$1,0)),""))</x:f>
        <x:v>52.71658532463289</x:v>
      </x:c>
      <x:c r="C133" t="n">
        <x:f>IF(C$1="","",IFERROR(INDEX('包络曲线数据'!$B$2:$K$742,ROW()-1,MATCH(C$1,'包络曲线数据'!$B$1:$K$1,0)),""))</x:f>
        <x:v>78.7431306379681</x:v>
      </x:c>
      <x:c r="D133" t="str">
        <x:f>IF(D$1="","",IFERROR(INDEX('包络曲线数据'!$B$2:$K$742,ROW()-1,MATCH(D$1,'包络曲线数据'!$B$1:$K$1,0)),""))</x:f>
      </x:c>
      <x:c r="E133" t="str">
        <x:f>IF(E$1="","",IFERROR(INDEX('包络曲线数据'!$B$2:$K$742,ROW()-1,MATCH(E$1,'包络曲线数据'!$B$1:$K$1,0)),""))</x:f>
      </x:c>
      <x:c r="F133" t="str">
        <x:f>IF(F$1="","",IFERROR(INDEX('包络曲线数据'!$B$2:$K$742,ROW()-1,MATCH(F$1,'包络曲线数据'!$B$1:$K$1,0)),""))</x:f>
      </x:c>
      <x:c r="G133" t="str">
        <x:f>IF(G$1="","",IFERROR(INDEX('包络曲线数据'!$B$2:$K$742,ROW()-1,MATCH(G$1,'包络曲线数据'!$B$1:$K$1,0)),""))</x:f>
      </x:c>
    </x:row>
    <x:row r="134">
      <x:c r="A134" t="n">
        <x:v>13.200000000000001</x:v>
      </x:c>
      <x:c r="B134" t="n">
        <x:f>IF(B$1="","",IFERROR(INDEX('包络曲线数据'!$B$2:$K$742,ROW()-1,MATCH(B$1,'包络曲线数据'!$B$1:$K$1,0)),""))</x:f>
        <x:v>52.71658532463289</x:v>
      </x:c>
      <x:c r="C134" t="n">
        <x:f>IF(C$1="","",IFERROR(INDEX('包络曲线数据'!$B$2:$K$742,ROW()-1,MATCH(C$1,'包络曲线数据'!$B$1:$K$1,0)),""))</x:f>
        <x:v>69.80097479759296</x:v>
      </x:c>
      <x:c r="D134" t="str">
        <x:f>IF(D$1="","",IFERROR(INDEX('包络曲线数据'!$B$2:$K$742,ROW()-1,MATCH(D$1,'包络曲线数据'!$B$1:$K$1,0)),""))</x:f>
      </x:c>
      <x:c r="E134" t="str">
        <x:f>IF(E$1="","",IFERROR(INDEX('包络曲线数据'!$B$2:$K$742,ROW()-1,MATCH(E$1,'包络曲线数据'!$B$1:$K$1,0)),""))</x:f>
      </x:c>
      <x:c r="F134" t="str">
        <x:f>IF(F$1="","",IFERROR(INDEX('包络曲线数据'!$B$2:$K$742,ROW()-1,MATCH(F$1,'包络曲线数据'!$B$1:$K$1,0)),""))</x:f>
      </x:c>
      <x:c r="G134" t="str">
        <x:f>IF(G$1="","",IFERROR(INDEX('包络曲线数据'!$B$2:$K$742,ROW()-1,MATCH(G$1,'包络曲线数据'!$B$1:$K$1,0)),""))</x:f>
      </x:c>
    </x:row>
    <x:row r="135">
      <x:c r="A135" t="n">
        <x:v>13.3</x:v>
      </x:c>
      <x:c r="B135" t="n">
        <x:f>IF(B$1="","",IFERROR(INDEX('包络曲线数据'!$B$2:$K$742,ROW()-1,MATCH(B$1,'包络曲线数据'!$B$1:$K$1,0)),""))</x:f>
        <x:v>52.67796528358681</x:v>
      </x:c>
      <x:c r="C135" t="n">
        <x:f>IF(C$1="","",IFERROR(INDEX('包络曲线数据'!$B$2:$K$742,ROW()-1,MATCH(C$1,'包络曲线数据'!$B$1:$K$1,0)),""))</x:f>
        <x:v>59.08277542484187</x:v>
      </x:c>
      <x:c r="D135" t="str">
        <x:f>IF(D$1="","",IFERROR(INDEX('包络曲线数据'!$B$2:$K$742,ROW()-1,MATCH(D$1,'包络曲线数据'!$B$1:$K$1,0)),""))</x:f>
      </x:c>
      <x:c r="E135" t="str">
        <x:f>IF(E$1="","",IFERROR(INDEX('包络曲线数据'!$B$2:$K$742,ROW()-1,MATCH(E$1,'包络曲线数据'!$B$1:$K$1,0)),""))</x:f>
      </x:c>
      <x:c r="F135" t="str">
        <x:f>IF(F$1="","",IFERROR(INDEX('包络曲线数据'!$B$2:$K$742,ROW()-1,MATCH(F$1,'包络曲线数据'!$B$1:$K$1,0)),""))</x:f>
      </x:c>
      <x:c r="G135" t="str">
        <x:f>IF(G$1="","",IFERROR(INDEX('包络曲线数据'!$B$2:$K$742,ROW()-1,MATCH(G$1,'包络曲线数据'!$B$1:$K$1,0)),""))</x:f>
      </x:c>
    </x:row>
    <x:row r="136">
      <x:c r="A136" t="n">
        <x:v>13.4</x:v>
      </x:c>
      <x:c r="B136" t="n">
        <x:f>IF(B$1="","",IFERROR(INDEX('包络曲线数据'!$B$2:$K$742,ROW()-1,MATCH(B$1,'包络曲线数据'!$B$1:$K$1,0)),""))</x:f>
        <x:v>52.72621618560811</x:v>
      </x:c>
      <x:c r="C136" t="n">
        <x:f>IF(C$1="","",IFERROR(INDEX('包络曲线数据'!$B$2:$K$742,ROW()-1,MATCH(C$1,'包络曲线数据'!$B$1:$K$1,0)),""))</x:f>
        <x:v>50</x:v>
      </x:c>
      <x:c r="D136" t="str">
        <x:f>IF(D$1="","",IFERROR(INDEX('包络曲线数据'!$B$2:$K$742,ROW()-1,MATCH(D$1,'包络曲线数据'!$B$1:$K$1,0)),""))</x:f>
      </x:c>
      <x:c r="E136" t="str">
        <x:f>IF(E$1="","",IFERROR(INDEX('包络曲线数据'!$B$2:$K$742,ROW()-1,MATCH(E$1,'包络曲线数据'!$B$1:$K$1,0)),""))</x:f>
      </x:c>
      <x:c r="F136" t="str">
        <x:f>IF(F$1="","",IFERROR(INDEX('包络曲线数据'!$B$2:$K$742,ROW()-1,MATCH(F$1,'包络曲线数据'!$B$1:$K$1,0)),""))</x:f>
      </x:c>
      <x:c r="G136" t="str">
        <x:f>IF(G$1="","",IFERROR(INDEX('包络曲线数据'!$B$2:$K$742,ROW()-1,MATCH(G$1,'包络曲线数据'!$B$1:$K$1,0)),""))</x:f>
      </x:c>
    </x:row>
    <x:row r="137">
      <x:c r="A137" t="n">
        <x:v>13.5</x:v>
      </x:c>
      <x:c r="B137" t="n">
        <x:f>IF(B$1="","",IFERROR(INDEX('包络曲线数据'!$B$2:$K$742,ROW()-1,MATCH(B$1,'包络曲线数据'!$B$1:$K$1,0)),""))</x:f>
        <x:v>59.652253568992926</x:v>
      </x:c>
      <x:c r="C137" t="n">
        <x:f>IF(C$1="","",IFERROR(INDEX('包络曲线数据'!$B$2:$K$742,ROW()-1,MATCH(C$1,'包络曲线数据'!$B$1:$K$1,0)),""))</x:f>
        <x:v>50</x:v>
      </x:c>
      <x:c r="D137" t="str">
        <x:f>IF(D$1="","",IFERROR(INDEX('包络曲线数据'!$B$2:$K$742,ROW()-1,MATCH(D$1,'包络曲线数据'!$B$1:$K$1,0)),""))</x:f>
      </x:c>
      <x:c r="E137" t="str">
        <x:f>IF(E$1="","",IFERROR(INDEX('包络曲线数据'!$B$2:$K$742,ROW()-1,MATCH(E$1,'包络曲线数据'!$B$1:$K$1,0)),""))</x:f>
      </x:c>
      <x:c r="F137" t="str">
        <x:f>IF(F$1="","",IFERROR(INDEX('包络曲线数据'!$B$2:$K$742,ROW()-1,MATCH(F$1,'包络曲线数据'!$B$1:$K$1,0)),""))</x:f>
      </x:c>
      <x:c r="G137" t="str">
        <x:f>IF(G$1="","",IFERROR(INDEX('包络曲线数据'!$B$2:$K$742,ROW()-1,MATCH(G$1,'包络曲线数据'!$B$1:$K$1,0)),""))</x:f>
      </x:c>
    </x:row>
    <x:row r="138">
      <x:c r="A138" t="n">
        <x:v>13.600000000000001</x:v>
      </x:c>
      <x:c r="B138" t="n">
        <x:f>IF(B$1="","",IFERROR(INDEX('包络曲线数据'!$B$2:$K$742,ROW()-1,MATCH(B$1,'包络曲线数据'!$B$1:$K$1,0)),""))</x:f>
        <x:v>67.97599140510552</x:v>
      </x:c>
      <x:c r="C138" t="n">
        <x:f>IF(C$1="","",IFERROR(INDEX('包络曲线数据'!$B$2:$K$742,ROW()-1,MATCH(C$1,'包络曲线数据'!$B$1:$K$1,0)),""))</x:f>
        <x:v>50</x:v>
      </x:c>
      <x:c r="D138" t="str">
        <x:f>IF(D$1="","",IFERROR(INDEX('包络曲线数据'!$B$2:$K$742,ROW()-1,MATCH(D$1,'包络曲线数据'!$B$1:$K$1,0)),""))</x:f>
      </x:c>
      <x:c r="E138" t="str">
        <x:f>IF(E$1="","",IFERROR(INDEX('包络曲线数据'!$B$2:$K$742,ROW()-1,MATCH(E$1,'包络曲线数据'!$B$1:$K$1,0)),""))</x:f>
      </x:c>
      <x:c r="F138" t="str">
        <x:f>IF(F$1="","",IFERROR(INDEX('包络曲线数据'!$B$2:$K$742,ROW()-1,MATCH(F$1,'包络曲线数据'!$B$1:$K$1,0)),""))</x:f>
      </x:c>
      <x:c r="G138" t="str">
        <x:f>IF(G$1="","",IFERROR(INDEX('包络曲线数据'!$B$2:$K$742,ROW()-1,MATCH(G$1,'包络曲线数据'!$B$1:$K$1,0)),""))</x:f>
      </x:c>
    </x:row>
    <x:row r="139">
      <x:c r="A139" t="n">
        <x:v>13.700000000000001</x:v>
      </x:c>
      <x:c r="B139" t="n">
        <x:f>IF(B$1="","",IFERROR(INDEX('包络曲线数据'!$B$2:$K$742,ROW()-1,MATCH(B$1,'包络曲线数据'!$B$1:$K$1,0)),""))</x:f>
        <x:v>73.20459199112048</x:v>
      </x:c>
      <x:c r="C139" t="n">
        <x:f>IF(C$1="","",IFERROR(INDEX('包络曲线数据'!$B$2:$K$742,ROW()-1,MATCH(C$1,'包络曲线数据'!$B$1:$K$1,0)),""))</x:f>
        <x:v>56.74704161689942</x:v>
      </x:c>
      <x:c r="D139" t="str">
        <x:f>IF(D$1="","",IFERROR(INDEX('包络曲线数据'!$B$2:$K$742,ROW()-1,MATCH(D$1,'包络曲线数据'!$B$1:$K$1,0)),""))</x:f>
      </x:c>
      <x:c r="E139" t="str">
        <x:f>IF(E$1="","",IFERROR(INDEX('包络曲线数据'!$B$2:$K$742,ROW()-1,MATCH(E$1,'包络曲线数据'!$B$1:$K$1,0)),""))</x:f>
      </x:c>
      <x:c r="F139" t="str">
        <x:f>IF(F$1="","",IFERROR(INDEX('包络曲线数据'!$B$2:$K$742,ROW()-1,MATCH(F$1,'包络曲线数据'!$B$1:$K$1,0)),""))</x:f>
      </x:c>
      <x:c r="G139" t="str">
        <x:f>IF(G$1="","",IFERROR(INDEX('包络曲线数据'!$B$2:$K$742,ROW()-1,MATCH(G$1,'包络曲线数据'!$B$1:$K$1,0)),""))</x:f>
      </x:c>
    </x:row>
    <x:row r="140">
      <x:c r="A140" t="n">
        <x:v>13.8</x:v>
      </x:c>
      <x:c r="B140" t="n">
        <x:f>IF(B$1="","",IFERROR(INDEX('包络曲线数据'!$B$2:$K$742,ROW()-1,MATCH(B$1,'包络曲线数据'!$B$1:$K$1,0)),""))</x:f>
        <x:v>73.20459199112048</x:v>
      </x:c>
      <x:c r="C140" t="n">
        <x:f>IF(C$1="","",IFERROR(INDEX('包络曲线数据'!$B$2:$K$742,ROW()-1,MATCH(C$1,'包络曲线数据'!$B$1:$K$1,0)),""))</x:f>
        <x:v>63.49408323379865</x:v>
      </x:c>
      <x:c r="D140" t="str">
        <x:f>IF(D$1="","",IFERROR(INDEX('包络曲线数据'!$B$2:$K$742,ROW()-1,MATCH(D$1,'包络曲线数据'!$B$1:$K$1,0)),""))</x:f>
      </x:c>
      <x:c r="E140" t="str">
        <x:f>IF(E$1="","",IFERROR(INDEX('包络曲线数据'!$B$2:$K$742,ROW()-1,MATCH(E$1,'包络曲线数据'!$B$1:$K$1,0)),""))</x:f>
      </x:c>
      <x:c r="F140" t="str">
        <x:f>IF(F$1="","",IFERROR(INDEX('包络曲线数据'!$B$2:$K$742,ROW()-1,MATCH(F$1,'包络曲线数据'!$B$1:$K$1,0)),""))</x:f>
      </x:c>
      <x:c r="G140" t="str">
        <x:f>IF(G$1="","",IFERROR(INDEX('包络曲线数据'!$B$2:$K$742,ROW()-1,MATCH(G$1,'包络曲线数据'!$B$1:$K$1,0)),""))</x:f>
      </x:c>
    </x:row>
    <x:row r="141">
      <x:c r="A141" t="n">
        <x:v>13.9</x:v>
      </x:c>
      <x:c r="B141" t="n">
        <x:f>IF(B$1="","",IFERROR(INDEX('包络曲线数据'!$B$2:$K$742,ROW()-1,MATCH(B$1,'包络曲线数据'!$B$1:$K$1,0)),""))</x:f>
        <x:v>68.42731082970387</x:v>
      </x:c>
      <x:c r="C141" t="n">
        <x:f>IF(C$1="","",IFERROR(INDEX('包络曲线数据'!$B$2:$K$742,ROW()-1,MATCH(C$1,'包络曲线数据'!$B$1:$K$1,0)),""))</x:f>
        <x:v>63.49408323379865</x:v>
      </x:c>
      <x:c r="D141" t="str">
        <x:f>IF(D$1="","",IFERROR(INDEX('包络曲线数据'!$B$2:$K$742,ROW()-1,MATCH(D$1,'包络曲线数据'!$B$1:$K$1,0)),""))</x:f>
      </x:c>
      <x:c r="E141" t="str">
        <x:f>IF(E$1="","",IFERROR(INDEX('包络曲线数据'!$B$2:$K$742,ROW()-1,MATCH(E$1,'包络曲线数据'!$B$1:$K$1,0)),""))</x:f>
      </x:c>
      <x:c r="F141" t="str">
        <x:f>IF(F$1="","",IFERROR(INDEX('包络曲线数据'!$B$2:$K$742,ROW()-1,MATCH(F$1,'包络曲线数据'!$B$1:$K$1,0)),""))</x:f>
      </x:c>
      <x:c r="G141" t="str">
        <x:f>IF(G$1="","",IFERROR(INDEX('包络曲线数据'!$B$2:$K$742,ROW()-1,MATCH(G$1,'包络曲线数据'!$B$1:$K$1,0)),""))</x:f>
      </x:c>
    </x:row>
    <x:row r="142">
      <x:c r="A142" t="n">
        <x:v>14</x:v>
      </x:c>
      <x:c r="B142" t="n">
        <x:f>IF(B$1="","",IFERROR(INDEX('包络曲线数据'!$B$2:$K$742,ROW()-1,MATCH(B$1,'包络曲线数据'!$B$1:$K$1,0)),""))</x:f>
        <x:v>61.09579660221812</x:v>
      </x:c>
      <x:c r="C142" t="n">
        <x:f>IF(C$1="","",IFERROR(INDEX('包络曲线数据'!$B$2:$K$742,ROW()-1,MATCH(C$1,'包络曲线数据'!$B$1:$K$1,0)),""))</x:f>
        <x:v>72.21196597015333</x:v>
      </x:c>
      <x:c r="D142" t="str">
        <x:f>IF(D$1="","",IFERROR(INDEX('包络曲线数据'!$B$2:$K$742,ROW()-1,MATCH(D$1,'包络曲线数据'!$B$1:$K$1,0)),""))</x:f>
      </x:c>
      <x:c r="E142" t="str">
        <x:f>IF(E$1="","",IFERROR(INDEX('包络曲线数据'!$B$2:$K$742,ROW()-1,MATCH(E$1,'包络曲线数据'!$B$1:$K$1,0)),""))</x:f>
      </x:c>
      <x:c r="F142" t="str">
        <x:f>IF(F$1="","",IFERROR(INDEX('包络曲线数据'!$B$2:$K$742,ROW()-1,MATCH(F$1,'包络曲线数据'!$B$1:$K$1,0)),""))</x:f>
      </x:c>
      <x:c r="G142" t="str">
        <x:f>IF(G$1="","",IFERROR(INDEX('包络曲线数据'!$B$2:$K$742,ROW()-1,MATCH(G$1,'包络曲线数据'!$B$1:$K$1,0)),""))</x:f>
      </x:c>
    </x:row>
    <x:row r="143">
      <x:c r="A143" t="n">
        <x:v>14.100000000000001</x:v>
      </x:c>
      <x:c r="B143" t="n">
        <x:f>IF(B$1="","",IFERROR(INDEX('包络曲线数据'!$B$2:$K$742,ROW()-1,MATCH(B$1,'包络曲线数据'!$B$1:$K$1,0)),""))</x:f>
        <x:v>54.10393615236056</x:v>
      </x:c>
      <x:c r="C143" t="n">
        <x:f>IF(C$1="","",IFERROR(INDEX('包络曲线数据'!$B$2:$K$742,ROW()-1,MATCH(C$1,'包络曲线数据'!$B$1:$K$1,0)),""))</x:f>
        <x:v>73.95554251742423</x:v>
      </x:c>
      <x:c r="D143" t="str">
        <x:f>IF(D$1="","",IFERROR(INDEX('包络曲线数据'!$B$2:$K$742,ROW()-1,MATCH(D$1,'包络曲线数据'!$B$1:$K$1,0)),""))</x:f>
      </x:c>
      <x:c r="E143" t="str">
        <x:f>IF(E$1="","",IFERROR(INDEX('包络曲线数据'!$B$2:$K$742,ROW()-1,MATCH(E$1,'包络曲线数据'!$B$1:$K$1,0)),""))</x:f>
      </x:c>
      <x:c r="F143" t="str">
        <x:f>IF(F$1="","",IFERROR(INDEX('包络曲线数据'!$B$2:$K$742,ROW()-1,MATCH(F$1,'包络曲线数据'!$B$1:$K$1,0)),""))</x:f>
      </x:c>
      <x:c r="G143" t="str">
        <x:f>IF(G$1="","",IFERROR(INDEX('包络曲线数据'!$B$2:$K$742,ROW()-1,MATCH(G$1,'包络曲线数据'!$B$1:$K$1,0)),""))</x:f>
      </x:c>
    </x:row>
    <x:row r="144">
      <x:c r="A144" t="n">
        <x:v>14.200000000000001</x:v>
      </x:c>
      <x:c r="B144" t="n">
        <x:f>IF(B$1="","",IFERROR(INDEX('包络曲线数据'!$B$2:$K$742,ROW()-1,MATCH(B$1,'包络曲线数据'!$B$1:$K$1,0)),""))</x:f>
        <x:v>55.44003952038317</x:v>
      </x:c>
      <x:c r="C144" t="n">
        <x:f>IF(C$1="","",IFERROR(INDEX('包络曲线数据'!$B$2:$K$742,ROW()-1,MATCH(C$1,'包络曲线数据'!$B$1:$K$1,0)),""))</x:f>
        <x:v>71.46775174858395</x:v>
      </x:c>
      <x:c r="D144" t="str">
        <x:f>IF(D$1="","",IFERROR(INDEX('包络曲线数据'!$B$2:$K$742,ROW()-1,MATCH(D$1,'包络曲线数据'!$B$1:$K$1,0)),""))</x:f>
      </x:c>
      <x:c r="E144" t="str">
        <x:f>IF(E$1="","",IFERROR(INDEX('包络曲线数据'!$B$2:$K$742,ROW()-1,MATCH(E$1,'包络曲线数据'!$B$1:$K$1,0)),""))</x:f>
      </x:c>
      <x:c r="F144" t="str">
        <x:f>IF(F$1="","",IFERROR(INDEX('包络曲线数据'!$B$2:$K$742,ROW()-1,MATCH(F$1,'包络曲线数据'!$B$1:$K$1,0)),""))</x:f>
      </x:c>
      <x:c r="G144" t="str">
        <x:f>IF(G$1="","",IFERROR(INDEX('包络曲线数据'!$B$2:$K$742,ROW()-1,MATCH(G$1,'包络曲线数据'!$B$1:$K$1,0)),""))</x:f>
      </x:c>
    </x:row>
    <x:row r="145">
      <x:c r="A145" t="n">
        <x:v>14.3</x:v>
      </x:c>
      <x:c r="B145" t="n">
        <x:f>IF(B$1="","",IFERROR(INDEX('包络曲线数据'!$B$2:$K$742,ROW()-1,MATCH(B$1,'包络曲线数据'!$B$1:$K$1,0)),""))</x:f>
        <x:v>54.53336626698592</x:v>
      </x:c>
      <x:c r="C145" t="n">
        <x:f>IF(C$1="","",IFERROR(INDEX('包络曲线数据'!$B$2:$K$742,ROW()-1,MATCH(C$1,'包络曲线数据'!$B$1:$K$1,0)),""))</x:f>
        <x:v>68.02390100500286</x:v>
      </x:c>
      <x:c r="D145" t="str">
        <x:f>IF(D$1="","",IFERROR(INDEX('包络曲线数据'!$B$2:$K$742,ROW()-1,MATCH(D$1,'包络曲线数据'!$B$1:$K$1,0)),""))</x:f>
      </x:c>
      <x:c r="E145" t="str">
        <x:f>IF(E$1="","",IFERROR(INDEX('包络曲线数据'!$B$2:$K$742,ROW()-1,MATCH(E$1,'包络曲线数据'!$B$1:$K$1,0)),""))</x:f>
      </x:c>
      <x:c r="F145" t="str">
        <x:f>IF(F$1="","",IFERROR(INDEX('包络曲线数据'!$B$2:$K$742,ROW()-1,MATCH(F$1,'包络曲线数据'!$B$1:$K$1,0)),""))</x:f>
      </x:c>
      <x:c r="G145" t="str">
        <x:f>IF(G$1="","",IFERROR(INDEX('包络曲线数据'!$B$2:$K$742,ROW()-1,MATCH(G$1,'包络曲线数据'!$B$1:$K$1,0)),""))</x:f>
      </x:c>
    </x:row>
    <x:row r="146">
      <x:c r="A146" t="n">
        <x:v>14.4</x:v>
      </x:c>
      <x:c r="B146" t="n">
        <x:f>IF(B$1="","",IFERROR(INDEX('包络曲线数据'!$B$2:$K$742,ROW()-1,MATCH(B$1,'包络曲线数据'!$B$1:$K$1,0)),""))</x:f>
        <x:v>50</x:v>
      </x:c>
      <x:c r="C146" t="n">
        <x:f>IF(C$1="","",IFERROR(INDEX('包络曲线数据'!$B$2:$K$742,ROW()-1,MATCH(C$1,'包络曲线数据'!$B$1:$K$1,0)),""))</x:f>
        <x:v>63.8355476301081</x:v>
      </x:c>
      <x:c r="D146" t="str">
        <x:f>IF(D$1="","",IFERROR(INDEX('包络曲线数据'!$B$2:$K$742,ROW()-1,MATCH(D$1,'包络曲线数据'!$B$1:$K$1,0)),""))</x:f>
      </x:c>
      <x:c r="E146" t="str">
        <x:f>IF(E$1="","",IFERROR(INDEX('包络曲线数据'!$B$2:$K$742,ROW()-1,MATCH(E$1,'包络曲线数据'!$B$1:$K$1,0)),""))</x:f>
      </x:c>
      <x:c r="F146" t="str">
        <x:f>IF(F$1="","",IFERROR(INDEX('包络曲线数据'!$B$2:$K$742,ROW()-1,MATCH(F$1,'包络曲线数据'!$B$1:$K$1,0)),""))</x:f>
      </x:c>
      <x:c r="G146" t="str">
        <x:f>IF(G$1="","",IFERROR(INDEX('包络曲线数据'!$B$2:$K$742,ROW()-1,MATCH(G$1,'包络曲线数据'!$B$1:$K$1,0)),""))</x:f>
      </x:c>
    </x:row>
    <x:row r="147">
      <x:c r="A147" t="n">
        <x:v>14.5</x:v>
      </x:c>
      <x:c r="B147" t="n">
        <x:f>IF(B$1="","",IFERROR(INDEX('包络曲线数据'!$B$2:$K$742,ROW()-1,MATCH(B$1,'包络曲线数据'!$B$1:$K$1,0)),""))</x:f>
        <x:v>57.09379099636433</x:v>
      </x:c>
      <x:c r="C147" t="n">
        <x:f>IF(C$1="","",IFERROR(INDEX('包络曲线数据'!$B$2:$K$742,ROW()-1,MATCH(C$1,'包络曲线数据'!$B$1:$K$1,0)),""))</x:f>
        <x:v>63.94032030089487</x:v>
      </x:c>
      <x:c r="D147" t="str">
        <x:f>IF(D$1="","",IFERROR(INDEX('包络曲线数据'!$B$2:$K$742,ROW()-1,MATCH(D$1,'包络曲线数据'!$B$1:$K$1,0)),""))</x:f>
      </x:c>
      <x:c r="E147" t="str">
        <x:f>IF(E$1="","",IFERROR(INDEX('包络曲线数据'!$B$2:$K$742,ROW()-1,MATCH(E$1,'包络曲线数据'!$B$1:$K$1,0)),""))</x:f>
      </x:c>
      <x:c r="F147" t="str">
        <x:f>IF(F$1="","",IFERROR(INDEX('包络曲线数据'!$B$2:$K$742,ROW()-1,MATCH(F$1,'包络曲线数据'!$B$1:$K$1,0)),""))</x:f>
      </x:c>
      <x:c r="G147" t="str">
        <x:f>IF(G$1="","",IFERROR(INDEX('包络曲线数据'!$B$2:$K$742,ROW()-1,MATCH(G$1,'包络曲线数据'!$B$1:$K$1,0)),""))</x:f>
      </x:c>
    </x:row>
    <x:row r="148">
      <x:c r="A148" t="n">
        <x:v>14.600000000000001</x:v>
      </x:c>
      <x:c r="B148" t="n">
        <x:f>IF(B$1="","",IFERROR(INDEX('包络曲线数据'!$B$2:$K$742,ROW()-1,MATCH(B$1,'包络曲线数据'!$B$1:$K$1,0)),""))</x:f>
        <x:v>57.09379099636433</x:v>
      </x:c>
      <x:c r="C148" t="n">
        <x:f>IF(C$1="","",IFERROR(INDEX('包络曲线数据'!$B$2:$K$742,ROW()-1,MATCH(C$1,'包络曲线数据'!$B$1:$K$1,0)),""))</x:f>
        <x:v>65.57428094563825</x:v>
      </x:c>
      <x:c r="D148" t="str">
        <x:f>IF(D$1="","",IFERROR(INDEX('包络曲线数据'!$B$2:$K$742,ROW()-1,MATCH(D$1,'包络曲线数据'!$B$1:$K$1,0)),""))</x:f>
      </x:c>
      <x:c r="E148" t="str">
        <x:f>IF(E$1="","",IFERROR(INDEX('包络曲线数据'!$B$2:$K$742,ROW()-1,MATCH(E$1,'包络曲线数据'!$B$1:$K$1,0)),""))</x:f>
      </x:c>
      <x:c r="F148" t="str">
        <x:f>IF(F$1="","",IFERROR(INDEX('包络曲线数据'!$B$2:$K$742,ROW()-1,MATCH(F$1,'包络曲线数据'!$B$1:$K$1,0)),""))</x:f>
      </x:c>
      <x:c r="G148" t="str">
        <x:f>IF(G$1="","",IFERROR(INDEX('包络曲线数据'!$B$2:$K$742,ROW()-1,MATCH(G$1,'包络曲线数据'!$B$1:$K$1,0)),""))</x:f>
      </x:c>
    </x:row>
    <x:row r="149">
      <x:c r="A149" t="n">
        <x:v>14.700000000000001</x:v>
      </x:c>
      <x:c r="B149" t="n">
        <x:f>IF(B$1="","",IFERROR(INDEX('包络曲线数据'!$B$2:$K$742,ROW()-1,MATCH(B$1,'包络曲线数据'!$B$1:$K$1,0)),""))</x:f>
        <x:v>52.8800094120073</x:v>
      </x:c>
      <x:c r="C149" t="n">
        <x:f>IF(C$1="","",IFERROR(INDEX('包络曲线数据'!$B$2:$K$742,ROW()-1,MATCH(C$1,'包络曲线数据'!$B$1:$K$1,0)),""))</x:f>
        <x:v>65.57428094563825</x:v>
      </x:c>
      <x:c r="D149" t="str">
        <x:f>IF(D$1="","",IFERROR(INDEX('包络曲线数据'!$B$2:$K$742,ROW()-1,MATCH(D$1,'包络曲线数据'!$B$1:$K$1,0)),""))</x:f>
      </x:c>
      <x:c r="E149" t="str">
        <x:f>IF(E$1="","",IFERROR(INDEX('包络曲线数据'!$B$2:$K$742,ROW()-1,MATCH(E$1,'包络曲线数据'!$B$1:$K$1,0)),""))</x:f>
      </x:c>
      <x:c r="F149" t="str">
        <x:f>IF(F$1="","",IFERROR(INDEX('包络曲线数据'!$B$2:$K$742,ROW()-1,MATCH(F$1,'包络曲线数据'!$B$1:$K$1,0)),""))</x:f>
      </x:c>
      <x:c r="G149" t="str">
        <x:f>IF(G$1="","",IFERROR(INDEX('包络曲线数据'!$B$2:$K$742,ROW()-1,MATCH(G$1,'包络曲线数据'!$B$1:$K$1,0)),""))</x:f>
      </x:c>
    </x:row>
    <x:row r="150">
      <x:c r="A150" t="n">
        <x:v>14.8</x:v>
      </x:c>
      <x:c r="B150" t="n">
        <x:f>IF(B$1="","",IFERROR(INDEX('包络曲线数据'!$B$2:$K$742,ROW()-1,MATCH(B$1,'包络曲线数据'!$B$1:$K$1,0)),""))</x:f>
        <x:v>51.32462275518749</x:v>
      </x:c>
      <x:c r="C150" t="n">
        <x:f>IF(C$1="","",IFERROR(INDEX('包络曲线数据'!$B$2:$K$742,ROW()-1,MATCH(C$1,'包络曲线数据'!$B$1:$K$1,0)),""))</x:f>
        <x:v>64.75502604007909</x:v>
      </x:c>
      <x:c r="D150" t="str">
        <x:f>IF(D$1="","",IFERROR(INDEX('包络曲线数据'!$B$2:$K$742,ROW()-1,MATCH(D$1,'包络曲线数据'!$B$1:$K$1,0)),""))</x:f>
      </x:c>
      <x:c r="E150" t="str">
        <x:f>IF(E$1="","",IFERROR(INDEX('包络曲线数据'!$B$2:$K$742,ROW()-1,MATCH(E$1,'包络曲线数据'!$B$1:$K$1,0)),""))</x:f>
      </x:c>
      <x:c r="F150" t="str">
        <x:f>IF(F$1="","",IFERROR(INDEX('包络曲线数据'!$B$2:$K$742,ROW()-1,MATCH(F$1,'包络曲线数据'!$B$1:$K$1,0)),""))</x:f>
      </x:c>
      <x:c r="G150" t="str">
        <x:f>IF(G$1="","",IFERROR(INDEX('包络曲线数据'!$B$2:$K$742,ROW()-1,MATCH(G$1,'包络曲线数据'!$B$1:$K$1,0)),""))</x:f>
      </x:c>
    </x:row>
    <x:row r="151">
      <x:c r="A151" t="n">
        <x:v>14.9</x:v>
      </x:c>
      <x:c r="B151" t="n">
        <x:f>IF(B$1="","",IFERROR(INDEX('包络曲线数据'!$B$2:$K$742,ROW()-1,MATCH(B$1,'包络曲线数据'!$B$1:$K$1,0)),""))</x:f>
        <x:v>52.15805656456561</x:v>
      </x:c>
      <x:c r="C151" t="n">
        <x:f>IF(C$1="","",IFERROR(INDEX('包络曲线数据'!$B$2:$K$742,ROW()-1,MATCH(C$1,'包络曲线数据'!$B$1:$K$1,0)),""))</x:f>
        <x:v>64.72804335637306</x:v>
      </x:c>
      <x:c r="D151" t="str">
        <x:f>IF(D$1="","",IFERROR(INDEX('包络曲线数据'!$B$2:$K$742,ROW()-1,MATCH(D$1,'包络曲线数据'!$B$1:$K$1,0)),""))</x:f>
      </x:c>
      <x:c r="E151" t="str">
        <x:f>IF(E$1="","",IFERROR(INDEX('包络曲线数据'!$B$2:$K$742,ROW()-1,MATCH(E$1,'包络曲线数据'!$B$1:$K$1,0)),""))</x:f>
      </x:c>
      <x:c r="F151" t="str">
        <x:f>IF(F$1="","",IFERROR(INDEX('包络曲线数据'!$B$2:$K$742,ROW()-1,MATCH(F$1,'包络曲线数据'!$B$1:$K$1,0)),""))</x:f>
      </x:c>
      <x:c r="G151" t="str">
        <x:f>IF(G$1="","",IFERROR(INDEX('包络曲线数据'!$B$2:$K$742,ROW()-1,MATCH(G$1,'包络曲线数据'!$B$1:$K$1,0)),""))</x:f>
      </x:c>
    </x:row>
    <x:row r="152">
      <x:c r="A152" t="n">
        <x:v>15</x:v>
      </x:c>
      <x:c r="B152" t="n">
        <x:f>IF(B$1="","",IFERROR(INDEX('包络曲线数据'!$B$2:$K$742,ROW()-1,MATCH(B$1,'包络曲线数据'!$B$1:$K$1,0)),""))</x:f>
        <x:v>73.67080865096426</x:v>
      </x:c>
      <x:c r="C152" t="n">
        <x:f>IF(C$1="","",IFERROR(INDEX('包络曲线数据'!$B$2:$K$742,ROW()-1,MATCH(C$1,'包络曲线数据'!$B$1:$K$1,0)),""))</x:f>
        <x:v>65.7762967070264</x:v>
      </x:c>
      <x:c r="D152" t="str">
        <x:f>IF(D$1="","",IFERROR(INDEX('包络曲线数据'!$B$2:$K$742,ROW()-1,MATCH(D$1,'包络曲线数据'!$B$1:$K$1,0)),""))</x:f>
      </x:c>
      <x:c r="E152" t="str">
        <x:f>IF(E$1="","",IFERROR(INDEX('包络曲线数据'!$B$2:$K$742,ROW()-1,MATCH(E$1,'包络曲线数据'!$B$1:$K$1,0)),""))</x:f>
      </x:c>
      <x:c r="F152" t="str">
        <x:f>IF(F$1="","",IFERROR(INDEX('包络曲线数据'!$B$2:$K$742,ROW()-1,MATCH(F$1,'包络曲线数据'!$B$1:$K$1,0)),""))</x:f>
      </x:c>
      <x:c r="G152" t="str">
        <x:f>IF(G$1="","",IFERROR(INDEX('包络曲线数据'!$B$2:$K$742,ROW()-1,MATCH(G$1,'包络曲线数据'!$B$1:$K$1,0)),""))</x:f>
      </x:c>
    </x:row>
    <x:row r="153">
      <x:c r="A153" t="n">
        <x:v>15.100000000000001</x:v>
      </x:c>
      <x:c r="B153" t="n">
        <x:f>IF(B$1="","",IFERROR(INDEX('包络曲线数据'!$B$2:$K$742,ROW()-1,MATCH(B$1,'包络曲线数据'!$B$1:$K$1,0)),""))</x:f>
        <x:v>73.67080865096426</x:v>
      </x:c>
      <x:c r="C153" t="n">
        <x:f>IF(C$1="","",IFERROR(INDEX('包络曲线数据'!$B$2:$K$742,ROW()-1,MATCH(C$1,'包络曲线数据'!$B$1:$K$1,0)),""))</x:f>
        <x:v>65.7762967070264</x:v>
      </x:c>
      <x:c r="D153" t="str">
        <x:f>IF(D$1="","",IFERROR(INDEX('包络曲线数据'!$B$2:$K$742,ROW()-1,MATCH(D$1,'包络曲线数据'!$B$1:$K$1,0)),""))</x:f>
      </x:c>
      <x:c r="E153" t="str">
        <x:f>IF(E$1="","",IFERROR(INDEX('包络曲线数据'!$B$2:$K$742,ROW()-1,MATCH(E$1,'包络曲线数据'!$B$1:$K$1,0)),""))</x:f>
      </x:c>
      <x:c r="F153" t="str">
        <x:f>IF(F$1="","",IFERROR(INDEX('包络曲线数据'!$B$2:$K$742,ROW()-1,MATCH(F$1,'包络曲线数据'!$B$1:$K$1,0)),""))</x:f>
      </x:c>
      <x:c r="G153" t="str">
        <x:f>IF(G$1="","",IFERROR(INDEX('包络曲线数据'!$B$2:$K$742,ROW()-1,MATCH(G$1,'包络曲线数据'!$B$1:$K$1,0)),""))</x:f>
      </x:c>
    </x:row>
    <x:row r="154">
      <x:c r="A154" t="n">
        <x:v>15.200000000000001</x:v>
      </x:c>
      <x:c r="B154" t="n">
        <x:f>IF(B$1="","",IFERROR(INDEX('包络曲线数据'!$B$2:$K$742,ROW()-1,MATCH(B$1,'包络曲线数据'!$B$1:$K$1,0)),""))</x:f>
        <x:v>72.36124214682208</x:v>
      </x:c>
      <x:c r="C154" t="n">
        <x:f>IF(C$1="","",IFERROR(INDEX('包络曲线数据'!$B$2:$K$742,ROW()-1,MATCH(C$1,'包络曲线数据'!$B$1:$K$1,0)),""))</x:f>
        <x:v>65.17440571289858</x:v>
      </x:c>
      <x:c r="D154" t="str">
        <x:f>IF(D$1="","",IFERROR(INDEX('包络曲线数据'!$B$2:$K$742,ROW()-1,MATCH(D$1,'包络曲线数据'!$B$1:$K$1,0)),""))</x:f>
      </x:c>
      <x:c r="E154" t="str">
        <x:f>IF(E$1="","",IFERROR(INDEX('包络曲线数据'!$B$2:$K$742,ROW()-1,MATCH(E$1,'包络曲线数据'!$B$1:$K$1,0)),""))</x:f>
      </x:c>
      <x:c r="F154" t="str">
        <x:f>IF(F$1="","",IFERROR(INDEX('包络曲线数据'!$B$2:$K$742,ROW()-1,MATCH(F$1,'包络曲线数据'!$B$1:$K$1,0)),""))</x:f>
      </x:c>
      <x:c r="G154" t="str">
        <x:f>IF(G$1="","",IFERROR(INDEX('包络曲线数据'!$B$2:$K$742,ROW()-1,MATCH(G$1,'包络曲线数据'!$B$1:$K$1,0)),""))</x:f>
      </x:c>
    </x:row>
    <x:row r="155">
      <x:c r="A155" t="n">
        <x:v>15.3</x:v>
      </x:c>
      <x:c r="B155" t="n">
        <x:f>IF(B$1="","",IFERROR(INDEX('包络曲线数据'!$B$2:$K$742,ROW()-1,MATCH(B$1,'包络曲线数据'!$B$1:$K$1,0)),""))</x:f>
        <x:v>67.30672510826463</x:v>
      </x:c>
      <x:c r="C155" t="n">
        <x:f>IF(C$1="","",IFERROR(INDEX('包络曲线数据'!$B$2:$K$742,ROW()-1,MATCH(C$1,'包络曲线数据'!$B$1:$K$1,0)),""))</x:f>
        <x:v>65.93682789950793</x:v>
      </x:c>
      <x:c r="D155" t="str">
        <x:f>IF(D$1="","",IFERROR(INDEX('包络曲线数据'!$B$2:$K$742,ROW()-1,MATCH(D$1,'包络曲线数据'!$B$1:$K$1,0)),""))</x:f>
      </x:c>
      <x:c r="E155" t="str">
        <x:f>IF(E$1="","",IFERROR(INDEX('包络曲线数据'!$B$2:$K$742,ROW()-1,MATCH(E$1,'包络曲线数据'!$B$1:$K$1,0)),""))</x:f>
      </x:c>
      <x:c r="F155" t="str">
        <x:f>IF(F$1="","",IFERROR(INDEX('包络曲线数据'!$B$2:$K$742,ROW()-1,MATCH(F$1,'包络曲线数据'!$B$1:$K$1,0)),""))</x:f>
      </x:c>
      <x:c r="G155" t="str">
        <x:f>IF(G$1="","",IFERROR(INDEX('包络曲线数据'!$B$2:$K$742,ROW()-1,MATCH(G$1,'包络曲线数据'!$B$1:$K$1,0)),""))</x:f>
      </x:c>
    </x:row>
    <x:row r="156">
      <x:c r="A156" t="n">
        <x:v>15.4</x:v>
      </x:c>
      <x:c r="B156" t="n">
        <x:f>IF(B$1="","",IFERROR(INDEX('包络曲线数据'!$B$2:$K$742,ROW()-1,MATCH(B$1,'包络曲线数据'!$B$1:$K$1,0)),""))</x:f>
        <x:v>60.92792188930538</x:v>
      </x:c>
      <x:c r="C156" t="n">
        <x:f>IF(C$1="","",IFERROR(INDEX('包络曲线数据'!$B$2:$K$742,ROW()-1,MATCH(C$1,'包络曲线数据'!$B$1:$K$1,0)),""))</x:f>
        <x:v>65.93682789950793</x:v>
      </x:c>
      <x:c r="D156" t="str">
        <x:f>IF(D$1="","",IFERROR(INDEX('包络曲线数据'!$B$2:$K$742,ROW()-1,MATCH(D$1,'包络曲线数据'!$B$1:$K$1,0)),""))</x:f>
      </x:c>
      <x:c r="E156" t="str">
        <x:f>IF(E$1="","",IFERROR(INDEX('包络曲线数据'!$B$2:$K$742,ROW()-1,MATCH(E$1,'包络曲线数据'!$B$1:$K$1,0)),""))</x:f>
      </x:c>
      <x:c r="F156" t="str">
        <x:f>IF(F$1="","",IFERROR(INDEX('包络曲线数据'!$B$2:$K$742,ROW()-1,MATCH(F$1,'包络曲线数据'!$B$1:$K$1,0)),""))</x:f>
      </x:c>
      <x:c r="G156" t="str">
        <x:f>IF(G$1="","",IFERROR(INDEX('包络曲线数据'!$B$2:$K$742,ROW()-1,MATCH(G$1,'包络曲线数据'!$B$1:$K$1,0)),""))</x:f>
      </x:c>
    </x:row>
    <x:row r="157">
      <x:c r="A157" t="n">
        <x:v>15.5</x:v>
      </x:c>
      <x:c r="B157" t="n">
        <x:f>IF(B$1="","",IFERROR(INDEX('包络曲线数据'!$B$2:$K$742,ROW()-1,MATCH(B$1,'包络曲线数据'!$B$1:$K$1,0)),""))</x:f>
        <x:v>64.28104259297425</x:v>
      </x:c>
      <x:c r="C157" t="n">
        <x:f>IF(C$1="","",IFERROR(INDEX('包络曲线数据'!$B$2:$K$742,ROW()-1,MATCH(C$1,'包络曲线数据'!$B$1:$K$1,0)),""))</x:f>
        <x:v>66.13140712710367</x:v>
      </x:c>
      <x:c r="D157" t="str">
        <x:f>IF(D$1="","",IFERROR(INDEX('包络曲线数据'!$B$2:$K$742,ROW()-1,MATCH(D$1,'包络曲线数据'!$B$1:$K$1,0)),""))</x:f>
      </x:c>
      <x:c r="E157" t="str">
        <x:f>IF(E$1="","",IFERROR(INDEX('包络曲线数据'!$B$2:$K$742,ROW()-1,MATCH(E$1,'包络曲线数据'!$B$1:$K$1,0)),""))</x:f>
      </x:c>
      <x:c r="F157" t="str">
        <x:f>IF(F$1="","",IFERROR(INDEX('包络曲线数据'!$B$2:$K$742,ROW()-1,MATCH(F$1,'包络曲线数据'!$B$1:$K$1,0)),""))</x:f>
      </x:c>
      <x:c r="G157" t="str">
        <x:f>IF(G$1="","",IFERROR(INDEX('包络曲线数据'!$B$2:$K$742,ROW()-1,MATCH(G$1,'包络曲线数据'!$B$1:$K$1,0)),""))</x:f>
      </x:c>
    </x:row>
    <x:row r="158">
      <x:c r="A158" t="n">
        <x:v>15.600000000000001</x:v>
      </x:c>
      <x:c r="B158" t="n">
        <x:f>IF(B$1="","",IFERROR(INDEX('包络曲线数据'!$B$2:$K$742,ROW()-1,MATCH(B$1,'包络曲线数据'!$B$1:$K$1,0)),""))</x:f>
        <x:v>64.70338667160838</x:v>
      </x:c>
      <x:c r="C158" t="n">
        <x:f>IF(C$1="","",IFERROR(INDEX('包络曲线数据'!$B$2:$K$742,ROW()-1,MATCH(C$1,'包络曲线数据'!$B$1:$K$1,0)),""))</x:f>
        <x:v>66.13140712710367</x:v>
      </x:c>
      <x:c r="D158" t="str">
        <x:f>IF(D$1="","",IFERROR(INDEX('包络曲线数据'!$B$2:$K$742,ROW()-1,MATCH(D$1,'包络曲线数据'!$B$1:$K$1,0)),""))</x:f>
      </x:c>
      <x:c r="E158" t="str">
        <x:f>IF(E$1="","",IFERROR(INDEX('包络曲线数据'!$B$2:$K$742,ROW()-1,MATCH(E$1,'包络曲线数据'!$B$1:$K$1,0)),""))</x:f>
      </x:c>
      <x:c r="F158" t="str">
        <x:f>IF(F$1="","",IFERROR(INDEX('包络曲线数据'!$B$2:$K$742,ROW()-1,MATCH(F$1,'包络曲线数据'!$B$1:$K$1,0)),""))</x:f>
      </x:c>
      <x:c r="G158" t="str">
        <x:f>IF(G$1="","",IFERROR(INDEX('包络曲线数据'!$B$2:$K$742,ROW()-1,MATCH(G$1,'包络曲线数据'!$B$1:$K$1,0)),""))</x:f>
      </x:c>
    </x:row>
    <x:row r="159">
      <x:c r="A159" t="n">
        <x:v>15.700000000000001</x:v>
      </x:c>
      <x:c r="B159" t="n">
        <x:f>IF(B$1="","",IFERROR(INDEX('包络曲线数据'!$B$2:$K$742,ROW()-1,MATCH(B$1,'包络曲线数据'!$B$1:$K$1,0)),""))</x:f>
        <x:v>66.16925802819819</x:v>
      </x:c>
      <x:c r="C159" t="n">
        <x:f>IF(C$1="","",IFERROR(INDEX('包络曲线数据'!$B$2:$K$742,ROW()-1,MATCH(C$1,'包络曲线数据'!$B$1:$K$1,0)),""))</x:f>
        <x:v>64.21017828615382</x:v>
      </x:c>
      <x:c r="D159" t="str">
        <x:f>IF(D$1="","",IFERROR(INDEX('包络曲线数据'!$B$2:$K$742,ROW()-1,MATCH(D$1,'包络曲线数据'!$B$1:$K$1,0)),""))</x:f>
      </x:c>
      <x:c r="E159" t="str">
        <x:f>IF(E$1="","",IFERROR(INDEX('包络曲线数据'!$B$2:$K$742,ROW()-1,MATCH(E$1,'包络曲线数据'!$B$1:$K$1,0)),""))</x:f>
      </x:c>
      <x:c r="F159" t="str">
        <x:f>IF(F$1="","",IFERROR(INDEX('包络曲线数据'!$B$2:$K$742,ROW()-1,MATCH(F$1,'包络曲线数据'!$B$1:$K$1,0)),""))</x:f>
      </x:c>
      <x:c r="G159" t="str">
        <x:f>IF(G$1="","",IFERROR(INDEX('包络曲线数据'!$B$2:$K$742,ROW()-1,MATCH(G$1,'包络曲线数据'!$B$1:$K$1,0)),""))</x:f>
      </x:c>
    </x:row>
    <x:row r="160">
      <x:c r="A160" t="n">
        <x:v>15.8</x:v>
      </x:c>
      <x:c r="B160" t="n">
        <x:f>IF(B$1="","",IFERROR(INDEX('包络曲线数据'!$B$2:$K$742,ROW()-1,MATCH(B$1,'包络曲线数据'!$B$1:$K$1,0)),""))</x:f>
        <x:v>66.16925802819819</x:v>
      </x:c>
      <x:c r="C160" t="n">
        <x:f>IF(C$1="","",IFERROR(INDEX('包络曲线数据'!$B$2:$K$742,ROW()-1,MATCH(C$1,'包络曲线数据'!$B$1:$K$1,0)),""))</x:f>
        <x:v>61.97425745370711</x:v>
      </x:c>
      <x:c r="D160" t="str">
        <x:f>IF(D$1="","",IFERROR(INDEX('包络曲线数据'!$B$2:$K$742,ROW()-1,MATCH(D$1,'包络曲线数据'!$B$1:$K$1,0)),""))</x:f>
      </x:c>
      <x:c r="E160" t="str">
        <x:f>IF(E$1="","",IFERROR(INDEX('包络曲线数据'!$B$2:$K$742,ROW()-1,MATCH(E$1,'包络曲线数据'!$B$1:$K$1,0)),""))</x:f>
      </x:c>
      <x:c r="F160" t="str">
        <x:f>IF(F$1="","",IFERROR(INDEX('包络曲线数据'!$B$2:$K$742,ROW()-1,MATCH(F$1,'包络曲线数据'!$B$1:$K$1,0)),""))</x:f>
      </x:c>
      <x:c r="G160" t="str">
        <x:f>IF(G$1="","",IFERROR(INDEX('包络曲线数据'!$B$2:$K$742,ROW()-1,MATCH(G$1,'包络曲线数据'!$B$1:$K$1,0)),""))</x:f>
      </x:c>
    </x:row>
    <x:row r="161">
      <x:c r="A161" t="n">
        <x:v>15.9</x:v>
      </x:c>
      <x:c r="B161" t="n">
        <x:f>IF(B$1="","",IFERROR(INDEX('包络曲线数据'!$B$2:$K$742,ROW()-1,MATCH(B$1,'包络曲线数据'!$B$1:$K$1,0)),""))</x:f>
        <x:v>65.8024921274056</x:v>
      </x:c>
      <x:c r="C161" t="n">
        <x:f>IF(C$1="","",IFERROR(INDEX('包络曲线数据'!$B$2:$K$742,ROW()-1,MATCH(C$1,'包络曲线数据'!$B$1:$K$1,0)),""))</x:f>
        <x:v>75.92855416932932</x:v>
      </x:c>
      <x:c r="D161" t="str">
        <x:f>IF(D$1="","",IFERROR(INDEX('包络曲线数据'!$B$2:$K$742,ROW()-1,MATCH(D$1,'包络曲线数据'!$B$1:$K$1,0)),""))</x:f>
      </x:c>
      <x:c r="E161" t="str">
        <x:f>IF(E$1="","",IFERROR(INDEX('包络曲线数据'!$B$2:$K$742,ROW()-1,MATCH(E$1,'包络曲线数据'!$B$1:$K$1,0)),""))</x:f>
      </x:c>
      <x:c r="F161" t="str">
        <x:f>IF(F$1="","",IFERROR(INDEX('包络曲线数据'!$B$2:$K$742,ROW()-1,MATCH(F$1,'包络曲线数据'!$B$1:$K$1,0)),""))</x:f>
      </x:c>
      <x:c r="G161" t="str">
        <x:f>IF(G$1="","",IFERROR(INDEX('包络曲线数据'!$B$2:$K$742,ROW()-1,MATCH(G$1,'包络曲线数据'!$B$1:$K$1,0)),""))</x:f>
      </x:c>
    </x:row>
    <x:row r="162">
      <x:c r="A162" t="n">
        <x:v>16</x:v>
      </x:c>
      <x:c r="B162" t="n">
        <x:f>IF(B$1="","",IFERROR(INDEX('包络曲线数据'!$B$2:$K$742,ROW()-1,MATCH(B$1,'包络曲线数据'!$B$1:$K$1,0)),""))</x:f>
        <x:v>65.96600053891618</x:v>
      </x:c>
      <x:c r="C162" t="n">
        <x:f>IF(C$1="","",IFERROR(INDEX('包络曲线数据'!$B$2:$K$742,ROW()-1,MATCH(C$1,'包络曲线数据'!$B$1:$K$1,0)),""))</x:f>
        <x:v>78.71002540730528</x:v>
      </x:c>
      <x:c r="D162" t="str">
        <x:f>IF(D$1="","",IFERROR(INDEX('包络曲线数据'!$B$2:$K$742,ROW()-1,MATCH(D$1,'包络曲线数据'!$B$1:$K$1,0)),""))</x:f>
      </x:c>
      <x:c r="E162" t="str">
        <x:f>IF(E$1="","",IFERROR(INDEX('包络曲线数据'!$B$2:$K$742,ROW()-1,MATCH(E$1,'包络曲线数据'!$B$1:$K$1,0)),""))</x:f>
      </x:c>
      <x:c r="F162" t="str">
        <x:f>IF(F$1="","",IFERROR(INDEX('包络曲线数据'!$B$2:$K$742,ROW()-1,MATCH(F$1,'包络曲线数据'!$B$1:$K$1,0)),""))</x:f>
      </x:c>
      <x:c r="G162" t="str">
        <x:f>IF(G$1="","",IFERROR(INDEX('包络曲线数据'!$B$2:$K$742,ROW()-1,MATCH(G$1,'包络曲线数据'!$B$1:$K$1,0)),""))</x:f>
      </x:c>
    </x:row>
    <x:row r="163">
      <x:c r="A163" t="n">
        <x:v>16.1</x:v>
      </x:c>
      <x:c r="B163" t="n">
        <x:f>IF(B$1="","",IFERROR(INDEX('包络曲线数据'!$B$2:$K$742,ROW()-1,MATCH(B$1,'包络曲线数据'!$B$1:$K$1,0)),""))</x:f>
        <x:v>65.96600053891618</x:v>
      </x:c>
      <x:c r="C163" t="n">
        <x:f>IF(C$1="","",IFERROR(INDEX('包络曲线数据'!$B$2:$K$742,ROW()-1,MATCH(C$1,'包络曲线数据'!$B$1:$K$1,0)),""))</x:f>
        <x:v>78.71002540730528</x:v>
      </x:c>
      <x:c r="D163" t="str">
        <x:f>IF(D$1="","",IFERROR(INDEX('包络曲线数据'!$B$2:$K$742,ROW()-1,MATCH(D$1,'包络曲线数据'!$B$1:$K$1,0)),""))</x:f>
      </x:c>
      <x:c r="E163" t="str">
        <x:f>IF(E$1="","",IFERROR(INDEX('包络曲线数据'!$B$2:$K$742,ROW()-1,MATCH(E$1,'包络曲线数据'!$B$1:$K$1,0)),""))</x:f>
      </x:c>
      <x:c r="F163" t="str">
        <x:f>IF(F$1="","",IFERROR(INDEX('包络曲线数据'!$B$2:$K$742,ROW()-1,MATCH(F$1,'包络曲线数据'!$B$1:$K$1,0)),""))</x:f>
      </x:c>
      <x:c r="G163" t="str">
        <x:f>IF(G$1="","",IFERROR(INDEX('包络曲线数据'!$B$2:$K$742,ROW()-1,MATCH(G$1,'包络曲线数据'!$B$1:$K$1,0)),""))</x:f>
      </x:c>
    </x:row>
    <x:row r="164">
      <x:c r="A164" t="n">
        <x:v>16.2</x:v>
      </x:c>
      <x:c r="B164" t="n">
        <x:f>IF(B$1="","",IFERROR(INDEX('包络曲线数据'!$B$2:$K$742,ROW()-1,MATCH(B$1,'包络曲线数据'!$B$1:$K$1,0)),""))</x:f>
        <x:v>66.16559527066333</x:v>
      </x:c>
      <x:c r="C164" t="n">
        <x:f>IF(C$1="","",IFERROR(INDEX('包络曲线数据'!$B$2:$K$742,ROW()-1,MATCH(C$1,'包络曲线数据'!$B$1:$K$1,0)),""))</x:f>
        <x:v>69.62754883189977</x:v>
      </x:c>
      <x:c r="D164" t="str">
        <x:f>IF(D$1="","",IFERROR(INDEX('包络曲线数据'!$B$2:$K$742,ROW()-1,MATCH(D$1,'包络曲线数据'!$B$1:$K$1,0)),""))</x:f>
      </x:c>
      <x:c r="E164" t="str">
        <x:f>IF(E$1="","",IFERROR(INDEX('包络曲线数据'!$B$2:$K$742,ROW()-1,MATCH(E$1,'包络曲线数据'!$B$1:$K$1,0)),""))</x:f>
      </x:c>
      <x:c r="F164" t="str">
        <x:f>IF(F$1="","",IFERROR(INDEX('包络曲线数据'!$B$2:$K$742,ROW()-1,MATCH(F$1,'包络曲线数据'!$B$1:$K$1,0)),""))</x:f>
      </x:c>
      <x:c r="G164" t="str">
        <x:f>IF(G$1="","",IFERROR(INDEX('包络曲线数据'!$B$2:$K$742,ROW()-1,MATCH(G$1,'包络曲线数据'!$B$1:$K$1,0)),""))</x:f>
      </x:c>
    </x:row>
    <x:row r="165">
      <x:c r="A165" t="n">
        <x:v>16.3</x:v>
      </x:c>
      <x:c r="B165" t="n">
        <x:f>IF(B$1="","",IFERROR(INDEX('包络曲线数据'!$B$2:$K$742,ROW()-1,MATCH(B$1,'包络曲线数据'!$B$1:$K$1,0)),""))</x:f>
        <x:v>66.96653165417993</x:v>
      </x:c>
      <x:c r="C165" t="n">
        <x:f>IF(C$1="","",IFERROR(INDEX('包络曲线数据'!$B$2:$K$742,ROW()-1,MATCH(C$1,'包络曲线数据'!$B$1:$K$1,0)),""))</x:f>
        <x:v>61.46363753242231</x:v>
      </x:c>
      <x:c r="D165" t="str">
        <x:f>IF(D$1="","",IFERROR(INDEX('包络曲线数据'!$B$2:$K$742,ROW()-1,MATCH(D$1,'包络曲线数据'!$B$1:$K$1,0)),""))</x:f>
      </x:c>
      <x:c r="E165" t="str">
        <x:f>IF(E$1="","",IFERROR(INDEX('包络曲线数据'!$B$2:$K$742,ROW()-1,MATCH(E$1,'包络曲线数据'!$B$1:$K$1,0)),""))</x:f>
      </x:c>
      <x:c r="F165" t="str">
        <x:f>IF(F$1="","",IFERROR(INDEX('包络曲线数据'!$B$2:$K$742,ROW()-1,MATCH(F$1,'包络曲线数据'!$B$1:$K$1,0)),""))</x:f>
      </x:c>
      <x:c r="G165" t="str">
        <x:f>IF(G$1="","",IFERROR(INDEX('包络曲线数据'!$B$2:$K$742,ROW()-1,MATCH(G$1,'包络曲线数据'!$B$1:$K$1,0)),""))</x:f>
      </x:c>
    </x:row>
    <x:row r="166">
      <x:c r="A166" t="n">
        <x:v>16.400000000000002</x:v>
      </x:c>
      <x:c r="B166" t="n">
        <x:f>IF(B$1="","",IFERROR(INDEX('包络曲线数据'!$B$2:$K$742,ROW()-1,MATCH(B$1,'包络曲线数据'!$B$1:$K$1,0)),""))</x:f>
        <x:v>66.96653165417992</x:v>
      </x:c>
      <x:c r="C166" t="n">
        <x:f>IF(C$1="","",IFERROR(INDEX('包络曲线数据'!$B$2:$K$742,ROW()-1,MATCH(C$1,'包络曲线数据'!$B$1:$K$1,0)),""))</x:f>
        <x:v>54.527357156881536</x:v>
      </x:c>
      <x:c r="D166" t="str">
        <x:f>IF(D$1="","",IFERROR(INDEX('包络曲线数据'!$B$2:$K$742,ROW()-1,MATCH(D$1,'包络曲线数据'!$B$1:$K$1,0)),""))</x:f>
      </x:c>
      <x:c r="E166" t="str">
        <x:f>IF(E$1="","",IFERROR(INDEX('包络曲线数据'!$B$2:$K$742,ROW()-1,MATCH(E$1,'包络曲线数据'!$B$1:$K$1,0)),""))</x:f>
      </x:c>
      <x:c r="F166" t="str">
        <x:f>IF(F$1="","",IFERROR(INDEX('包络曲线数据'!$B$2:$K$742,ROW()-1,MATCH(F$1,'包络曲线数据'!$B$1:$K$1,0)),""))</x:f>
      </x:c>
      <x:c r="G166" t="str">
        <x:f>IF(G$1="","",IFERROR(INDEX('包络曲线数据'!$B$2:$K$742,ROW()-1,MATCH(G$1,'包络曲线数据'!$B$1:$K$1,0)),""))</x:f>
      </x:c>
    </x:row>
    <x:row r="167">
      <x:c r="A167" t="n">
        <x:v>16.5</x:v>
      </x:c>
      <x:c r="B167" t="n">
        <x:f>IF(B$1="","",IFERROR(INDEX('包络曲线数据'!$B$2:$K$742,ROW()-1,MATCH(B$1,'包络曲线数据'!$B$1:$K$1,0)),""))</x:f>
        <x:v>66.40870381677051</x:v>
      </x:c>
      <x:c r="C167" t="n">
        <x:f>IF(C$1="","",IFERROR(INDEX('包络曲线数据'!$B$2:$K$742,ROW()-1,MATCH(C$1,'包络曲线数据'!$B$1:$K$1,0)),""))</x:f>
        <x:v>56.178385118699964</x:v>
      </x:c>
      <x:c r="D167" t="str">
        <x:f>IF(D$1="","",IFERROR(INDEX('包络曲线数据'!$B$2:$K$742,ROW()-1,MATCH(D$1,'包络曲线数据'!$B$1:$K$1,0)),""))</x:f>
      </x:c>
      <x:c r="E167" t="str">
        <x:f>IF(E$1="","",IFERROR(INDEX('包络曲线数据'!$B$2:$K$742,ROW()-1,MATCH(E$1,'包络曲线数据'!$B$1:$K$1,0)),""))</x:f>
      </x:c>
      <x:c r="F167" t="str">
        <x:f>IF(F$1="","",IFERROR(INDEX('包络曲线数据'!$B$2:$K$742,ROW()-1,MATCH(F$1,'包络曲线数据'!$B$1:$K$1,0)),""))</x:f>
      </x:c>
      <x:c r="G167" t="str">
        <x:f>IF(G$1="","",IFERROR(INDEX('包络曲线数据'!$B$2:$K$742,ROW()-1,MATCH(G$1,'包络曲线数据'!$B$1:$K$1,0)),""))</x:f>
      </x:c>
    </x:row>
    <x:row r="168">
      <x:c r="A168" t="n">
        <x:v>16.6</x:v>
      </x:c>
      <x:c r="B168" t="n">
        <x:f>IF(B$1="","",IFERROR(INDEX('包络曲线数据'!$B$2:$K$742,ROW()-1,MATCH(B$1,'包络曲线数据'!$B$1:$K$1,0)),""))</x:f>
        <x:v>78.55512848885292</x:v>
      </x:c>
      <x:c r="C168" t="n">
        <x:f>IF(C$1="","",IFERROR(INDEX('包络曲线数据'!$B$2:$K$742,ROW()-1,MATCH(C$1,'包络曲线数据'!$B$1:$K$1,0)),""))</x:f>
        <x:v>57.82941308051845</x:v>
      </x:c>
      <x:c r="D168" t="str">
        <x:f>IF(D$1="","",IFERROR(INDEX('包络曲线数据'!$B$2:$K$742,ROW()-1,MATCH(D$1,'包络曲线数据'!$B$1:$K$1,0)),""))</x:f>
      </x:c>
      <x:c r="E168" t="str">
        <x:f>IF(E$1="","",IFERROR(INDEX('包络曲线数据'!$B$2:$K$742,ROW()-1,MATCH(E$1,'包络曲线数据'!$B$1:$K$1,0)),""))</x:f>
      </x:c>
      <x:c r="F168" t="str">
        <x:f>IF(F$1="","",IFERROR(INDEX('包络曲线数据'!$B$2:$K$742,ROW()-1,MATCH(F$1,'包络曲线数据'!$B$1:$K$1,0)),""))</x:f>
      </x:c>
      <x:c r="G168" t="str">
        <x:f>IF(G$1="","",IFERROR(INDEX('包络曲线数据'!$B$2:$K$742,ROW()-1,MATCH(G$1,'包络曲线数据'!$B$1:$K$1,0)),""))</x:f>
      </x:c>
    </x:row>
    <x:row r="169">
      <x:c r="A169" t="n">
        <x:v>16.7</x:v>
      </x:c>
      <x:c r="B169" t="n">
        <x:f>IF(B$1="","",IFERROR(INDEX('包络曲线数据'!$B$2:$K$742,ROW()-1,MATCH(B$1,'包络曲线数据'!$B$1:$K$1,0)),""))</x:f>
        <x:v>79.22030999645517</x:v>
      </x:c>
      <x:c r="C169" t="n">
        <x:f>IF(C$1="","",IFERROR(INDEX('包络曲线数据'!$B$2:$K$742,ROW()-1,MATCH(C$1,'包络曲线数据'!$B$1:$K$1,0)),""))</x:f>
        <x:v>59.48044104233688</x:v>
      </x:c>
      <x:c r="D169" t="str">
        <x:f>IF(D$1="","",IFERROR(INDEX('包络曲线数据'!$B$2:$K$742,ROW()-1,MATCH(D$1,'包络曲线数据'!$B$1:$K$1,0)),""))</x:f>
      </x:c>
      <x:c r="E169" t="str">
        <x:f>IF(E$1="","",IFERROR(INDEX('包络曲线数据'!$B$2:$K$742,ROW()-1,MATCH(E$1,'包络曲线数据'!$B$1:$K$1,0)),""))</x:f>
      </x:c>
      <x:c r="F169" t="str">
        <x:f>IF(F$1="","",IFERROR(INDEX('包络曲线数据'!$B$2:$K$742,ROW()-1,MATCH(F$1,'包络曲线数据'!$B$1:$K$1,0)),""))</x:f>
      </x:c>
      <x:c r="G169" t="str">
        <x:f>IF(G$1="","",IFERROR(INDEX('包络曲线数据'!$B$2:$K$742,ROW()-1,MATCH(G$1,'包络曲线数据'!$B$1:$K$1,0)),""))</x:f>
      </x:c>
    </x:row>
    <x:row r="170">
      <x:c r="A170" t="n">
        <x:v>16.8</x:v>
      </x:c>
      <x:c r="B170" t="n">
        <x:f>IF(B$1="","",IFERROR(INDEX('包络曲线数据'!$B$2:$K$742,ROW()-1,MATCH(B$1,'包络曲线数据'!$B$1:$K$1,0)),""))</x:f>
        <x:v>77.93858477304718</x:v>
      </x:c>
      <x:c r="C170" t="n">
        <x:f>IF(C$1="","",IFERROR(INDEX('包络曲线数据'!$B$2:$K$742,ROW()-1,MATCH(C$1,'包络曲线数据'!$B$1:$K$1,0)),""))</x:f>
        <x:v>61.13146900415537</x:v>
      </x:c>
      <x:c r="D170" t="str">
        <x:f>IF(D$1="","",IFERROR(INDEX('包络曲线数据'!$B$2:$K$742,ROW()-1,MATCH(D$1,'包络曲线数据'!$B$1:$K$1,0)),""))</x:f>
      </x:c>
      <x:c r="E170" t="str">
        <x:f>IF(E$1="","",IFERROR(INDEX('包络曲线数据'!$B$2:$K$742,ROW()-1,MATCH(E$1,'包络曲线数据'!$B$1:$K$1,0)),""))</x:f>
      </x:c>
      <x:c r="F170" t="str">
        <x:f>IF(F$1="","",IFERROR(INDEX('包络曲线数据'!$B$2:$K$742,ROW()-1,MATCH(F$1,'包络曲线数据'!$B$1:$K$1,0)),""))</x:f>
      </x:c>
      <x:c r="G170" t="str">
        <x:f>IF(G$1="","",IFERROR(INDEX('包络曲线数据'!$B$2:$K$742,ROW()-1,MATCH(G$1,'包络曲线数据'!$B$1:$K$1,0)),""))</x:f>
      </x:c>
    </x:row>
    <x:row r="171">
      <x:c r="A171" t="n">
        <x:v>16.900000000000002</x:v>
      </x:c>
      <x:c r="B171" t="n">
        <x:f>IF(B$1="","",IFERROR(INDEX('包络曲线数据'!$B$2:$K$742,ROW()-1,MATCH(B$1,'包络曲线数据'!$B$1:$K$1,0)),""))</x:f>
        <x:v>64.95616214490695</x:v>
      </x:c>
      <x:c r="C171" t="n">
        <x:f>IF(C$1="","",IFERROR(INDEX('包络曲线数据'!$B$2:$K$742,ROW()-1,MATCH(C$1,'包络曲线数据'!$B$1:$K$1,0)),""))</x:f>
        <x:v>61.46167459651905</x:v>
      </x:c>
      <x:c r="D171" t="str">
        <x:f>IF(D$1="","",IFERROR(INDEX('包络曲线数据'!$B$2:$K$742,ROW()-1,MATCH(D$1,'包络曲线数据'!$B$1:$K$1,0)),""))</x:f>
      </x:c>
      <x:c r="E171" t="str">
        <x:f>IF(E$1="","",IFERROR(INDEX('包络曲线数据'!$B$2:$K$742,ROW()-1,MATCH(E$1,'包络曲线数据'!$B$1:$K$1,0)),""))</x:f>
      </x:c>
      <x:c r="F171" t="str">
        <x:f>IF(F$1="","",IFERROR(INDEX('包络曲线数据'!$B$2:$K$742,ROW()-1,MATCH(F$1,'包络曲线数据'!$B$1:$K$1,0)),""))</x:f>
      </x:c>
      <x:c r="G171" t="str">
        <x:f>IF(G$1="","",IFERROR(INDEX('包络曲线数据'!$B$2:$K$742,ROW()-1,MATCH(G$1,'包络曲线数据'!$B$1:$K$1,0)),""))</x:f>
      </x:c>
    </x:row>
    <x:row r="172">
      <x:c r="A172" t="n">
        <x:v>17</x:v>
      </x:c>
      <x:c r="B172" t="n">
        <x:f>IF(B$1="","",IFERROR(INDEX('包络曲线数据'!$B$2:$K$742,ROW()-1,MATCH(B$1,'包络曲线数据'!$B$1:$K$1,0)),""))</x:f>
        <x:v>56.87417890214241</x:v>
      </x:c>
      <x:c r="C172" t="n">
        <x:f>IF(C$1="","",IFERROR(INDEX('包络曲线数据'!$B$2:$K$742,ROW()-1,MATCH(C$1,'包络曲线数据'!$B$1:$K$1,0)),""))</x:f>
        <x:v>54.04848858700299</x:v>
      </x:c>
      <x:c r="D172" t="str">
        <x:f>IF(D$1="","",IFERROR(INDEX('包络曲线数据'!$B$2:$K$742,ROW()-1,MATCH(D$1,'包络曲线数据'!$B$1:$K$1,0)),""))</x:f>
      </x:c>
      <x:c r="E172" t="str">
        <x:f>IF(E$1="","",IFERROR(INDEX('包络曲线数据'!$B$2:$K$742,ROW()-1,MATCH(E$1,'包络曲线数据'!$B$1:$K$1,0)),""))</x:f>
      </x:c>
      <x:c r="F172" t="str">
        <x:f>IF(F$1="","",IFERROR(INDEX('包络曲线数据'!$B$2:$K$742,ROW()-1,MATCH(F$1,'包络曲线数据'!$B$1:$K$1,0)),""))</x:f>
      </x:c>
      <x:c r="G172" t="str">
        <x:f>IF(G$1="","",IFERROR(INDEX('包络曲线数据'!$B$2:$K$742,ROW()-1,MATCH(G$1,'包络曲线数据'!$B$1:$K$1,0)),""))</x:f>
      </x:c>
    </x:row>
    <x:row r="173">
      <x:c r="A173" t="n">
        <x:v>17.1</x:v>
      </x:c>
      <x:c r="B173" t="n">
        <x:f>IF(B$1="","",IFERROR(INDEX('包络曲线数据'!$B$2:$K$742,ROW()-1,MATCH(B$1,'包络曲线数据'!$B$1:$K$1,0)),""))</x:f>
        <x:v>52.522990877952246</x:v>
      </x:c>
      <x:c r="C173" t="n">
        <x:f>IF(C$1="","",IFERROR(INDEX('包络曲线数据'!$B$2:$K$742,ROW()-1,MATCH(C$1,'包络曲线数据'!$B$1:$K$1,0)),""))</x:f>
        <x:v>66.4704078702974</x:v>
      </x:c>
      <x:c r="D173" t="str">
        <x:f>IF(D$1="","",IFERROR(INDEX('包络曲线数据'!$B$2:$K$742,ROW()-1,MATCH(D$1,'包络曲线数据'!$B$1:$K$1,0)),""))</x:f>
      </x:c>
      <x:c r="E173" t="str">
        <x:f>IF(E$1="","",IFERROR(INDEX('包络曲线数据'!$B$2:$K$742,ROW()-1,MATCH(E$1,'包络曲线数据'!$B$1:$K$1,0)),""))</x:f>
      </x:c>
      <x:c r="F173" t="str">
        <x:f>IF(F$1="","",IFERROR(INDEX('包络曲线数据'!$B$2:$K$742,ROW()-1,MATCH(F$1,'包络曲线数据'!$B$1:$K$1,0)),""))</x:f>
      </x:c>
      <x:c r="G173" t="str">
        <x:f>IF(G$1="","",IFERROR(INDEX('包络曲线数据'!$B$2:$K$742,ROW()-1,MATCH(G$1,'包络曲线数据'!$B$1:$K$1,0)),""))</x:f>
      </x:c>
    </x:row>
    <x:row r="174">
      <x:c r="A174" t="n">
        <x:v>17.2</x:v>
      </x:c>
      <x:c r="B174" t="n">
        <x:f>IF(B$1="","",IFERROR(INDEX('包络曲线数据'!$B$2:$K$742,ROW()-1,MATCH(B$1,'包络曲线数据'!$B$1:$K$1,0)),""))</x:f>
        <x:v>53.2058785700153</x:v>
      </x:c>
      <x:c r="C174" t="n">
        <x:f>IF(C$1="","",IFERROR(INDEX('包络曲线数据'!$B$2:$K$742,ROW()-1,MATCH(C$1,'包络曲线数据'!$B$1:$K$1,0)),""))</x:f>
        <x:v>71.43917558361497</x:v>
      </x:c>
      <x:c r="D174" t="str">
        <x:f>IF(D$1="","",IFERROR(INDEX('包络曲线数据'!$B$2:$K$742,ROW()-1,MATCH(D$1,'包络曲线数据'!$B$1:$K$1,0)),""))</x:f>
      </x:c>
      <x:c r="E174" t="str">
        <x:f>IF(E$1="","",IFERROR(INDEX('包络曲线数据'!$B$2:$K$742,ROW()-1,MATCH(E$1,'包络曲线数据'!$B$1:$K$1,0)),""))</x:f>
      </x:c>
      <x:c r="F174" t="str">
        <x:f>IF(F$1="","",IFERROR(INDEX('包络曲线数据'!$B$2:$K$742,ROW()-1,MATCH(F$1,'包络曲线数据'!$B$1:$K$1,0)),""))</x:f>
      </x:c>
      <x:c r="G174" t="str">
        <x:f>IF(G$1="","",IFERROR(INDEX('包络曲线数据'!$B$2:$K$742,ROW()-1,MATCH(G$1,'包络曲线数据'!$B$1:$K$1,0)),""))</x:f>
      </x:c>
    </x:row>
    <x:row r="175">
      <x:c r="A175" t="n">
        <x:v>17.3</x:v>
      </x:c>
      <x:c r="B175" t="n">
        <x:f>IF(B$1="","",IFERROR(INDEX('包络曲线数据'!$B$2:$K$742,ROW()-1,MATCH(B$1,'包络曲线数据'!$B$1:$K$1,0)),""))</x:f>
        <x:v>53.88876626207837</x:v>
      </x:c>
      <x:c r="C175" t="n">
        <x:f>IF(C$1="","",IFERROR(INDEX('包络曲线数据'!$B$2:$K$742,ROW()-1,MATCH(C$1,'包络曲线数据'!$B$1:$K$1,0)),""))</x:f>
        <x:v>71.43917558361497</x:v>
      </x:c>
      <x:c r="D175" t="str">
        <x:f>IF(D$1="","",IFERROR(INDEX('包络曲线数据'!$B$2:$K$742,ROW()-1,MATCH(D$1,'包络曲线数据'!$B$1:$K$1,0)),""))</x:f>
      </x:c>
      <x:c r="E175" t="str">
        <x:f>IF(E$1="","",IFERROR(INDEX('包络曲线数据'!$B$2:$K$742,ROW()-1,MATCH(E$1,'包络曲线数据'!$B$1:$K$1,0)),""))</x:f>
      </x:c>
      <x:c r="F175" t="str">
        <x:f>IF(F$1="","",IFERROR(INDEX('包络曲线数据'!$B$2:$K$742,ROW()-1,MATCH(F$1,'包络曲线数据'!$B$1:$K$1,0)),""))</x:f>
      </x:c>
      <x:c r="G175" t="str">
        <x:f>IF(G$1="","",IFERROR(INDEX('包络曲线数据'!$B$2:$K$742,ROW()-1,MATCH(G$1,'包络曲线数据'!$B$1:$K$1,0)),""))</x:f>
      </x:c>
    </x:row>
    <x:row r="176">
      <x:c r="A176" t="n">
        <x:v>17.400000000000002</x:v>
      </x:c>
      <x:c r="B176" t="n">
        <x:f>IF(B$1="","",IFERROR(INDEX('包络曲线数据'!$B$2:$K$742,ROW()-1,MATCH(B$1,'包络曲线数据'!$B$1:$K$1,0)),""))</x:f>
        <x:v>59.24526113877466</x:v>
      </x:c>
      <x:c r="C176" t="n">
        <x:f>IF(C$1="","",IFERROR(INDEX('包络曲线数据'!$B$2:$K$742,ROW()-1,MATCH(C$1,'包络曲线数据'!$B$1:$K$1,0)),""))</x:f>
        <x:v>65.98878082222457</x:v>
      </x:c>
      <x:c r="D176" t="str">
        <x:f>IF(D$1="","",IFERROR(INDEX('包络曲线数据'!$B$2:$K$742,ROW()-1,MATCH(D$1,'包络曲线数据'!$B$1:$K$1,0)),""))</x:f>
      </x:c>
      <x:c r="E176" t="str">
        <x:f>IF(E$1="","",IFERROR(INDEX('包络曲线数据'!$B$2:$K$742,ROW()-1,MATCH(E$1,'包络曲线数据'!$B$1:$K$1,0)),""))</x:f>
      </x:c>
      <x:c r="F176" t="str">
        <x:f>IF(F$1="","",IFERROR(INDEX('包络曲线数据'!$B$2:$K$742,ROW()-1,MATCH(F$1,'包络曲线数据'!$B$1:$K$1,0)),""))</x:f>
      </x:c>
      <x:c r="G176" t="str">
        <x:f>IF(G$1="","",IFERROR(INDEX('包络曲线数据'!$B$2:$K$742,ROW()-1,MATCH(G$1,'包络曲线数据'!$B$1:$K$1,0)),""))</x:f>
      </x:c>
    </x:row>
    <x:row r="177">
      <x:c r="A177" t="n">
        <x:v>17.5</x:v>
      </x:c>
      <x:c r="B177" t="n">
        <x:f>IF(B$1="","",IFERROR(INDEX('包络曲线数据'!$B$2:$K$742,ROW()-1,MATCH(B$1,'包络曲线数据'!$B$1:$K$1,0)),""))</x:f>
        <x:v>59.224660701945986</x:v>
      </x:c>
      <x:c r="C177" t="n">
        <x:f>IF(C$1="","",IFERROR(INDEX('包络曲线数据'!$B$2:$K$742,ROW()-1,MATCH(C$1,'包络曲线数据'!$B$1:$K$1,0)),""))</x:f>
        <x:v>63.6835420161525</x:v>
      </x:c>
      <x:c r="D177" t="str">
        <x:f>IF(D$1="","",IFERROR(INDEX('包络曲线数据'!$B$2:$K$742,ROW()-1,MATCH(D$1,'包络曲线数据'!$B$1:$K$1,0)),""))</x:f>
      </x:c>
      <x:c r="E177" t="str">
        <x:f>IF(E$1="","",IFERROR(INDEX('包络曲线数据'!$B$2:$K$742,ROW()-1,MATCH(E$1,'包络曲线数据'!$B$1:$K$1,0)),""))</x:f>
      </x:c>
      <x:c r="F177" t="str">
        <x:f>IF(F$1="","",IFERROR(INDEX('包络曲线数据'!$B$2:$K$742,ROW()-1,MATCH(F$1,'包络曲线数据'!$B$1:$K$1,0)),""))</x:f>
      </x:c>
      <x:c r="G177" t="str">
        <x:f>IF(G$1="","",IFERROR(INDEX('包络曲线数据'!$B$2:$K$742,ROW()-1,MATCH(G$1,'包络曲线数据'!$B$1:$K$1,0)),""))</x:f>
      </x:c>
    </x:row>
    <x:row r="178">
      <x:c r="A178" t="n">
        <x:v>17.6</x:v>
      </x:c>
      <x:c r="B178" t="n">
        <x:f>IF(B$1="","",IFERROR(INDEX('包络曲线数据'!$B$2:$K$742,ROW()-1,MATCH(B$1,'包络曲线数据'!$B$1:$K$1,0)),""))</x:f>
        <x:v>50</x:v>
      </x:c>
      <x:c r="C178" t="n">
        <x:f>IF(C$1="","",IFERROR(INDEX('包络曲线数据'!$B$2:$K$742,ROW()-1,MATCH(C$1,'包络曲线数据'!$B$1:$K$1,0)),""))</x:f>
        <x:v>63.74347982582015</x:v>
      </x:c>
      <x:c r="D178" t="str">
        <x:f>IF(D$1="","",IFERROR(INDEX('包络曲线数据'!$B$2:$K$742,ROW()-1,MATCH(D$1,'包络曲线数据'!$B$1:$K$1,0)),""))</x:f>
      </x:c>
      <x:c r="E178" t="str">
        <x:f>IF(E$1="","",IFERROR(INDEX('包络曲线数据'!$B$2:$K$742,ROW()-1,MATCH(E$1,'包络曲线数据'!$B$1:$K$1,0)),""))</x:f>
      </x:c>
      <x:c r="F178" t="str">
        <x:f>IF(F$1="","",IFERROR(INDEX('包络曲线数据'!$B$2:$K$742,ROW()-1,MATCH(F$1,'包络曲线数据'!$B$1:$K$1,0)),""))</x:f>
      </x:c>
      <x:c r="G178" t="str">
        <x:f>IF(G$1="","",IFERROR(INDEX('包络曲线数据'!$B$2:$K$742,ROW()-1,MATCH(G$1,'包络曲线数据'!$B$1:$K$1,0)),""))</x:f>
      </x:c>
    </x:row>
    <x:row r="179">
      <x:c r="A179" t="n">
        <x:v>17.7</x:v>
      </x:c>
      <x:c r="B179" t="n">
        <x:f>IF(B$1="","",IFERROR(INDEX('包络曲线数据'!$B$2:$K$742,ROW()-1,MATCH(B$1,'包络曲线数据'!$B$1:$K$1,0)),""))</x:f>
        <x:v>50</x:v>
      </x:c>
      <x:c r="C179" t="n">
        <x:f>IF(C$1="","",IFERROR(INDEX('包络曲线数据'!$B$2:$K$742,ROW()-1,MATCH(C$1,'包络曲线数据'!$B$1:$K$1,0)),""))</x:f>
        <x:v>65.00506077243729</x:v>
      </x:c>
      <x:c r="D179" t="str">
        <x:f>IF(D$1="","",IFERROR(INDEX('包络曲线数据'!$B$2:$K$742,ROW()-1,MATCH(D$1,'包络曲线数据'!$B$1:$K$1,0)),""))</x:f>
      </x:c>
      <x:c r="E179" t="str">
        <x:f>IF(E$1="","",IFERROR(INDEX('包络曲线数据'!$B$2:$K$742,ROW()-1,MATCH(E$1,'包络曲线数据'!$B$1:$K$1,0)),""))</x:f>
      </x:c>
      <x:c r="F179" t="str">
        <x:f>IF(F$1="","",IFERROR(INDEX('包络曲线数据'!$B$2:$K$742,ROW()-1,MATCH(F$1,'包络曲线数据'!$B$1:$K$1,0)),""))</x:f>
      </x:c>
      <x:c r="G179" t="str">
        <x:f>IF(G$1="","",IFERROR(INDEX('包络曲线数据'!$B$2:$K$742,ROW()-1,MATCH(G$1,'包络曲线数据'!$B$1:$K$1,0)),""))</x:f>
      </x:c>
    </x:row>
    <x:row r="180">
      <x:c r="A180" t="n">
        <x:v>17.8</x:v>
      </x:c>
      <x:c r="B180" t="n">
        <x:f>IF(B$1="","",IFERROR(INDEX('包络曲线数据'!$B$2:$K$742,ROW()-1,MATCH(B$1,'包络曲线数据'!$B$1:$K$1,0)),""))</x:f>
        <x:v>73.10451860117277</x:v>
      </x:c>
      <x:c r="C180" t="n">
        <x:f>IF(C$1="","",IFERROR(INDEX('包络曲线数据'!$B$2:$K$742,ROW()-1,MATCH(C$1,'包络曲线数据'!$B$1:$K$1,0)),""))</x:f>
        <x:v>65.23744405405927</x:v>
      </x:c>
      <x:c r="D180" t="str">
        <x:f>IF(D$1="","",IFERROR(INDEX('包络曲线数据'!$B$2:$K$742,ROW()-1,MATCH(D$1,'包络曲线数据'!$B$1:$K$1,0)),""))</x:f>
      </x:c>
      <x:c r="E180" t="str">
        <x:f>IF(E$1="","",IFERROR(INDEX('包络曲线数据'!$B$2:$K$742,ROW()-1,MATCH(E$1,'包络曲线数据'!$B$1:$K$1,0)),""))</x:f>
      </x:c>
      <x:c r="F180" t="str">
        <x:f>IF(F$1="","",IFERROR(INDEX('包络曲线数据'!$B$2:$K$742,ROW()-1,MATCH(F$1,'包络曲线数据'!$B$1:$K$1,0)),""))</x:f>
      </x:c>
      <x:c r="G180" t="str">
        <x:f>IF(G$1="","",IFERROR(INDEX('包络曲线数据'!$B$2:$K$742,ROW()-1,MATCH(G$1,'包络曲线数据'!$B$1:$K$1,0)),""))</x:f>
      </x:c>
    </x:row>
    <x:row r="181">
      <x:c r="A181" t="n">
        <x:v>17.900000000000002</x:v>
      </x:c>
      <x:c r="B181" t="n">
        <x:f>IF(B$1="","",IFERROR(INDEX('包络曲线数据'!$B$2:$K$742,ROW()-1,MATCH(B$1,'包络曲线数据'!$B$1:$K$1,0)),""))</x:f>
        <x:v>73.8713036549877</x:v>
      </x:c>
      <x:c r="C181" t="n">
        <x:f>IF(C$1="","",IFERROR(INDEX('包络曲线数据'!$B$2:$K$742,ROW()-1,MATCH(C$1,'包络曲线数据'!$B$1:$K$1,0)),""))</x:f>
        <x:v>64.81561166098157</x:v>
      </x:c>
      <x:c r="D181" t="str">
        <x:f>IF(D$1="","",IFERROR(INDEX('包络曲线数据'!$B$2:$K$742,ROW()-1,MATCH(D$1,'包络曲线数据'!$B$1:$K$1,0)),""))</x:f>
      </x:c>
      <x:c r="E181" t="str">
        <x:f>IF(E$1="","",IFERROR(INDEX('包络曲线数据'!$B$2:$K$742,ROW()-1,MATCH(E$1,'包络曲线数据'!$B$1:$K$1,0)),""))</x:f>
      </x:c>
      <x:c r="F181" t="str">
        <x:f>IF(F$1="","",IFERROR(INDEX('包络曲线数据'!$B$2:$K$742,ROW()-1,MATCH(F$1,'包络曲线数据'!$B$1:$K$1,0)),""))</x:f>
      </x:c>
      <x:c r="G181" t="str">
        <x:f>IF(G$1="","",IFERROR(INDEX('包络曲线数据'!$B$2:$K$742,ROW()-1,MATCH(G$1,'包络曲线数据'!$B$1:$K$1,0)),""))</x:f>
      </x:c>
    </x:row>
    <x:row r="182">
      <x:c r="A182" t="n">
        <x:v>18</x:v>
      </x:c>
      <x:c r="B182" t="n">
        <x:f>IF(B$1="","",IFERROR(INDEX('包络曲线数据'!$B$2:$K$742,ROW()-1,MATCH(B$1,'包络曲线数据'!$B$1:$K$1,0)),""))</x:f>
        <x:v>72.87716810009958</x:v>
      </x:c>
      <x:c r="C182" t="n">
        <x:f>IF(C$1="","",IFERROR(INDEX('包络曲线数据'!$B$2:$K$742,ROW()-1,MATCH(C$1,'包络曲线数据'!$B$1:$K$1,0)),""))</x:f>
        <x:v>65.79222826808738</x:v>
      </x:c>
      <x:c r="D182" t="str">
        <x:f>IF(D$1="","",IFERROR(INDEX('包络曲线数据'!$B$2:$K$742,ROW()-1,MATCH(D$1,'包络曲线数据'!$B$1:$K$1,0)),""))</x:f>
      </x:c>
      <x:c r="E182" t="str">
        <x:f>IF(E$1="","",IFERROR(INDEX('包络曲线数据'!$B$2:$K$742,ROW()-1,MATCH(E$1,'包络曲线数据'!$B$1:$K$1,0)),""))</x:f>
      </x:c>
      <x:c r="F182" t="str">
        <x:f>IF(F$1="","",IFERROR(INDEX('包络曲线数据'!$B$2:$K$742,ROW()-1,MATCH(F$1,'包络曲线数据'!$B$1:$K$1,0)),""))</x:f>
      </x:c>
      <x:c r="G182" t="str">
        <x:f>IF(G$1="","",IFERROR(INDEX('包络曲线数据'!$B$2:$K$742,ROW()-1,MATCH(G$1,'包络曲线数据'!$B$1:$K$1,0)),""))</x:f>
      </x:c>
    </x:row>
    <x:row r="183">
      <x:c r="A183" t="n">
        <x:v>18.1</x:v>
      </x:c>
      <x:c r="B183" t="n">
        <x:f>IF(B$1="","",IFERROR(INDEX('包络曲线数据'!$B$2:$K$742,ROW()-1,MATCH(B$1,'包络曲线数据'!$B$1:$K$1,0)),""))</x:f>
        <x:v>67.24540475719962</x:v>
      </x:c>
      <x:c r="C183" t="n">
        <x:f>IF(C$1="","",IFERROR(INDEX('包络曲线数据'!$B$2:$K$742,ROW()-1,MATCH(C$1,'包络曲线数据'!$B$1:$K$1,0)),""))</x:f>
        <x:v>65.79222826808738</x:v>
      </x:c>
      <x:c r="D183" t="str">
        <x:f>IF(D$1="","",IFERROR(INDEX('包络曲线数据'!$B$2:$K$742,ROW()-1,MATCH(D$1,'包络曲线数据'!$B$1:$K$1,0)),""))</x:f>
      </x:c>
      <x:c r="E183" t="str">
        <x:f>IF(E$1="","",IFERROR(INDEX('包络曲线数据'!$B$2:$K$742,ROW()-1,MATCH(E$1,'包络曲线数据'!$B$1:$K$1,0)),""))</x:f>
      </x:c>
      <x:c r="F183" t="str">
        <x:f>IF(F$1="","",IFERROR(INDEX('包络曲线数据'!$B$2:$K$742,ROW()-1,MATCH(F$1,'包络曲线数据'!$B$1:$K$1,0)),""))</x:f>
      </x:c>
      <x:c r="G183" t="str">
        <x:f>IF(G$1="","",IFERROR(INDEX('包络曲线数据'!$B$2:$K$742,ROW()-1,MATCH(G$1,'包络曲线数据'!$B$1:$K$1,0)),""))</x:f>
      </x:c>
    </x:row>
    <x:row r="184">
      <x:c r="A184" t="n">
        <x:v>18.2</x:v>
      </x:c>
      <x:c r="B184" t="n">
        <x:f>IF(B$1="","",IFERROR(INDEX('包络曲线数据'!$B$2:$K$742,ROW()-1,MATCH(B$1,'包络曲线数据'!$B$1:$K$1,0)),""))</x:f>
        <x:v>60.88678946826682</x:v>
      </x:c>
      <x:c r="C184" t="n">
        <x:f>IF(C$1="","",IFERROR(INDEX('包络曲线数据'!$B$2:$K$742,ROW()-1,MATCH(C$1,'包络曲线数据'!$B$1:$K$1,0)),""))</x:f>
        <x:v>65.59839360963383</x:v>
      </x:c>
      <x:c r="D184" t="str">
        <x:f>IF(D$1="","",IFERROR(INDEX('包络曲线数据'!$B$2:$K$742,ROW()-1,MATCH(D$1,'包络曲线数据'!$B$1:$K$1,0)),""))</x:f>
      </x:c>
      <x:c r="E184" t="str">
        <x:f>IF(E$1="","",IFERROR(INDEX('包络曲线数据'!$B$2:$K$742,ROW()-1,MATCH(E$1,'包络曲线数据'!$B$1:$K$1,0)),""))</x:f>
      </x:c>
      <x:c r="F184" t="str">
        <x:f>IF(F$1="","",IFERROR(INDEX('包络曲线数据'!$B$2:$K$742,ROW()-1,MATCH(F$1,'包络曲线数据'!$B$1:$K$1,0)),""))</x:f>
      </x:c>
      <x:c r="G184" t="str">
        <x:f>IF(G$1="","",IFERROR(INDEX('包络曲线数据'!$B$2:$K$742,ROW()-1,MATCH(G$1,'包络曲线数据'!$B$1:$K$1,0)),""))</x:f>
      </x:c>
    </x:row>
    <x:row r="185">
      <x:c r="A185" t="n">
        <x:v>18.3</x:v>
      </x:c>
      <x:c r="B185" t="n">
        <x:f>IF(B$1="","",IFERROR(INDEX('包络曲线数据'!$B$2:$K$742,ROW()-1,MATCH(B$1,'包络曲线数据'!$B$1:$K$1,0)),""))</x:f>
        <x:v>64.51661208583054</x:v>
      </x:c>
      <x:c r="C185" t="n">
        <x:f>IF(C$1="","",IFERROR(INDEX('包络曲线数据'!$B$2:$K$742,ROW()-1,MATCH(C$1,'包络曲线数据'!$B$1:$K$1,0)),""))</x:f>
        <x:v>65.59839360963383</x:v>
      </x:c>
      <x:c r="D185" t="str">
        <x:f>IF(D$1="","",IFERROR(INDEX('包络曲线数据'!$B$2:$K$742,ROW()-1,MATCH(D$1,'包络曲线数据'!$B$1:$K$1,0)),""))</x:f>
      </x:c>
      <x:c r="E185" t="str">
        <x:f>IF(E$1="","",IFERROR(INDEX('包络曲线数据'!$B$2:$K$742,ROW()-1,MATCH(E$1,'包络曲线数据'!$B$1:$K$1,0)),""))</x:f>
      </x:c>
      <x:c r="F185" t="str">
        <x:f>IF(F$1="","",IFERROR(INDEX('包络曲线数据'!$B$2:$K$742,ROW()-1,MATCH(F$1,'包络曲线数据'!$B$1:$K$1,0)),""))</x:f>
      </x:c>
      <x:c r="G185" t="str">
        <x:f>IF(G$1="","",IFERROR(INDEX('包络曲线数据'!$B$2:$K$742,ROW()-1,MATCH(G$1,'包络曲线数据'!$B$1:$K$1,0)),""))</x:f>
      </x:c>
    </x:row>
    <x:row r="186">
      <x:c r="A186" t="n">
        <x:v>18.400000000000002</x:v>
      </x:c>
      <x:c r="B186" t="n">
        <x:f>IF(B$1="","",IFERROR(INDEX('包络曲线数据'!$B$2:$K$742,ROW()-1,MATCH(B$1,'包络曲线数据'!$B$1:$K$1,0)),""))</x:f>
        <x:v>64.51661208583056</x:v>
      </x:c>
      <x:c r="C186" t="n">
        <x:f>IF(C$1="","",IFERROR(INDEX('包络曲线数据'!$B$2:$K$742,ROW()-1,MATCH(C$1,'包络曲线数据'!$B$1:$K$1,0)),""))</x:f>
        <x:v>65.090649783186</x:v>
      </x:c>
      <x:c r="D186" t="str">
        <x:f>IF(D$1="","",IFERROR(INDEX('包络曲线数据'!$B$2:$K$742,ROW()-1,MATCH(D$1,'包络曲线数据'!$B$1:$K$1,0)),""))</x:f>
      </x:c>
      <x:c r="E186" t="str">
        <x:f>IF(E$1="","",IFERROR(INDEX('包络曲线数据'!$B$2:$K$742,ROW()-1,MATCH(E$1,'包络曲线数据'!$B$1:$K$1,0)),""))</x:f>
      </x:c>
      <x:c r="F186" t="str">
        <x:f>IF(F$1="","",IFERROR(INDEX('包络曲线数据'!$B$2:$K$742,ROW()-1,MATCH(F$1,'包络曲线数据'!$B$1:$K$1,0)),""))</x:f>
      </x:c>
      <x:c r="G186" t="str">
        <x:f>IF(G$1="","",IFERROR(INDEX('包络曲线数据'!$B$2:$K$742,ROW()-1,MATCH(G$1,'包络曲线数据'!$B$1:$K$1,0)),""))</x:f>
      </x:c>
    </x:row>
    <x:row r="187">
      <x:c r="A187" t="n">
        <x:v>18.5</x:v>
      </x:c>
      <x:c r="B187" t="n">
        <x:f>IF(B$1="","",IFERROR(INDEX('包络曲线数据'!$B$2:$K$742,ROW()-1,MATCH(B$1,'包络曲线数据'!$B$1:$K$1,0)),""))</x:f>
        <x:v>65.84699034238213</x:v>
      </x:c>
      <x:c r="C187" t="n">
        <x:f>IF(C$1="","",IFERROR(INDEX('包络曲线数据'!$B$2:$K$742,ROW()-1,MATCH(C$1,'包络曲线数据'!$B$1:$K$1,0)),""))</x:f>
        <x:v>65.11985801516781</x:v>
      </x:c>
      <x:c r="D187" t="str">
        <x:f>IF(D$1="","",IFERROR(INDEX('包络曲线数据'!$B$2:$K$742,ROW()-1,MATCH(D$1,'包络曲线数据'!$B$1:$K$1,0)),""))</x:f>
      </x:c>
      <x:c r="E187" t="str">
        <x:f>IF(E$1="","",IFERROR(INDEX('包络曲线数据'!$B$2:$K$742,ROW()-1,MATCH(E$1,'包络曲线数据'!$B$1:$K$1,0)),""))</x:f>
      </x:c>
      <x:c r="F187" t="str">
        <x:f>IF(F$1="","",IFERROR(INDEX('包络曲线数据'!$B$2:$K$742,ROW()-1,MATCH(F$1,'包络曲线数据'!$B$1:$K$1,0)),""))</x:f>
      </x:c>
      <x:c r="G187" t="str">
        <x:f>IF(G$1="","",IFERROR(INDEX('包络曲线数据'!$B$2:$K$742,ROW()-1,MATCH(G$1,'包络曲线数据'!$B$1:$K$1,0)),""))</x:f>
      </x:c>
    </x:row>
    <x:row r="188">
      <x:c r="A188" t="n">
        <x:v>18.6</x:v>
      </x:c>
      <x:c r="B188" t="n">
        <x:f>IF(B$1="","",IFERROR(INDEX('包络曲线数据'!$B$2:$K$742,ROW()-1,MATCH(B$1,'包络曲线数据'!$B$1:$K$1,0)),""))</x:f>
        <x:v>66.30111347593996</x:v>
      </x:c>
      <x:c r="C188" t="n">
        <x:f>IF(C$1="","",IFERROR(INDEX('包络曲线数据'!$B$2:$K$742,ROW()-1,MATCH(C$1,'包络曲线数据'!$B$1:$K$1,0)),""))</x:f>
        <x:v>66.34719326980701</x:v>
      </x:c>
      <x:c r="D188" t="str">
        <x:f>IF(D$1="","",IFERROR(INDEX('包络曲线数据'!$B$2:$K$742,ROW()-1,MATCH(D$1,'包络曲线数据'!$B$1:$K$1,0)),""))</x:f>
      </x:c>
      <x:c r="E188" t="str">
        <x:f>IF(E$1="","",IFERROR(INDEX('包络曲线数据'!$B$2:$K$742,ROW()-1,MATCH(E$1,'包络曲线数据'!$B$1:$K$1,0)),""))</x:f>
      </x:c>
      <x:c r="F188" t="str">
        <x:f>IF(F$1="","",IFERROR(INDEX('包络曲线数据'!$B$2:$K$742,ROW()-1,MATCH(F$1,'包络曲线数据'!$B$1:$K$1,0)),""))</x:f>
      </x:c>
      <x:c r="G188" t="str">
        <x:f>IF(G$1="","",IFERROR(INDEX('包络曲线数据'!$B$2:$K$742,ROW()-1,MATCH(G$1,'包络曲线数据'!$B$1:$K$1,0)),""))</x:f>
      </x:c>
    </x:row>
    <x:row r="189">
      <x:c r="A189" t="n">
        <x:v>18.7</x:v>
      </x:c>
      <x:c r="B189" t="n">
        <x:f>IF(B$1="","",IFERROR(INDEX('包络曲线数据'!$B$2:$K$742,ROW()-1,MATCH(B$1,'包络曲线数据'!$B$1:$K$1,0)),""))</x:f>
        <x:v>71.92856562700265</x:v>
      </x:c>
      <x:c r="C189" t="n">
        <x:f>IF(C$1="","",IFERROR(INDEX('包络曲线数据'!$B$2:$K$742,ROW()-1,MATCH(C$1,'包络曲线数据'!$B$1:$K$1,0)),""))</x:f>
        <x:v>66.34719326980701</x:v>
      </x:c>
      <x:c r="D189" t="str">
        <x:f>IF(D$1="","",IFERROR(INDEX('包络曲线数据'!$B$2:$K$742,ROW()-1,MATCH(D$1,'包络曲线数据'!$B$1:$K$1,0)),""))</x:f>
      </x:c>
      <x:c r="E189" t="str">
        <x:f>IF(E$1="","",IFERROR(INDEX('包络曲线数据'!$B$2:$K$742,ROW()-1,MATCH(E$1,'包络曲线数据'!$B$1:$K$1,0)),""))</x:f>
      </x:c>
      <x:c r="F189" t="str">
        <x:f>IF(F$1="","",IFERROR(INDEX('包络曲线数据'!$B$2:$K$742,ROW()-1,MATCH(F$1,'包络曲线数据'!$B$1:$K$1,0)),""))</x:f>
      </x:c>
      <x:c r="G189" t="str">
        <x:f>IF(G$1="","",IFERROR(INDEX('包络曲线数据'!$B$2:$K$742,ROW()-1,MATCH(G$1,'包络曲线数据'!$B$1:$K$1,0)),""))</x:f>
      </x:c>
    </x:row>
    <x:row r="190">
      <x:c r="A190" t="n">
        <x:v>18.8</x:v>
      </x:c>
      <x:c r="B190" t="n">
        <x:f>IF(B$1="","",IFERROR(INDEX('包络曲线数据'!$B$2:$K$742,ROW()-1,MATCH(B$1,'包络曲线数据'!$B$1:$K$1,0)),""))</x:f>
        <x:v>71.92856562700265</x:v>
      </x:c>
      <x:c r="C190" t="n">
        <x:f>IF(C$1="","",IFERROR(INDEX('包络曲线数据'!$B$2:$K$742,ROW()-1,MATCH(C$1,'包络曲线数据'!$B$1:$K$1,0)),""))</x:f>
        <x:v>63.08692136318448</x:v>
      </x:c>
      <x:c r="D190" t="str">
        <x:f>IF(D$1="","",IFERROR(INDEX('包络曲线数据'!$B$2:$K$742,ROW()-1,MATCH(D$1,'包络曲线数据'!$B$1:$K$1,0)),""))</x:f>
      </x:c>
      <x:c r="E190" t="str">
        <x:f>IF(E$1="","",IFERROR(INDEX('包络曲线数据'!$B$2:$K$742,ROW()-1,MATCH(E$1,'包络曲线数据'!$B$1:$K$1,0)),""))</x:f>
      </x:c>
      <x:c r="F190" t="str">
        <x:f>IF(F$1="","",IFERROR(INDEX('包络曲线数据'!$B$2:$K$742,ROW()-1,MATCH(F$1,'包络曲线数据'!$B$1:$K$1,0)),""))</x:f>
      </x:c>
      <x:c r="G190" t="str">
        <x:f>IF(G$1="","",IFERROR(INDEX('包络曲线数据'!$B$2:$K$742,ROW()-1,MATCH(G$1,'包络曲线数据'!$B$1:$K$1,0)),""))</x:f>
      </x:c>
    </x:row>
    <x:row r="191">
      <x:c r="A191" t="n">
        <x:v>18.900000000000002</x:v>
      </x:c>
      <x:c r="B191" t="n">
        <x:f>IF(B$1="","",IFERROR(INDEX('包络曲线数据'!$B$2:$K$742,ROW()-1,MATCH(B$1,'包络曲线数据'!$B$1:$K$1,0)),""))</x:f>
        <x:v>67.94221355029987</x:v>
      </x:c>
      <x:c r="C191" t="n">
        <x:f>IF(C$1="","",IFERROR(INDEX('包络曲线数据'!$B$2:$K$742,ROW()-1,MATCH(C$1,'包络曲线数据'!$B$1:$K$1,0)),""))</x:f>
        <x:v>82.04443522362212</x:v>
      </x:c>
      <x:c r="D191" t="str">
        <x:f>IF(D$1="","",IFERROR(INDEX('包络曲线数据'!$B$2:$K$742,ROW()-1,MATCH(D$1,'包络曲线数据'!$B$1:$K$1,0)),""))</x:f>
      </x:c>
      <x:c r="E191" t="str">
        <x:f>IF(E$1="","",IFERROR(INDEX('包络曲线数据'!$B$2:$K$742,ROW()-1,MATCH(E$1,'包络曲线数据'!$B$1:$K$1,0)),""))</x:f>
      </x:c>
      <x:c r="F191" t="str">
        <x:f>IF(F$1="","",IFERROR(INDEX('包络曲线数据'!$B$2:$K$742,ROW()-1,MATCH(F$1,'包络曲线数据'!$B$1:$K$1,0)),""))</x:f>
      </x:c>
      <x:c r="G191" t="str">
        <x:f>IF(G$1="","",IFERROR(INDEX('包络曲线数据'!$B$2:$K$742,ROW()-1,MATCH(G$1,'包络曲线数据'!$B$1:$K$1,0)),""))</x:f>
      </x:c>
    </x:row>
    <x:row r="192">
      <x:c r="A192" t="n">
        <x:v>19</x:v>
      </x:c>
      <x:c r="B192" t="n">
        <x:f>IF(B$1="","",IFERROR(INDEX('包络曲线数据'!$B$2:$K$742,ROW()-1,MATCH(B$1,'包络曲线数据'!$B$1:$K$1,0)),""))</x:f>
        <x:v>67.94221355029987</x:v>
      </x:c>
      <x:c r="C192" t="n">
        <x:f>IF(C$1="","",IFERROR(INDEX('包络曲线数据'!$B$2:$K$742,ROW()-1,MATCH(C$1,'包络曲线数据'!$B$1:$K$1,0)),""))</x:f>
        <x:v>82.04443522362212</x:v>
      </x:c>
      <x:c r="D192" t="str">
        <x:f>IF(D$1="","",IFERROR(INDEX('包络曲线数据'!$B$2:$K$742,ROW()-1,MATCH(D$1,'包络曲线数据'!$B$1:$K$1,0)),""))</x:f>
      </x:c>
      <x:c r="E192" t="str">
        <x:f>IF(E$1="","",IFERROR(INDEX('包络曲线数据'!$B$2:$K$742,ROW()-1,MATCH(E$1,'包络曲线数据'!$B$1:$K$1,0)),""))</x:f>
      </x:c>
      <x:c r="F192" t="str">
        <x:f>IF(F$1="","",IFERROR(INDEX('包络曲线数据'!$B$2:$K$742,ROW()-1,MATCH(F$1,'包络曲线数据'!$B$1:$K$1,0)),""))</x:f>
      </x:c>
      <x:c r="G192" t="str">
        <x:f>IF(G$1="","",IFERROR(INDEX('包络曲线数据'!$B$2:$K$742,ROW()-1,MATCH(G$1,'包络曲线数据'!$B$1:$K$1,0)),""))</x:f>
      </x:c>
    </x:row>
    <x:row r="193">
      <x:c r="A193" t="n">
        <x:v>19.1</x:v>
      </x:c>
      <x:c r="B193" t="n">
        <x:f>IF(B$1="","",IFERROR(INDEX('包络曲线数据'!$B$2:$K$742,ROW()-1,MATCH(B$1,'包络曲线数据'!$B$1:$K$1,0)),""))</x:f>
        <x:v>68.3164013912239</x:v>
      </x:c>
      <x:c r="C193" t="n">
        <x:f>IF(C$1="","",IFERROR(INDEX('包络曲线数据'!$B$2:$K$742,ROW()-1,MATCH(C$1,'包络曲线数据'!$B$1:$K$1,0)),""))</x:f>
        <x:v>78.02055468649168</x:v>
      </x:c>
      <x:c r="D193" t="str">
        <x:f>IF(D$1="","",IFERROR(INDEX('包络曲线数据'!$B$2:$K$742,ROW()-1,MATCH(D$1,'包络曲线数据'!$B$1:$K$1,0)),""))</x:f>
      </x:c>
      <x:c r="E193" t="str">
        <x:f>IF(E$1="","",IFERROR(INDEX('包络曲线数据'!$B$2:$K$742,ROW()-1,MATCH(E$1,'包络曲线数据'!$B$1:$K$1,0)),""))</x:f>
      </x:c>
      <x:c r="F193" t="str">
        <x:f>IF(F$1="","",IFERROR(INDEX('包络曲线数据'!$B$2:$K$742,ROW()-1,MATCH(F$1,'包络曲线数据'!$B$1:$K$1,0)),""))</x:f>
      </x:c>
      <x:c r="G193" t="str">
        <x:f>IF(G$1="","",IFERROR(INDEX('包络曲线数据'!$B$2:$K$742,ROW()-1,MATCH(G$1,'包络曲线数据'!$B$1:$K$1,0)),""))</x:f>
      </x:c>
    </x:row>
    <x:row r="194">
      <x:c r="A194" t="n">
        <x:v>19.200000000000003</x:v>
      </x:c>
      <x:c r="B194" t="n">
        <x:f>IF(B$1="","",IFERROR(INDEX('包络曲线数据'!$B$2:$K$742,ROW()-1,MATCH(B$1,'包络曲线数据'!$B$1:$K$1,0)),""))</x:f>
        <x:v>70.52733527271933</x:v>
      </x:c>
      <x:c r="C194" t="n">
        <x:f>IF(C$1="","",IFERROR(INDEX('包络曲线数据'!$B$2:$K$742,ROW()-1,MATCH(C$1,'包络曲线数据'!$B$1:$K$1,0)),""))</x:f>
        <x:v>69.36640367544132</x:v>
      </x:c>
      <x:c r="D194" t="str">
        <x:f>IF(D$1="","",IFERROR(INDEX('包络曲线数据'!$B$2:$K$742,ROW()-1,MATCH(D$1,'包络曲线数据'!$B$1:$K$1,0)),""))</x:f>
      </x:c>
      <x:c r="E194" t="str">
        <x:f>IF(E$1="","",IFERROR(INDEX('包络曲线数据'!$B$2:$K$742,ROW()-1,MATCH(E$1,'包络曲线数据'!$B$1:$K$1,0)),""))</x:f>
      </x:c>
      <x:c r="F194" t="str">
        <x:f>IF(F$1="","",IFERROR(INDEX('包络曲线数据'!$B$2:$K$742,ROW()-1,MATCH(F$1,'包络曲线数据'!$B$1:$K$1,0)),""))</x:f>
      </x:c>
      <x:c r="G194" t="str">
        <x:f>IF(G$1="","",IFERROR(INDEX('包络曲线数据'!$B$2:$K$742,ROW()-1,MATCH(G$1,'包络曲线数据'!$B$1:$K$1,0)),""))</x:f>
      </x:c>
    </x:row>
    <x:row r="195">
      <x:c r="A195" t="n">
        <x:v>19.3</x:v>
      </x:c>
      <x:c r="B195" t="n">
        <x:f>IF(B$1="","",IFERROR(INDEX('包络曲线数据'!$B$2:$K$742,ROW()-1,MATCH(B$1,'包络曲线数据'!$B$1:$K$1,0)),""))</x:f>
        <x:v>70.52733527271933</x:v>
      </x:c>
      <x:c r="C195" t="n">
        <x:f>IF(C$1="","",IFERROR(INDEX('包络曲线数据'!$B$2:$K$742,ROW()-1,MATCH(C$1,'包络曲线数据'!$B$1:$K$1,0)),""))</x:f>
        <x:v>62.383112946441564</x:v>
      </x:c>
      <x:c r="D195" t="str">
        <x:f>IF(D$1="","",IFERROR(INDEX('包络曲线数据'!$B$2:$K$742,ROW()-1,MATCH(D$1,'包络曲线数据'!$B$1:$K$1,0)),""))</x:f>
      </x:c>
      <x:c r="E195" t="str">
        <x:f>IF(E$1="","",IFERROR(INDEX('包络曲线数据'!$B$2:$K$742,ROW()-1,MATCH(E$1,'包络曲线数据'!$B$1:$K$1,0)),""))</x:f>
      </x:c>
      <x:c r="F195" t="str">
        <x:f>IF(F$1="","",IFERROR(INDEX('包络曲线数据'!$B$2:$K$742,ROW()-1,MATCH(F$1,'包络曲线数据'!$B$1:$K$1,0)),""))</x:f>
      </x:c>
      <x:c r="G195" t="str">
        <x:f>IF(G$1="","",IFERROR(INDEX('包络曲线数据'!$B$2:$K$742,ROW()-1,MATCH(G$1,'包络曲线数据'!$B$1:$K$1,0)),""))</x:f>
      </x:c>
    </x:row>
    <x:row r="196">
      <x:c r="A196" t="n">
        <x:v>19.400000000000002</x:v>
      </x:c>
      <x:c r="B196" t="n">
        <x:f>IF(B$1="","",IFERROR(INDEX('包络曲线数据'!$B$2:$K$742,ROW()-1,MATCH(B$1,'包络曲线数据'!$B$1:$K$1,0)),""))</x:f>
        <x:v>68.49112977864989</x:v>
      </x:c>
      <x:c r="C196" t="n">
        <x:f>IF(C$1="","",IFERROR(INDEX('包络曲线数据'!$B$2:$K$742,ROW()-1,MATCH(C$1,'包络曲线数据'!$B$1:$K$1,0)),""))</x:f>
        <x:v>50.43024722489365</x:v>
      </x:c>
      <x:c r="D196" t="str">
        <x:f>IF(D$1="","",IFERROR(INDEX('包络曲线数据'!$B$2:$K$742,ROW()-1,MATCH(D$1,'包络曲线数据'!$B$1:$K$1,0)),""))</x:f>
      </x:c>
      <x:c r="E196" t="str">
        <x:f>IF(E$1="","",IFERROR(INDEX('包络曲线数据'!$B$2:$K$742,ROW()-1,MATCH(E$1,'包络曲线数据'!$B$1:$K$1,0)),""))</x:f>
      </x:c>
      <x:c r="F196" t="str">
        <x:f>IF(F$1="","",IFERROR(INDEX('包络曲线数据'!$B$2:$K$742,ROW()-1,MATCH(F$1,'包络曲线数据'!$B$1:$K$1,0)),""))</x:f>
      </x:c>
      <x:c r="G196" t="str">
        <x:f>IF(G$1="","",IFERROR(INDEX('包络曲线数据'!$B$2:$K$742,ROW()-1,MATCH(G$1,'包络曲线数据'!$B$1:$K$1,0)),""))</x:f>
      </x:c>
    </x:row>
    <x:row r="197">
      <x:c r="A197" t="n">
        <x:v>19.5</x:v>
      </x:c>
      <x:c r="B197" t="n">
        <x:f>IF(B$1="","",IFERROR(INDEX('包络曲线数据'!$B$2:$K$742,ROW()-1,MATCH(B$1,'包络曲线数据'!$B$1:$K$1,0)),""))</x:f>
        <x:v>70.35052457540641</x:v>
      </x:c>
      <x:c r="C197" t="n">
        <x:f>IF(C$1="","",IFERROR(INDEX('包络曲线数据'!$B$2:$K$742,ROW()-1,MATCH(C$1,'包络曲线数据'!$B$1:$K$1,0)),""))</x:f>
        <x:v>52.58148334936153</x:v>
      </x:c>
      <x:c r="D197" t="str">
        <x:f>IF(D$1="","",IFERROR(INDEX('包络曲线数据'!$B$2:$K$742,ROW()-1,MATCH(D$1,'包络曲线数据'!$B$1:$K$1,0)),""))</x:f>
      </x:c>
      <x:c r="E197" t="str">
        <x:f>IF(E$1="","",IFERROR(INDEX('包络曲线数据'!$B$2:$K$742,ROW()-1,MATCH(E$1,'包络曲线数据'!$B$1:$K$1,0)),""))</x:f>
      </x:c>
      <x:c r="F197" t="str">
        <x:f>IF(F$1="","",IFERROR(INDEX('包络曲线数据'!$B$2:$K$742,ROW()-1,MATCH(F$1,'包络曲线数据'!$B$1:$K$1,0)),""))</x:f>
      </x:c>
      <x:c r="G197" t="str">
        <x:f>IF(G$1="","",IFERROR(INDEX('包络曲线数据'!$B$2:$K$742,ROW()-1,MATCH(G$1,'包络曲线数据'!$B$1:$K$1,0)),""))</x:f>
      </x:c>
    </x:row>
    <x:row r="198">
      <x:c r="A198" t="n">
        <x:v>19.6</x:v>
      </x:c>
      <x:c r="B198" t="n">
        <x:f>IF(B$1="","",IFERROR(INDEX('包络曲线数据'!$B$2:$K$742,ROW()-1,MATCH(B$1,'包络曲线数据'!$B$1:$K$1,0)),""))</x:f>
        <x:v>73.01740332137462</x:v>
      </x:c>
      <x:c r="C198" t="n">
        <x:f>IF(C$1="","",IFERROR(INDEX('包络曲线数据'!$B$2:$K$742,ROW()-1,MATCH(C$1,'包络曲线数据'!$B$1:$K$1,0)),""))</x:f>
        <x:v>54.732719473829476</x:v>
      </x:c>
      <x:c r="D198" t="str">
        <x:f>IF(D$1="","",IFERROR(INDEX('包络曲线数据'!$B$2:$K$742,ROW()-1,MATCH(D$1,'包络曲线数据'!$B$1:$K$1,0)),""))</x:f>
      </x:c>
      <x:c r="E198" t="str">
        <x:f>IF(E$1="","",IFERROR(INDEX('包络曲线数据'!$B$2:$K$742,ROW()-1,MATCH(E$1,'包络曲线数据'!$B$1:$K$1,0)),""))</x:f>
      </x:c>
      <x:c r="F198" t="str">
        <x:f>IF(F$1="","",IFERROR(INDEX('包络曲线数据'!$B$2:$K$742,ROW()-1,MATCH(F$1,'包络曲线数据'!$B$1:$K$1,0)),""))</x:f>
      </x:c>
      <x:c r="G198" t="str">
        <x:f>IF(G$1="","",IFERROR(INDEX('包络曲线数据'!$B$2:$K$742,ROW()-1,MATCH(G$1,'包络曲线数据'!$B$1:$K$1,0)),""))</x:f>
      </x:c>
    </x:row>
    <x:row r="199">
      <x:c r="A199" t="n">
        <x:v>19.700000000000003</x:v>
      </x:c>
      <x:c r="B199" t="n">
        <x:f>IF(B$1="","",IFERROR(INDEX('包络曲线数据'!$B$2:$K$742,ROW()-1,MATCH(B$1,'包络曲线数据'!$B$1:$K$1,0)),""))</x:f>
        <x:v>73.01740332137462</x:v>
      </x:c>
      <x:c r="C199" t="n">
        <x:f>IF(C$1="","",IFERROR(INDEX('包络曲线数据'!$B$2:$K$742,ROW()-1,MATCH(C$1,'包络曲线数据'!$B$1:$K$1,0)),""))</x:f>
        <x:v>56.88395559829743</x:v>
      </x:c>
      <x:c r="D199" t="str">
        <x:f>IF(D$1="","",IFERROR(INDEX('包络曲线数据'!$B$2:$K$742,ROW()-1,MATCH(D$1,'包络曲线数据'!$B$1:$K$1,0)),""))</x:f>
      </x:c>
      <x:c r="E199" t="str">
        <x:f>IF(E$1="","",IFERROR(INDEX('包络曲线数据'!$B$2:$K$742,ROW()-1,MATCH(E$1,'包络曲线数据'!$B$1:$K$1,0)),""))</x:f>
      </x:c>
      <x:c r="F199" t="str">
        <x:f>IF(F$1="","",IFERROR(INDEX('包络曲线数据'!$B$2:$K$742,ROW()-1,MATCH(F$1,'包络曲线数据'!$B$1:$K$1,0)),""))</x:f>
      </x:c>
      <x:c r="G199" t="str">
        <x:f>IF(G$1="","",IFERROR(INDEX('包络曲线数据'!$B$2:$K$742,ROW()-1,MATCH(G$1,'包络曲线数据'!$B$1:$K$1,0)),""))</x:f>
      </x:c>
    </x:row>
    <x:row r="200">
      <x:c r="A200" t="n">
        <x:v>19.8</x:v>
      </x:c>
      <x:c r="B200" t="n">
        <x:f>IF(B$1="","",IFERROR(INDEX('包络曲线数据'!$B$2:$K$742,ROW()-1,MATCH(B$1,'包络曲线数据'!$B$1:$K$1,0)),""))</x:f>
        <x:v>65.97035465458393</x:v>
      </x:c>
      <x:c r="C200" t="n">
        <x:f>IF(C$1="","",IFERROR(INDEX('包络曲线数据'!$B$2:$K$742,ROW()-1,MATCH(C$1,'包络曲线数据'!$B$1:$K$1,0)),""))</x:f>
        <x:v>58.17469727297816</x:v>
      </x:c>
      <x:c r="D200" t="str">
        <x:f>IF(D$1="","",IFERROR(INDEX('包络曲线数据'!$B$2:$K$742,ROW()-1,MATCH(D$1,'包络曲线数据'!$B$1:$K$1,0)),""))</x:f>
      </x:c>
      <x:c r="E200" t="str">
        <x:f>IF(E$1="","",IFERROR(INDEX('包络曲线数据'!$B$2:$K$742,ROW()-1,MATCH(E$1,'包络曲线数据'!$B$1:$K$1,0)),""))</x:f>
      </x:c>
      <x:c r="F200" t="str">
        <x:f>IF(F$1="","",IFERROR(INDEX('包络曲线数据'!$B$2:$K$742,ROW()-1,MATCH(F$1,'包络曲线数据'!$B$1:$K$1,0)),""))</x:f>
      </x:c>
      <x:c r="G200" t="str">
        <x:f>IF(G$1="","",IFERROR(INDEX('包络曲线数据'!$B$2:$K$742,ROW()-1,MATCH(G$1,'包络曲线数据'!$B$1:$K$1,0)),""))</x:f>
      </x:c>
    </x:row>
    <x:row r="201">
      <x:c r="A201" t="n">
        <x:v>19.900000000000002</x:v>
      </x:c>
      <x:c r="B201" t="n">
        <x:f>IF(B$1="","",IFERROR(INDEX('包络曲线数据'!$B$2:$K$742,ROW()-1,MATCH(B$1,'包络曲线数据'!$B$1:$K$1,0)),""))</x:f>
        <x:v>56.60193639704261</x:v>
      </x:c>
      <x:c r="C201" t="n">
        <x:f>IF(C$1="","",IFERROR(INDEX('包络曲线数据'!$B$2:$K$742,ROW()-1,MATCH(C$1,'包络曲线数据'!$B$1:$K$1,0)),""))</x:f>
        <x:v>64.95683449387258</x:v>
      </x:c>
      <x:c r="D201" t="str">
        <x:f>IF(D$1="","",IFERROR(INDEX('包络曲线数据'!$B$2:$K$742,ROW()-1,MATCH(D$1,'包络曲线数据'!$B$1:$K$1,0)),""))</x:f>
      </x:c>
      <x:c r="E201" t="str">
        <x:f>IF(E$1="","",IFERROR(INDEX('包络曲线数据'!$B$2:$K$742,ROW()-1,MATCH(E$1,'包络曲线数据'!$B$1:$K$1,0)),""))</x:f>
      </x:c>
      <x:c r="F201" t="str">
        <x:f>IF(F$1="","",IFERROR(INDEX('包络曲线数据'!$B$2:$K$742,ROW()-1,MATCH(F$1,'包络曲线数据'!$B$1:$K$1,0)),""))</x:f>
      </x:c>
      <x:c r="G201" t="str">
        <x:f>IF(G$1="","",IFERROR(INDEX('包络曲线数据'!$B$2:$K$742,ROW()-1,MATCH(G$1,'包络曲线数据'!$B$1:$K$1,0)),""))</x:f>
      </x:c>
    </x:row>
    <x:row r="202">
      <x:c r="A202" t="n">
        <x:v>20</x:v>
      </x:c>
      <x:c r="B202" t="n">
        <x:f>IF(B$1="","",IFERROR(INDEX('包络曲线数据'!$B$2:$K$742,ROW()-1,MATCH(B$1,'包络曲线数据'!$B$1:$K$1,0)),""))</x:f>
        <x:v>54.19338587168717</x:v>
      </x:c>
      <x:c r="C202" t="n">
        <x:f>IF(C$1="","",IFERROR(INDEX('包络曲线数据'!$B$2:$K$742,ROW()-1,MATCH(C$1,'包络曲线数据'!$B$1:$K$1,0)),""))</x:f>
        <x:v>71.73897171476669</x:v>
      </x:c>
      <x:c r="D202" t="str">
        <x:f>IF(D$1="","",IFERROR(INDEX('包络曲线数据'!$B$2:$K$742,ROW()-1,MATCH(D$1,'包络曲线数据'!$B$1:$K$1,0)),""))</x:f>
      </x:c>
      <x:c r="E202" t="str">
        <x:f>IF(E$1="","",IFERROR(INDEX('包络曲线数据'!$B$2:$K$742,ROW()-1,MATCH(E$1,'包络曲线数据'!$B$1:$K$1,0)),""))</x:f>
      </x:c>
      <x:c r="F202" t="str">
        <x:f>IF(F$1="","",IFERROR(INDEX('包络曲线数据'!$B$2:$K$742,ROW()-1,MATCH(F$1,'包络曲线数据'!$B$1:$K$1,0)),""))</x:f>
      </x:c>
      <x:c r="G202" t="str">
        <x:f>IF(G$1="","",IFERROR(INDEX('包络曲线数据'!$B$2:$K$742,ROW()-1,MATCH(G$1,'包络曲线数据'!$B$1:$K$1,0)),""))</x:f>
      </x:c>
    </x:row>
    <x:row r="203">
      <x:c r="A203" t="n">
        <x:v>20.1</x:v>
      </x:c>
      <x:c r="B203" t="n">
        <x:f>IF(B$1="","",IFERROR(INDEX('包络曲线数据'!$B$2:$K$742,ROW()-1,MATCH(B$1,'包络曲线数据'!$B$1:$K$1,0)),""))</x:f>
        <x:v>54.19338587168717</x:v>
      </x:c>
      <x:c r="C203" t="n">
        <x:f>IF(C$1="","",IFERROR(INDEX('包络曲线数据'!$B$2:$K$742,ROW()-1,MATCH(C$1,'包络曲线数据'!$B$1:$K$1,0)),""))</x:f>
        <x:v>71.73897171476669</x:v>
      </x:c>
      <x:c r="D203" t="str">
        <x:f>IF(D$1="","",IFERROR(INDEX('包络曲线数据'!$B$2:$K$742,ROW()-1,MATCH(D$1,'包络曲线数据'!$B$1:$K$1,0)),""))</x:f>
      </x:c>
      <x:c r="E203" t="str">
        <x:f>IF(E$1="","",IFERROR(INDEX('包络曲线数据'!$B$2:$K$742,ROW()-1,MATCH(E$1,'包络曲线数据'!$B$1:$K$1,0)),""))</x:f>
      </x:c>
      <x:c r="F203" t="str">
        <x:f>IF(F$1="","",IFERROR(INDEX('包络曲线数据'!$B$2:$K$742,ROW()-1,MATCH(F$1,'包络曲线数据'!$B$1:$K$1,0)),""))</x:f>
      </x:c>
      <x:c r="G203" t="str">
        <x:f>IF(G$1="","",IFERROR(INDEX('包络曲线数据'!$B$2:$K$742,ROW()-1,MATCH(G$1,'包络曲线数据'!$B$1:$K$1,0)),""))</x:f>
      </x:c>
    </x:row>
    <x:row r="204">
      <x:c r="A204" t="n">
        <x:v>20.200000000000003</x:v>
      </x:c>
      <x:c r="B204" t="n">
        <x:f>IF(B$1="","",IFERROR(INDEX('包络曲线数据'!$B$2:$K$742,ROW()-1,MATCH(B$1,'包络曲线数据'!$B$1:$K$1,0)),""))</x:f>
        <x:v>50</x:v>
      </x:c>
      <x:c r="C204" t="n">
        <x:f>IF(C$1="","",IFERROR(INDEX('包络曲线数据'!$B$2:$K$742,ROW()-1,MATCH(C$1,'包络曲线数据'!$B$1:$K$1,0)),""))</x:f>
        <x:v>69.51499167640206</x:v>
      </x:c>
      <x:c r="D204" t="str">
        <x:f>IF(D$1="","",IFERROR(INDEX('包络曲线数据'!$B$2:$K$742,ROW()-1,MATCH(D$1,'包络曲线数据'!$B$1:$K$1,0)),""))</x:f>
      </x:c>
      <x:c r="E204" t="str">
        <x:f>IF(E$1="","",IFERROR(INDEX('包络曲线数据'!$B$2:$K$742,ROW()-1,MATCH(E$1,'包络曲线数据'!$B$1:$K$1,0)),""))</x:f>
      </x:c>
      <x:c r="F204" t="str">
        <x:f>IF(F$1="","",IFERROR(INDEX('包络曲线数据'!$B$2:$K$742,ROW()-1,MATCH(F$1,'包络曲线数据'!$B$1:$K$1,0)),""))</x:f>
      </x:c>
      <x:c r="G204" t="str">
        <x:f>IF(G$1="","",IFERROR(INDEX('包络曲线数据'!$B$2:$K$742,ROW()-1,MATCH(G$1,'包络曲线数据'!$B$1:$K$1,0)),""))</x:f>
      </x:c>
    </x:row>
    <x:row r="205">
      <x:c r="A205" t="n">
        <x:v>20.3</x:v>
      </x:c>
      <x:c r="B205" t="n">
        <x:f>IF(B$1="","",IFERROR(INDEX('包络曲线数据'!$B$2:$K$742,ROW()-1,MATCH(B$1,'包络曲线数据'!$B$1:$K$1,0)),""))</x:f>
        <x:v>50</x:v>
      </x:c>
      <x:c r="C205" t="n">
        <x:f>IF(C$1="","",IFERROR(INDEX('包络曲线数据'!$B$2:$K$742,ROW()-1,MATCH(C$1,'包络曲线数据'!$B$1:$K$1,0)),""))</x:f>
        <x:v>65.6380494493707</x:v>
      </x:c>
      <x:c r="D205" t="str">
        <x:f>IF(D$1="","",IFERROR(INDEX('包络曲线数据'!$B$2:$K$742,ROW()-1,MATCH(D$1,'包络曲线数据'!$B$1:$K$1,0)),""))</x:f>
      </x:c>
      <x:c r="E205" t="str">
        <x:f>IF(E$1="","",IFERROR(INDEX('包络曲线数据'!$B$2:$K$742,ROW()-1,MATCH(E$1,'包络曲线数据'!$B$1:$K$1,0)),""))</x:f>
      </x:c>
      <x:c r="F205" t="str">
        <x:f>IF(F$1="","",IFERROR(INDEX('包络曲线数据'!$B$2:$K$742,ROW()-1,MATCH(F$1,'包络曲线数据'!$B$1:$K$1,0)),""))</x:f>
      </x:c>
      <x:c r="G205" t="str">
        <x:f>IF(G$1="","",IFERROR(INDEX('包络曲线数据'!$B$2:$K$742,ROW()-1,MATCH(G$1,'包络曲线数据'!$B$1:$K$1,0)),""))</x:f>
      </x:c>
    </x:row>
    <x:row r="206">
      <x:c r="A206" t="n">
        <x:v>20.400000000000002</x:v>
      </x:c>
      <x:c r="B206" t="n">
        <x:f>IF(B$1="","",IFERROR(INDEX('包络曲线数据'!$B$2:$K$742,ROW()-1,MATCH(B$1,'包络曲线数据'!$B$1:$K$1,0)),""))</x:f>
        <x:v>58.76534444231037</x:v>
      </x:c>
      <x:c r="C206" t="n">
        <x:f>IF(C$1="","",IFERROR(INDEX('包络曲线数据'!$B$2:$K$742,ROW()-1,MATCH(C$1,'包络曲线数据'!$B$1:$K$1,0)),""))</x:f>
        <x:v>60.68019031197881</x:v>
      </x:c>
      <x:c r="D206" t="str">
        <x:f>IF(D$1="","",IFERROR(INDEX('包络曲线数据'!$B$2:$K$742,ROW()-1,MATCH(D$1,'包络曲线数据'!$B$1:$K$1,0)),""))</x:f>
      </x:c>
      <x:c r="E206" t="str">
        <x:f>IF(E$1="","",IFERROR(INDEX('包络曲线数据'!$B$2:$K$742,ROW()-1,MATCH(E$1,'包络曲线数据'!$B$1:$K$1,0)),""))</x:f>
      </x:c>
      <x:c r="F206" t="str">
        <x:f>IF(F$1="","",IFERROR(INDEX('包络曲线数据'!$B$2:$K$742,ROW()-1,MATCH(F$1,'包络曲线数据'!$B$1:$K$1,0)),""))</x:f>
      </x:c>
      <x:c r="G206" t="str">
        <x:f>IF(G$1="","",IFERROR(INDEX('包络曲线数据'!$B$2:$K$742,ROW()-1,MATCH(G$1,'包络曲线数据'!$B$1:$K$1,0)),""))</x:f>
      </x:c>
    </x:row>
    <x:row r="207">
      <x:c r="A207" t="n">
        <x:v>20.5</x:v>
      </x:c>
      <x:c r="B207" t="n">
        <x:f>IF(B$1="","",IFERROR(INDEX('包络曲线数据'!$B$2:$K$742,ROW()-1,MATCH(B$1,'包络曲线数据'!$B$1:$K$1,0)),""))</x:f>
        <x:v>58.76534444231037</x:v>
      </x:c>
      <x:c r="C207" t="n">
        <x:f>IF(C$1="","",IFERROR(INDEX('包络曲线数据'!$B$2:$K$742,ROW()-1,MATCH(C$1,'包络曲线数据'!$B$1:$K$1,0)),""))</x:f>
        <x:v>63.6238144450232</x:v>
      </x:c>
      <x:c r="D207" t="str">
        <x:f>IF(D$1="","",IFERROR(INDEX('包络曲线数据'!$B$2:$K$742,ROW()-1,MATCH(D$1,'包络曲线数据'!$B$1:$K$1,0)),""))</x:f>
      </x:c>
      <x:c r="E207" t="str">
        <x:f>IF(E$1="","",IFERROR(INDEX('包络曲线数据'!$B$2:$K$742,ROW()-1,MATCH(E$1,'包络曲线数据'!$B$1:$K$1,0)),""))</x:f>
      </x:c>
      <x:c r="F207" t="str">
        <x:f>IF(F$1="","",IFERROR(INDEX('包络曲线数据'!$B$2:$K$742,ROW()-1,MATCH(F$1,'包络曲线数据'!$B$1:$K$1,0)),""))</x:f>
      </x:c>
      <x:c r="G207" t="str">
        <x:f>IF(G$1="","",IFERROR(INDEX('包络曲线数据'!$B$2:$K$742,ROW()-1,MATCH(G$1,'包络曲线数据'!$B$1:$K$1,0)),""))</x:f>
      </x:c>
    </x:row>
    <x:row r="208">
      <x:c r="A208" t="n">
        <x:v>20.6</x:v>
      </x:c>
      <x:c r="B208" t="n">
        <x:f>IF(B$1="","",IFERROR(INDEX('包络曲线数据'!$B$2:$K$742,ROW()-1,MATCH(B$1,'包络曲线数据'!$B$1:$K$1,0)),""))</x:f>
        <x:v>57.027183848660385</x:v>
      </x:c>
      <x:c r="C208" t="n">
        <x:f>IF(C$1="","",IFERROR(INDEX('包络曲线数据'!$B$2:$K$742,ROW()-1,MATCH(C$1,'包络曲线数据'!$B$1:$K$1,0)),""))</x:f>
        <x:v>64.21535274461773</x:v>
      </x:c>
      <x:c r="D208" t="str">
        <x:f>IF(D$1="","",IFERROR(INDEX('包络曲线数据'!$B$2:$K$742,ROW()-1,MATCH(D$1,'包络曲线数据'!$B$1:$K$1,0)),""))</x:f>
      </x:c>
      <x:c r="E208" t="str">
        <x:f>IF(E$1="","",IFERROR(INDEX('包络曲线数据'!$B$2:$K$742,ROW()-1,MATCH(E$1,'包络曲线数据'!$B$1:$K$1,0)),""))</x:f>
      </x:c>
      <x:c r="F208" t="str">
        <x:f>IF(F$1="","",IFERROR(INDEX('包络曲线数据'!$B$2:$K$742,ROW()-1,MATCH(F$1,'包络曲线数据'!$B$1:$K$1,0)),""))</x:f>
      </x:c>
      <x:c r="G208" t="str">
        <x:f>IF(G$1="","",IFERROR(INDEX('包络曲线数据'!$B$2:$K$742,ROW()-1,MATCH(G$1,'包络曲线数据'!$B$1:$K$1,0)),""))</x:f>
      </x:c>
    </x:row>
    <x:row r="209">
      <x:c r="A209" t="n">
        <x:v>20.700000000000003</x:v>
      </x:c>
      <x:c r="B209" t="n">
        <x:f>IF(B$1="","",IFERROR(INDEX('包络曲线数据'!$B$2:$K$742,ROW()-1,MATCH(B$1,'包络曲线数据'!$B$1:$K$1,0)),""))</x:f>
        <x:v>57.02718384866076</x:v>
      </x:c>
      <x:c r="C209" t="n">
        <x:f>IF(C$1="","",IFERROR(INDEX('包络曲线数据'!$B$2:$K$742,ROW()-1,MATCH(C$1,'包络曲线数据'!$B$1:$K$1,0)),""))</x:f>
        <x:v>64.21535274461765</x:v>
      </x:c>
      <x:c r="D209" t="str">
        <x:f>IF(D$1="","",IFERROR(INDEX('包络曲线数据'!$B$2:$K$742,ROW()-1,MATCH(D$1,'包络曲线数据'!$B$1:$K$1,0)),""))</x:f>
      </x:c>
      <x:c r="E209" t="str">
        <x:f>IF(E$1="","",IFERROR(INDEX('包络曲线数据'!$B$2:$K$742,ROW()-1,MATCH(E$1,'包络曲线数据'!$B$1:$K$1,0)),""))</x:f>
      </x:c>
      <x:c r="F209" t="str">
        <x:f>IF(F$1="","",IFERROR(INDEX('包络曲线数据'!$B$2:$K$742,ROW()-1,MATCH(F$1,'包络曲线数据'!$B$1:$K$1,0)),""))</x:f>
      </x:c>
      <x:c r="G209" t="str">
        <x:f>IF(G$1="","",IFERROR(INDEX('包络曲线数据'!$B$2:$K$742,ROW()-1,MATCH(G$1,'包络曲线数据'!$B$1:$K$1,0)),""))</x:f>
      </x:c>
    </x:row>
    <x:row r="210">
      <x:c r="A210" t="n">
        <x:v>20.8</x:v>
      </x:c>
      <x:c r="B210" t="n">
        <x:f>IF(B$1="","",IFERROR(INDEX('包络曲线数据'!$B$2:$K$742,ROW()-1,MATCH(B$1,'包络曲线数据'!$B$1:$K$1,0)),""))</x:f>
        <x:v>73.93228180607892</x:v>
      </x:c>
      <x:c r="C210" t="n">
        <x:f>IF(C$1="","",IFERROR(INDEX('包络曲线数据'!$B$2:$K$742,ROW()-1,MATCH(C$1,'包络曲线数据'!$B$1:$K$1,0)),""))</x:f>
        <x:v>62.98755721398582</x:v>
      </x:c>
      <x:c r="D210" t="str">
        <x:f>IF(D$1="","",IFERROR(INDEX('包络曲线数据'!$B$2:$K$742,ROW()-1,MATCH(D$1,'包络曲线数据'!$B$1:$K$1,0)),""))</x:f>
      </x:c>
      <x:c r="E210" t="str">
        <x:f>IF(E$1="","",IFERROR(INDEX('包络曲线数据'!$B$2:$K$742,ROW()-1,MATCH(E$1,'包络曲线数据'!$B$1:$K$1,0)),""))</x:f>
      </x:c>
      <x:c r="F210" t="str">
        <x:f>IF(F$1="","",IFERROR(INDEX('包络曲线数据'!$B$2:$K$742,ROW()-1,MATCH(F$1,'包络曲线数据'!$B$1:$K$1,0)),""))</x:f>
      </x:c>
      <x:c r="G210" t="str">
        <x:f>IF(G$1="","",IFERROR(INDEX('包络曲线数据'!$B$2:$K$742,ROW()-1,MATCH(G$1,'包络曲线数据'!$B$1:$K$1,0)),""))</x:f>
      </x:c>
    </x:row>
    <x:row r="211">
      <x:c r="A211" t="n">
        <x:v>20.900000000000002</x:v>
      </x:c>
      <x:c r="B211" t="n">
        <x:f>IF(B$1="","",IFERROR(INDEX('包络曲线数据'!$B$2:$K$742,ROW()-1,MATCH(B$1,'包络曲线数据'!$B$1:$K$1,0)),""))</x:f>
        <x:v>73.93228180607892</x:v>
      </x:c>
      <x:c r="C211" t="n">
        <x:f>IF(C$1="","",IFERROR(INDEX('包络曲线数据'!$B$2:$K$742,ROW()-1,MATCH(C$1,'包络曲线数据'!$B$1:$K$1,0)),""))</x:f>
        <x:v>63.918176021866955</x:v>
      </x:c>
      <x:c r="D211" t="str">
        <x:f>IF(D$1="","",IFERROR(INDEX('包络曲线数据'!$B$2:$K$742,ROW()-1,MATCH(D$1,'包络曲线数据'!$B$1:$K$1,0)),""))</x:f>
      </x:c>
      <x:c r="E211" t="str">
        <x:f>IF(E$1="","",IFERROR(INDEX('包络曲线数据'!$B$2:$K$742,ROW()-1,MATCH(E$1,'包络曲线数据'!$B$1:$K$1,0)),""))</x:f>
      </x:c>
      <x:c r="F211" t="str">
        <x:f>IF(F$1="","",IFERROR(INDEX('包络曲线数据'!$B$2:$K$742,ROW()-1,MATCH(F$1,'包络曲线数据'!$B$1:$K$1,0)),""))</x:f>
      </x:c>
      <x:c r="G211" t="str">
        <x:f>IF(G$1="","",IFERROR(INDEX('包络曲线数据'!$B$2:$K$742,ROW()-1,MATCH(G$1,'包络曲线数据'!$B$1:$K$1,0)),""))</x:f>
      </x:c>
    </x:row>
    <x:row r="212">
      <x:c r="A212" t="n">
        <x:v>21</x:v>
      </x:c>
      <x:c r="B212" t="n">
        <x:f>IF(B$1="","",IFERROR(INDEX('包络曲线数据'!$B$2:$K$742,ROW()-1,MATCH(B$1,'包络曲线数据'!$B$1:$K$1,0)),""))</x:f>
        <x:v>72.574598435803</x:v>
      </x:c>
      <x:c r="C212" t="n">
        <x:f>IF(C$1="","",IFERROR(INDEX('包络曲线数据'!$B$2:$K$742,ROW()-1,MATCH(C$1,'包络曲线数据'!$B$1:$K$1,0)),""))</x:f>
        <x:v>63.918176021866955</x:v>
      </x:c>
      <x:c r="D212" t="str">
        <x:f>IF(D$1="","",IFERROR(INDEX('包络曲线数据'!$B$2:$K$742,ROW()-1,MATCH(D$1,'包络曲线数据'!$B$1:$K$1,0)),""))</x:f>
      </x:c>
      <x:c r="E212" t="str">
        <x:f>IF(E$1="","",IFERROR(INDEX('包络曲线数据'!$B$2:$K$742,ROW()-1,MATCH(E$1,'包络曲线数据'!$B$1:$K$1,0)),""))</x:f>
      </x:c>
      <x:c r="F212" t="str">
        <x:f>IF(F$1="","",IFERROR(INDEX('包络曲线数据'!$B$2:$K$742,ROW()-1,MATCH(F$1,'包络曲线数据'!$B$1:$K$1,0)),""))</x:f>
      </x:c>
      <x:c r="G212" t="str">
        <x:f>IF(G$1="","",IFERROR(INDEX('包络曲线数据'!$B$2:$K$742,ROW()-1,MATCH(G$1,'包络曲线数据'!$B$1:$K$1,0)),""))</x:f>
      </x:c>
    </x:row>
    <x:row r="213">
      <x:c r="A213" t="n">
        <x:v>21.1</x:v>
      </x:c>
      <x:c r="B213" t="n">
        <x:f>IF(B$1="","",IFERROR(INDEX('包络曲线数据'!$B$2:$K$742,ROW()-1,MATCH(B$1,'包络曲线数据'!$B$1:$K$1,0)),""))</x:f>
        <x:v>67.23828234475614</x:v>
      </x:c>
      <x:c r="C213" t="n">
        <x:f>IF(C$1="","",IFERROR(INDEX('包络曲线数据'!$B$2:$K$742,ROW()-1,MATCH(C$1,'包络曲线数据'!$B$1:$K$1,0)),""))</x:f>
        <x:v>64.32429061158375</x:v>
      </x:c>
      <x:c r="D213" t="str">
        <x:f>IF(D$1="","",IFERROR(INDEX('包络曲线数据'!$B$2:$K$742,ROW()-1,MATCH(D$1,'包络曲线数据'!$B$1:$K$1,0)),""))</x:f>
      </x:c>
      <x:c r="E213" t="str">
        <x:f>IF(E$1="","",IFERROR(INDEX('包络曲线数据'!$B$2:$K$742,ROW()-1,MATCH(E$1,'包络曲线数据'!$B$1:$K$1,0)),""))</x:f>
      </x:c>
      <x:c r="F213" t="str">
        <x:f>IF(F$1="","",IFERROR(INDEX('包络曲线数据'!$B$2:$K$742,ROW()-1,MATCH(F$1,'包络曲线数据'!$B$1:$K$1,0)),""))</x:f>
      </x:c>
      <x:c r="G213" t="str">
        <x:f>IF(G$1="","",IFERROR(INDEX('包络曲线数据'!$B$2:$K$742,ROW()-1,MATCH(G$1,'包络曲线数据'!$B$1:$K$1,0)),""))</x:f>
      </x:c>
    </x:row>
    <x:row r="214">
      <x:c r="A214" t="n">
        <x:v>21.200000000000003</x:v>
      </x:c>
      <x:c r="B214" t="n">
        <x:f>IF(B$1="","",IFERROR(INDEX('包络曲线数据'!$B$2:$K$742,ROW()-1,MATCH(B$1,'包络曲线数据'!$B$1:$K$1,0)),""))</x:f>
        <x:v>63.52059045060669</x:v>
      </x:c>
      <x:c r="C214" t="n">
        <x:f>IF(C$1="","",IFERROR(INDEX('包络曲线数据'!$B$2:$K$742,ROW()-1,MATCH(C$1,'包络曲线数据'!$B$1:$K$1,0)),""))</x:f>
        <x:v>64.88920371512924</x:v>
      </x:c>
      <x:c r="D214" t="str">
        <x:f>IF(D$1="","",IFERROR(INDEX('包络曲线数据'!$B$2:$K$742,ROW()-1,MATCH(D$1,'包络曲线数据'!$B$1:$K$1,0)),""))</x:f>
      </x:c>
      <x:c r="E214" t="str">
        <x:f>IF(E$1="","",IFERROR(INDEX('包络曲线数据'!$B$2:$K$742,ROW()-1,MATCH(E$1,'包络曲线数据'!$B$1:$K$1,0)),""))</x:f>
      </x:c>
      <x:c r="F214" t="str">
        <x:f>IF(F$1="","",IFERROR(INDEX('包络曲线数据'!$B$2:$K$742,ROW()-1,MATCH(F$1,'包络曲线数据'!$B$1:$K$1,0)),""))</x:f>
      </x:c>
      <x:c r="G214" t="str">
        <x:f>IF(G$1="","",IFERROR(INDEX('包络曲线数据'!$B$2:$K$742,ROW()-1,MATCH(G$1,'包络曲线数据'!$B$1:$K$1,0)),""))</x:f>
      </x:c>
    </x:row>
    <x:row r="215">
      <x:c r="A215" t="n">
        <x:v>21.3</x:v>
      </x:c>
      <x:c r="B215" t="n">
        <x:f>IF(B$1="","",IFERROR(INDEX('包络曲线数据'!$B$2:$K$742,ROW()-1,MATCH(B$1,'包络曲线数据'!$B$1:$K$1,0)),""))</x:f>
        <x:v>64.32232466633252</x:v>
      </x:c>
      <x:c r="C215" t="n">
        <x:f>IF(C$1="","",IFERROR(INDEX('包络曲线数据'!$B$2:$K$742,ROW()-1,MATCH(C$1,'包络曲线数据'!$B$1:$K$1,0)),""))</x:f>
        <x:v>64.88920371512924</x:v>
      </x:c>
      <x:c r="D215" t="str">
        <x:f>IF(D$1="","",IFERROR(INDEX('包络曲线数据'!$B$2:$K$742,ROW()-1,MATCH(D$1,'包络曲线数据'!$B$1:$K$1,0)),""))</x:f>
      </x:c>
      <x:c r="E215" t="str">
        <x:f>IF(E$1="","",IFERROR(INDEX('包络曲线数据'!$B$2:$K$742,ROW()-1,MATCH(E$1,'包络曲线数据'!$B$1:$K$1,0)),""))</x:f>
      </x:c>
      <x:c r="F215" t="str">
        <x:f>IF(F$1="","",IFERROR(INDEX('包络曲线数据'!$B$2:$K$742,ROW()-1,MATCH(F$1,'包络曲线数据'!$B$1:$K$1,0)),""))</x:f>
      </x:c>
      <x:c r="G215" t="str">
        <x:f>IF(G$1="","",IFERROR(INDEX('包络曲线数据'!$B$2:$K$742,ROW()-1,MATCH(G$1,'包络曲线数据'!$B$1:$K$1,0)),""))</x:f>
      </x:c>
    </x:row>
    <x:row r="216">
      <x:c r="A216" t="n">
        <x:v>21.400000000000002</x:v>
      </x:c>
      <x:c r="B216" t="n">
        <x:f>IF(B$1="","",IFERROR(INDEX('包络曲线数据'!$B$2:$K$742,ROW()-1,MATCH(B$1,'包络曲线数据'!$B$1:$K$1,0)),""))</x:f>
        <x:v>67.88696650356351</x:v>
      </x:c>
      <x:c r="C216" t="n">
        <x:f>IF(C$1="","",IFERROR(INDEX('包络曲线数据'!$B$2:$K$742,ROW()-1,MATCH(C$1,'包络曲线数据'!$B$1:$K$1,0)),""))</x:f>
        <x:v>64.52299065332437</x:v>
      </x:c>
      <x:c r="D216" t="str">
        <x:f>IF(D$1="","",IFERROR(INDEX('包络曲线数据'!$B$2:$K$742,ROW()-1,MATCH(D$1,'包络曲线数据'!$B$1:$K$1,0)),""))</x:f>
      </x:c>
      <x:c r="E216" t="str">
        <x:f>IF(E$1="","",IFERROR(INDEX('包络曲线数据'!$B$2:$K$742,ROW()-1,MATCH(E$1,'包络曲线数据'!$B$1:$K$1,0)),""))</x:f>
      </x:c>
      <x:c r="F216" t="str">
        <x:f>IF(F$1="","",IFERROR(INDEX('包络曲线数据'!$B$2:$K$742,ROW()-1,MATCH(F$1,'包络曲线数据'!$B$1:$K$1,0)),""))</x:f>
      </x:c>
      <x:c r="G216" t="str">
        <x:f>IF(G$1="","",IFERROR(INDEX('包络曲线数据'!$B$2:$K$742,ROW()-1,MATCH(G$1,'包络曲线数据'!$B$1:$K$1,0)),""))</x:f>
      </x:c>
    </x:row>
    <x:row r="217">
      <x:c r="A217" t="n">
        <x:v>21.5</x:v>
      </x:c>
      <x:c r="B217" t="n">
        <x:f>IF(B$1="","",IFERROR(INDEX('包络曲线数据'!$B$2:$K$742,ROW()-1,MATCH(B$1,'包络曲线数据'!$B$1:$K$1,0)),""))</x:f>
        <x:v>67.88696650356351</x:v>
      </x:c>
      <x:c r="C217" t="n">
        <x:f>IF(C$1="","",IFERROR(INDEX('包络曲线数据'!$B$2:$K$742,ROW()-1,MATCH(C$1,'包络曲线数据'!$B$1:$K$1,0)),""))</x:f>
        <x:v>64.52299065332437</x:v>
      </x:c>
      <x:c r="D217" t="str">
        <x:f>IF(D$1="","",IFERROR(INDEX('包络曲线数据'!$B$2:$K$742,ROW()-1,MATCH(D$1,'包络曲线数据'!$B$1:$K$1,0)),""))</x:f>
      </x:c>
      <x:c r="E217" t="str">
        <x:f>IF(E$1="","",IFERROR(INDEX('包络曲线数据'!$B$2:$K$742,ROW()-1,MATCH(E$1,'包络曲线数据'!$B$1:$K$1,0)),""))</x:f>
      </x:c>
      <x:c r="F217" t="str">
        <x:f>IF(F$1="","",IFERROR(INDEX('包络曲线数据'!$B$2:$K$742,ROW()-1,MATCH(F$1,'包络曲线数据'!$B$1:$K$1,0)),""))</x:f>
      </x:c>
      <x:c r="G217" t="str">
        <x:f>IF(G$1="","",IFERROR(INDEX('包络曲线数据'!$B$2:$K$742,ROW()-1,MATCH(G$1,'包络曲线数据'!$B$1:$K$1,0)),""))</x:f>
      </x:c>
    </x:row>
    <x:row r="218">
      <x:c r="A218" t="n">
        <x:v>21.6</x:v>
      </x:c>
      <x:c r="B218" t="n">
        <x:f>IF(B$1="","",IFERROR(INDEX('包络曲线数据'!$B$2:$K$742,ROW()-1,MATCH(B$1,'包络曲线数据'!$B$1:$K$1,0)),""))</x:f>
        <x:v>67.58024171866154</x:v>
      </x:c>
      <x:c r="C218" t="n">
        <x:f>IF(C$1="","",IFERROR(INDEX('包络曲线数据'!$B$2:$K$742,ROW()-1,MATCH(C$1,'包络曲线数据'!$B$1:$K$1,0)),""))</x:f>
        <x:v>63.999969218504624</x:v>
      </x:c>
      <x:c r="D218" t="str">
        <x:f>IF(D$1="","",IFERROR(INDEX('包络曲线数据'!$B$2:$K$742,ROW()-1,MATCH(D$1,'包络曲线数据'!$B$1:$K$1,0)),""))</x:f>
      </x:c>
      <x:c r="E218" t="str">
        <x:f>IF(E$1="","",IFERROR(INDEX('包络曲线数据'!$B$2:$K$742,ROW()-1,MATCH(E$1,'包络曲线数据'!$B$1:$K$1,0)),""))</x:f>
      </x:c>
      <x:c r="F218" t="str">
        <x:f>IF(F$1="","",IFERROR(INDEX('包络曲线数据'!$B$2:$K$742,ROW()-1,MATCH(F$1,'包络曲线数据'!$B$1:$K$1,0)),""))</x:f>
      </x:c>
      <x:c r="G218" t="str">
        <x:f>IF(G$1="","",IFERROR(INDEX('包络曲线数据'!$B$2:$K$742,ROW()-1,MATCH(G$1,'包络曲线数据'!$B$1:$K$1,0)),""))</x:f>
      </x:c>
    </x:row>
    <x:row r="219">
      <x:c r="A219" t="n">
        <x:v>21.700000000000003</x:v>
      </x:c>
      <x:c r="B219" t="n">
        <x:f>IF(B$1="","",IFERROR(INDEX('包络曲线数据'!$B$2:$K$742,ROW()-1,MATCH(B$1,'包络曲线数据'!$B$1:$K$1,0)),""))</x:f>
        <x:v>68.13715742703755</x:v>
      </x:c>
      <x:c r="C219" t="n">
        <x:f>IF(C$1="","",IFERROR(INDEX('包络曲线数据'!$B$2:$K$742,ROW()-1,MATCH(C$1,'包络曲线数据'!$B$1:$K$1,0)),""))</x:f>
        <x:v>63.36557864338507</x:v>
      </x:c>
      <x:c r="D219" t="str">
        <x:f>IF(D$1="","",IFERROR(INDEX('包络曲线数据'!$B$2:$K$742,ROW()-1,MATCH(D$1,'包络曲线数据'!$B$1:$K$1,0)),""))</x:f>
      </x:c>
      <x:c r="E219" t="str">
        <x:f>IF(E$1="","",IFERROR(INDEX('包络曲线数据'!$B$2:$K$742,ROW()-1,MATCH(E$1,'包络曲线数据'!$B$1:$K$1,0)),""))</x:f>
      </x:c>
      <x:c r="F219" t="str">
        <x:f>IF(F$1="","",IFERROR(INDEX('包络曲线数据'!$B$2:$K$742,ROW()-1,MATCH(F$1,'包络曲线数据'!$B$1:$K$1,0)),""))</x:f>
      </x:c>
      <x:c r="G219" t="str">
        <x:f>IF(G$1="","",IFERROR(INDEX('包络曲线数据'!$B$2:$K$742,ROW()-1,MATCH(G$1,'包络曲线数据'!$B$1:$K$1,0)),""))</x:f>
      </x:c>
    </x:row>
    <x:row r="220">
      <x:c r="A220" t="n">
        <x:v>21.8</x:v>
      </x:c>
      <x:c r="B220" t="n">
        <x:f>IF(B$1="","",IFERROR(INDEX('包络曲线数据'!$B$2:$K$742,ROW()-1,MATCH(B$1,'包络曲线数据'!$B$1:$K$1,0)),""))</x:f>
        <x:v>68.45738770831619</x:v>
      </x:c>
      <x:c r="C220" t="n">
        <x:f>IF(C$1="","",IFERROR(INDEX('包络曲线数据'!$B$2:$K$742,ROW()-1,MATCH(C$1,'包络曲线数据'!$B$1:$K$1,0)),""))</x:f>
        <x:v>58.25451719913262</x:v>
      </x:c>
      <x:c r="D220" t="str">
        <x:f>IF(D$1="","",IFERROR(INDEX('包络曲线数据'!$B$2:$K$742,ROW()-1,MATCH(D$1,'包络曲线数据'!$B$1:$K$1,0)),""))</x:f>
      </x:c>
      <x:c r="E220" t="str">
        <x:f>IF(E$1="","",IFERROR(INDEX('包络曲线数据'!$B$2:$K$742,ROW()-1,MATCH(E$1,'包络曲线数据'!$B$1:$K$1,0)),""))</x:f>
      </x:c>
      <x:c r="F220" t="str">
        <x:f>IF(F$1="","",IFERROR(INDEX('包络曲线数据'!$B$2:$K$742,ROW()-1,MATCH(F$1,'包络曲线数据'!$B$1:$K$1,0)),""))</x:f>
      </x:c>
      <x:c r="G220" t="str">
        <x:f>IF(G$1="","",IFERROR(INDEX('包络曲线数据'!$B$2:$K$742,ROW()-1,MATCH(G$1,'包络曲线数据'!$B$1:$K$1,0)),""))</x:f>
      </x:c>
    </x:row>
    <x:row r="221">
      <x:c r="A221" t="n">
        <x:v>21.900000000000002</x:v>
      </x:c>
      <x:c r="B221" t="n">
        <x:f>IF(B$1="","",IFERROR(INDEX('包络曲线数据'!$B$2:$K$742,ROW()-1,MATCH(B$1,'包络曲线数据'!$B$1:$K$1,0)),""))</x:f>
        <x:v>68.3714150462289</x:v>
      </x:c>
      <x:c r="C221" t="n">
        <x:f>IF(C$1="","",IFERROR(INDEX('包络曲线数据'!$B$2:$K$742,ROW()-1,MATCH(C$1,'包络曲线数据'!$B$1:$K$1,0)),""))</x:f>
        <x:v>75.81812180214523</x:v>
      </x:c>
      <x:c r="D221" t="str">
        <x:f>IF(D$1="","",IFERROR(INDEX('包络曲线数据'!$B$2:$K$742,ROW()-1,MATCH(D$1,'包络曲线数据'!$B$1:$K$1,0)),""))</x:f>
      </x:c>
      <x:c r="E221" t="str">
        <x:f>IF(E$1="","",IFERROR(INDEX('包络曲线数据'!$B$2:$K$742,ROW()-1,MATCH(E$1,'包络曲线数据'!$B$1:$K$1,0)),""))</x:f>
      </x:c>
      <x:c r="F221" t="str">
        <x:f>IF(F$1="","",IFERROR(INDEX('包络曲线数据'!$B$2:$K$742,ROW()-1,MATCH(F$1,'包络曲线数据'!$B$1:$K$1,0)),""))</x:f>
      </x:c>
      <x:c r="G221" t="str">
        <x:f>IF(G$1="","",IFERROR(INDEX('包络曲线数据'!$B$2:$K$742,ROW()-1,MATCH(G$1,'包络曲线数据'!$B$1:$K$1,0)),""))</x:f>
      </x:c>
    </x:row>
    <x:row r="222">
      <x:c r="A222" t="n">
        <x:v>22</x:v>
      </x:c>
      <x:c r="B222" t="n">
        <x:f>IF(B$1="","",IFERROR(INDEX('包络曲线数据'!$B$2:$K$742,ROW()-1,MATCH(B$1,'包络曲线数据'!$B$1:$K$1,0)),""))</x:f>
        <x:v>66.06964918772334</x:v>
      </x:c>
      <x:c r="C222" t="n">
        <x:f>IF(C$1="","",IFERROR(INDEX('包络曲线数据'!$B$2:$K$742,ROW()-1,MATCH(C$1,'包络曲线数据'!$B$1:$K$1,0)),""))</x:f>
        <x:v>76.91561935932825</x:v>
      </x:c>
      <x:c r="D222" t="str">
        <x:f>IF(D$1="","",IFERROR(INDEX('包络曲线数据'!$B$2:$K$742,ROW()-1,MATCH(D$1,'包络曲线数据'!$B$1:$K$1,0)),""))</x:f>
      </x:c>
      <x:c r="E222" t="str">
        <x:f>IF(E$1="","",IFERROR(INDEX('包络曲线数据'!$B$2:$K$742,ROW()-1,MATCH(E$1,'包络曲线数据'!$B$1:$K$1,0)),""))</x:f>
      </x:c>
      <x:c r="F222" t="str">
        <x:f>IF(F$1="","",IFERROR(INDEX('包络曲线数据'!$B$2:$K$742,ROW()-1,MATCH(F$1,'包络曲线数据'!$B$1:$K$1,0)),""))</x:f>
      </x:c>
      <x:c r="G222" t="str">
        <x:f>IF(G$1="","",IFERROR(INDEX('包络曲线数据'!$B$2:$K$742,ROW()-1,MATCH(G$1,'包络曲线数据'!$B$1:$K$1,0)),""))</x:f>
      </x:c>
    </x:row>
    <x:row r="223">
      <x:c r="A223" t="n">
        <x:v>22.1</x:v>
      </x:c>
      <x:c r="B223" t="n">
        <x:f>IF(B$1="","",IFERROR(INDEX('包络曲线数据'!$B$2:$K$742,ROW()-1,MATCH(B$1,'包络曲线数据'!$B$1:$K$1,0)),""))</x:f>
        <x:v>89.96061334693073</x:v>
      </x:c>
      <x:c r="C223" t="n">
        <x:f>IF(C$1="","",IFERROR(INDEX('包络曲线数据'!$B$2:$K$742,ROW()-1,MATCH(C$1,'包络曲线数据'!$B$1:$K$1,0)),""))</x:f>
        <x:v>76.91561935932825</x:v>
      </x:c>
      <x:c r="D223" t="str">
        <x:f>IF(D$1="","",IFERROR(INDEX('包络曲线数据'!$B$2:$K$742,ROW()-1,MATCH(D$1,'包络曲线数据'!$B$1:$K$1,0)),""))</x:f>
      </x:c>
      <x:c r="E223" t="str">
        <x:f>IF(E$1="","",IFERROR(INDEX('包络曲线数据'!$B$2:$K$742,ROW()-1,MATCH(E$1,'包络曲线数据'!$B$1:$K$1,0)),""))</x:f>
      </x:c>
      <x:c r="F223" t="str">
        <x:f>IF(F$1="","",IFERROR(INDEX('包络曲线数据'!$B$2:$K$742,ROW()-1,MATCH(F$1,'包络曲线数据'!$B$1:$K$1,0)),""))</x:f>
      </x:c>
      <x:c r="G223" t="str">
        <x:f>IF(G$1="","",IFERROR(INDEX('包络曲线数据'!$B$2:$K$742,ROW()-1,MATCH(G$1,'包络曲线数据'!$B$1:$K$1,0)),""))</x:f>
      </x:c>
    </x:row>
    <x:row r="224">
      <x:c r="A224" t="n">
        <x:v>22.200000000000003</x:v>
      </x:c>
      <x:c r="B224" t="n">
        <x:f>IF(B$1="","",IFERROR(INDEX('包络曲线数据'!$B$2:$K$742,ROW()-1,MATCH(B$1,'包络曲线数据'!$B$1:$K$1,0)),""))</x:f>
        <x:v>89.96061334693073</x:v>
      </x:c>
      <x:c r="C224" t="n">
        <x:f>IF(C$1="","",IFERROR(INDEX('包络曲线数据'!$B$2:$K$742,ROW()-1,MATCH(C$1,'包络曲线数据'!$B$1:$K$1,0)),""))</x:f>
        <x:v>68.18885767537674</x:v>
      </x:c>
      <x:c r="D224" t="str">
        <x:f>IF(D$1="","",IFERROR(INDEX('包络曲线数据'!$B$2:$K$742,ROW()-1,MATCH(D$1,'包络曲线数据'!$B$1:$K$1,0)),""))</x:f>
      </x:c>
      <x:c r="E224" t="str">
        <x:f>IF(E$1="","",IFERROR(INDEX('包络曲线数据'!$B$2:$K$742,ROW()-1,MATCH(E$1,'包络曲线数据'!$B$1:$K$1,0)),""))</x:f>
      </x:c>
      <x:c r="F224" t="str">
        <x:f>IF(F$1="","",IFERROR(INDEX('包络曲线数据'!$B$2:$K$742,ROW()-1,MATCH(F$1,'包络曲线数据'!$B$1:$K$1,0)),""))</x:f>
      </x:c>
      <x:c r="G224" t="str">
        <x:f>IF(G$1="","",IFERROR(INDEX('包络曲线数据'!$B$2:$K$742,ROW()-1,MATCH(G$1,'包络曲线数据'!$B$1:$K$1,0)),""))</x:f>
      </x:c>
    </x:row>
    <x:row r="225">
      <x:c r="A225" t="n">
        <x:v>22.3</x:v>
      </x:c>
      <x:c r="B225" t="n">
        <x:f>IF(B$1="","",IFERROR(INDEX('包络曲线数据'!$B$2:$K$742,ROW()-1,MATCH(B$1,'包络曲线数据'!$B$1:$K$1,0)),""))</x:f>
        <x:v>84.94882942501914</x:v>
      </x:c>
      <x:c r="C225" t="n">
        <x:f>IF(C$1="","",IFERROR(INDEX('包络曲线数据'!$B$2:$K$742,ROW()-1,MATCH(C$1,'包络曲线数据'!$B$1:$K$1,0)),""))</x:f>
        <x:v>56.74123332374528</x:v>
      </x:c>
      <x:c r="D225" t="str">
        <x:f>IF(D$1="","",IFERROR(INDEX('包络曲线数据'!$B$2:$K$742,ROW()-1,MATCH(D$1,'包络曲线数据'!$B$1:$K$1,0)),""))</x:f>
      </x:c>
      <x:c r="E225" t="str">
        <x:f>IF(E$1="","",IFERROR(INDEX('包络曲线数据'!$B$2:$K$742,ROW()-1,MATCH(E$1,'包络曲线数据'!$B$1:$K$1,0)),""))</x:f>
      </x:c>
      <x:c r="F225" t="str">
        <x:f>IF(F$1="","",IFERROR(INDEX('包络曲线数据'!$B$2:$K$742,ROW()-1,MATCH(F$1,'包络曲线数据'!$B$1:$K$1,0)),""))</x:f>
      </x:c>
      <x:c r="G225" t="str">
        <x:f>IF(G$1="","",IFERROR(INDEX('包络曲线数据'!$B$2:$K$742,ROW()-1,MATCH(G$1,'包络曲线数据'!$B$1:$K$1,0)),""))</x:f>
      </x:c>
    </x:row>
    <x:row r="226">
      <x:c r="A226" t="n">
        <x:v>22.400000000000002</x:v>
      </x:c>
      <x:c r="B226" t="n">
        <x:f>IF(B$1="","",IFERROR(INDEX('包络曲线数据'!$B$2:$K$742,ROW()-1,MATCH(B$1,'包络曲线数据'!$B$1:$K$1,0)),""))</x:f>
        <x:v>76.31901016804001</x:v>
      </x:c>
      <x:c r="C226" t="n">
        <x:f>IF(C$1="","",IFERROR(INDEX('包络曲线数据'!$B$2:$K$742,ROW()-1,MATCH(C$1,'包络曲线数据'!$B$1:$K$1,0)),""))</x:f>
        <x:v>53.27974438829223</x:v>
      </x:c>
      <x:c r="D226" t="str">
        <x:f>IF(D$1="","",IFERROR(INDEX('包络曲线数据'!$B$2:$K$742,ROW()-1,MATCH(D$1,'包络曲线数据'!$B$1:$K$1,0)),""))</x:f>
      </x:c>
      <x:c r="E226" t="str">
        <x:f>IF(E$1="","",IFERROR(INDEX('包络曲线数据'!$B$2:$K$742,ROW()-1,MATCH(E$1,'包络曲线数据'!$B$1:$K$1,0)),""))</x:f>
      </x:c>
      <x:c r="F226" t="str">
        <x:f>IF(F$1="","",IFERROR(INDEX('包络曲线数据'!$B$2:$K$742,ROW()-1,MATCH(F$1,'包络曲线数据'!$B$1:$K$1,0)),""))</x:f>
      </x:c>
      <x:c r="G226" t="str">
        <x:f>IF(G$1="","",IFERROR(INDEX('包络曲线数据'!$B$2:$K$742,ROW()-1,MATCH(G$1,'包络曲线数据'!$B$1:$K$1,0)),""))</x:f>
      </x:c>
    </x:row>
    <x:row r="227">
      <x:c r="A227" t="n">
        <x:v>22.5</x:v>
      </x:c>
      <x:c r="B227" t="n">
        <x:f>IF(B$1="","",IFERROR(INDEX('包络曲线数据'!$B$2:$K$742,ROW()-1,MATCH(B$1,'包络曲线数据'!$B$1:$K$1,0)),""))</x:f>
        <x:v>73.32889482502111</x:v>
      </x:c>
      <x:c r="C227" t="n">
        <x:f>IF(C$1="","",IFERROR(INDEX('包络曲线数据'!$B$2:$K$742,ROW()-1,MATCH(C$1,'包络曲线数据'!$B$1:$K$1,0)),""))</x:f>
        <x:v>52.00948187965551</x:v>
      </x:c>
      <x:c r="D227" t="str">
        <x:f>IF(D$1="","",IFERROR(INDEX('包络曲线数据'!$B$2:$K$742,ROW()-1,MATCH(D$1,'包络曲线数据'!$B$1:$K$1,0)),""))</x:f>
      </x:c>
      <x:c r="E227" t="str">
        <x:f>IF(E$1="","",IFERROR(INDEX('包络曲线数据'!$B$2:$K$742,ROW()-1,MATCH(E$1,'包络曲线数据'!$B$1:$K$1,0)),""))</x:f>
      </x:c>
      <x:c r="F227" t="str">
        <x:f>IF(F$1="","",IFERROR(INDEX('包络曲线数据'!$B$2:$K$742,ROW()-1,MATCH(F$1,'包络曲线数据'!$B$1:$K$1,0)),""))</x:f>
      </x:c>
      <x:c r="G227" t="str">
        <x:f>IF(G$1="","",IFERROR(INDEX('包络曲线数据'!$B$2:$K$742,ROW()-1,MATCH(G$1,'包络曲线数据'!$B$1:$K$1,0)),""))</x:f>
      </x:c>
    </x:row>
    <x:row r="228">
      <x:c r="A228" t="n">
        <x:v>22.6</x:v>
      </x:c>
      <x:c r="B228" t="n">
        <x:f>IF(B$1="","",IFERROR(INDEX('包络曲线数据'!$B$2:$K$742,ROW()-1,MATCH(B$1,'包络曲线数据'!$B$1:$K$1,0)),""))</x:f>
        <x:v>72.75545645970786</x:v>
      </x:c>
      <x:c r="C228" t="n">
        <x:f>IF(C$1="","",IFERROR(INDEX('包络曲线数据'!$B$2:$K$742,ROW()-1,MATCH(C$1,'包络曲线数据'!$B$1:$K$1,0)),""))</x:f>
        <x:v>55.35861834574814</x:v>
      </x:c>
      <x:c r="D228" t="str">
        <x:f>IF(D$1="","",IFERROR(INDEX('包络曲线数据'!$B$2:$K$742,ROW()-1,MATCH(D$1,'包络曲线数据'!$B$1:$K$1,0)),""))</x:f>
      </x:c>
      <x:c r="E228" t="str">
        <x:f>IF(E$1="","",IFERROR(INDEX('包络曲线数据'!$B$2:$K$742,ROW()-1,MATCH(E$1,'包络曲线数据'!$B$1:$K$1,0)),""))</x:f>
      </x:c>
      <x:c r="F228" t="str">
        <x:f>IF(F$1="","",IFERROR(INDEX('包络曲线数据'!$B$2:$K$742,ROW()-1,MATCH(F$1,'包络曲线数据'!$B$1:$K$1,0)),""))</x:f>
      </x:c>
      <x:c r="G228" t="str">
        <x:f>IF(G$1="","",IFERROR(INDEX('包络曲线数据'!$B$2:$K$742,ROW()-1,MATCH(G$1,'包络曲线数据'!$B$1:$K$1,0)),""))</x:f>
      </x:c>
    </x:row>
    <x:row r="229">
      <x:c r="A229" t="n">
        <x:v>22.700000000000003</x:v>
      </x:c>
      <x:c r="B229" t="n">
        <x:f>IF(B$1="","",IFERROR(INDEX('包络曲线数据'!$B$2:$K$742,ROW()-1,MATCH(B$1,'包络曲线数据'!$B$1:$K$1,0)),""))</x:f>
        <x:v>64.6821486590956</x:v>
      </x:c>
      <x:c r="C229" t="n">
        <x:f>IF(C$1="","",IFERROR(INDEX('包络曲线数据'!$B$2:$K$742,ROW()-1,MATCH(C$1,'包络曲线数据'!$B$1:$K$1,0)),""))</x:f>
        <x:v>58.70775481184077</x:v>
      </x:c>
      <x:c r="D229" t="str">
        <x:f>IF(D$1="","",IFERROR(INDEX('包络曲线数据'!$B$2:$K$742,ROW()-1,MATCH(D$1,'包络曲线数据'!$B$1:$K$1,0)),""))</x:f>
      </x:c>
      <x:c r="E229" t="str">
        <x:f>IF(E$1="","",IFERROR(INDEX('包络曲线数据'!$B$2:$K$742,ROW()-1,MATCH(E$1,'包络曲线数据'!$B$1:$K$1,0)),""))</x:f>
      </x:c>
      <x:c r="F229" t="str">
        <x:f>IF(F$1="","",IFERROR(INDEX('包络曲线数据'!$B$2:$K$742,ROW()-1,MATCH(F$1,'包络曲线数据'!$B$1:$K$1,0)),""))</x:f>
      </x:c>
      <x:c r="G229" t="str">
        <x:f>IF(G$1="","",IFERROR(INDEX('包络曲线数据'!$B$2:$K$742,ROW()-1,MATCH(G$1,'包络曲线数据'!$B$1:$K$1,0)),""))</x:f>
      </x:c>
    </x:row>
    <x:row r="230">
      <x:c r="A230" t="n">
        <x:v>22.8</x:v>
      </x:c>
      <x:c r="B230" t="n">
        <x:f>IF(B$1="","",IFERROR(INDEX('包络曲线数据'!$B$2:$K$742,ROW()-1,MATCH(B$1,'包络曲线数据'!$B$1:$K$1,0)),""))</x:f>
        <x:v>64.6821486590956</x:v>
      </x:c>
      <x:c r="C230" t="n">
        <x:f>IF(C$1="","",IFERROR(INDEX('包络曲线数据'!$B$2:$K$742,ROW()-1,MATCH(C$1,'包络曲线数据'!$B$1:$K$1,0)),""))</x:f>
        <x:v>60.717236691496275</x:v>
      </x:c>
      <x:c r="D230" t="str">
        <x:f>IF(D$1="","",IFERROR(INDEX('包络曲线数据'!$B$2:$K$742,ROW()-1,MATCH(D$1,'包络曲线数据'!$B$1:$K$1,0)),""))</x:f>
      </x:c>
      <x:c r="E230" t="str">
        <x:f>IF(E$1="","",IFERROR(INDEX('包络曲线数据'!$B$2:$K$742,ROW()-1,MATCH(E$1,'包络曲线数据'!$B$1:$K$1,0)),""))</x:f>
      </x:c>
      <x:c r="F230" t="str">
        <x:f>IF(F$1="","",IFERROR(INDEX('包络曲线数据'!$B$2:$K$742,ROW()-1,MATCH(F$1,'包络曲线数据'!$B$1:$K$1,0)),""))</x:f>
      </x:c>
      <x:c r="G230" t="str">
        <x:f>IF(G$1="","",IFERROR(INDEX('包络曲线数据'!$B$2:$K$742,ROW()-1,MATCH(G$1,'包络曲线数据'!$B$1:$K$1,0)),""))</x:f>
      </x:c>
    </x:row>
    <x:row r="231">
      <x:c r="A231" t="n">
        <x:v>22.900000000000002</x:v>
      </x:c>
      <x:c r="B231" t="n">
        <x:f>IF(B$1="","",IFERROR(INDEX('包络曲线数据'!$B$2:$K$742,ROW()-1,MATCH(B$1,'包络曲线数据'!$B$1:$K$1,0)),""))</x:f>
        <x:v>60.19864100028619</x:v>
      </x:c>
      <x:c r="C231" t="n">
        <x:f>IF(C$1="","",IFERROR(INDEX('包络曲线数据'!$B$2:$K$742,ROW()-1,MATCH(C$1,'包络曲线数据'!$B$1:$K$1,0)),""))</x:f>
        <x:v>60.7172366914966</x:v>
      </x:c>
      <x:c r="D231" t="str">
        <x:f>IF(D$1="","",IFERROR(INDEX('包络曲线数据'!$B$2:$K$742,ROW()-1,MATCH(D$1,'包络曲线数据'!$B$1:$K$1,0)),""))</x:f>
      </x:c>
      <x:c r="E231" t="str">
        <x:f>IF(E$1="","",IFERROR(INDEX('包络曲线数据'!$B$2:$K$742,ROW()-1,MATCH(E$1,'包络曲线数据'!$B$1:$K$1,0)),""))</x:f>
      </x:c>
      <x:c r="F231" t="str">
        <x:f>IF(F$1="","",IFERROR(INDEX('包络曲线数据'!$B$2:$K$742,ROW()-1,MATCH(F$1,'包络曲线数据'!$B$1:$K$1,0)),""))</x:f>
      </x:c>
      <x:c r="G231" t="str">
        <x:f>IF(G$1="","",IFERROR(INDEX('包络曲线数据'!$B$2:$K$742,ROW()-1,MATCH(G$1,'包络曲线数据'!$B$1:$K$1,0)),""))</x:f>
      </x:c>
    </x:row>
    <x:row r="232">
      <x:c r="A232" t="n">
        <x:v>23</x:v>
      </x:c>
      <x:c r="B232" t="n">
        <x:f>IF(B$1="","",IFERROR(INDEX('包络曲线数据'!$B$2:$K$742,ROW()-1,MATCH(B$1,'包络曲线数据'!$B$1:$K$1,0)),""))</x:f>
        <x:v>60.19864100028619</x:v>
      </x:c>
      <x:c r="C232" t="n">
        <x:f>IF(C$1="","",IFERROR(INDEX('包络曲线数据'!$B$2:$K$742,ROW()-1,MATCH(C$1,'包络曲线数据'!$B$1:$K$1,0)),""))</x:f>
        <x:v>69.93859397221226</x:v>
      </x:c>
      <x:c r="D232" t="str">
        <x:f>IF(D$1="","",IFERROR(INDEX('包络曲线数据'!$B$2:$K$742,ROW()-1,MATCH(D$1,'包络曲线数据'!$B$1:$K$1,0)),""))</x:f>
      </x:c>
      <x:c r="E232" t="str">
        <x:f>IF(E$1="","",IFERROR(INDEX('包络曲线数据'!$B$2:$K$742,ROW()-1,MATCH(E$1,'包络曲线数据'!$B$1:$K$1,0)),""))</x:f>
      </x:c>
      <x:c r="F232" t="str">
        <x:f>IF(F$1="","",IFERROR(INDEX('包络曲线数据'!$B$2:$K$742,ROW()-1,MATCH(F$1,'包络曲线数据'!$B$1:$K$1,0)),""))</x:f>
      </x:c>
      <x:c r="G232" t="str">
        <x:f>IF(G$1="","",IFERROR(INDEX('包络曲线数据'!$B$2:$K$742,ROW()-1,MATCH(G$1,'包络曲线数据'!$B$1:$K$1,0)),""))</x:f>
      </x:c>
    </x:row>
    <x:row r="233">
      <x:c r="A233" t="n">
        <x:v>23.1</x:v>
      </x:c>
      <x:c r="B233" t="n">
        <x:f>IF(B$1="","",IFERROR(INDEX('包络曲线数据'!$B$2:$K$742,ROW()-1,MATCH(B$1,'包络曲线数据'!$B$1:$K$1,0)),""))</x:f>
        <x:v>50</x:v>
      </x:c>
      <x:c r="C233" t="n">
        <x:f>IF(C$1="","",IFERROR(INDEX('包络曲线数据'!$B$2:$K$742,ROW()-1,MATCH(C$1,'包络曲线数据'!$B$1:$K$1,0)),""))</x:f>
        <x:v>73.62713688449853</x:v>
      </x:c>
      <x:c r="D233" t="str">
        <x:f>IF(D$1="","",IFERROR(INDEX('包络曲线数据'!$B$2:$K$742,ROW()-1,MATCH(D$1,'包络曲线数据'!$B$1:$K$1,0)),""))</x:f>
      </x:c>
      <x:c r="E233" t="str">
        <x:f>IF(E$1="","",IFERROR(INDEX('包络曲线数据'!$B$2:$K$742,ROW()-1,MATCH(E$1,'包络曲线数据'!$B$1:$K$1,0)),""))</x:f>
      </x:c>
      <x:c r="F233" t="str">
        <x:f>IF(F$1="","",IFERROR(INDEX('包络曲线数据'!$B$2:$K$742,ROW()-1,MATCH(F$1,'包络曲线数据'!$B$1:$K$1,0)),""))</x:f>
      </x:c>
      <x:c r="G233" t="str">
        <x:f>IF(G$1="","",IFERROR(INDEX('包络曲线数据'!$B$2:$K$742,ROW()-1,MATCH(G$1,'包络曲线数据'!$B$1:$K$1,0)),""))</x:f>
      </x:c>
    </x:row>
    <x:row r="234">
      <x:c r="A234" t="n">
        <x:v>23.200000000000003</x:v>
      </x:c>
      <x:c r="B234" t="n">
        <x:f>IF(B$1="","",IFERROR(INDEX('包络曲线数据'!$B$2:$K$742,ROW()-1,MATCH(B$1,'包络曲线数据'!$B$1:$K$1,0)),""))</x:f>
        <x:v>58.520996892570984</x:v>
      </x:c>
      <x:c r="C234" t="n">
        <x:f>IF(C$1="","",IFERROR(INDEX('包络曲线数据'!$B$2:$K$742,ROW()-1,MATCH(C$1,'包络曲线数据'!$B$1:$K$1,0)),""))</x:f>
        <x:v>73.47353916859691</x:v>
      </x:c>
      <x:c r="D234" t="str">
        <x:f>IF(D$1="","",IFERROR(INDEX('包络曲线数据'!$B$2:$K$742,ROW()-1,MATCH(D$1,'包络曲线数据'!$B$1:$K$1,0)),""))</x:f>
      </x:c>
      <x:c r="E234" t="str">
        <x:f>IF(E$1="","",IFERROR(INDEX('包络曲线数据'!$B$2:$K$742,ROW()-1,MATCH(E$1,'包络曲线数据'!$B$1:$K$1,0)),""))</x:f>
      </x:c>
      <x:c r="F234" t="str">
        <x:f>IF(F$1="","",IFERROR(INDEX('包络曲线数据'!$B$2:$K$742,ROW()-1,MATCH(F$1,'包络曲线数据'!$B$1:$K$1,0)),""))</x:f>
      </x:c>
      <x:c r="G234" t="str">
        <x:f>IF(G$1="","",IFERROR(INDEX('包络曲线数据'!$B$2:$K$742,ROW()-1,MATCH(G$1,'包络曲线数据'!$B$1:$K$1,0)),""))</x:f>
      </x:c>
    </x:row>
    <x:row r="235">
      <x:c r="A235" t="n">
        <x:v>23.3</x:v>
      </x:c>
      <x:c r="B235" t="n">
        <x:f>IF(B$1="","",IFERROR(INDEX('包络曲线数据'!$B$2:$K$742,ROW()-1,MATCH(B$1,'包络曲线数据'!$B$1:$K$1,0)),""))</x:f>
        <x:v>73.81939268400725</x:v>
      </x:c>
      <x:c r="C235" t="n">
        <x:f>IF(C$1="","",IFERROR(INDEX('包络曲线数据'!$B$2:$K$742,ROW()-1,MATCH(C$1,'包络曲线数据'!$B$1:$K$1,0)),""))</x:f>
        <x:v>68.62314619600568</x:v>
      </x:c>
      <x:c r="D235" t="str">
        <x:f>IF(D$1="","",IFERROR(INDEX('包络曲线数据'!$B$2:$K$742,ROW()-1,MATCH(D$1,'包络曲线数据'!$B$1:$K$1,0)),""))</x:f>
      </x:c>
      <x:c r="E235" t="str">
        <x:f>IF(E$1="","",IFERROR(INDEX('包络曲线数据'!$B$2:$K$742,ROW()-1,MATCH(E$1,'包络曲线数据'!$B$1:$K$1,0)),""))</x:f>
      </x:c>
      <x:c r="F235" t="str">
        <x:f>IF(F$1="","",IFERROR(INDEX('包络曲线数据'!$B$2:$K$742,ROW()-1,MATCH(F$1,'包络曲线数据'!$B$1:$K$1,0)),""))</x:f>
      </x:c>
      <x:c r="G235" t="str">
        <x:f>IF(G$1="","",IFERROR(INDEX('包络曲线数据'!$B$2:$K$742,ROW()-1,MATCH(G$1,'包络曲线数据'!$B$1:$K$1,0)),""))</x:f>
      </x:c>
    </x:row>
    <x:row r="236">
      <x:c r="A236" t="n">
        <x:v>23.400000000000002</x:v>
      </x:c>
      <x:c r="B236" t="n">
        <x:f>IF(B$1="","",IFERROR(INDEX('包络曲线数据'!$B$2:$K$742,ROW()-1,MATCH(B$1,'包络曲线数据'!$B$1:$K$1,0)),""))</x:f>
        <x:v>73.81939268400725</x:v>
      </x:c>
      <x:c r="C236" t="n">
        <x:f>IF(C$1="","",IFERROR(INDEX('包络曲线数据'!$B$2:$K$742,ROW()-1,MATCH(C$1,'包络曲线数据'!$B$1:$K$1,0)),""))</x:f>
        <x:v>61.18434451068428</x:v>
      </x:c>
      <x:c r="D236" t="str">
        <x:f>IF(D$1="","",IFERROR(INDEX('包络曲线数据'!$B$2:$K$742,ROW()-1,MATCH(D$1,'包络曲线数据'!$B$1:$K$1,0)),""))</x:f>
      </x:c>
      <x:c r="E236" t="str">
        <x:f>IF(E$1="","",IFERROR(INDEX('包络曲线数据'!$B$2:$K$742,ROW()-1,MATCH(E$1,'包络曲线数据'!$B$1:$K$1,0)),""))</x:f>
      </x:c>
      <x:c r="F236" t="str">
        <x:f>IF(F$1="","",IFERROR(INDEX('包络曲线数据'!$B$2:$K$742,ROW()-1,MATCH(F$1,'包络曲线数据'!$B$1:$K$1,0)),""))</x:f>
      </x:c>
      <x:c r="G236" t="str">
        <x:f>IF(G$1="","",IFERROR(INDEX('包络曲线数据'!$B$2:$K$742,ROW()-1,MATCH(G$1,'包络曲线数据'!$B$1:$K$1,0)),""))</x:f>
      </x:c>
    </x:row>
    <x:row r="237">
      <x:c r="A237" t="n">
        <x:v>23.5</x:v>
      </x:c>
      <x:c r="B237" t="n">
        <x:f>IF(B$1="","",IFERROR(INDEX('包络曲线数据'!$B$2:$K$742,ROW()-1,MATCH(B$1,'包络曲线数据'!$B$1:$K$1,0)),""))</x:f>
        <x:v>70.60422876597116</x:v>
      </x:c>
      <x:c r="C237" t="n">
        <x:f>IF(C$1="","",IFERROR(INDEX('包络曲线数据'!$B$2:$K$742,ROW()-1,MATCH(C$1,'包络曲线数据'!$B$1:$K$1,0)),""))</x:f>
        <x:v>60.5075650818307</x:v>
      </x:c>
      <x:c r="D237" t="str">
        <x:f>IF(D$1="","",IFERROR(INDEX('包络曲线数据'!$B$2:$K$742,ROW()-1,MATCH(D$1,'包络曲线数据'!$B$1:$K$1,0)),""))</x:f>
      </x:c>
      <x:c r="E237" t="str">
        <x:f>IF(E$1="","",IFERROR(INDEX('包络曲线数据'!$B$2:$K$742,ROW()-1,MATCH(E$1,'包络曲线数据'!$B$1:$K$1,0)),""))</x:f>
      </x:c>
      <x:c r="F237" t="str">
        <x:f>IF(F$1="","",IFERROR(INDEX('包络曲线数据'!$B$2:$K$742,ROW()-1,MATCH(F$1,'包络曲线数据'!$B$1:$K$1,0)),""))</x:f>
      </x:c>
      <x:c r="G237" t="str">
        <x:f>IF(G$1="","",IFERROR(INDEX('包络曲线数据'!$B$2:$K$742,ROW()-1,MATCH(G$1,'包络曲线数据'!$B$1:$K$1,0)),""))</x:f>
      </x:c>
    </x:row>
    <x:row r="238">
      <x:c r="A238" t="n">
        <x:v>23.6</x:v>
      </x:c>
      <x:c r="B238" t="n">
        <x:f>IF(B$1="","",IFERROR(INDEX('包络曲线数据'!$B$2:$K$742,ROW()-1,MATCH(B$1,'包络曲线数据'!$B$1:$K$1,0)),""))</x:f>
        <x:v>64.97146311133298</x:v>
      </x:c>
      <x:c r="C238" t="n">
        <x:f>IF(C$1="","",IFERROR(INDEX('包络曲线数据'!$B$2:$K$742,ROW()-1,MATCH(C$1,'包络曲线数据'!$B$1:$K$1,0)),""))</x:f>
        <x:v>62.98707106457741</x:v>
      </x:c>
      <x:c r="D238" t="str">
        <x:f>IF(D$1="","",IFERROR(INDEX('包络曲线数据'!$B$2:$K$742,ROW()-1,MATCH(D$1,'包络曲线数据'!$B$1:$K$1,0)),""))</x:f>
      </x:c>
      <x:c r="E238" t="str">
        <x:f>IF(E$1="","",IFERROR(INDEX('包络曲线数据'!$B$2:$K$742,ROW()-1,MATCH(E$1,'包络曲线数据'!$B$1:$K$1,0)),""))</x:f>
      </x:c>
      <x:c r="F238" t="str">
        <x:f>IF(F$1="","",IFERROR(INDEX('包络曲线数据'!$B$2:$K$742,ROW()-1,MATCH(F$1,'包络曲线数据'!$B$1:$K$1,0)),""))</x:f>
      </x:c>
      <x:c r="G238" t="str">
        <x:f>IF(G$1="","",IFERROR(INDEX('包络曲线数据'!$B$2:$K$742,ROW()-1,MATCH(G$1,'包络曲线数据'!$B$1:$K$1,0)),""))</x:f>
      </x:c>
    </x:row>
    <x:row r="239">
      <x:c r="A239" t="n">
        <x:v>23.700000000000003</x:v>
      </x:c>
      <x:c r="B239" t="n">
        <x:f>IF(B$1="","",IFERROR(INDEX('包络曲线数据'!$B$2:$K$742,ROW()-1,MATCH(B$1,'包络曲线数据'!$B$1:$K$1,0)),""))</x:f>
        <x:v>61.807035690574246</x:v>
      </x:c>
      <x:c r="C239" t="n">
        <x:f>IF(C$1="","",IFERROR(INDEX('包络曲线数据'!$B$2:$K$742,ROW()-1,MATCH(C$1,'包络曲线数据'!$B$1:$K$1,0)),""))</x:f>
        <x:v>64.08085408299135</x:v>
      </x:c>
      <x:c r="D239" t="str">
        <x:f>IF(D$1="","",IFERROR(INDEX('包络曲线数据'!$B$2:$K$742,ROW()-1,MATCH(D$1,'包络曲线数据'!$B$1:$K$1,0)),""))</x:f>
      </x:c>
      <x:c r="E239" t="str">
        <x:f>IF(E$1="","",IFERROR(INDEX('包络曲线数据'!$B$2:$K$742,ROW()-1,MATCH(E$1,'包络曲线数据'!$B$1:$K$1,0)),""))</x:f>
      </x:c>
      <x:c r="F239" t="str">
        <x:f>IF(F$1="","",IFERROR(INDEX('包络曲线数据'!$B$2:$K$742,ROW()-1,MATCH(F$1,'包络曲线数据'!$B$1:$K$1,0)),""))</x:f>
      </x:c>
      <x:c r="G239" t="str">
        <x:f>IF(G$1="","",IFERROR(INDEX('包络曲线数据'!$B$2:$K$742,ROW()-1,MATCH(G$1,'包络曲线数据'!$B$1:$K$1,0)),""))</x:f>
      </x:c>
    </x:row>
    <x:row r="240">
      <x:c r="A240" t="n">
        <x:v>23.8</x:v>
      </x:c>
      <x:c r="B240" t="n">
        <x:f>IF(B$1="","",IFERROR(INDEX('包络曲线数据'!$B$2:$K$742,ROW()-1,MATCH(B$1,'包络曲线数据'!$B$1:$K$1,0)),""))</x:f>
        <x:v>67.39510116569392</x:v>
      </x:c>
      <x:c r="C240" t="n">
        <x:f>IF(C$1="","",IFERROR(INDEX('包络曲线数据'!$B$2:$K$742,ROW()-1,MATCH(C$1,'包络曲线数据'!$B$1:$K$1,0)),""))</x:f>
        <x:v>64.08085408299135</x:v>
      </x:c>
      <x:c r="D240" t="str">
        <x:f>IF(D$1="","",IFERROR(INDEX('包络曲线数据'!$B$2:$K$742,ROW()-1,MATCH(D$1,'包络曲线数据'!$B$1:$K$1,0)),""))</x:f>
      </x:c>
      <x:c r="E240" t="str">
        <x:f>IF(E$1="","",IFERROR(INDEX('包络曲线数据'!$B$2:$K$742,ROW()-1,MATCH(E$1,'包络曲线数据'!$B$1:$K$1,0)),""))</x:f>
      </x:c>
      <x:c r="F240" t="str">
        <x:f>IF(F$1="","",IFERROR(INDEX('包络曲线数据'!$B$2:$K$742,ROW()-1,MATCH(F$1,'包络曲线数据'!$B$1:$K$1,0)),""))</x:f>
      </x:c>
      <x:c r="G240" t="str">
        <x:f>IF(G$1="","",IFERROR(INDEX('包络曲线数据'!$B$2:$K$742,ROW()-1,MATCH(G$1,'包络曲线数据'!$B$1:$K$1,0)),""))</x:f>
      </x:c>
    </x:row>
    <x:row r="241">
      <x:c r="A241" t="n">
        <x:v>23.900000000000002</x:v>
      </x:c>
      <x:c r="B241" t="n">
        <x:f>IF(B$1="","",IFERROR(INDEX('包络曲线数据'!$B$2:$K$742,ROW()-1,MATCH(B$1,'包络曲线数据'!$B$1:$K$1,0)),""))</x:f>
        <x:v>67.39510116569392</x:v>
      </x:c>
      <x:c r="C241" t="n">
        <x:f>IF(C$1="","",IFERROR(INDEX('包络曲线数据'!$B$2:$K$742,ROW()-1,MATCH(C$1,'包络曲线数据'!$B$1:$K$1,0)),""))</x:f>
        <x:v>64.64031924765737</x:v>
      </x:c>
      <x:c r="D241" t="str">
        <x:f>IF(D$1="","",IFERROR(INDEX('包络曲线数据'!$B$2:$K$742,ROW()-1,MATCH(D$1,'包络曲线数据'!$B$1:$K$1,0)),""))</x:f>
      </x:c>
      <x:c r="E241" t="str">
        <x:f>IF(E$1="","",IFERROR(INDEX('包络曲线数据'!$B$2:$K$742,ROW()-1,MATCH(E$1,'包络曲线数据'!$B$1:$K$1,0)),""))</x:f>
      </x:c>
      <x:c r="F241" t="str">
        <x:f>IF(F$1="","",IFERROR(INDEX('包络曲线数据'!$B$2:$K$742,ROW()-1,MATCH(F$1,'包络曲线数据'!$B$1:$K$1,0)),""))</x:f>
      </x:c>
      <x:c r="G241" t="str">
        <x:f>IF(G$1="","",IFERROR(INDEX('包络曲线数据'!$B$2:$K$742,ROW()-1,MATCH(G$1,'包络曲线数据'!$B$1:$K$1,0)),""))</x:f>
      </x:c>
    </x:row>
    <x:row r="242">
      <x:c r="A242" t="n">
        <x:v>24</x:v>
      </x:c>
      <x:c r="B242" t="n">
        <x:f>IF(B$1="","",IFERROR(INDEX('包络曲线数据'!$B$2:$K$742,ROW()-1,MATCH(B$1,'包络曲线数据'!$B$1:$K$1,0)),""))</x:f>
        <x:v>67.37096712526386</x:v>
      </x:c>
      <x:c r="C242" t="n">
        <x:f>IF(C$1="","",IFERROR(INDEX('包络曲线数据'!$B$2:$K$742,ROW()-1,MATCH(C$1,'包络曲线数据'!$B$1:$K$1,0)),""))</x:f>
        <x:v>64.41325966364687</x:v>
      </x:c>
      <x:c r="D242" t="str">
        <x:f>IF(D$1="","",IFERROR(INDEX('包络曲线数据'!$B$2:$K$742,ROW()-1,MATCH(D$1,'包络曲线数据'!$B$1:$K$1,0)),""))</x:f>
      </x:c>
      <x:c r="E242" t="str">
        <x:f>IF(E$1="","",IFERROR(INDEX('包络曲线数据'!$B$2:$K$742,ROW()-1,MATCH(E$1,'包络曲线数据'!$B$1:$K$1,0)),""))</x:f>
      </x:c>
      <x:c r="F242" t="str">
        <x:f>IF(F$1="","",IFERROR(INDEX('包络曲线数据'!$B$2:$K$742,ROW()-1,MATCH(F$1,'包络曲线数据'!$B$1:$K$1,0)),""))</x:f>
      </x:c>
      <x:c r="G242" t="str">
        <x:f>IF(G$1="","",IFERROR(INDEX('包络曲线数据'!$B$2:$K$742,ROW()-1,MATCH(G$1,'包络曲线数据'!$B$1:$K$1,0)),""))</x:f>
      </x:c>
    </x:row>
    <x:row r="243">
      <x:c r="A243" t="n">
        <x:v>24.1</x:v>
      </x:c>
      <x:c r="B243" t="n">
        <x:f>IF(B$1="","",IFERROR(INDEX('包络曲线数据'!$B$2:$K$742,ROW()-1,MATCH(B$1,'包络曲线数据'!$B$1:$K$1,0)),""))</x:f>
        <x:v>67.37096712526386</x:v>
      </x:c>
      <x:c r="C243" t="n">
        <x:f>IF(C$1="","",IFERROR(INDEX('包络曲线数据'!$B$2:$K$742,ROW()-1,MATCH(C$1,'包络曲线数据'!$B$1:$K$1,0)),""))</x:f>
        <x:v>65.34133006127001</x:v>
      </x:c>
      <x:c r="D243" t="str">
        <x:f>IF(D$1="","",IFERROR(INDEX('包络曲线数据'!$B$2:$K$742,ROW()-1,MATCH(D$1,'包络曲线数据'!$B$1:$K$1,0)),""))</x:f>
      </x:c>
      <x:c r="E243" t="str">
        <x:f>IF(E$1="","",IFERROR(INDEX('包络曲线数据'!$B$2:$K$742,ROW()-1,MATCH(E$1,'包络曲线数据'!$B$1:$K$1,0)),""))</x:f>
      </x:c>
      <x:c r="F243" t="str">
        <x:f>IF(F$1="","",IFERROR(INDEX('包络曲线数据'!$B$2:$K$742,ROW()-1,MATCH(F$1,'包络曲线数据'!$B$1:$K$1,0)),""))</x:f>
      </x:c>
      <x:c r="G243" t="str">
        <x:f>IF(G$1="","",IFERROR(INDEX('包络曲线数据'!$B$2:$K$742,ROW()-1,MATCH(G$1,'包络曲线数据'!$B$1:$K$1,0)),""))</x:f>
      </x:c>
    </x:row>
    <x:row r="244">
      <x:c r="A244" t="n">
        <x:v>24.200000000000003</x:v>
      </x:c>
      <x:c r="B244" t="n">
        <x:f>IF(B$1="","",IFERROR(INDEX('包络曲线数据'!$B$2:$K$742,ROW()-1,MATCH(B$1,'包络曲线数据'!$B$1:$K$1,0)),""))</x:f>
        <x:v>67.8455475113933</x:v>
      </x:c>
      <x:c r="C244" t="n">
        <x:f>IF(C$1="","",IFERROR(INDEX('包络曲线数据'!$B$2:$K$742,ROW()-1,MATCH(C$1,'包络曲线数据'!$B$1:$K$1,0)),""))</x:f>
        <x:v>65.34133006127001</x:v>
      </x:c>
      <x:c r="D244" t="str">
        <x:f>IF(D$1="","",IFERROR(INDEX('包络曲线数据'!$B$2:$K$742,ROW()-1,MATCH(D$1,'包络曲线数据'!$B$1:$K$1,0)),""))</x:f>
      </x:c>
      <x:c r="E244" t="str">
        <x:f>IF(E$1="","",IFERROR(INDEX('包络曲线数据'!$B$2:$K$742,ROW()-1,MATCH(E$1,'包络曲线数据'!$B$1:$K$1,0)),""))</x:f>
      </x:c>
      <x:c r="F244" t="str">
        <x:f>IF(F$1="","",IFERROR(INDEX('包络曲线数据'!$B$2:$K$742,ROW()-1,MATCH(F$1,'包络曲线数据'!$B$1:$K$1,0)),""))</x:f>
      </x:c>
      <x:c r="G244" t="str">
        <x:f>IF(G$1="","",IFERROR(INDEX('包络曲线数据'!$B$2:$K$742,ROW()-1,MATCH(G$1,'包络曲线数据'!$B$1:$K$1,0)),""))</x:f>
      </x:c>
    </x:row>
    <x:row r="245">
      <x:c r="A245" t="n">
        <x:v>24.3</x:v>
      </x:c>
      <x:c r="B245" t="n">
        <x:f>IF(B$1="","",IFERROR(INDEX('包络曲线数据'!$B$2:$K$742,ROW()-1,MATCH(B$1,'包络曲线数据'!$B$1:$K$1,0)),""))</x:f>
        <x:v>67.8455475113933</x:v>
      </x:c>
      <x:c r="C245" t="n">
        <x:f>IF(C$1="","",IFERROR(INDEX('包络曲线数据'!$B$2:$K$742,ROW()-1,MATCH(C$1,'包络曲线数据'!$B$1:$K$1,0)),""))</x:f>
        <x:v>64.9768552617297</x:v>
      </x:c>
      <x:c r="D245" t="str">
        <x:f>IF(D$1="","",IFERROR(INDEX('包络曲线数据'!$B$2:$K$742,ROW()-1,MATCH(D$1,'包络曲线数据'!$B$1:$K$1,0)),""))</x:f>
      </x:c>
      <x:c r="E245" t="str">
        <x:f>IF(E$1="","",IFERROR(INDEX('包络曲线数据'!$B$2:$K$742,ROW()-1,MATCH(E$1,'包络曲线数据'!$B$1:$K$1,0)),""))</x:f>
      </x:c>
      <x:c r="F245" t="str">
        <x:f>IF(F$1="","",IFERROR(INDEX('包络曲线数据'!$B$2:$K$742,ROW()-1,MATCH(F$1,'包络曲线数据'!$B$1:$K$1,0)),""))</x:f>
      </x:c>
      <x:c r="G245" t="str">
        <x:f>IF(G$1="","",IFERROR(INDEX('包络曲线数据'!$B$2:$K$742,ROW()-1,MATCH(G$1,'包络曲线数据'!$B$1:$K$1,0)),""))</x:f>
      </x:c>
    </x:row>
    <x:row r="246">
      <x:c r="A246" t="n">
        <x:v>24.400000000000002</x:v>
      </x:c>
      <x:c r="B246" t="n">
        <x:f>IF(B$1="","",IFERROR(INDEX('包络曲线数据'!$B$2:$K$742,ROW()-1,MATCH(B$1,'包络曲线数据'!$B$1:$K$1,0)),""))</x:f>
        <x:v>67.69637811190509</x:v>
      </x:c>
      <x:c r="C246" t="n">
        <x:f>IF(C$1="","",IFERROR(INDEX('包络曲线数据'!$B$2:$K$742,ROW()-1,MATCH(C$1,'包络曲线数据'!$B$1:$K$1,0)),""))</x:f>
        <x:v>64.96381656215138</x:v>
      </x:c>
      <x:c r="D246" t="str">
        <x:f>IF(D$1="","",IFERROR(INDEX('包络曲线数据'!$B$2:$K$742,ROW()-1,MATCH(D$1,'包络曲线数据'!$B$1:$K$1,0)),""))</x:f>
      </x:c>
      <x:c r="E246" t="str">
        <x:f>IF(E$1="","",IFERROR(INDEX('包络曲线数据'!$B$2:$K$742,ROW()-1,MATCH(E$1,'包络曲线数据'!$B$1:$K$1,0)),""))</x:f>
      </x:c>
      <x:c r="F246" t="str">
        <x:f>IF(F$1="","",IFERROR(INDEX('包络曲线数据'!$B$2:$K$742,ROW()-1,MATCH(F$1,'包络曲线数据'!$B$1:$K$1,0)),""))</x:f>
      </x:c>
      <x:c r="G246" t="str">
        <x:f>IF(G$1="","",IFERROR(INDEX('包络曲线数据'!$B$2:$K$742,ROW()-1,MATCH(G$1,'包络曲线数据'!$B$1:$K$1,0)),""))</x:f>
      </x:c>
    </x:row>
    <x:row r="247">
      <x:c r="A247" t="n">
        <x:v>24.5</x:v>
      </x:c>
      <x:c r="B247" t="n">
        <x:f>IF(B$1="","",IFERROR(INDEX('包络曲线数据'!$B$2:$K$742,ROW()-1,MATCH(B$1,'包络曲线数据'!$B$1:$K$1,0)),""))</x:f>
        <x:v>68.25947608984872</x:v>
      </x:c>
      <x:c r="C247" t="n">
        <x:f>IF(C$1="","",IFERROR(INDEX('包络曲线数据'!$B$2:$K$742,ROW()-1,MATCH(C$1,'包络曲线数据'!$B$1:$K$1,0)),""))</x:f>
        <x:v>66.02634221668296</x:v>
      </x:c>
      <x:c r="D247" t="str">
        <x:f>IF(D$1="","",IFERROR(INDEX('包络曲线数据'!$B$2:$K$742,ROW()-1,MATCH(D$1,'包络曲线数据'!$B$1:$K$1,0)),""))</x:f>
      </x:c>
      <x:c r="E247" t="str">
        <x:f>IF(E$1="","",IFERROR(INDEX('包络曲线数据'!$B$2:$K$742,ROW()-1,MATCH(E$1,'包络曲线数据'!$B$1:$K$1,0)),""))</x:f>
      </x:c>
      <x:c r="F247" t="str">
        <x:f>IF(F$1="","",IFERROR(INDEX('包络曲线数据'!$B$2:$K$742,ROW()-1,MATCH(F$1,'包络曲线数据'!$B$1:$K$1,0)),""))</x:f>
      </x:c>
      <x:c r="G247" t="str">
        <x:f>IF(G$1="","",IFERROR(INDEX('包络曲线数据'!$B$2:$K$742,ROW()-1,MATCH(G$1,'包络曲线数据'!$B$1:$K$1,0)),""))</x:f>
      </x:c>
    </x:row>
    <x:row r="248">
      <x:c r="A248" t="n">
        <x:v>24.6</x:v>
      </x:c>
      <x:c r="B248" t="n">
        <x:f>IF(B$1="","",IFERROR(INDEX('包络曲线数据'!$B$2:$K$742,ROW()-1,MATCH(B$1,'包络曲线数据'!$B$1:$K$1,0)),""))</x:f>
        <x:v>68.62924475320344</x:v>
      </x:c>
      <x:c r="C248" t="n">
        <x:f>IF(C$1="","",IFERROR(INDEX('包络曲线数据'!$B$2:$K$742,ROW()-1,MATCH(C$1,'包络曲线数据'!$B$1:$K$1,0)),""))</x:f>
        <x:v>66.02634221668296</x:v>
      </x:c>
      <x:c r="D248" t="str">
        <x:f>IF(D$1="","",IFERROR(INDEX('包络曲线数据'!$B$2:$K$742,ROW()-1,MATCH(D$1,'包络曲线数据'!$B$1:$K$1,0)),""))</x:f>
      </x:c>
      <x:c r="E248" t="str">
        <x:f>IF(E$1="","",IFERROR(INDEX('包络曲线数据'!$B$2:$K$742,ROW()-1,MATCH(E$1,'包络曲线数据'!$B$1:$K$1,0)),""))</x:f>
      </x:c>
      <x:c r="F248" t="str">
        <x:f>IF(F$1="","",IFERROR(INDEX('包络曲线数据'!$B$2:$K$742,ROW()-1,MATCH(F$1,'包络曲线数据'!$B$1:$K$1,0)),""))</x:f>
      </x:c>
      <x:c r="G248" t="str">
        <x:f>IF(G$1="","",IFERROR(INDEX('包络曲线数据'!$B$2:$K$742,ROW()-1,MATCH(G$1,'包络曲线数据'!$B$1:$K$1,0)),""))</x:f>
      </x:c>
    </x:row>
    <x:row r="249">
      <x:c r="A249" t="n">
        <x:v>24.700000000000003</x:v>
      </x:c>
      <x:c r="B249" t="n">
        <x:f>IF(B$1="","",IFERROR(INDEX('包络曲线数据'!$B$2:$K$742,ROW()-1,MATCH(B$1,'包络曲线数据'!$B$1:$K$1,0)),""))</x:f>
        <x:v>68.62924475320344</x:v>
      </x:c>
      <x:c r="C249" t="n">
        <x:f>IF(C$1="","",IFERROR(INDEX('包络曲线数据'!$B$2:$K$742,ROW()-1,MATCH(C$1,'包络曲线数据'!$B$1:$K$1,0)),""))</x:f>
        <x:v>63.91829233246694</x:v>
      </x:c>
      <x:c r="D249" t="str">
        <x:f>IF(D$1="","",IFERROR(INDEX('包络曲线数据'!$B$2:$K$742,ROW()-1,MATCH(D$1,'包络曲线数据'!$B$1:$K$1,0)),""))</x:f>
      </x:c>
      <x:c r="E249" t="str">
        <x:f>IF(E$1="","",IFERROR(INDEX('包络曲线数据'!$B$2:$K$742,ROW()-1,MATCH(E$1,'包络曲线数据'!$B$1:$K$1,0)),""))</x:f>
      </x:c>
      <x:c r="F249" t="str">
        <x:f>IF(F$1="","",IFERROR(INDEX('包络曲线数据'!$B$2:$K$742,ROW()-1,MATCH(F$1,'包络曲线数据'!$B$1:$K$1,0)),""))</x:f>
      </x:c>
      <x:c r="G249" t="str">
        <x:f>IF(G$1="","",IFERROR(INDEX('包络曲线数据'!$B$2:$K$742,ROW()-1,MATCH(G$1,'包络曲线数据'!$B$1:$K$1,0)),""))</x:f>
      </x:c>
    </x:row>
    <x:row r="250">
      <x:c r="A250" t="n">
        <x:v>24.8</x:v>
      </x:c>
      <x:c r="B250" t="n">
        <x:f>IF(B$1="","",IFERROR(INDEX('包络曲线数据'!$B$2:$K$742,ROW()-1,MATCH(B$1,'包络曲线数据'!$B$1:$K$1,0)),""))</x:f>
        <x:v>82.87869252033114</x:v>
      </x:c>
      <x:c r="C250" t="n">
        <x:f>IF(C$1="","",IFERROR(INDEX('包络曲线数据'!$B$2:$K$742,ROW()-1,MATCH(C$1,'包络曲线数据'!$B$1:$K$1,0)),""))</x:f>
        <x:v>59.7481281919356</x:v>
      </x:c>
      <x:c r="D250" t="str">
        <x:f>IF(D$1="","",IFERROR(INDEX('包络曲线数据'!$B$2:$K$742,ROW()-1,MATCH(D$1,'包络曲线数据'!$B$1:$K$1,0)),""))</x:f>
      </x:c>
      <x:c r="E250" t="str">
        <x:f>IF(E$1="","",IFERROR(INDEX('包络曲线数据'!$B$2:$K$742,ROW()-1,MATCH(E$1,'包络曲线数据'!$B$1:$K$1,0)),""))</x:f>
      </x:c>
      <x:c r="F250" t="str">
        <x:f>IF(F$1="","",IFERROR(INDEX('包络曲线数据'!$B$2:$K$742,ROW()-1,MATCH(F$1,'包络曲线数据'!$B$1:$K$1,0)),""))</x:f>
      </x:c>
      <x:c r="G250" t="str">
        <x:f>IF(G$1="","",IFERROR(INDEX('包络曲线数据'!$B$2:$K$742,ROW()-1,MATCH(G$1,'包络曲线数据'!$B$1:$K$1,0)),""))</x:f>
      </x:c>
    </x:row>
    <x:row r="251">
      <x:c r="A251" t="n">
        <x:v>24.900000000000002</x:v>
      </x:c>
      <x:c r="B251" t="n">
        <x:f>IF(B$1="","",IFERROR(INDEX('包络曲线数据'!$B$2:$K$742,ROW()-1,MATCH(B$1,'包络曲线数据'!$B$1:$K$1,0)),""))</x:f>
        <x:v>83.25373069210231</x:v>
      </x:c>
      <x:c r="C251" t="n">
        <x:f>IF(C$1="","",IFERROR(INDEX('包络曲线数据'!$B$2:$K$742,ROW()-1,MATCH(C$1,'包络曲线数据'!$B$1:$K$1,0)),""))</x:f>
        <x:v>66.46424299246056</x:v>
      </x:c>
      <x:c r="D251" t="str">
        <x:f>IF(D$1="","",IFERROR(INDEX('包络曲线数据'!$B$2:$K$742,ROW()-1,MATCH(D$1,'包络曲线数据'!$B$1:$K$1,0)),""))</x:f>
      </x:c>
      <x:c r="E251" t="str">
        <x:f>IF(E$1="","",IFERROR(INDEX('包络曲线数据'!$B$2:$K$742,ROW()-1,MATCH(E$1,'包络曲线数据'!$B$1:$K$1,0)),""))</x:f>
      </x:c>
      <x:c r="F251" t="str">
        <x:f>IF(F$1="","",IFERROR(INDEX('包络曲线数据'!$B$2:$K$742,ROW()-1,MATCH(F$1,'包络曲线数据'!$B$1:$K$1,0)),""))</x:f>
      </x:c>
      <x:c r="G251" t="str">
        <x:f>IF(G$1="","",IFERROR(INDEX('包络曲线数据'!$B$2:$K$742,ROW()-1,MATCH(G$1,'包络曲线数据'!$B$1:$K$1,0)),""))</x:f>
      </x:c>
    </x:row>
    <x:row r="252">
      <x:c r="A252" t="n">
        <x:v>25</x:v>
      </x:c>
      <x:c r="B252" t="n">
        <x:f>IF(B$1="","",IFERROR(INDEX('包络曲线数据'!$B$2:$K$742,ROW()-1,MATCH(B$1,'包络曲线数据'!$B$1:$K$1,0)),""))</x:f>
        <x:v>82.45886914293098</x:v>
      </x:c>
      <x:c r="C252" t="n">
        <x:f>IF(C$1="","",IFERROR(INDEX('包络曲线数据'!$B$2:$K$742,ROW()-1,MATCH(C$1,'包络曲线数据'!$B$1:$K$1,0)),""))</x:f>
        <x:v>77.42239300542943</x:v>
      </x:c>
      <x:c r="D252" t="str">
        <x:f>IF(D$1="","",IFERROR(INDEX('包络曲线数据'!$B$2:$K$742,ROW()-1,MATCH(D$1,'包络曲线数据'!$B$1:$K$1,0)),""))</x:f>
      </x:c>
      <x:c r="E252" t="str">
        <x:f>IF(E$1="","",IFERROR(INDEX('包络曲线数据'!$B$2:$K$742,ROW()-1,MATCH(E$1,'包络曲线数据'!$B$1:$K$1,0)),""))</x:f>
      </x:c>
      <x:c r="F252" t="str">
        <x:f>IF(F$1="","",IFERROR(INDEX('包络曲线数据'!$B$2:$K$742,ROW()-1,MATCH(F$1,'包络曲线数据'!$B$1:$K$1,0)),""))</x:f>
      </x:c>
      <x:c r="G252" t="str">
        <x:f>IF(G$1="","",IFERROR(INDEX('包络曲线数据'!$B$2:$K$742,ROW()-1,MATCH(G$1,'包络曲线数据'!$B$1:$K$1,0)),""))</x:f>
      </x:c>
    </x:row>
    <x:row r="253">
      <x:c r="A253" t="n">
        <x:v>25.1</x:v>
      </x:c>
      <x:c r="B253" t="n">
        <x:f>IF(B$1="","",IFERROR(INDEX('包络曲线数据'!$B$2:$K$742,ROW()-1,MATCH(B$1,'包络曲线数据'!$B$1:$K$1,0)),""))</x:f>
        <x:v>70.61626037325539</x:v>
      </x:c>
      <x:c r="C253" t="n">
        <x:f>IF(C$1="","",IFERROR(INDEX('包络曲线数据'!$B$2:$K$742,ROW()-1,MATCH(C$1,'包络曲线数据'!$B$1:$K$1,0)),""))</x:f>
        <x:v>77.42239300542943</x:v>
      </x:c>
      <x:c r="D253" t="str">
        <x:f>IF(D$1="","",IFERROR(INDEX('包络曲线数据'!$B$2:$K$742,ROW()-1,MATCH(D$1,'包络曲线数据'!$B$1:$K$1,0)),""))</x:f>
      </x:c>
      <x:c r="E253" t="str">
        <x:f>IF(E$1="","",IFERROR(INDEX('包络曲线数据'!$B$2:$K$742,ROW()-1,MATCH(E$1,'包络曲线数据'!$B$1:$K$1,0)),""))</x:f>
      </x:c>
      <x:c r="F253" t="str">
        <x:f>IF(F$1="","",IFERROR(INDEX('包络曲线数据'!$B$2:$K$742,ROW()-1,MATCH(F$1,'包络曲线数据'!$B$1:$K$1,0)),""))</x:f>
      </x:c>
      <x:c r="G253" t="str">
        <x:f>IF(G$1="","",IFERROR(INDEX('包络曲线数据'!$B$2:$K$742,ROW()-1,MATCH(G$1,'包络曲线数据'!$B$1:$K$1,0)),""))</x:f>
      </x:c>
    </x:row>
    <x:row r="254">
      <x:c r="A254" t="n">
        <x:v>25.200000000000003</x:v>
      </x:c>
      <x:c r="B254" t="n">
        <x:f>IF(B$1="","",IFERROR(INDEX('包络曲线数据'!$B$2:$K$742,ROW()-1,MATCH(B$1,'包络曲线数据'!$B$1:$K$1,0)),""))</x:f>
        <x:v>65.82559431081093</x:v>
      </x:c>
      <x:c r="C254" t="n">
        <x:f>IF(C$1="","",IFERROR(INDEX('包络曲线数据'!$B$2:$K$742,ROW()-1,MATCH(C$1,'包络曲线数据'!$B$1:$K$1,0)),""))</x:f>
        <x:v>71.18991843939487</x:v>
      </x:c>
      <x:c r="D254" t="str">
        <x:f>IF(D$1="","",IFERROR(INDEX('包络曲线数据'!$B$2:$K$742,ROW()-1,MATCH(D$1,'包络曲线数据'!$B$1:$K$1,0)),""))</x:f>
      </x:c>
      <x:c r="E254" t="str">
        <x:f>IF(E$1="","",IFERROR(INDEX('包络曲线数据'!$B$2:$K$742,ROW()-1,MATCH(E$1,'包络曲线数据'!$B$1:$K$1,0)),""))</x:f>
      </x:c>
      <x:c r="F254" t="str">
        <x:f>IF(F$1="","",IFERROR(INDEX('包络曲线数据'!$B$2:$K$742,ROW()-1,MATCH(F$1,'包络曲线数据'!$B$1:$K$1,0)),""))</x:f>
      </x:c>
      <x:c r="G254" t="str">
        <x:f>IF(G$1="","",IFERROR(INDEX('包络曲线数据'!$B$2:$K$742,ROW()-1,MATCH(G$1,'包络曲线数据'!$B$1:$K$1,0)),""))</x:f>
      </x:c>
    </x:row>
    <x:row r="255">
      <x:c r="A255" t="n">
        <x:v>25.3</x:v>
      </x:c>
      <x:c r="B255" t="n">
        <x:f>IF(B$1="","",IFERROR(INDEX('包络曲线数据'!$B$2:$K$742,ROW()-1,MATCH(B$1,'包络曲线数据'!$B$1:$K$1,0)),""))</x:f>
        <x:v>63.67657510460215</x:v>
      </x:c>
      <x:c r="C255" t="n">
        <x:f>IF(C$1="","",IFERROR(INDEX('包络曲线数据'!$B$2:$K$742,ROW()-1,MATCH(C$1,'包络曲线数据'!$B$1:$K$1,0)),""))</x:f>
        <x:v>62.27788885830638</x:v>
      </x:c>
      <x:c r="D255" t="str">
        <x:f>IF(D$1="","",IFERROR(INDEX('包络曲线数据'!$B$2:$K$742,ROW()-1,MATCH(D$1,'包络曲线数据'!$B$1:$K$1,0)),""))</x:f>
      </x:c>
      <x:c r="E255" t="str">
        <x:f>IF(E$1="","",IFERROR(INDEX('包络曲线数据'!$B$2:$K$742,ROW()-1,MATCH(E$1,'包络曲线数据'!$B$1:$K$1,0)),""))</x:f>
      </x:c>
      <x:c r="F255" t="str">
        <x:f>IF(F$1="","",IFERROR(INDEX('包络曲线数据'!$B$2:$K$742,ROW()-1,MATCH(F$1,'包络曲线数据'!$B$1:$K$1,0)),""))</x:f>
      </x:c>
      <x:c r="G255" t="str">
        <x:f>IF(G$1="","",IFERROR(INDEX('包络曲线数据'!$B$2:$K$742,ROW()-1,MATCH(G$1,'包络曲线数据'!$B$1:$K$1,0)),""))</x:f>
      </x:c>
    </x:row>
    <x:row r="256">
      <x:c r="A256" t="n">
        <x:v>25.400000000000002</x:v>
      </x:c>
      <x:c r="B256" t="n">
        <x:f>IF(B$1="","",IFERROR(INDEX('包络曲线数据'!$B$2:$K$742,ROW()-1,MATCH(B$1,'包络曲线数据'!$B$1:$K$1,0)),""))</x:f>
        <x:v>50</x:v>
      </x:c>
      <x:c r="C256" t="n">
        <x:f>IF(C$1="","",IFERROR(INDEX('包络曲线数据'!$B$2:$K$742,ROW()-1,MATCH(C$1,'包络曲线数据'!$B$1:$K$1,0)),""))</x:f>
        <x:v>52.20528329243418</x:v>
      </x:c>
      <x:c r="D256" t="str">
        <x:f>IF(D$1="","",IFERROR(INDEX('包络曲线数据'!$B$2:$K$742,ROW()-1,MATCH(D$1,'包络曲线数据'!$B$1:$K$1,0)),""))</x:f>
      </x:c>
      <x:c r="E256" t="str">
        <x:f>IF(E$1="","",IFERROR(INDEX('包络曲线数据'!$B$2:$K$742,ROW()-1,MATCH(E$1,'包络曲线数据'!$B$1:$K$1,0)),""))</x:f>
      </x:c>
      <x:c r="F256" t="str">
        <x:f>IF(F$1="","",IFERROR(INDEX('包络曲线数据'!$B$2:$K$742,ROW()-1,MATCH(F$1,'包络曲线数据'!$B$1:$K$1,0)),""))</x:f>
      </x:c>
      <x:c r="G256" t="str">
        <x:f>IF(G$1="","",IFERROR(INDEX('包络曲线数据'!$B$2:$K$742,ROW()-1,MATCH(G$1,'包络曲线数据'!$B$1:$K$1,0)),""))</x:f>
      </x:c>
    </x:row>
    <x:row r="257">
      <x:c r="A257" t="n">
        <x:v>25.5</x:v>
      </x:c>
      <x:c r="B257" t="n">
        <x:f>IF(B$1="","",IFERROR(INDEX('包络曲线数据'!$B$2:$K$742,ROW()-1,MATCH(B$1,'包络曲线数据'!$B$1:$K$1,0)),""))</x:f>
        <x:v>50</x:v>
      </x:c>
      <x:c r="C257" t="n">
        <x:f>IF(C$1="","",IFERROR(INDEX('包络曲线数据'!$B$2:$K$742,ROW()-1,MATCH(C$1,'包络曲线数据'!$B$1:$K$1,0)),""))</x:f>
        <x:v>52.34324467920925</x:v>
      </x:c>
      <x:c r="D257" t="str">
        <x:f>IF(D$1="","",IFERROR(INDEX('包络曲线数据'!$B$2:$K$742,ROW()-1,MATCH(D$1,'包络曲线数据'!$B$1:$K$1,0)),""))</x:f>
      </x:c>
      <x:c r="E257" t="str">
        <x:f>IF(E$1="","",IFERROR(INDEX('包络曲线数据'!$B$2:$K$742,ROW()-1,MATCH(E$1,'包络曲线数据'!$B$1:$K$1,0)),""))</x:f>
      </x:c>
      <x:c r="F257" t="str">
        <x:f>IF(F$1="","",IFERROR(INDEX('包络曲线数据'!$B$2:$K$742,ROW()-1,MATCH(F$1,'包络曲线数据'!$B$1:$K$1,0)),""))</x:f>
      </x:c>
      <x:c r="G257" t="str">
        <x:f>IF(G$1="","",IFERROR(INDEX('包络曲线数据'!$B$2:$K$742,ROW()-1,MATCH(G$1,'包络曲线数据'!$B$1:$K$1,0)),""))</x:f>
      </x:c>
    </x:row>
    <x:row r="258">
      <x:c r="A258" t="n">
        <x:v>25.6</x:v>
      </x:c>
      <x:c r="B258" t="n">
        <x:f>IF(B$1="","",IFERROR(INDEX('包络曲线数据'!$B$2:$K$742,ROW()-1,MATCH(B$1,'包络曲线数据'!$B$1:$K$1,0)),""))</x:f>
        <x:v>50</x:v>
      </x:c>
      <x:c r="C258" t="n">
        <x:f>IF(C$1="","",IFERROR(INDEX('包络曲线数据'!$B$2:$K$742,ROW()-1,MATCH(C$1,'包络曲线数据'!$B$1:$K$1,0)),""))</x:f>
        <x:v>53.758910506307714</x:v>
      </x:c>
      <x:c r="D258" t="str">
        <x:f>IF(D$1="","",IFERROR(INDEX('包络曲线数据'!$B$2:$K$742,ROW()-1,MATCH(D$1,'包络曲线数据'!$B$1:$K$1,0)),""))</x:f>
      </x:c>
      <x:c r="E258" t="str">
        <x:f>IF(E$1="","",IFERROR(INDEX('包络曲线数据'!$B$2:$K$742,ROW()-1,MATCH(E$1,'包络曲线数据'!$B$1:$K$1,0)),""))</x:f>
      </x:c>
      <x:c r="F258" t="str">
        <x:f>IF(F$1="","",IFERROR(INDEX('包络曲线数据'!$B$2:$K$742,ROW()-1,MATCH(F$1,'包络曲线数据'!$B$1:$K$1,0)),""))</x:f>
      </x:c>
      <x:c r="G258" t="str">
        <x:f>IF(G$1="","",IFERROR(INDEX('包络曲线数据'!$B$2:$K$742,ROW()-1,MATCH(G$1,'包络曲线数据'!$B$1:$K$1,0)),""))</x:f>
      </x:c>
    </x:row>
    <x:row r="259">
      <x:c r="A259" t="n">
        <x:v>25.700000000000003</x:v>
      </x:c>
      <x:c r="B259" t="n">
        <x:f>IF(B$1="","",IFERROR(INDEX('包络曲线数据'!$B$2:$K$742,ROW()-1,MATCH(B$1,'包络曲线数据'!$B$1:$K$1,0)),""))</x:f>
        <x:v>50</x:v>
      </x:c>
      <x:c r="C259" t="n">
        <x:f>IF(C$1="","",IFERROR(INDEX('包络曲线数据'!$B$2:$K$742,ROW()-1,MATCH(C$1,'包络曲线数据'!$B$1:$K$1,0)),""))</x:f>
        <x:v>56.11835355147177</x:v>
      </x:c>
      <x:c r="D259" t="str">
        <x:f>IF(D$1="","",IFERROR(INDEX('包络曲线数据'!$B$2:$K$742,ROW()-1,MATCH(D$1,'包络曲线数据'!$B$1:$K$1,0)),""))</x:f>
      </x:c>
      <x:c r="E259" t="str">
        <x:f>IF(E$1="","",IFERROR(INDEX('包络曲线数据'!$B$2:$K$742,ROW()-1,MATCH(E$1,'包络曲线数据'!$B$1:$K$1,0)),""))</x:f>
      </x:c>
      <x:c r="F259" t="str">
        <x:f>IF(F$1="","",IFERROR(INDEX('包络曲线数据'!$B$2:$K$742,ROW()-1,MATCH(F$1,'包络曲线数据'!$B$1:$K$1,0)),""))</x:f>
      </x:c>
      <x:c r="G259" t="str">
        <x:f>IF(G$1="","",IFERROR(INDEX('包络曲线数据'!$B$2:$K$742,ROW()-1,MATCH(G$1,'包络曲线数据'!$B$1:$K$1,0)),""))</x:f>
      </x:c>
    </x:row>
    <x:row r="260">
      <x:c r="A260" t="n">
        <x:v>25.8</x:v>
      </x:c>
      <x:c r="B260" t="n">
        <x:f>IF(B$1="","",IFERROR(INDEX('包络曲线数据'!$B$2:$K$742,ROW()-1,MATCH(B$1,'包络曲线数据'!$B$1:$K$1,0)),""))</x:f>
        <x:v>50</x:v>
      </x:c>
      <x:c r="C260" t="n">
        <x:f>IF(C$1="","",IFERROR(INDEX('包络曲线数据'!$B$2:$K$742,ROW()-1,MATCH(C$1,'包络曲线数据'!$B$1:$K$1,0)),""))</x:f>
        <x:v>58.51775517359966</x:v>
      </x:c>
      <x:c r="D260" t="str">
        <x:f>IF(D$1="","",IFERROR(INDEX('包络曲线数据'!$B$2:$K$742,ROW()-1,MATCH(D$1,'包络曲线数据'!$B$1:$K$1,0)),""))</x:f>
      </x:c>
      <x:c r="E260" t="str">
        <x:f>IF(E$1="","",IFERROR(INDEX('包络曲线数据'!$B$2:$K$742,ROW()-1,MATCH(E$1,'包络曲线数据'!$B$1:$K$1,0)),""))</x:f>
      </x:c>
      <x:c r="F260" t="str">
        <x:f>IF(F$1="","",IFERROR(INDEX('包络曲线数据'!$B$2:$K$742,ROW()-1,MATCH(F$1,'包络曲线数据'!$B$1:$K$1,0)),""))</x:f>
      </x:c>
      <x:c r="G260" t="str">
        <x:f>IF(G$1="","",IFERROR(INDEX('包络曲线数据'!$B$2:$K$742,ROW()-1,MATCH(G$1,'包络曲线数据'!$B$1:$K$1,0)),""))</x:f>
      </x:c>
    </x:row>
    <x:row r="261">
      <x:c r="A261" t="n">
        <x:v>25.900000000000002</x:v>
      </x:c>
      <x:c r="B261" t="n">
        <x:f>IF(B$1="","",IFERROR(INDEX('包络曲线数据'!$B$2:$K$742,ROW()-1,MATCH(B$1,'包络曲线数据'!$B$1:$K$1,0)),""))</x:f>
        <x:v>74.59125914025618</x:v>
      </x:c>
      <x:c r="C261" t="n">
        <x:f>IF(C$1="","",IFERROR(INDEX('包络曲线数据'!$B$2:$K$742,ROW()-1,MATCH(C$1,'包络曲线数据'!$B$1:$K$1,0)),""))</x:f>
        <x:v>59.54144954559307</x:v>
      </x:c>
      <x:c r="D261" t="str">
        <x:f>IF(D$1="","",IFERROR(INDEX('包络曲线数据'!$B$2:$K$742,ROW()-1,MATCH(D$1,'包络曲线数据'!$B$1:$K$1,0)),""))</x:f>
      </x:c>
      <x:c r="E261" t="str">
        <x:f>IF(E$1="","",IFERROR(INDEX('包络曲线数据'!$B$2:$K$742,ROW()-1,MATCH(E$1,'包络曲线数据'!$B$1:$K$1,0)),""))</x:f>
      </x:c>
      <x:c r="F261" t="str">
        <x:f>IF(F$1="","",IFERROR(INDEX('包络曲线数据'!$B$2:$K$742,ROW()-1,MATCH(F$1,'包络曲线数据'!$B$1:$K$1,0)),""))</x:f>
      </x:c>
      <x:c r="G261" t="str">
        <x:f>IF(G$1="","",IFERROR(INDEX('包络曲线数据'!$B$2:$K$742,ROW()-1,MATCH(G$1,'包络曲线数据'!$B$1:$K$1,0)),""))</x:f>
      </x:c>
    </x:row>
    <x:row r="262">
      <x:c r="A262" t="n">
        <x:v>26</x:v>
      </x:c>
      <x:c r="B262" t="n">
        <x:f>IF(B$1="","",IFERROR(INDEX('包络曲线数据'!$B$2:$K$742,ROW()-1,MATCH(B$1,'包络曲线数据'!$B$1:$K$1,0)),""))</x:f>
        <x:v>76.14544347383783</x:v>
      </x:c>
      <x:c r="C262" t="n">
        <x:f>IF(C$1="","",IFERROR(INDEX('包络曲线数据'!$B$2:$K$742,ROW()-1,MATCH(C$1,'包络曲线数据'!$B$1:$K$1,0)),""))</x:f>
        <x:v>62.0184505324624</x:v>
      </x:c>
      <x:c r="D262" t="str">
        <x:f>IF(D$1="","",IFERROR(INDEX('包络曲线数据'!$B$2:$K$742,ROW()-1,MATCH(D$1,'包络曲线数据'!$B$1:$K$1,0)),""))</x:f>
      </x:c>
      <x:c r="E262" t="str">
        <x:f>IF(E$1="","",IFERROR(INDEX('包络曲线数据'!$B$2:$K$742,ROW()-1,MATCH(E$1,'包络曲线数据'!$B$1:$K$1,0)),""))</x:f>
      </x:c>
      <x:c r="F262" t="str">
        <x:f>IF(F$1="","",IFERROR(INDEX('包络曲线数据'!$B$2:$K$742,ROW()-1,MATCH(F$1,'包络曲线数据'!$B$1:$K$1,0)),""))</x:f>
      </x:c>
      <x:c r="G262" t="str">
        <x:f>IF(G$1="","",IFERROR(INDEX('包络曲线数据'!$B$2:$K$742,ROW()-1,MATCH(G$1,'包络曲线数据'!$B$1:$K$1,0)),""))</x:f>
      </x:c>
    </x:row>
    <x:row r="263">
      <x:c r="A263" t="n">
        <x:v>26.1</x:v>
      </x:c>
      <x:c r="B263" t="n">
        <x:f>IF(B$1="","",IFERROR(INDEX('包络曲线数据'!$B$2:$K$742,ROW()-1,MATCH(B$1,'包络曲线数据'!$B$1:$K$1,0)),""))</x:f>
        <x:v>75.56966409324889</x:v>
      </x:c>
      <x:c r="C263" t="n">
        <x:f>IF(C$1="","",IFERROR(INDEX('包络曲线数据'!$B$2:$K$742,ROW()-1,MATCH(C$1,'包络曲线数据'!$B$1:$K$1,0)),""))</x:f>
        <x:v>68.21095299963596</x:v>
      </x:c>
      <x:c r="D263" t="str">
        <x:f>IF(D$1="","",IFERROR(INDEX('包络曲线数据'!$B$2:$K$742,ROW()-1,MATCH(D$1,'包络曲线数据'!$B$1:$K$1,0)),""))</x:f>
      </x:c>
      <x:c r="E263" t="str">
        <x:f>IF(E$1="","",IFERROR(INDEX('包络曲线数据'!$B$2:$K$742,ROW()-1,MATCH(E$1,'包络曲线数据'!$B$1:$K$1,0)),""))</x:f>
      </x:c>
      <x:c r="F263" t="str">
        <x:f>IF(F$1="","",IFERROR(INDEX('包络曲线数据'!$B$2:$K$742,ROW()-1,MATCH(F$1,'包络曲线数据'!$B$1:$K$1,0)),""))</x:f>
      </x:c>
      <x:c r="G263" t="str">
        <x:f>IF(G$1="","",IFERROR(INDEX('包络曲线数据'!$B$2:$K$742,ROW()-1,MATCH(G$1,'包络曲线数据'!$B$1:$K$1,0)),""))</x:f>
      </x:c>
    </x:row>
    <x:row r="264">
      <x:c r="A264" t="n">
        <x:v>26.200000000000003</x:v>
      </x:c>
      <x:c r="B264" t="n">
        <x:f>IF(B$1="","",IFERROR(INDEX('包络曲线数据'!$B$2:$K$742,ROW()-1,MATCH(B$1,'包络曲线数据'!$B$1:$K$1,0)),""))</x:f>
        <x:v>66.90907499157841</x:v>
      </x:c>
      <x:c r="C264" t="n">
        <x:f>IF(C$1="","",IFERROR(INDEX('包络曲线数据'!$B$2:$K$742,ROW()-1,MATCH(C$1,'包络曲线数据'!$B$1:$K$1,0)),""))</x:f>
        <x:v>71.92645447993998</x:v>
      </x:c>
      <x:c r="D264" t="str">
        <x:f>IF(D$1="","",IFERROR(INDEX('包络曲线数据'!$B$2:$K$742,ROW()-1,MATCH(D$1,'包络曲线数据'!$B$1:$K$1,0)),""))</x:f>
      </x:c>
      <x:c r="E264" t="str">
        <x:f>IF(E$1="","",IFERROR(INDEX('包络曲线数据'!$B$2:$K$742,ROW()-1,MATCH(E$1,'包络曲线数据'!$B$1:$K$1,0)),""))</x:f>
      </x:c>
      <x:c r="F264" t="str">
        <x:f>IF(F$1="","",IFERROR(INDEX('包络曲线数据'!$B$2:$K$742,ROW()-1,MATCH(F$1,'包络曲线数据'!$B$1:$K$1,0)),""))</x:f>
      </x:c>
      <x:c r="G264" t="str">
        <x:f>IF(G$1="","",IFERROR(INDEX('包络曲线数据'!$B$2:$K$742,ROW()-1,MATCH(G$1,'包络曲线数据'!$B$1:$K$1,0)),""))</x:f>
      </x:c>
    </x:row>
    <x:row r="265">
      <x:c r="A265" t="n">
        <x:v>26.3</x:v>
      </x:c>
      <x:c r="B265" t="n">
        <x:f>IF(B$1="","",IFERROR(INDEX('包络曲线数据'!$B$2:$K$742,ROW()-1,MATCH(B$1,'包络曲线数据'!$B$1:$K$1,0)),""))</x:f>
        <x:v>62.89285318019817</x:v>
      </x:c>
      <x:c r="C265" t="n">
        <x:f>IF(C$1="","",IFERROR(INDEX('包络曲线数据'!$B$2:$K$742,ROW()-1,MATCH(C$1,'包络曲线数据'!$B$1:$K$1,0)),""))</x:f>
        <x:v>71.92645447993998</x:v>
      </x:c>
      <x:c r="D265" t="str">
        <x:f>IF(D$1="","",IFERROR(INDEX('包络曲线数据'!$B$2:$K$742,ROW()-1,MATCH(D$1,'包络曲线数据'!$B$1:$K$1,0)),""))</x:f>
      </x:c>
      <x:c r="E265" t="str">
        <x:f>IF(E$1="","",IFERROR(INDEX('包络曲线数据'!$B$2:$K$742,ROW()-1,MATCH(E$1,'包络曲线数据'!$B$1:$K$1,0)),""))</x:f>
      </x:c>
      <x:c r="F265" t="str">
        <x:f>IF(F$1="","",IFERROR(INDEX('包络曲线数据'!$B$2:$K$742,ROW()-1,MATCH(F$1,'包络曲线数据'!$B$1:$K$1,0)),""))</x:f>
      </x:c>
      <x:c r="G265" t="str">
        <x:f>IF(G$1="","",IFERROR(INDEX('包络曲线数据'!$B$2:$K$742,ROW()-1,MATCH(G$1,'包络曲线数据'!$B$1:$K$1,0)),""))</x:f>
      </x:c>
    </x:row>
    <x:row r="266">
      <x:c r="A266" t="n">
        <x:v>26.400000000000002</x:v>
      </x:c>
      <x:c r="B266" t="n">
        <x:f>IF(B$1="","",IFERROR(INDEX('包络曲线数据'!$B$2:$K$742,ROW()-1,MATCH(B$1,'包络曲线数据'!$B$1:$K$1,0)),""))</x:f>
        <x:v>66.86706506309332</x:v>
      </x:c>
      <x:c r="C266" t="n">
        <x:f>IF(C$1="","",IFERROR(INDEX('包络曲线数据'!$B$2:$K$742,ROW()-1,MATCH(C$1,'包络曲线数据'!$B$1:$K$1,0)),""))</x:f>
        <x:v>67.449758256773</x:v>
      </x:c>
      <x:c r="D266" t="str">
        <x:f>IF(D$1="","",IFERROR(INDEX('包络曲线数据'!$B$2:$K$742,ROW()-1,MATCH(D$1,'包络曲线数据'!$B$1:$K$1,0)),""))</x:f>
      </x:c>
      <x:c r="E266" t="str">
        <x:f>IF(E$1="","",IFERROR(INDEX('包络曲线数据'!$B$2:$K$742,ROW()-1,MATCH(E$1,'包络曲线数据'!$B$1:$K$1,0)),""))</x:f>
      </x:c>
      <x:c r="F266" t="str">
        <x:f>IF(F$1="","",IFERROR(INDEX('包络曲线数据'!$B$2:$K$742,ROW()-1,MATCH(F$1,'包络曲线数据'!$B$1:$K$1,0)),""))</x:f>
      </x:c>
      <x:c r="G266" t="str">
        <x:f>IF(G$1="","",IFERROR(INDEX('包络曲线数据'!$B$2:$K$742,ROW()-1,MATCH(G$1,'包络曲线数据'!$B$1:$K$1,0)),""))</x:f>
      </x:c>
    </x:row>
    <x:row r="267">
      <x:c r="A267" t="n">
        <x:v>26.5</x:v>
      </x:c>
      <x:c r="B267" t="n">
        <x:f>IF(B$1="","",IFERROR(INDEX('包络曲线数据'!$B$2:$K$742,ROW()-1,MATCH(B$1,'包络曲线数据'!$B$1:$K$1,0)),""))</x:f>
        <x:v>67.75434542475114</x:v>
      </x:c>
      <x:c r="C267" t="n">
        <x:f>IF(C$1="","",IFERROR(INDEX('包络曲线数据'!$B$2:$K$742,ROW()-1,MATCH(C$1,'包络曲线数据'!$B$1:$K$1,0)),""))</x:f>
        <x:v>61.61733855891856</x:v>
      </x:c>
      <x:c r="D267" t="str">
        <x:f>IF(D$1="","",IFERROR(INDEX('包络曲线数据'!$B$2:$K$742,ROW()-1,MATCH(D$1,'包络曲线数据'!$B$1:$K$1,0)),""))</x:f>
      </x:c>
      <x:c r="E267" t="str">
        <x:f>IF(E$1="","",IFERROR(INDEX('包络曲线数据'!$B$2:$K$742,ROW()-1,MATCH(E$1,'包络曲线数据'!$B$1:$K$1,0)),""))</x:f>
      </x:c>
      <x:c r="F267" t="str">
        <x:f>IF(F$1="","",IFERROR(INDEX('包络曲线数据'!$B$2:$K$742,ROW()-1,MATCH(F$1,'包络曲线数据'!$B$1:$K$1,0)),""))</x:f>
      </x:c>
      <x:c r="G267" t="str">
        <x:f>IF(G$1="","",IFERROR(INDEX('包络曲线数据'!$B$2:$K$742,ROW()-1,MATCH(G$1,'包络曲线数据'!$B$1:$K$1,0)),""))</x:f>
      </x:c>
    </x:row>
    <x:row r="268">
      <x:c r="A268" t="n">
        <x:v>26.6</x:v>
      </x:c>
      <x:c r="B268" t="n">
        <x:f>IF(B$1="","",IFERROR(INDEX('包络曲线数据'!$B$2:$K$742,ROW()-1,MATCH(B$1,'包络曲线数据'!$B$1:$K$1,0)),""))</x:f>
        <x:v>69.59767185502328</x:v>
      </x:c>
      <x:c r="C268" t="n">
        <x:f>IF(C$1="","",IFERROR(INDEX('包络曲线数据'!$B$2:$K$742,ROW()-1,MATCH(C$1,'包络曲线数据'!$B$1:$K$1,0)),""))</x:f>
        <x:v>62.0340888347247</x:v>
      </x:c>
      <x:c r="D268" t="str">
        <x:f>IF(D$1="","",IFERROR(INDEX('包络曲线数据'!$B$2:$K$742,ROW()-1,MATCH(D$1,'包络曲线数据'!$B$1:$K$1,0)),""))</x:f>
      </x:c>
      <x:c r="E268" t="str">
        <x:f>IF(E$1="","",IFERROR(INDEX('包络曲线数据'!$B$2:$K$742,ROW()-1,MATCH(E$1,'包络曲线数据'!$B$1:$K$1,0)),""))</x:f>
      </x:c>
      <x:c r="F268" t="str">
        <x:f>IF(F$1="","",IFERROR(INDEX('包络曲线数据'!$B$2:$K$742,ROW()-1,MATCH(F$1,'包络曲线数据'!$B$1:$K$1,0)),""))</x:f>
      </x:c>
      <x:c r="G268" t="str">
        <x:f>IF(G$1="","",IFERROR(INDEX('包络曲线数据'!$B$2:$K$742,ROW()-1,MATCH(G$1,'包络曲线数据'!$B$1:$K$1,0)),""))</x:f>
      </x:c>
    </x:row>
    <x:row r="269">
      <x:c r="A269" t="n">
        <x:v>26.700000000000003</x:v>
      </x:c>
      <x:c r="B269" t="n">
        <x:f>IF(B$1="","",IFERROR(INDEX('包络曲线数据'!$B$2:$K$742,ROW()-1,MATCH(B$1,'包络曲线数据'!$B$1:$K$1,0)),""))</x:f>
        <x:v>69.59767185502328</x:v>
      </x:c>
      <x:c r="C269" t="n">
        <x:f>IF(C$1="","",IFERROR(INDEX('包络曲线数据'!$B$2:$K$742,ROW()-1,MATCH(C$1,'包络曲线数据'!$B$1:$K$1,0)),""))</x:f>
        <x:v>64.4138602858448</x:v>
      </x:c>
      <x:c r="D269" t="str">
        <x:f>IF(D$1="","",IFERROR(INDEX('包络曲线数据'!$B$2:$K$742,ROW()-1,MATCH(D$1,'包络曲线数据'!$B$1:$K$1,0)),""))</x:f>
      </x:c>
      <x:c r="E269" t="str">
        <x:f>IF(E$1="","",IFERROR(INDEX('包络曲线数据'!$B$2:$K$742,ROW()-1,MATCH(E$1,'包络曲线数据'!$B$1:$K$1,0)),""))</x:f>
      </x:c>
      <x:c r="F269" t="str">
        <x:f>IF(F$1="","",IFERROR(INDEX('包络曲线数据'!$B$2:$K$742,ROW()-1,MATCH(F$1,'包络曲线数据'!$B$1:$K$1,0)),""))</x:f>
      </x:c>
      <x:c r="G269" t="str">
        <x:f>IF(G$1="","",IFERROR(INDEX('包络曲线数据'!$B$2:$K$742,ROW()-1,MATCH(G$1,'包络曲线数据'!$B$1:$K$1,0)),""))</x:f>
      </x:c>
    </x:row>
    <x:row r="270">
      <x:c r="A270" t="n">
        <x:v>26.8</x:v>
      </x:c>
      <x:c r="B270" t="n">
        <x:f>IF(B$1="","",IFERROR(INDEX('包络曲线数据'!$B$2:$K$742,ROW()-1,MATCH(B$1,'包络曲线数据'!$B$1:$K$1,0)),""))</x:f>
        <x:v>69.61725769076922</x:v>
      </x:c>
      <x:c r="C270" t="n">
        <x:f>IF(C$1="","",IFERROR(INDEX('包络曲线数据'!$B$2:$K$742,ROW()-1,MATCH(C$1,'包络曲线数据'!$B$1:$K$1,0)),""))</x:f>
        <x:v>65.38719294569383</x:v>
      </x:c>
      <x:c r="D270" t="str">
        <x:f>IF(D$1="","",IFERROR(INDEX('包络曲线数据'!$B$2:$K$742,ROW()-1,MATCH(D$1,'包络曲线数据'!$B$1:$K$1,0)),""))</x:f>
      </x:c>
      <x:c r="E270" t="str">
        <x:f>IF(E$1="","",IFERROR(INDEX('包络曲线数据'!$B$2:$K$742,ROW()-1,MATCH(E$1,'包络曲线数据'!$B$1:$K$1,0)),""))</x:f>
      </x:c>
      <x:c r="F270" t="str">
        <x:f>IF(F$1="","",IFERROR(INDEX('包络曲线数据'!$B$2:$K$742,ROW()-1,MATCH(F$1,'包络曲线数据'!$B$1:$K$1,0)),""))</x:f>
      </x:c>
      <x:c r="G270" t="str">
        <x:f>IF(G$1="","",IFERROR(INDEX('包络曲线数据'!$B$2:$K$742,ROW()-1,MATCH(G$1,'包络曲线数据'!$B$1:$K$1,0)),""))</x:f>
      </x:c>
    </x:row>
    <x:row r="271">
      <x:c r="A271" t="n">
        <x:v>26.900000000000002</x:v>
      </x:c>
      <x:c r="B271" t="n">
        <x:f>IF(B$1="","",IFERROR(INDEX('包络曲线数据'!$B$2:$K$742,ROW()-1,MATCH(B$1,'包络曲线数据'!$B$1:$K$1,0)),""))</x:f>
        <x:v>69.91695946416615</x:v>
      </x:c>
      <x:c r="C271" t="n">
        <x:f>IF(C$1="","",IFERROR(INDEX('包络曲线数据'!$B$2:$K$742,ROW()-1,MATCH(C$1,'包络曲线数据'!$B$1:$K$1,0)),""))</x:f>
        <x:v>65.3091215191503</x:v>
      </x:c>
      <x:c r="D271" t="str">
        <x:f>IF(D$1="","",IFERROR(INDEX('包络曲线数据'!$B$2:$K$742,ROW()-1,MATCH(D$1,'包络曲线数据'!$B$1:$K$1,0)),""))</x:f>
      </x:c>
      <x:c r="E271" t="str">
        <x:f>IF(E$1="","",IFERROR(INDEX('包络曲线数据'!$B$2:$K$742,ROW()-1,MATCH(E$1,'包络曲线数据'!$B$1:$K$1,0)),""))</x:f>
      </x:c>
      <x:c r="F271" t="str">
        <x:f>IF(F$1="","",IFERROR(INDEX('包络曲线数据'!$B$2:$K$742,ROW()-1,MATCH(F$1,'包络曲线数据'!$B$1:$K$1,0)),""))</x:f>
      </x:c>
      <x:c r="G271" t="str">
        <x:f>IF(G$1="","",IFERROR(INDEX('包络曲线数据'!$B$2:$K$742,ROW()-1,MATCH(G$1,'包络曲线数据'!$B$1:$K$1,0)),""))</x:f>
      </x:c>
    </x:row>
    <x:row r="272">
      <x:c r="A272" t="n">
        <x:v>27</x:v>
      </x:c>
      <x:c r="B272" t="n">
        <x:f>IF(B$1="","",IFERROR(INDEX('包络曲线数据'!$B$2:$K$742,ROW()-1,MATCH(B$1,'包络曲线数据'!$B$1:$K$1,0)),""))</x:f>
        <x:v>69.91695946416615</x:v>
      </x:c>
      <x:c r="C272" t="n">
        <x:f>IF(C$1="","",IFERROR(INDEX('包络曲线数据'!$B$2:$K$742,ROW()-1,MATCH(C$1,'包络曲线数据'!$B$1:$K$1,0)),""))</x:f>
        <x:v>65.3091215191503</x:v>
      </x:c>
      <x:c r="D272" t="str">
        <x:f>IF(D$1="","",IFERROR(INDEX('包络曲线数据'!$B$2:$K$742,ROW()-1,MATCH(D$1,'包络曲线数据'!$B$1:$K$1,0)),""))</x:f>
      </x:c>
      <x:c r="E272" t="str">
        <x:f>IF(E$1="","",IFERROR(INDEX('包络曲线数据'!$B$2:$K$742,ROW()-1,MATCH(E$1,'包络曲线数据'!$B$1:$K$1,0)),""))</x:f>
      </x:c>
      <x:c r="F272" t="str">
        <x:f>IF(F$1="","",IFERROR(INDEX('包络曲线数据'!$B$2:$K$742,ROW()-1,MATCH(F$1,'包络曲线数据'!$B$1:$K$1,0)),""))</x:f>
      </x:c>
      <x:c r="G272" t="str">
        <x:f>IF(G$1="","",IFERROR(INDEX('包络曲线数据'!$B$2:$K$742,ROW()-1,MATCH(G$1,'包络曲线数据'!$B$1:$K$1,0)),""))</x:f>
      </x:c>
    </x:row>
    <x:row r="273">
      <x:c r="A273" t="n">
        <x:v>27.1</x:v>
      </x:c>
      <x:c r="B273" t="n">
        <x:f>IF(B$1="","",IFERROR(INDEX('包络曲线数据'!$B$2:$K$742,ROW()-1,MATCH(B$1,'包络曲线数据'!$B$1:$K$1,0)),""))</x:f>
        <x:v>69.37135979745254</x:v>
      </x:c>
      <x:c r="C273" t="n">
        <x:f>IF(C$1="","",IFERROR(INDEX('包络曲线数据'!$B$2:$K$742,ROW()-1,MATCH(C$1,'包络曲线数据'!$B$1:$K$1,0)),""))</x:f>
        <x:v>63.543401524843304</x:v>
      </x:c>
      <x:c r="D273" t="str">
        <x:f>IF(D$1="","",IFERROR(INDEX('包络曲线数据'!$B$2:$K$742,ROW()-1,MATCH(D$1,'包络曲线数据'!$B$1:$K$1,0)),""))</x:f>
      </x:c>
      <x:c r="E273" t="str">
        <x:f>IF(E$1="","",IFERROR(INDEX('包络曲线数据'!$B$2:$K$742,ROW()-1,MATCH(E$1,'包络曲线数据'!$B$1:$K$1,0)),""))</x:f>
      </x:c>
      <x:c r="F273" t="str">
        <x:f>IF(F$1="","",IFERROR(INDEX('包络曲线数据'!$B$2:$K$742,ROW()-1,MATCH(F$1,'包络曲线数据'!$B$1:$K$1,0)),""))</x:f>
      </x:c>
      <x:c r="G273" t="str">
        <x:f>IF(G$1="","",IFERROR(INDEX('包络曲线数据'!$B$2:$K$742,ROW()-1,MATCH(G$1,'包络曲线数据'!$B$1:$K$1,0)),""))</x:f>
      </x:c>
    </x:row>
    <x:row r="274">
      <x:c r="A274" t="n">
        <x:v>27.200000000000003</x:v>
      </x:c>
      <x:c r="B274" t="n">
        <x:f>IF(B$1="","",IFERROR(INDEX('包络曲线数据'!$B$2:$K$742,ROW()-1,MATCH(B$1,'包络曲线数据'!$B$1:$K$1,0)),""))</x:f>
        <x:v>69.37135979745256</x:v>
      </x:c>
      <x:c r="C274" t="n">
        <x:f>IF(C$1="","",IFERROR(INDEX('包络曲线数据'!$B$2:$K$742,ROW()-1,MATCH(C$1,'包络曲线数据'!$B$1:$K$1,0)),""))</x:f>
        <x:v>65.25967123604123</x:v>
      </x:c>
      <x:c r="D274" t="str">
        <x:f>IF(D$1="","",IFERROR(INDEX('包络曲线数据'!$B$2:$K$742,ROW()-1,MATCH(D$1,'包络曲线数据'!$B$1:$K$1,0)),""))</x:f>
      </x:c>
      <x:c r="E274" t="str">
        <x:f>IF(E$1="","",IFERROR(INDEX('包络曲线数据'!$B$2:$K$742,ROW()-1,MATCH(E$1,'包络曲线数据'!$B$1:$K$1,0)),""))</x:f>
      </x:c>
      <x:c r="F274" t="str">
        <x:f>IF(F$1="","",IFERROR(INDEX('包络曲线数据'!$B$2:$K$742,ROW()-1,MATCH(F$1,'包络曲线数据'!$B$1:$K$1,0)),""))</x:f>
      </x:c>
      <x:c r="G274" t="str">
        <x:f>IF(G$1="","",IFERROR(INDEX('包络曲线数据'!$B$2:$K$742,ROW()-1,MATCH(G$1,'包络曲线数据'!$B$1:$K$1,0)),""))</x:f>
      </x:c>
    </x:row>
    <x:row r="275">
      <x:c r="A275" t="n">
        <x:v>27.3</x:v>
      </x:c>
      <x:c r="B275" t="n">
        <x:f>IF(B$1="","",IFERROR(INDEX('包络曲线数据'!$B$2:$K$742,ROW()-1,MATCH(B$1,'包络曲线数据'!$B$1:$K$1,0)),""))</x:f>
        <x:v>70.01038182241135</x:v>
      </x:c>
      <x:c r="C275" t="n">
        <x:f>IF(C$1="","",IFERROR(INDEX('包络曲线数据'!$B$2:$K$742,ROW()-1,MATCH(C$1,'包络曲线数据'!$B$1:$K$1,0)),""))</x:f>
        <x:v>65.25967123604123</x:v>
      </x:c>
      <x:c r="D275" t="str">
        <x:f>IF(D$1="","",IFERROR(INDEX('包络曲线数据'!$B$2:$K$742,ROW()-1,MATCH(D$1,'包络曲线数据'!$B$1:$K$1,0)),""))</x:f>
      </x:c>
      <x:c r="E275" t="str">
        <x:f>IF(E$1="","",IFERROR(INDEX('包络曲线数据'!$B$2:$K$742,ROW()-1,MATCH(E$1,'包络曲线数据'!$B$1:$K$1,0)),""))</x:f>
      </x:c>
      <x:c r="F275" t="str">
        <x:f>IF(F$1="","",IFERROR(INDEX('包络曲线数据'!$B$2:$K$742,ROW()-1,MATCH(F$1,'包络曲线数据'!$B$1:$K$1,0)),""))</x:f>
      </x:c>
      <x:c r="G275" t="str">
        <x:f>IF(G$1="","",IFERROR(INDEX('包络曲线数据'!$B$2:$K$742,ROW()-1,MATCH(G$1,'包络曲线数据'!$B$1:$K$1,0)),""))</x:f>
      </x:c>
    </x:row>
    <x:row r="276">
      <x:c r="A276" t="n">
        <x:v>27.400000000000002</x:v>
      </x:c>
      <x:c r="B276" t="n">
        <x:f>IF(B$1="","",IFERROR(INDEX('包络曲线数据'!$B$2:$K$742,ROW()-1,MATCH(B$1,'包络曲线数据'!$B$1:$K$1,0)),""))</x:f>
        <x:v>70.01038182241133</x:v>
      </x:c>
      <x:c r="C276" t="n">
        <x:f>IF(C$1="","",IFERROR(INDEX('包络曲线数据'!$B$2:$K$742,ROW()-1,MATCH(C$1,'包络曲线数据'!$B$1:$K$1,0)),""))</x:f>
        <x:v>64.37445218955128</x:v>
      </x:c>
      <x:c r="D276" t="str">
        <x:f>IF(D$1="","",IFERROR(INDEX('包络曲线数据'!$B$2:$K$742,ROW()-1,MATCH(D$1,'包络曲线数据'!$B$1:$K$1,0)),""))</x:f>
      </x:c>
      <x:c r="E276" t="str">
        <x:f>IF(E$1="","",IFERROR(INDEX('包络曲线数据'!$B$2:$K$742,ROW()-1,MATCH(E$1,'包络曲线数据'!$B$1:$K$1,0)),""))</x:f>
      </x:c>
      <x:c r="F276" t="str">
        <x:f>IF(F$1="","",IFERROR(INDEX('包络曲线数据'!$B$2:$K$742,ROW()-1,MATCH(F$1,'包络曲线数据'!$B$1:$K$1,0)),""))</x:f>
      </x:c>
      <x:c r="G276" t="str">
        <x:f>IF(G$1="","",IFERROR(INDEX('包络曲线数据'!$B$2:$K$742,ROW()-1,MATCH(G$1,'包络曲线数据'!$B$1:$K$1,0)),""))</x:f>
      </x:c>
    </x:row>
    <x:row r="277">
      <x:c r="A277" t="n">
        <x:v>27.5</x:v>
      </x:c>
      <x:c r="B277" t="n">
        <x:f>IF(B$1="","",IFERROR(INDEX('包络曲线数据'!$B$2:$K$742,ROW()-1,MATCH(B$1,'包络曲线数据'!$B$1:$K$1,0)),""))</x:f>
        <x:v>77.04445474923696</x:v>
      </x:c>
      <x:c r="C277" t="n">
        <x:f>IF(C$1="","",IFERROR(INDEX('包络曲线数据'!$B$2:$K$742,ROW()-1,MATCH(C$1,'包络曲线数据'!$B$1:$K$1,0)),""))</x:f>
        <x:v>64.76239547342485</x:v>
      </x:c>
      <x:c r="D277" t="str">
        <x:f>IF(D$1="","",IFERROR(INDEX('包络曲线数据'!$B$2:$K$742,ROW()-1,MATCH(D$1,'包络曲线数据'!$B$1:$K$1,0)),""))</x:f>
      </x:c>
      <x:c r="E277" t="str">
        <x:f>IF(E$1="","",IFERROR(INDEX('包络曲线数据'!$B$2:$K$742,ROW()-1,MATCH(E$1,'包络曲线数据'!$B$1:$K$1,0)),""))</x:f>
      </x:c>
      <x:c r="F277" t="str">
        <x:f>IF(F$1="","",IFERROR(INDEX('包络曲线数据'!$B$2:$K$742,ROW()-1,MATCH(F$1,'包络曲线数据'!$B$1:$K$1,0)),""))</x:f>
      </x:c>
      <x:c r="G277" t="str">
        <x:f>IF(G$1="","",IFERROR(INDEX('包络曲线数据'!$B$2:$K$742,ROW()-1,MATCH(G$1,'包络曲线数据'!$B$1:$K$1,0)),""))</x:f>
      </x:c>
    </x:row>
    <x:row r="278">
      <x:c r="A278" t="n">
        <x:v>27.6</x:v>
      </x:c>
      <x:c r="B278" t="n">
        <x:f>IF(B$1="","",IFERROR(INDEX('包络曲线数据'!$B$2:$K$742,ROW()-1,MATCH(B$1,'包络曲线数据'!$B$1:$K$1,0)),""))</x:f>
        <x:v>81.42551508049814</x:v>
      </x:c>
      <x:c r="C278" t="n">
        <x:f>IF(C$1="","",IFERROR(INDEX('包络曲线数据'!$B$2:$K$742,ROW()-1,MATCH(C$1,'包络曲线数据'!$B$1:$K$1,0)),""))</x:f>
        <x:v>64.53797871295184</x:v>
      </x:c>
      <x:c r="D278" t="str">
        <x:f>IF(D$1="","",IFERROR(INDEX('包络曲线数据'!$B$2:$K$742,ROW()-1,MATCH(D$1,'包络曲线数据'!$B$1:$K$1,0)),""))</x:f>
      </x:c>
      <x:c r="E278" t="str">
        <x:f>IF(E$1="","",IFERROR(INDEX('包络曲线数据'!$B$2:$K$742,ROW()-1,MATCH(E$1,'包络曲线数据'!$B$1:$K$1,0)),""))</x:f>
      </x:c>
      <x:c r="F278" t="str">
        <x:f>IF(F$1="","",IFERROR(INDEX('包络曲线数据'!$B$2:$K$742,ROW()-1,MATCH(F$1,'包络曲线数据'!$B$1:$K$1,0)),""))</x:f>
      </x:c>
      <x:c r="G278" t="str">
        <x:f>IF(G$1="","",IFERROR(INDEX('包络曲线数据'!$B$2:$K$742,ROW()-1,MATCH(G$1,'包络曲线数据'!$B$1:$K$1,0)),""))</x:f>
      </x:c>
    </x:row>
    <x:row r="279">
      <x:c r="A279" t="n">
        <x:v>27.700000000000003</x:v>
      </x:c>
      <x:c r="B279" t="n">
        <x:f>IF(B$1="","",IFERROR(INDEX('包络曲线数据'!$B$2:$K$742,ROW()-1,MATCH(B$1,'包络曲线数据'!$B$1:$K$1,0)),""))</x:f>
        <x:v>81.42551508049814</x:v>
      </x:c>
      <x:c r="C279" t="n">
        <x:f>IF(C$1="","",IFERROR(INDEX('包络曲线数据'!$B$2:$K$742,ROW()-1,MATCH(C$1,'包络曲线数据'!$B$1:$K$1,0)),""))</x:f>
        <x:v>64.18859092090105</x:v>
      </x:c>
      <x:c r="D279" t="str">
        <x:f>IF(D$1="","",IFERROR(INDEX('包络曲线数据'!$B$2:$K$742,ROW()-1,MATCH(D$1,'包络曲线数据'!$B$1:$K$1,0)),""))</x:f>
      </x:c>
      <x:c r="E279" t="str">
        <x:f>IF(E$1="","",IFERROR(INDEX('包络曲线数据'!$B$2:$K$742,ROW()-1,MATCH(E$1,'包络曲线数据'!$B$1:$K$1,0)),""))</x:f>
      </x:c>
      <x:c r="F279" t="str">
        <x:f>IF(F$1="","",IFERROR(INDEX('包络曲线数据'!$B$2:$K$742,ROW()-1,MATCH(F$1,'包络曲线数据'!$B$1:$K$1,0)),""))</x:f>
      </x:c>
      <x:c r="G279" t="str">
        <x:f>IF(G$1="","",IFERROR(INDEX('包络曲线数据'!$B$2:$K$742,ROW()-1,MATCH(G$1,'包络曲线数据'!$B$1:$K$1,0)),""))</x:f>
      </x:c>
    </x:row>
    <x:row r="280">
      <x:c r="A280" t="n">
        <x:v>27.8</x:v>
      </x:c>
      <x:c r="B280" t="n">
        <x:f>IF(B$1="","",IFERROR(INDEX('包络曲线数据'!$B$2:$K$742,ROW()-1,MATCH(B$1,'包络曲线数据'!$B$1:$K$1,0)),""))</x:f>
        <x:v>73.13613147347002</x:v>
      </x:c>
      <x:c r="C280" t="n">
        <x:f>IF(C$1="","",IFERROR(INDEX('包络曲线数据'!$B$2:$K$742,ROW()-1,MATCH(C$1,'包络曲线数据'!$B$1:$K$1,0)),""))</x:f>
        <x:v>64.18859092090105</x:v>
      </x:c>
      <x:c r="D280" t="str">
        <x:f>IF(D$1="","",IFERROR(INDEX('包络曲线数据'!$B$2:$K$742,ROW()-1,MATCH(D$1,'包络曲线数据'!$B$1:$K$1,0)),""))</x:f>
      </x:c>
      <x:c r="E280" t="str">
        <x:f>IF(E$1="","",IFERROR(INDEX('包络曲线数据'!$B$2:$K$742,ROW()-1,MATCH(E$1,'包络曲线数据'!$B$1:$K$1,0)),""))</x:f>
      </x:c>
      <x:c r="F280" t="str">
        <x:f>IF(F$1="","",IFERROR(INDEX('包络曲线数据'!$B$2:$K$742,ROW()-1,MATCH(F$1,'包络曲线数据'!$B$1:$K$1,0)),""))</x:f>
      </x:c>
      <x:c r="G280" t="str">
        <x:f>IF(G$1="","",IFERROR(INDEX('包络曲线数据'!$B$2:$K$742,ROW()-1,MATCH(G$1,'包络曲线数据'!$B$1:$K$1,0)),""))</x:f>
      </x:c>
    </x:row>
    <x:row r="281">
      <x:c r="A281" t="n">
        <x:v>27.900000000000002</x:v>
      </x:c>
      <x:c r="B281" t="n">
        <x:f>IF(B$1="","",IFERROR(INDEX('包络曲线数据'!$B$2:$K$742,ROW()-1,MATCH(B$1,'包络曲线数据'!$B$1:$K$1,0)),""))</x:f>
        <x:v>62.606375859300876</x:v>
      </x:c>
      <x:c r="C281" t="n">
        <x:f>IF(C$1="","",IFERROR(INDEX('包络曲线数据'!$B$2:$K$742,ROW()-1,MATCH(C$1,'包络曲线数据'!$B$1:$K$1,0)),""))</x:f>
        <x:v>81.08237327852899</x:v>
      </x:c>
      <x:c r="D281" t="str">
        <x:f>IF(D$1="","",IFERROR(INDEX('包络曲线数据'!$B$2:$K$742,ROW()-1,MATCH(D$1,'包络曲线数据'!$B$1:$K$1,0)),""))</x:f>
      </x:c>
      <x:c r="E281" t="str">
        <x:f>IF(E$1="","",IFERROR(INDEX('包络曲线数据'!$B$2:$K$742,ROW()-1,MATCH(E$1,'包络曲线数据'!$B$1:$K$1,0)),""))</x:f>
      </x:c>
      <x:c r="F281" t="str">
        <x:f>IF(F$1="","",IFERROR(INDEX('包络曲线数据'!$B$2:$K$742,ROW()-1,MATCH(F$1,'包络曲线数据'!$B$1:$K$1,0)),""))</x:f>
      </x:c>
      <x:c r="G281" t="str">
        <x:f>IF(G$1="","",IFERROR(INDEX('包络曲线数据'!$B$2:$K$742,ROW()-1,MATCH(G$1,'包络曲线数据'!$B$1:$K$1,0)),""))</x:f>
      </x:c>
    </x:row>
    <x:row r="282">
      <x:c r="A282" t="n">
        <x:v>28</x:v>
      </x:c>
      <x:c r="B282" t="n">
        <x:f>IF(B$1="","",IFERROR(INDEX('包络曲线数据'!$B$2:$K$742,ROW()-1,MATCH(B$1,'包络曲线数据'!$B$1:$K$1,0)),""))</x:f>
        <x:v>50</x:v>
      </x:c>
      <x:c r="C282" t="n">
        <x:f>IF(C$1="","",IFERROR(INDEX('包络曲线数据'!$B$2:$K$742,ROW()-1,MATCH(C$1,'包络曲线数据'!$B$1:$K$1,0)),""))</x:f>
        <x:v>81.73931353318011</x:v>
      </x:c>
      <x:c r="D282" t="str">
        <x:f>IF(D$1="","",IFERROR(INDEX('包络曲线数据'!$B$2:$K$742,ROW()-1,MATCH(D$1,'包络曲线数据'!$B$1:$K$1,0)),""))</x:f>
      </x:c>
      <x:c r="E282" t="str">
        <x:f>IF(E$1="","",IFERROR(INDEX('包络曲线数据'!$B$2:$K$742,ROW()-1,MATCH(E$1,'包络曲线数据'!$B$1:$K$1,0)),""))</x:f>
      </x:c>
      <x:c r="F282" t="str">
        <x:f>IF(F$1="","",IFERROR(INDEX('包络曲线数据'!$B$2:$K$742,ROW()-1,MATCH(F$1,'包络曲线数据'!$B$1:$K$1,0)),""))</x:f>
      </x:c>
      <x:c r="G282" t="str">
        <x:f>IF(G$1="","",IFERROR(INDEX('包络曲线数据'!$B$2:$K$742,ROW()-1,MATCH(G$1,'包络曲线数据'!$B$1:$K$1,0)),""))</x:f>
      </x:c>
    </x:row>
    <x:row r="283">
      <x:c r="A283" t="n">
        <x:v>28.1</x:v>
      </x:c>
      <x:c r="B283" t="n">
        <x:f>IF(B$1="","",IFERROR(INDEX('包络曲线数据'!$B$2:$K$742,ROW()-1,MATCH(B$1,'包络曲线数据'!$B$1:$K$1,0)),""))</x:f>
        <x:v>50</x:v>
      </x:c>
      <x:c r="C283" t="n">
        <x:f>IF(C$1="","",IFERROR(INDEX('包络曲线数据'!$B$2:$K$742,ROW()-1,MATCH(C$1,'包络曲线数据'!$B$1:$K$1,0)),""))</x:f>
        <x:v>79.96642852156938</x:v>
      </x:c>
      <x:c r="D283" t="str">
        <x:f>IF(D$1="","",IFERROR(INDEX('包络曲线数据'!$B$2:$K$742,ROW()-1,MATCH(D$1,'包络曲线数据'!$B$1:$K$1,0)),""))</x:f>
      </x:c>
      <x:c r="E283" t="str">
        <x:f>IF(E$1="","",IFERROR(INDEX('包络曲线数据'!$B$2:$K$742,ROW()-1,MATCH(E$1,'包络曲线数据'!$B$1:$K$1,0)),""))</x:f>
      </x:c>
      <x:c r="F283" t="str">
        <x:f>IF(F$1="","",IFERROR(INDEX('包络曲线数据'!$B$2:$K$742,ROW()-1,MATCH(F$1,'包络曲线数据'!$B$1:$K$1,0)),""))</x:f>
      </x:c>
      <x:c r="G283" t="str">
        <x:f>IF(G$1="","",IFERROR(INDEX('包络曲线数据'!$B$2:$K$742,ROW()-1,MATCH(G$1,'包络曲线数据'!$B$1:$K$1,0)),""))</x:f>
      </x:c>
    </x:row>
    <x:row r="284">
      <x:c r="A284" t="n">
        <x:v>28.200000000000003</x:v>
      </x:c>
      <x:c r="B284" t="n">
        <x:f>IF(B$1="","",IFERROR(INDEX('包络曲线数据'!$B$2:$K$742,ROW()-1,MATCH(B$1,'包络曲线数据'!$B$1:$K$1,0)),""))</x:f>
        <x:v>50</x:v>
      </x:c>
      <x:c r="C284" t="n">
        <x:f>IF(C$1="","",IFERROR(INDEX('包络曲线数据'!$B$2:$K$742,ROW()-1,MATCH(C$1,'包络曲线数据'!$B$1:$K$1,0)),""))</x:f>
        <x:v>70.19084830993046</x:v>
      </x:c>
      <x:c r="D284" t="str">
        <x:f>IF(D$1="","",IFERROR(INDEX('包络曲线数据'!$B$2:$K$742,ROW()-1,MATCH(D$1,'包络曲线数据'!$B$1:$K$1,0)),""))</x:f>
      </x:c>
      <x:c r="E284" t="str">
        <x:f>IF(E$1="","",IFERROR(INDEX('包络曲线数据'!$B$2:$K$742,ROW()-1,MATCH(E$1,'包络曲线数据'!$B$1:$K$1,0)),""))</x:f>
      </x:c>
      <x:c r="F284" t="str">
        <x:f>IF(F$1="","",IFERROR(INDEX('包络曲线数据'!$B$2:$K$742,ROW()-1,MATCH(F$1,'包络曲线数据'!$B$1:$K$1,0)),""))</x:f>
      </x:c>
      <x:c r="G284" t="str">
        <x:f>IF(G$1="","",IFERROR(INDEX('包络曲线数据'!$B$2:$K$742,ROW()-1,MATCH(G$1,'包络曲线数据'!$B$1:$K$1,0)),""))</x:f>
      </x:c>
    </x:row>
    <x:row r="285">
      <x:c r="A285" t="n">
        <x:v>28.3</x:v>
      </x:c>
      <x:c r="B285" t="n">
        <x:f>IF(B$1="","",IFERROR(INDEX('包络曲线数据'!$B$2:$K$742,ROW()-1,MATCH(B$1,'包络曲线数据'!$B$1:$K$1,0)),""))</x:f>
        <x:v>50</x:v>
      </x:c>
      <x:c r="C285" t="n">
        <x:f>IF(C$1="","",IFERROR(INDEX('包络曲线数据'!$B$2:$K$742,ROW()-1,MATCH(C$1,'包络曲线数据'!$B$1:$K$1,0)),""))</x:f>
        <x:v>61.63329976589634</x:v>
      </x:c>
      <x:c r="D285" t="str">
        <x:f>IF(D$1="","",IFERROR(INDEX('包络曲线数据'!$B$2:$K$742,ROW()-1,MATCH(D$1,'包络曲线数据'!$B$1:$K$1,0)),""))</x:f>
      </x:c>
      <x:c r="E285" t="str">
        <x:f>IF(E$1="","",IFERROR(INDEX('包络曲线数据'!$B$2:$K$742,ROW()-1,MATCH(E$1,'包络曲线数据'!$B$1:$K$1,0)),""))</x:f>
      </x:c>
      <x:c r="F285" t="str">
        <x:f>IF(F$1="","",IFERROR(INDEX('包络曲线数据'!$B$2:$K$742,ROW()-1,MATCH(F$1,'包络曲线数据'!$B$1:$K$1,0)),""))</x:f>
      </x:c>
      <x:c r="G285" t="str">
        <x:f>IF(G$1="","",IFERROR(INDEX('包络曲线数据'!$B$2:$K$742,ROW()-1,MATCH(G$1,'包络曲线数据'!$B$1:$K$1,0)),""))</x:f>
      </x:c>
    </x:row>
    <x:row r="286">
      <x:c r="A286" t="n">
        <x:v>28.400000000000002</x:v>
      </x:c>
      <x:c r="B286" t="n">
        <x:f>IF(B$1="","",IFERROR(INDEX('包络曲线数据'!$B$2:$K$742,ROW()-1,MATCH(B$1,'包络曲线数据'!$B$1:$K$1,0)),""))</x:f>
        <x:v>57.16355115394701</x:v>
      </x:c>
      <x:c r="C286" t="n">
        <x:f>IF(C$1="","",IFERROR(INDEX('包络曲线数据'!$B$2:$K$742,ROW()-1,MATCH(C$1,'包络曲线数据'!$B$1:$K$1,0)),""))</x:f>
        <x:v>52.1812227661346</x:v>
      </x:c>
      <x:c r="D286" t="str">
        <x:f>IF(D$1="","",IFERROR(INDEX('包络曲线数据'!$B$2:$K$742,ROW()-1,MATCH(D$1,'包络曲线数据'!$B$1:$K$1,0)),""))</x:f>
      </x:c>
      <x:c r="E286" t="str">
        <x:f>IF(E$1="","",IFERROR(INDEX('包络曲线数据'!$B$2:$K$742,ROW()-1,MATCH(E$1,'包络曲线数据'!$B$1:$K$1,0)),""))</x:f>
      </x:c>
      <x:c r="F286" t="str">
        <x:f>IF(F$1="","",IFERROR(INDEX('包络曲线数据'!$B$2:$K$742,ROW()-1,MATCH(F$1,'包络曲线数据'!$B$1:$K$1,0)),""))</x:f>
      </x:c>
      <x:c r="G286" t="str">
        <x:f>IF(G$1="","",IFERROR(INDEX('包络曲线数据'!$B$2:$K$742,ROW()-1,MATCH(G$1,'包络曲线数据'!$B$1:$K$1,0)),""))</x:f>
      </x:c>
    </x:row>
    <x:row r="287">
      <x:c r="A287" t="n">
        <x:v>28.5</x:v>
      </x:c>
      <x:c r="B287" t="n">
        <x:f>IF(B$1="","",IFERROR(INDEX('包络曲线数据'!$B$2:$K$742,ROW()-1,MATCH(B$1,'包络曲线数据'!$B$1:$K$1,0)),""))</x:f>
        <x:v>58.56859897234677</x:v>
      </x:c>
      <x:c r="C287" t="n">
        <x:f>IF(C$1="","",IFERROR(INDEX('包络曲线数据'!$B$2:$K$742,ROW()-1,MATCH(C$1,'包络曲线数据'!$B$1:$K$1,0)),""))</x:f>
        <x:v>50.62320650460989</x:v>
      </x:c>
      <x:c r="D287" t="str">
        <x:f>IF(D$1="","",IFERROR(INDEX('包络曲线数据'!$B$2:$K$742,ROW()-1,MATCH(D$1,'包络曲线数据'!$B$1:$K$1,0)),""))</x:f>
      </x:c>
      <x:c r="E287" t="str">
        <x:f>IF(E$1="","",IFERROR(INDEX('包络曲线数据'!$B$2:$K$742,ROW()-1,MATCH(E$1,'包络曲线数据'!$B$1:$K$1,0)),""))</x:f>
      </x:c>
      <x:c r="F287" t="str">
        <x:f>IF(F$1="","",IFERROR(INDEX('包络曲线数据'!$B$2:$K$742,ROW()-1,MATCH(F$1,'包络曲线数据'!$B$1:$K$1,0)),""))</x:f>
      </x:c>
      <x:c r="G287" t="str">
        <x:f>IF(G$1="","",IFERROR(INDEX('包络曲线数据'!$B$2:$K$742,ROW()-1,MATCH(G$1,'包络曲线数据'!$B$1:$K$1,0)),""))</x:f>
      </x:c>
    </x:row>
    <x:row r="288">
      <x:c r="A288" t="n">
        <x:v>28.6</x:v>
      </x:c>
      <x:c r="B288" t="n">
        <x:f>IF(B$1="","",IFERROR(INDEX('包络曲线数据'!$B$2:$K$742,ROW()-1,MATCH(B$1,'包络曲线数据'!$B$1:$K$1,0)),""))</x:f>
        <x:v>57.65002799972731</x:v>
      </x:c>
      <x:c r="C288" t="n">
        <x:f>IF(C$1="","",IFERROR(INDEX('包络曲线数据'!$B$2:$K$742,ROW()-1,MATCH(C$1,'包络曲线数据'!$B$1:$K$1,0)),""))</x:f>
        <x:v>52.26923065406594</x:v>
      </x:c>
      <x:c r="D288" t="str">
        <x:f>IF(D$1="","",IFERROR(INDEX('包络曲线数据'!$B$2:$K$742,ROW()-1,MATCH(D$1,'包络曲线数据'!$B$1:$K$1,0)),""))</x:f>
      </x:c>
      <x:c r="E288" t="str">
        <x:f>IF(E$1="","",IFERROR(INDEX('包络曲线数据'!$B$2:$K$742,ROW()-1,MATCH(E$1,'包络曲线数据'!$B$1:$K$1,0)),""))</x:f>
      </x:c>
      <x:c r="F288" t="str">
        <x:f>IF(F$1="","",IFERROR(INDEX('包络曲线数据'!$B$2:$K$742,ROW()-1,MATCH(F$1,'包络曲线数据'!$B$1:$K$1,0)),""))</x:f>
      </x:c>
      <x:c r="G288" t="str">
        <x:f>IF(G$1="","",IFERROR(INDEX('包络曲线数据'!$B$2:$K$742,ROW()-1,MATCH(G$1,'包络曲线数据'!$B$1:$K$1,0)),""))</x:f>
      </x:c>
    </x:row>
    <x:row r="289">
      <x:c r="A289" t="n">
        <x:v>28.700000000000003</x:v>
      </x:c>
      <x:c r="B289" t="n">
        <x:f>IF(B$1="","",IFERROR(INDEX('包络曲线数据'!$B$2:$K$742,ROW()-1,MATCH(B$1,'包络曲线数据'!$B$1:$K$1,0)),""))</x:f>
        <x:v>73.70602542688712</x:v>
      </x:c>
      <x:c r="C289" t="n">
        <x:f>IF(C$1="","",IFERROR(INDEX('包络曲线数据'!$B$2:$K$742,ROW()-1,MATCH(C$1,'包络曲线数据'!$B$1:$K$1,0)),""))</x:f>
        <x:v>57.94230728923051</x:v>
      </x:c>
      <x:c r="D289" t="str">
        <x:f>IF(D$1="","",IFERROR(INDEX('包络曲线数据'!$B$2:$K$742,ROW()-1,MATCH(D$1,'包络曲线数据'!$B$1:$K$1,0)),""))</x:f>
      </x:c>
      <x:c r="E289" t="str">
        <x:f>IF(E$1="","",IFERROR(INDEX('包络曲线数据'!$B$2:$K$742,ROW()-1,MATCH(E$1,'包络曲线数据'!$B$1:$K$1,0)),""))</x:f>
      </x:c>
      <x:c r="F289" t="str">
        <x:f>IF(F$1="","",IFERROR(INDEX('包络曲线数据'!$B$2:$K$742,ROW()-1,MATCH(F$1,'包络曲线数据'!$B$1:$K$1,0)),""))</x:f>
      </x:c>
      <x:c r="G289" t="str">
        <x:f>IF(G$1="","",IFERROR(INDEX('包络曲线数据'!$B$2:$K$742,ROW()-1,MATCH(G$1,'包络曲线数据'!$B$1:$K$1,0)),""))</x:f>
      </x:c>
    </x:row>
    <x:row r="290">
      <x:c r="A290" t="n">
        <x:v>28.8</x:v>
      </x:c>
      <x:c r="B290" t="n">
        <x:f>IF(B$1="","",IFERROR(INDEX('包络曲线数据'!$B$2:$K$742,ROW()-1,MATCH(B$1,'包络曲线数据'!$B$1:$K$1,0)),""))</x:f>
        <x:v>76.09812284431513</x:v>
      </x:c>
      <x:c r="C290" t="n">
        <x:f>IF(C$1="","",IFERROR(INDEX('包络曲线数据'!$B$2:$K$742,ROW()-1,MATCH(C$1,'包络曲线数据'!$B$1:$K$1,0)),""))</x:f>
        <x:v>61.346153270329125</x:v>
      </x:c>
      <x:c r="D290" t="str">
        <x:f>IF(D$1="","",IFERROR(INDEX('包络曲线数据'!$B$2:$K$742,ROW()-1,MATCH(D$1,'包络曲线数据'!$B$1:$K$1,0)),""))</x:f>
      </x:c>
      <x:c r="E290" t="str">
        <x:f>IF(E$1="","",IFERROR(INDEX('包络曲线数据'!$B$2:$K$742,ROW()-1,MATCH(E$1,'包络曲线数据'!$B$1:$K$1,0)),""))</x:f>
      </x:c>
      <x:c r="F290" t="str">
        <x:f>IF(F$1="","",IFERROR(INDEX('包络曲线数据'!$B$2:$K$742,ROW()-1,MATCH(F$1,'包络曲线数据'!$B$1:$K$1,0)),""))</x:f>
      </x:c>
      <x:c r="G290" t="str">
        <x:f>IF(G$1="","",IFERROR(INDEX('包络曲线数据'!$B$2:$K$742,ROW()-1,MATCH(G$1,'包络曲线数据'!$B$1:$K$1,0)),""))</x:f>
      </x:c>
    </x:row>
    <x:row r="291">
      <x:c r="A291" t="n">
        <x:v>28.900000000000002</x:v>
      </x:c>
      <x:c r="B291" t="n">
        <x:f>IF(B$1="","",IFERROR(INDEX('包络曲线数据'!$B$2:$K$742,ROW()-1,MATCH(B$1,'包络曲线数据'!$B$1:$K$1,0)),""))</x:f>
        <x:v>76.0981228443151</x:v>
      </x:c>
      <x:c r="C291" t="n">
        <x:f>IF(C$1="","",IFERROR(INDEX('包络曲线数据'!$B$2:$K$742,ROW()-1,MATCH(C$1,'包络曲线数据'!$B$1:$K$1,0)),""))</x:f>
        <x:v>63.929048542311676</x:v>
      </x:c>
      <x:c r="D291" t="str">
        <x:f>IF(D$1="","",IFERROR(INDEX('包络曲线数据'!$B$2:$K$742,ROW()-1,MATCH(D$1,'包络曲线数据'!$B$1:$K$1,0)),""))</x:f>
      </x:c>
      <x:c r="E291" t="str">
        <x:f>IF(E$1="","",IFERROR(INDEX('包络曲线数据'!$B$2:$K$742,ROW()-1,MATCH(E$1,'包络曲线数据'!$B$1:$K$1,0)),""))</x:f>
      </x:c>
      <x:c r="F291" t="str">
        <x:f>IF(F$1="","",IFERROR(INDEX('包络曲线数据'!$B$2:$K$742,ROW()-1,MATCH(F$1,'包络曲线数据'!$B$1:$K$1,0)),""))</x:f>
      </x:c>
      <x:c r="G291" t="str">
        <x:f>IF(G$1="","",IFERROR(INDEX('包络曲线数据'!$B$2:$K$742,ROW()-1,MATCH(G$1,'包络曲线数据'!$B$1:$K$1,0)),""))</x:f>
      </x:c>
    </x:row>
    <x:row r="292">
      <x:c r="A292" t="n">
        <x:v>29</x:v>
      </x:c>
      <x:c r="B292" t="n">
        <x:f>IF(B$1="","",IFERROR(INDEX('包络曲线数据'!$B$2:$K$742,ROW()-1,MATCH(B$1,'包络曲线数据'!$B$1:$K$1,0)),""))</x:f>
        <x:v>70.49945000533701</x:v>
      </x:c>
      <x:c r="C292" t="n">
        <x:f>IF(C$1="","",IFERROR(INDEX('包络曲线数据'!$B$2:$K$742,ROW()-1,MATCH(C$1,'包络曲线数据'!$B$1:$K$1,0)),""))</x:f>
        <x:v>68.23387399561567</x:v>
      </x:c>
      <x:c r="D292" t="str">
        <x:f>IF(D$1="","",IFERROR(INDEX('包络曲线数据'!$B$2:$K$742,ROW()-1,MATCH(D$1,'包络曲线数据'!$B$1:$K$1,0)),""))</x:f>
      </x:c>
      <x:c r="E292" t="str">
        <x:f>IF(E$1="","",IFERROR(INDEX('包络曲线数据'!$B$2:$K$742,ROW()-1,MATCH(E$1,'包络曲线数据'!$B$1:$K$1,0)),""))</x:f>
      </x:c>
      <x:c r="F292" t="str">
        <x:f>IF(F$1="","",IFERROR(INDEX('包络曲线数据'!$B$2:$K$742,ROW()-1,MATCH(F$1,'包络曲线数据'!$B$1:$K$1,0)),""))</x:f>
      </x:c>
      <x:c r="G292" t="str">
        <x:f>IF(G$1="","",IFERROR(INDEX('包络曲线数据'!$B$2:$K$742,ROW()-1,MATCH(G$1,'包络曲线数据'!$B$1:$K$1,0)),""))</x:f>
      </x:c>
    </x:row>
    <x:row r="293">
      <x:c r="A293" t="n">
        <x:v>29.1</x:v>
      </x:c>
      <x:c r="B293" t="n">
        <x:f>IF(B$1="","",IFERROR(INDEX('包络曲线数据'!$B$2:$K$742,ROW()-1,MATCH(B$1,'包络曲线数据'!$B$1:$K$1,0)),""))</x:f>
        <x:v>66.88472095273852</x:v>
      </x:c>
      <x:c r="C293" t="n">
        <x:f>IF(C$1="","",IFERROR(INDEX('包络曲线数据'!$B$2:$K$742,ROW()-1,MATCH(C$1,'包络曲线数据'!$B$1:$K$1,0)),""))</x:f>
        <x:v>71.67773435825886</x:v>
      </x:c>
      <x:c r="D293" t="str">
        <x:f>IF(D$1="","",IFERROR(INDEX('包络曲线数据'!$B$2:$K$742,ROW()-1,MATCH(D$1,'包络曲线数据'!$B$1:$K$1,0)),""))</x:f>
      </x:c>
      <x:c r="E293" t="str">
        <x:f>IF(E$1="","",IFERROR(INDEX('包络曲线数据'!$B$2:$K$742,ROW()-1,MATCH(E$1,'包络曲线数据'!$B$1:$K$1,0)),""))</x:f>
      </x:c>
      <x:c r="F293" t="str">
        <x:f>IF(F$1="","",IFERROR(INDEX('包络曲线数据'!$B$2:$K$742,ROW()-1,MATCH(F$1,'包络曲线数据'!$B$1:$K$1,0)),""))</x:f>
      </x:c>
      <x:c r="G293" t="str">
        <x:f>IF(G$1="","",IFERROR(INDEX('包络曲线数据'!$B$2:$K$742,ROW()-1,MATCH(G$1,'包络曲线数据'!$B$1:$K$1,0)),""))</x:f>
      </x:c>
    </x:row>
    <x:row r="294">
      <x:c r="A294" t="n">
        <x:v>29.200000000000003</x:v>
      </x:c>
      <x:c r="B294" t="n">
        <x:f>IF(B$1="","",IFERROR(INDEX('包络曲线数据'!$B$2:$K$742,ROW()-1,MATCH(B$1,'包络曲线数据'!$B$1:$K$1,0)),""))</x:f>
        <x:v>68.1440109119824</x:v>
      </x:c>
      <x:c r="C294" t="n">
        <x:f>IF(C$1="","",IFERROR(INDEX('包络曲线数据'!$B$2:$K$742,ROW()-1,MATCH(C$1,'包络曲线数据'!$B$1:$K$1,0)),""))</x:f>
        <x:v>71.67773435825886</x:v>
      </x:c>
      <x:c r="D294" t="str">
        <x:f>IF(D$1="","",IFERROR(INDEX('包络曲线数据'!$B$2:$K$742,ROW()-1,MATCH(D$1,'包络曲线数据'!$B$1:$K$1,0)),""))</x:f>
      </x:c>
      <x:c r="E294" t="str">
        <x:f>IF(E$1="","",IFERROR(INDEX('包络曲线数据'!$B$2:$K$742,ROW()-1,MATCH(E$1,'包络曲线数据'!$B$1:$K$1,0)),""))</x:f>
      </x:c>
      <x:c r="F294" t="str">
        <x:f>IF(F$1="","",IFERROR(INDEX('包络曲线数据'!$B$2:$K$742,ROW()-1,MATCH(F$1,'包络曲线数据'!$B$1:$K$1,0)),""))</x:f>
      </x:c>
      <x:c r="G294" t="str">
        <x:f>IF(G$1="","",IFERROR(INDEX('包络曲线数据'!$B$2:$K$742,ROW()-1,MATCH(G$1,'包络曲线数据'!$B$1:$K$1,0)),""))</x:f>
      </x:c>
    </x:row>
    <x:row r="295">
      <x:c r="A295" t="n">
        <x:v>29.3</x:v>
      </x:c>
      <x:c r="B295" t="n">
        <x:f>IF(B$1="","",IFERROR(INDEX('包络曲线数据'!$B$2:$K$742,ROW()-1,MATCH(B$1,'包络曲线数据'!$B$1:$K$1,0)),""))</x:f>
        <x:v>70.45518610538826</x:v>
      </x:c>
      <x:c r="C295" t="n">
        <x:f>IF(C$1="","",IFERROR(INDEX('包络曲线数据'!$B$2:$K$742,ROW()-1,MATCH(C$1,'包络曲线数据'!$B$1:$K$1,0)),""))</x:f>
        <x:v>69.62239199969218</x:v>
      </x:c>
      <x:c r="D295" t="str">
        <x:f>IF(D$1="","",IFERROR(INDEX('包络曲线数据'!$B$2:$K$742,ROW()-1,MATCH(D$1,'包络曲线数据'!$B$1:$K$1,0)),""))</x:f>
      </x:c>
      <x:c r="E295" t="str">
        <x:f>IF(E$1="","",IFERROR(INDEX('包络曲线数据'!$B$2:$K$742,ROW()-1,MATCH(E$1,'包络曲线数据'!$B$1:$K$1,0)),""))</x:f>
      </x:c>
      <x:c r="F295" t="str">
        <x:f>IF(F$1="","",IFERROR(INDEX('包络曲线数据'!$B$2:$K$742,ROW()-1,MATCH(F$1,'包络曲线数据'!$B$1:$K$1,0)),""))</x:f>
      </x:c>
      <x:c r="G295" t="str">
        <x:f>IF(G$1="","",IFERROR(INDEX('包络曲线数据'!$B$2:$K$742,ROW()-1,MATCH(G$1,'包络曲线数据'!$B$1:$K$1,0)),""))</x:f>
      </x:c>
    </x:row>
    <x:row r="296">
      <x:c r="A296" t="n">
        <x:v>29.400000000000002</x:v>
      </x:c>
      <x:c r="B296" t="n">
        <x:f>IF(B$1="","",IFERROR(INDEX('包络曲线数据'!$B$2:$K$742,ROW()-1,MATCH(B$1,'包络曲线数据'!$B$1:$K$1,0)),""))</x:f>
        <x:v>70.45518610538826</x:v>
      </x:c>
      <x:c r="C296" t="n">
        <x:f>IF(C$1="","",IFERROR(INDEX('包络曲线数据'!$B$2:$K$742,ROW()-1,MATCH(C$1,'包络曲线数据'!$B$1:$K$1,0)),""))</x:f>
        <x:v>62.97632217037882</x:v>
      </x:c>
      <x:c r="D296" t="str">
        <x:f>IF(D$1="","",IFERROR(INDEX('包络曲线数据'!$B$2:$K$742,ROW()-1,MATCH(D$1,'包络曲线数据'!$B$1:$K$1,0)),""))</x:f>
      </x:c>
      <x:c r="E296" t="str">
        <x:f>IF(E$1="","",IFERROR(INDEX('包络曲线数据'!$B$2:$K$742,ROW()-1,MATCH(E$1,'包络曲线数据'!$B$1:$K$1,0)),""))</x:f>
      </x:c>
      <x:c r="F296" t="str">
        <x:f>IF(F$1="","",IFERROR(INDEX('包络曲线数据'!$B$2:$K$742,ROW()-1,MATCH(F$1,'包络曲线数据'!$B$1:$K$1,0)),""))</x:f>
      </x:c>
      <x:c r="G296" t="str">
        <x:f>IF(G$1="","",IFERROR(INDEX('包络曲线数据'!$B$2:$K$742,ROW()-1,MATCH(G$1,'包络曲线数据'!$B$1:$K$1,0)),""))</x:f>
      </x:c>
    </x:row>
    <x:row r="297">
      <x:c r="A297" t="n">
        <x:v>29.5</x:v>
      </x:c>
      <x:c r="B297" t="n">
        <x:f>IF(B$1="","",IFERROR(INDEX('包络曲线数据'!$B$2:$K$742,ROW()-1,MATCH(B$1,'包络曲线数据'!$B$1:$K$1,0)),""))</x:f>
        <x:v>70.41756932879554</x:v>
      </x:c>
      <x:c r="C297" t="n">
        <x:f>IF(C$1="","",IFERROR(INDEX('包络曲线数据'!$B$2:$K$742,ROW()-1,MATCH(C$1,'包络曲线数据'!$B$1:$K$1,0)),""))</x:f>
        <x:v>60.60939800654541</x:v>
      </x:c>
      <x:c r="D297" t="str">
        <x:f>IF(D$1="","",IFERROR(INDEX('包络曲线数据'!$B$2:$K$742,ROW()-1,MATCH(D$1,'包络曲线数据'!$B$1:$K$1,0)),""))</x:f>
      </x:c>
      <x:c r="E297" t="str">
        <x:f>IF(E$1="","",IFERROR(INDEX('包络曲线数据'!$B$2:$K$742,ROW()-1,MATCH(E$1,'包络曲线数据'!$B$1:$K$1,0)),""))</x:f>
      </x:c>
      <x:c r="F297" t="str">
        <x:f>IF(F$1="","",IFERROR(INDEX('包络曲线数据'!$B$2:$K$742,ROW()-1,MATCH(F$1,'包络曲线数据'!$B$1:$K$1,0)),""))</x:f>
      </x:c>
      <x:c r="G297" t="str">
        <x:f>IF(G$1="","",IFERROR(INDEX('包络曲线数据'!$B$2:$K$742,ROW()-1,MATCH(G$1,'包络曲线数据'!$B$1:$K$1,0)),""))</x:f>
      </x:c>
    </x:row>
    <x:row r="298">
      <x:c r="A298" t="n">
        <x:v>29.6</x:v>
      </x:c>
      <x:c r="B298" t="n">
        <x:f>IF(B$1="","",IFERROR(INDEX('包络曲线数据'!$B$2:$K$742,ROW()-1,MATCH(B$1,'包络曲线数据'!$B$1:$K$1,0)),""))</x:f>
        <x:v>71.49818647101961</x:v>
      </x:c>
      <x:c r="C298" t="n">
        <x:f>IF(C$1="","",IFERROR(INDEX('包络曲线数据'!$B$2:$K$742,ROW()-1,MATCH(C$1,'包络曲线数据'!$B$1:$K$1,0)),""))</x:f>
        <x:v>63.078049020062124</x:v>
      </x:c>
      <x:c r="D298" t="str">
        <x:f>IF(D$1="","",IFERROR(INDEX('包络曲线数据'!$B$2:$K$742,ROW()-1,MATCH(D$1,'包络曲线数据'!$B$1:$K$1,0)),""))</x:f>
      </x:c>
      <x:c r="E298" t="str">
        <x:f>IF(E$1="","",IFERROR(INDEX('包络曲线数据'!$B$2:$K$742,ROW()-1,MATCH(E$1,'包络曲线数据'!$B$1:$K$1,0)),""))</x:f>
      </x:c>
      <x:c r="F298" t="str">
        <x:f>IF(F$1="","",IFERROR(INDEX('包络曲线数据'!$B$2:$K$742,ROW()-1,MATCH(F$1,'包络曲线数据'!$B$1:$K$1,0)),""))</x:f>
      </x:c>
      <x:c r="G298" t="str">
        <x:f>IF(G$1="","",IFERROR(INDEX('包络曲线数据'!$B$2:$K$742,ROW()-1,MATCH(G$1,'包络曲线数据'!$B$1:$K$1,0)),""))</x:f>
      </x:c>
    </x:row>
    <x:row r="299">
      <x:c r="A299" t="n">
        <x:v>29.700000000000003</x:v>
      </x:c>
      <x:c r="B299" t="n">
        <x:f>IF(B$1="","",IFERROR(INDEX('包络曲线数据'!$B$2:$K$742,ROW()-1,MATCH(B$1,'包络曲线数据'!$B$1:$K$1,0)),""))</x:f>
        <x:v>71.8822541204201</x:v>
      </x:c>
      <x:c r="C299" t="n">
        <x:f>IF(C$1="","",IFERROR(INDEX('包络曲线数据'!$B$2:$K$742,ROW()-1,MATCH(C$1,'包络曲线数据'!$B$1:$K$1,0)),""))</x:f>
        <x:v>64.03311944148275</x:v>
      </x:c>
      <x:c r="D299" t="str">
        <x:f>IF(D$1="","",IFERROR(INDEX('包络曲线数据'!$B$2:$K$742,ROW()-1,MATCH(D$1,'包络曲线数据'!$B$1:$K$1,0)),""))</x:f>
      </x:c>
      <x:c r="E299" t="str">
        <x:f>IF(E$1="","",IFERROR(INDEX('包络曲线数据'!$B$2:$K$742,ROW()-1,MATCH(E$1,'包络曲线数据'!$B$1:$K$1,0)),""))</x:f>
      </x:c>
      <x:c r="F299" t="str">
        <x:f>IF(F$1="","",IFERROR(INDEX('包络曲线数据'!$B$2:$K$742,ROW()-1,MATCH(F$1,'包络曲线数据'!$B$1:$K$1,0)),""))</x:f>
      </x:c>
      <x:c r="G299" t="str">
        <x:f>IF(G$1="","",IFERROR(INDEX('包络曲线数据'!$B$2:$K$742,ROW()-1,MATCH(G$1,'包络曲线数据'!$B$1:$K$1,0)),""))</x:f>
      </x:c>
    </x:row>
    <x:row r="300">
      <x:c r="A300" t="n">
        <x:v>29.8</x:v>
      </x:c>
      <x:c r="B300" t="n">
        <x:f>IF(B$1="","",IFERROR(INDEX('包络曲线数据'!$B$2:$K$742,ROW()-1,MATCH(B$1,'包络曲线数据'!$B$1:$K$1,0)),""))</x:f>
        <x:v>72.01702605525136</x:v>
      </x:c>
      <x:c r="C300" t="n">
        <x:f>IF(C$1="","",IFERROR(INDEX('包络曲线数据'!$B$2:$K$742,ROW()-1,MATCH(C$1,'包络曲线数据'!$B$1:$K$1,0)),""))</x:f>
        <x:v>64.12426881550024</x:v>
      </x:c>
      <x:c r="D300" t="str">
        <x:f>IF(D$1="","",IFERROR(INDEX('包络曲线数据'!$B$2:$K$742,ROW()-1,MATCH(D$1,'包络曲线数据'!$B$1:$K$1,0)),""))</x:f>
      </x:c>
      <x:c r="E300" t="str">
        <x:f>IF(E$1="","",IFERROR(INDEX('包络曲线数据'!$B$2:$K$742,ROW()-1,MATCH(E$1,'包络曲线数据'!$B$1:$K$1,0)),""))</x:f>
      </x:c>
      <x:c r="F300" t="str">
        <x:f>IF(F$1="","",IFERROR(INDEX('包络曲线数据'!$B$2:$K$742,ROW()-1,MATCH(F$1,'包络曲线数据'!$B$1:$K$1,0)),""))</x:f>
      </x:c>
      <x:c r="G300" t="str">
        <x:f>IF(G$1="","",IFERROR(INDEX('包络曲线数据'!$B$2:$K$742,ROW()-1,MATCH(G$1,'包络曲线数据'!$B$1:$K$1,0)),""))</x:f>
      </x:c>
    </x:row>
    <x:row r="301">
      <x:c r="A301" t="n">
        <x:v>29.900000000000002</x:v>
      </x:c>
      <x:c r="B301" t="n">
        <x:f>IF(B$1="","",IFERROR(INDEX('包络曲线数据'!$B$2:$K$742,ROW()-1,MATCH(B$1,'包络曲线数据'!$B$1:$K$1,0)),""))</x:f>
        <x:v>72.01702605525134</x:v>
      </x:c>
      <x:c r="C301" t="n">
        <x:f>IF(C$1="","",IFERROR(INDEX('包络曲线数据'!$B$2:$K$742,ROW()-1,MATCH(C$1,'包络曲线数据'!$B$1:$K$1,0)),""))</x:f>
        <x:v>64.661083398827</x:v>
      </x:c>
      <x:c r="D301" t="str">
        <x:f>IF(D$1="","",IFERROR(INDEX('包络曲线数据'!$B$2:$K$742,ROW()-1,MATCH(D$1,'包络曲线数据'!$B$1:$K$1,0)),""))</x:f>
      </x:c>
      <x:c r="E301" t="str">
        <x:f>IF(E$1="","",IFERROR(INDEX('包络曲线数据'!$B$2:$K$742,ROW()-1,MATCH(E$1,'包络曲线数据'!$B$1:$K$1,0)),""))</x:f>
      </x:c>
      <x:c r="F301" t="str">
        <x:f>IF(F$1="","",IFERROR(INDEX('包络曲线数据'!$B$2:$K$742,ROW()-1,MATCH(F$1,'包络曲线数据'!$B$1:$K$1,0)),""))</x:f>
      </x:c>
      <x:c r="G301" t="str">
        <x:f>IF(G$1="","",IFERROR(INDEX('包络曲线数据'!$B$2:$K$742,ROW()-1,MATCH(G$1,'包络曲线数据'!$B$1:$K$1,0)),""))</x:f>
      </x:c>
    </x:row>
    <x:row r="302">
      <x:c r="A302" t="n">
        <x:v>30</x:v>
      </x:c>
      <x:c r="B302" t="n">
        <x:f>IF(B$1="","",IFERROR(INDEX('包络曲线数据'!$B$2:$K$742,ROW()-1,MATCH(B$1,'包络曲线数据'!$B$1:$K$1,0)),""))</x:f>
        <x:v>70.68529102461679</x:v>
      </x:c>
      <x:c r="C302" t="n">
        <x:f>IF(C$1="","",IFERROR(INDEX('包络曲线数据'!$B$2:$K$742,ROW()-1,MATCH(C$1,'包络曲线数据'!$B$1:$K$1,0)),""))</x:f>
        <x:v>64.70489862726174</x:v>
      </x:c>
      <x:c r="D302" t="str">
        <x:f>IF(D$1="","",IFERROR(INDEX('包络曲线数据'!$B$2:$K$742,ROW()-1,MATCH(D$1,'包络曲线数据'!$B$1:$K$1,0)),""))</x:f>
      </x:c>
      <x:c r="E302" t="str">
        <x:f>IF(E$1="","",IFERROR(INDEX('包络曲线数据'!$B$2:$K$742,ROW()-1,MATCH(E$1,'包络曲线数据'!$B$1:$K$1,0)),""))</x:f>
      </x:c>
      <x:c r="F302" t="str">
        <x:f>IF(F$1="","",IFERROR(INDEX('包络曲线数据'!$B$2:$K$742,ROW()-1,MATCH(F$1,'包络曲线数据'!$B$1:$K$1,0)),""))</x:f>
      </x:c>
      <x:c r="G302" t="str">
        <x:f>IF(G$1="","",IFERROR(INDEX('包络曲线数据'!$B$2:$K$742,ROW()-1,MATCH(G$1,'包络曲线数据'!$B$1:$K$1,0)),""))</x:f>
      </x:c>
    </x:row>
    <x:row r="303">
      <x:c r="A303" t="n">
        <x:v>30.1</x:v>
      </x:c>
      <x:c r="B303" t="n">
        <x:f>IF(B$1="","",IFERROR(INDEX('包络曲线数据'!$B$2:$K$742,ROW()-1,MATCH(B$1,'包络曲线数据'!$B$1:$K$1,0)),""))</x:f>
        <x:v>72.24776595637971</x:v>
      </x:c>
      <x:c r="C303" t="n">
        <x:f>IF(C$1="","",IFERROR(INDEX('包络曲线数据'!$B$2:$K$742,ROW()-1,MATCH(C$1,'包络曲线数据'!$B$1:$K$1,0)),""))</x:f>
        <x:v>64.70489862726174</x:v>
      </x:c>
      <x:c r="D303" t="str">
        <x:f>IF(D$1="","",IFERROR(INDEX('包络曲线数据'!$B$2:$K$742,ROW()-1,MATCH(D$1,'包络曲线数据'!$B$1:$K$1,0)),""))</x:f>
      </x:c>
      <x:c r="E303" t="str">
        <x:f>IF(E$1="","",IFERROR(INDEX('包络曲线数据'!$B$2:$K$742,ROW()-1,MATCH(E$1,'包络曲线数据'!$B$1:$K$1,0)),""))</x:f>
      </x:c>
      <x:c r="F303" t="str">
        <x:f>IF(F$1="","",IFERROR(INDEX('包络曲线数据'!$B$2:$K$742,ROW()-1,MATCH(F$1,'包络曲线数据'!$B$1:$K$1,0)),""))</x:f>
      </x:c>
      <x:c r="G303" t="str">
        <x:f>IF(G$1="","",IFERROR(INDEX('包络曲线数据'!$B$2:$K$742,ROW()-1,MATCH(G$1,'包络曲线数据'!$B$1:$K$1,0)),""))</x:f>
      </x:c>
    </x:row>
    <x:row r="304">
      <x:c r="A304" t="n">
        <x:v>30.200000000000003</x:v>
      </x:c>
      <x:c r="B304" t="n">
        <x:f>IF(B$1="","",IFERROR(INDEX('包络曲线数据'!$B$2:$K$742,ROW()-1,MATCH(B$1,'包络曲线数据'!$B$1:$K$1,0)),""))</x:f>
        <x:v>72.24776595637971</x:v>
      </x:c>
      <x:c r="C304" t="n">
        <x:f>IF(C$1="","",IFERROR(INDEX('包络曲线数据'!$B$2:$K$742,ROW()-1,MATCH(C$1,'包络曲线数据'!$B$1:$K$1,0)),""))</x:f>
        <x:v>65.48069922876515</x:v>
      </x:c>
      <x:c r="D304" t="str">
        <x:f>IF(D$1="","",IFERROR(INDEX('包络曲线数据'!$B$2:$K$742,ROW()-1,MATCH(D$1,'包络曲线数据'!$B$1:$K$1,0)),""))</x:f>
      </x:c>
      <x:c r="E304" t="str">
        <x:f>IF(E$1="","",IFERROR(INDEX('包络曲线数据'!$B$2:$K$742,ROW()-1,MATCH(E$1,'包络曲线数据'!$B$1:$K$1,0)),""))</x:f>
      </x:c>
      <x:c r="F304" t="str">
        <x:f>IF(F$1="","",IFERROR(INDEX('包络曲线数据'!$B$2:$K$742,ROW()-1,MATCH(F$1,'包络曲线数据'!$B$1:$K$1,0)),""))</x:f>
      </x:c>
      <x:c r="G304" t="str">
        <x:f>IF(G$1="","",IFERROR(INDEX('包络曲线数据'!$B$2:$K$742,ROW()-1,MATCH(G$1,'包络曲线数据'!$B$1:$K$1,0)),""))</x:f>
      </x:c>
    </x:row>
    <x:row r="305">
      <x:c r="A305" t="n">
        <x:v>30.3</x:v>
      </x:c>
      <x:c r="B305" t="n">
        <x:f>IF(B$1="","",IFERROR(INDEX('包络曲线数据'!$B$2:$K$742,ROW()-1,MATCH(B$1,'包络曲线数据'!$B$1:$K$1,0)),""))</x:f>
        <x:v>72.04172229616195</x:v>
      </x:c>
      <x:c r="C305" t="n">
        <x:f>IF(C$1="","",IFERROR(INDEX('包络曲线数据'!$B$2:$K$742,ROW()-1,MATCH(C$1,'包络曲线数据'!$B$1:$K$1,0)),""))</x:f>
        <x:v>65.48069922876515</x:v>
      </x:c>
      <x:c r="D305" t="str">
        <x:f>IF(D$1="","",IFERROR(INDEX('包络曲线数据'!$B$2:$K$742,ROW()-1,MATCH(D$1,'包络曲线数据'!$B$1:$K$1,0)),""))</x:f>
      </x:c>
      <x:c r="E305" t="str">
        <x:f>IF(E$1="","",IFERROR(INDEX('包络曲线数据'!$B$2:$K$742,ROW()-1,MATCH(E$1,'包络曲线数据'!$B$1:$K$1,0)),""))</x:f>
      </x:c>
      <x:c r="F305" t="str">
        <x:f>IF(F$1="","",IFERROR(INDEX('包络曲线数据'!$B$2:$K$742,ROW()-1,MATCH(F$1,'包络曲线数据'!$B$1:$K$1,0)),""))</x:f>
      </x:c>
      <x:c r="G305" t="str">
        <x:f>IF(G$1="","",IFERROR(INDEX('包络曲线数据'!$B$2:$K$742,ROW()-1,MATCH(G$1,'包络曲线数据'!$B$1:$K$1,0)),""))</x:f>
      </x:c>
    </x:row>
    <x:row r="306">
      <x:c r="A306" t="n">
        <x:v>30.400000000000002</x:v>
      </x:c>
      <x:c r="B306" t="n">
        <x:f>IF(B$1="","",IFERROR(INDEX('包络曲线数据'!$B$2:$K$742,ROW()-1,MATCH(B$1,'包络曲线数据'!$B$1:$K$1,0)),""))</x:f>
        <x:v>81.49759404972971</x:v>
      </x:c>
      <x:c r="C306" t="n">
        <x:f>IF(C$1="","",IFERROR(INDEX('包络曲线数据'!$B$2:$K$742,ROW()-1,MATCH(C$1,'包络曲线数据'!$B$1:$K$1,0)),""))</x:f>
        <x:v>64.57151663004423</x:v>
      </x:c>
      <x:c r="D306" t="str">
        <x:f>IF(D$1="","",IFERROR(INDEX('包络曲线数据'!$B$2:$K$742,ROW()-1,MATCH(D$1,'包络曲线数据'!$B$1:$K$1,0)),""))</x:f>
      </x:c>
      <x:c r="E306" t="str">
        <x:f>IF(E$1="","",IFERROR(INDEX('包络曲线数据'!$B$2:$K$742,ROW()-1,MATCH(E$1,'包络曲线数据'!$B$1:$K$1,0)),""))</x:f>
      </x:c>
      <x:c r="F306" t="str">
        <x:f>IF(F$1="","",IFERROR(INDEX('包络曲线数据'!$B$2:$K$742,ROW()-1,MATCH(F$1,'包络曲线数据'!$B$1:$K$1,0)),""))</x:f>
      </x:c>
      <x:c r="G306" t="str">
        <x:f>IF(G$1="","",IFERROR(INDEX('包络曲线数据'!$B$2:$K$742,ROW()-1,MATCH(G$1,'包络曲线数据'!$B$1:$K$1,0)),""))</x:f>
      </x:c>
    </x:row>
    <x:row r="307">
      <x:c r="A307" t="n">
        <x:v>30.5</x:v>
      </x:c>
      <x:c r="B307" t="n">
        <x:f>IF(B$1="","",IFERROR(INDEX('包络曲线数据'!$B$2:$K$742,ROW()-1,MATCH(B$1,'包络曲线数据'!$B$1:$K$1,0)),""))</x:f>
        <x:v>81.49759404972971</x:v>
      </x:c>
      <x:c r="C307" t="n">
        <x:f>IF(C$1="","",IFERROR(INDEX('包络曲线数据'!$B$2:$K$742,ROW()-1,MATCH(C$1,'包络曲线数据'!$B$1:$K$1,0)),""))</x:f>
        <x:v>65.51996481123479</x:v>
      </x:c>
      <x:c r="D307" t="str">
        <x:f>IF(D$1="","",IFERROR(INDEX('包络曲线数据'!$B$2:$K$742,ROW()-1,MATCH(D$1,'包络曲线数据'!$B$1:$K$1,0)),""))</x:f>
      </x:c>
      <x:c r="E307" t="str">
        <x:f>IF(E$1="","",IFERROR(INDEX('包络曲线数据'!$B$2:$K$742,ROW()-1,MATCH(E$1,'包络曲线数据'!$B$1:$K$1,0)),""))</x:f>
      </x:c>
      <x:c r="F307" t="str">
        <x:f>IF(F$1="","",IFERROR(INDEX('包络曲线数据'!$B$2:$K$742,ROW()-1,MATCH(F$1,'包络曲线数据'!$B$1:$K$1,0)),""))</x:f>
      </x:c>
      <x:c r="G307" t="str">
        <x:f>IF(G$1="","",IFERROR(INDEX('包络曲线数据'!$B$2:$K$742,ROW()-1,MATCH(G$1,'包络曲线数据'!$B$1:$K$1,0)),""))</x:f>
      </x:c>
    </x:row>
    <x:row r="308">
      <x:c r="A308" t="n">
        <x:v>30.6</x:v>
      </x:c>
      <x:c r="B308" t="n">
        <x:f>IF(B$1="","",IFERROR(INDEX('包络曲线数据'!$B$2:$K$742,ROW()-1,MATCH(B$1,'包络曲线数据'!$B$1:$K$1,0)),""))</x:f>
        <x:v>76.7754607559792</x:v>
      </x:c>
      <x:c r="C308" t="n">
        <x:f>IF(C$1="","",IFERROR(INDEX('包络曲线数据'!$B$2:$K$742,ROW()-1,MATCH(C$1,'包络曲线数据'!$B$1:$K$1,0)),""))</x:f>
        <x:v>65.80345173691352</x:v>
      </x:c>
      <x:c r="D308" t="str">
        <x:f>IF(D$1="","",IFERROR(INDEX('包络曲线数据'!$B$2:$K$742,ROW()-1,MATCH(D$1,'包络曲线数据'!$B$1:$K$1,0)),""))</x:f>
      </x:c>
      <x:c r="E308" t="str">
        <x:f>IF(E$1="","",IFERROR(INDEX('包络曲线数据'!$B$2:$K$742,ROW()-1,MATCH(E$1,'包络曲线数据'!$B$1:$K$1,0)),""))</x:f>
      </x:c>
      <x:c r="F308" t="str">
        <x:f>IF(F$1="","",IFERROR(INDEX('包络曲线数据'!$B$2:$K$742,ROW()-1,MATCH(F$1,'包络曲线数据'!$B$1:$K$1,0)),""))</x:f>
      </x:c>
      <x:c r="G308" t="str">
        <x:f>IF(G$1="","",IFERROR(INDEX('包络曲线数据'!$B$2:$K$742,ROW()-1,MATCH(G$1,'包络曲线数据'!$B$1:$K$1,0)),""))</x:f>
      </x:c>
    </x:row>
    <x:row r="309">
      <x:c r="A309" t="n">
        <x:v>30.700000000000003</x:v>
      </x:c>
      <x:c r="B309" t="n">
        <x:f>IF(B$1="","",IFERROR(INDEX('包络曲线数据'!$B$2:$K$742,ROW()-1,MATCH(B$1,'包络曲线数据'!$B$1:$K$1,0)),""))</x:f>
        <x:v>66.52147844628534</x:v>
      </x:c>
      <x:c r="C309" t="n">
        <x:f>IF(C$1="","",IFERROR(INDEX('包络曲线数据'!$B$2:$K$742,ROW()-1,MATCH(C$1,'包络曲线数据'!$B$1:$K$1,0)),""))</x:f>
        <x:v>65.49979039615052</x:v>
      </x:c>
      <x:c r="D309" t="str">
        <x:f>IF(D$1="","",IFERROR(INDEX('包络曲线数据'!$B$2:$K$742,ROW()-1,MATCH(D$1,'包络曲线数据'!$B$1:$K$1,0)),""))</x:f>
      </x:c>
      <x:c r="E309" t="str">
        <x:f>IF(E$1="","",IFERROR(INDEX('包络曲线数据'!$B$2:$K$742,ROW()-1,MATCH(E$1,'包络曲线数据'!$B$1:$K$1,0)),""))</x:f>
      </x:c>
      <x:c r="F309" t="str">
        <x:f>IF(F$1="","",IFERROR(INDEX('包络曲线数据'!$B$2:$K$742,ROW()-1,MATCH(F$1,'包络曲线数据'!$B$1:$K$1,0)),""))</x:f>
      </x:c>
      <x:c r="G309" t="str">
        <x:f>IF(G$1="","",IFERROR(INDEX('包络曲线数据'!$B$2:$K$742,ROW()-1,MATCH(G$1,'包络曲线数据'!$B$1:$K$1,0)),""))</x:f>
      </x:c>
    </x:row>
    <x:row r="310">
      <x:c r="A310" t="n">
        <x:v>30.8</x:v>
      </x:c>
      <x:c r="B310" t="n">
        <x:f>IF(B$1="","",IFERROR(INDEX('包络曲线数据'!$B$2:$K$742,ROW()-1,MATCH(B$1,'包络曲线数据'!$B$1:$K$1,0)),""))</x:f>
        <x:v>55.902931856893886</x:v>
      </x:c>
      <x:c r="C310" t="n">
        <x:f>IF(C$1="","",IFERROR(INDEX('包络曲线数据'!$B$2:$K$742,ROW()-1,MATCH(C$1,'包络曲线数据'!$B$1:$K$1,0)),""))</x:f>
        <x:v>63.38023694830815</x:v>
      </x:c>
      <x:c r="D310" t="str">
        <x:f>IF(D$1="","",IFERROR(INDEX('包络曲线数据'!$B$2:$K$742,ROW()-1,MATCH(D$1,'包络曲线数据'!$B$1:$K$1,0)),""))</x:f>
      </x:c>
      <x:c r="E310" t="str">
        <x:f>IF(E$1="","",IFERROR(INDEX('包络曲线数据'!$B$2:$K$742,ROW()-1,MATCH(E$1,'包络曲线数据'!$B$1:$K$1,0)),""))</x:f>
      </x:c>
      <x:c r="F310" t="str">
        <x:f>IF(F$1="","",IFERROR(INDEX('包络曲线数据'!$B$2:$K$742,ROW()-1,MATCH(F$1,'包络曲线数据'!$B$1:$K$1,0)),""))</x:f>
      </x:c>
      <x:c r="G310" t="str">
        <x:f>IF(G$1="","",IFERROR(INDEX('包络曲线数据'!$B$2:$K$742,ROW()-1,MATCH(G$1,'包络曲线数据'!$B$1:$K$1,0)),""))</x:f>
      </x:c>
    </x:row>
    <x:row r="311">
      <x:c r="A311" t="n">
        <x:v>30.900000000000002</x:v>
      </x:c>
      <x:c r="B311" t="n">
        <x:f>IF(B$1="","",IFERROR(INDEX('包络曲线数据'!$B$2:$K$742,ROW()-1,MATCH(B$1,'包络曲线数据'!$B$1:$K$1,0)),""))</x:f>
        <x:v>58.16906028311527</x:v>
      </x:c>
      <x:c r="C311" t="n">
        <x:f>IF(C$1="","",IFERROR(INDEX('包络曲线数据'!$B$2:$K$742,ROW()-1,MATCH(C$1,'包络曲线数据'!$B$1:$K$1,0)),""))</x:f>
        <x:v>76.66948959807604</x:v>
      </x:c>
      <x:c r="D311" t="str">
        <x:f>IF(D$1="","",IFERROR(INDEX('包络曲线数据'!$B$2:$K$742,ROW()-1,MATCH(D$1,'包络曲线数据'!$B$1:$K$1,0)),""))</x:f>
      </x:c>
      <x:c r="E311" t="str">
        <x:f>IF(E$1="","",IFERROR(INDEX('包络曲线数据'!$B$2:$K$742,ROW()-1,MATCH(E$1,'包络曲线数据'!$B$1:$K$1,0)),""))</x:f>
      </x:c>
      <x:c r="F311" t="str">
        <x:f>IF(F$1="","",IFERROR(INDEX('包络曲线数据'!$B$2:$K$742,ROW()-1,MATCH(F$1,'包络曲线数据'!$B$1:$K$1,0)),""))</x:f>
      </x:c>
      <x:c r="G311" t="str">
        <x:f>IF(G$1="","",IFERROR(INDEX('包络曲线数据'!$B$2:$K$742,ROW()-1,MATCH(G$1,'包络曲线数据'!$B$1:$K$1,0)),""))</x:f>
      </x:c>
    </x:row>
    <x:row r="312">
      <x:c r="A312" t="n">
        <x:v>31</x:v>
      </x:c>
      <x:c r="B312" t="n">
        <x:f>IF(B$1="","",IFERROR(INDEX('包络曲线数据'!$B$2:$K$742,ROW()-1,MATCH(B$1,'包络曲线数据'!$B$1:$K$1,0)),""))</x:f>
        <x:v>58.16789606486117</x:v>
      </x:c>
      <x:c r="C312" t="n">
        <x:f>IF(C$1="","",IFERROR(INDEX('包络曲线数据'!$B$2:$K$742,ROW()-1,MATCH(C$1,'包络曲线数据'!$B$1:$K$1,0)),""))</x:f>
        <x:v>79.76203548337162</x:v>
      </x:c>
      <x:c r="D312" t="str">
        <x:f>IF(D$1="","",IFERROR(INDEX('包络曲线数据'!$B$2:$K$742,ROW()-1,MATCH(D$1,'包络曲线数据'!$B$1:$K$1,0)),""))</x:f>
      </x:c>
      <x:c r="E312" t="str">
        <x:f>IF(E$1="","",IFERROR(INDEX('包络曲线数据'!$B$2:$K$742,ROW()-1,MATCH(E$1,'包络曲线数据'!$B$1:$K$1,0)),""))</x:f>
      </x:c>
      <x:c r="F312" t="str">
        <x:f>IF(F$1="","",IFERROR(INDEX('包络曲线数据'!$B$2:$K$742,ROW()-1,MATCH(F$1,'包络曲线数据'!$B$1:$K$1,0)),""))</x:f>
      </x:c>
      <x:c r="G312" t="str">
        <x:f>IF(G$1="","",IFERROR(INDEX('包络曲线数据'!$B$2:$K$742,ROW()-1,MATCH(G$1,'包络曲线数据'!$B$1:$K$1,0)),""))</x:f>
      </x:c>
    </x:row>
    <x:row r="313">
      <x:c r="A313" t="n">
        <x:v>31.1</x:v>
      </x:c>
      <x:c r="B313" t="n">
        <x:f>IF(B$1="","",IFERROR(INDEX('包络曲线数据'!$B$2:$K$742,ROW()-1,MATCH(B$1,'包络曲线数据'!$B$1:$K$1,0)),""))</x:f>
        <x:v>56.56566123388645</x:v>
      </x:c>
      <x:c r="C313" t="n">
        <x:f>IF(C$1="","",IFERROR(INDEX('包络曲线数据'!$B$2:$K$742,ROW()-1,MATCH(C$1,'包络曲线数据'!$B$1:$K$1,0)),""))</x:f>
        <x:v>79.76203548337162</x:v>
      </x:c>
      <x:c r="D313" t="str">
        <x:f>IF(D$1="","",IFERROR(INDEX('包络曲线数据'!$B$2:$K$742,ROW()-1,MATCH(D$1,'包络曲线数据'!$B$1:$K$1,0)),""))</x:f>
      </x:c>
      <x:c r="E313" t="str">
        <x:f>IF(E$1="","",IFERROR(INDEX('包络曲线数据'!$B$2:$K$742,ROW()-1,MATCH(E$1,'包络曲线数据'!$B$1:$K$1,0)),""))</x:f>
      </x:c>
      <x:c r="F313" t="str">
        <x:f>IF(F$1="","",IFERROR(INDEX('包络曲线数据'!$B$2:$K$742,ROW()-1,MATCH(F$1,'包络曲线数据'!$B$1:$K$1,0)),""))</x:f>
      </x:c>
      <x:c r="G313" t="str">
        <x:f>IF(G$1="","",IFERROR(INDEX('包络曲线数据'!$B$2:$K$742,ROW()-1,MATCH(G$1,'包络曲线数据'!$B$1:$K$1,0)),""))</x:f>
      </x:c>
    </x:row>
    <x:row r="314">
      <x:c r="A314" t="n">
        <x:v>31.200000000000003</x:v>
      </x:c>
      <x:c r="B314" t="n">
        <x:f>IF(B$1="","",IFERROR(INDEX('包络曲线数据'!$B$2:$K$742,ROW()-1,MATCH(B$1,'包络曲线数据'!$B$1:$K$1,0)),""))</x:f>
        <x:v>55.36398511065546</x:v>
      </x:c>
      <x:c r="C314" t="n">
        <x:f>IF(C$1="","",IFERROR(INDEX('包络曲线数据'!$B$2:$K$742,ROW()-1,MATCH(C$1,'包络曲线数据'!$B$1:$K$1,0)),""))</x:f>
        <x:v>71.01392442994329</x:v>
      </x:c>
      <x:c r="D314" t="str">
        <x:f>IF(D$1="","",IFERROR(INDEX('包络曲线数据'!$B$2:$K$742,ROW()-1,MATCH(D$1,'包络曲线数据'!$B$1:$K$1,0)),""))</x:f>
      </x:c>
      <x:c r="E314" t="str">
        <x:f>IF(E$1="","",IFERROR(INDEX('包络曲线数据'!$B$2:$K$742,ROW()-1,MATCH(E$1,'包络曲线数据'!$B$1:$K$1,0)),""))</x:f>
      </x:c>
      <x:c r="F314" t="str">
        <x:f>IF(F$1="","",IFERROR(INDEX('包络曲线数据'!$B$2:$K$742,ROW()-1,MATCH(F$1,'包络曲线数据'!$B$1:$K$1,0)),""))</x:f>
      </x:c>
      <x:c r="G314" t="str">
        <x:f>IF(G$1="","",IFERROR(INDEX('包络曲线数据'!$B$2:$K$742,ROW()-1,MATCH(G$1,'包络曲线数据'!$B$1:$K$1,0)),""))</x:f>
      </x:c>
    </x:row>
    <x:row r="315">
      <x:c r="A315" t="n">
        <x:v>31.3</x:v>
      </x:c>
      <x:c r="B315" t="n">
        <x:f>IF(B$1="","",IFERROR(INDEX('包络曲线数据'!$B$2:$K$742,ROW()-1,MATCH(B$1,'包络曲线数据'!$B$1:$K$1,0)),""))</x:f>
        <x:v>55.36398511065546</x:v>
      </x:c>
      <x:c r="C315" t="n">
        <x:f>IF(C$1="","",IFERROR(INDEX('包络曲线数据'!$B$2:$K$742,ROW()-1,MATCH(C$1,'包络曲线数据'!$B$1:$K$1,0)),""))</x:f>
        <x:v>63.294787385583994</x:v>
      </x:c>
      <x:c r="D315" t="str">
        <x:f>IF(D$1="","",IFERROR(INDEX('包络曲线数据'!$B$2:$K$742,ROW()-1,MATCH(D$1,'包络曲线数据'!$B$1:$K$1,0)),""))</x:f>
      </x:c>
      <x:c r="E315" t="str">
        <x:f>IF(E$1="","",IFERROR(INDEX('包络曲线数据'!$B$2:$K$742,ROW()-1,MATCH(E$1,'包络曲线数据'!$B$1:$K$1,0)),""))</x:f>
      </x:c>
      <x:c r="F315" t="str">
        <x:f>IF(F$1="","",IFERROR(INDEX('包络曲线数据'!$B$2:$K$742,ROW()-1,MATCH(F$1,'包络曲线数据'!$B$1:$K$1,0)),""))</x:f>
      </x:c>
      <x:c r="G315" t="str">
        <x:f>IF(G$1="","",IFERROR(INDEX('包络曲线数据'!$B$2:$K$742,ROW()-1,MATCH(G$1,'包络曲线数据'!$B$1:$K$1,0)),""))</x:f>
      </x:c>
    </x:row>
    <x:row r="316">
      <x:c r="A316" t="n">
        <x:v>31.400000000000002</x:v>
      </x:c>
      <x:c r="B316" t="n">
        <x:f>IF(B$1="","",IFERROR(INDEX('包络曲线数据'!$B$2:$K$742,ROW()-1,MATCH(B$1,'包络曲线数据'!$B$1:$K$1,0)),""))</x:f>
        <x:v>50</x:v>
      </x:c>
      <x:c r="C316" t="n">
        <x:f>IF(C$1="","",IFERROR(INDEX('包络曲线数据'!$B$2:$K$742,ROW()-1,MATCH(C$1,'包络曲线数据'!$B$1:$K$1,0)),""))</x:f>
        <x:v>53.57576242734604</x:v>
      </x:c>
      <x:c r="D316" t="str">
        <x:f>IF(D$1="","",IFERROR(INDEX('包络曲线数据'!$B$2:$K$742,ROW()-1,MATCH(D$1,'包络曲线数据'!$B$1:$K$1,0)),""))</x:f>
      </x:c>
      <x:c r="E316" t="str">
        <x:f>IF(E$1="","",IFERROR(INDEX('包络曲线数据'!$B$2:$K$742,ROW()-1,MATCH(E$1,'包络曲线数据'!$B$1:$K$1,0)),""))</x:f>
      </x:c>
      <x:c r="F316" t="str">
        <x:f>IF(F$1="","",IFERROR(INDEX('包络曲线数据'!$B$2:$K$742,ROW()-1,MATCH(F$1,'包络曲线数据'!$B$1:$K$1,0)),""))</x:f>
      </x:c>
      <x:c r="G316" t="str">
        <x:f>IF(G$1="","",IFERROR(INDEX('包络曲线数据'!$B$2:$K$742,ROW()-1,MATCH(G$1,'包络曲线数据'!$B$1:$K$1,0)),""))</x:f>
      </x:c>
    </x:row>
    <x:row r="317">
      <x:c r="A317" t="n">
        <x:v>31.5</x:v>
      </x:c>
      <x:c r="B317" t="n">
        <x:f>IF(B$1="","",IFERROR(INDEX('包络曲线数据'!$B$2:$K$742,ROW()-1,MATCH(B$1,'包络曲线数据'!$B$1:$K$1,0)),""))</x:f>
        <x:v>50</x:v>
      </x:c>
      <x:c r="C317" t="n">
        <x:f>IF(C$1="","",IFERROR(INDEX('包络曲线数据'!$B$2:$K$742,ROW()-1,MATCH(C$1,'包络曲线数据'!$B$1:$K$1,0)),""))</x:f>
        <x:v>50</x:v>
      </x:c>
      <x:c r="D317" t="str">
        <x:f>IF(D$1="","",IFERROR(INDEX('包络曲线数据'!$B$2:$K$742,ROW()-1,MATCH(D$1,'包络曲线数据'!$B$1:$K$1,0)),""))</x:f>
      </x:c>
      <x:c r="E317" t="str">
        <x:f>IF(E$1="","",IFERROR(INDEX('包络曲线数据'!$B$2:$K$742,ROW()-1,MATCH(E$1,'包络曲线数据'!$B$1:$K$1,0)),""))</x:f>
      </x:c>
      <x:c r="F317" t="str">
        <x:f>IF(F$1="","",IFERROR(INDEX('包络曲线数据'!$B$2:$K$742,ROW()-1,MATCH(F$1,'包络曲线数据'!$B$1:$K$1,0)),""))</x:f>
      </x:c>
      <x:c r="G317" t="str">
        <x:f>IF(G$1="","",IFERROR(INDEX('包络曲线数据'!$B$2:$K$742,ROW()-1,MATCH(G$1,'包络曲线数据'!$B$1:$K$1,0)),""))</x:f>
      </x:c>
    </x:row>
    <x:row r="318">
      <x:c r="A318" t="n">
        <x:v>31.6</x:v>
      </x:c>
      <x:c r="B318" t="n">
        <x:f>IF(B$1="","",IFERROR(INDEX('包络曲线数据'!$B$2:$K$742,ROW()-1,MATCH(B$1,'包络曲线数据'!$B$1:$K$1,0)),""))</x:f>
        <x:v>76.25174310977064</x:v>
      </x:c>
      <x:c r="C318" t="n">
        <x:f>IF(C$1="","",IFERROR(INDEX('包络曲线数据'!$B$2:$K$742,ROW()-1,MATCH(C$1,'包络曲线数据'!$B$1:$K$1,0)),""))</x:f>
        <x:v>55.00665072195975</x:v>
      </x:c>
      <x:c r="D318" t="str">
        <x:f>IF(D$1="","",IFERROR(INDEX('包络曲线数据'!$B$2:$K$742,ROW()-1,MATCH(D$1,'包络曲线数据'!$B$1:$K$1,0)),""))</x:f>
      </x:c>
      <x:c r="E318" t="str">
        <x:f>IF(E$1="","",IFERROR(INDEX('包络曲线数据'!$B$2:$K$742,ROW()-1,MATCH(E$1,'包络曲线数据'!$B$1:$K$1,0)),""))</x:f>
      </x:c>
      <x:c r="F318" t="str">
        <x:f>IF(F$1="","",IFERROR(INDEX('包络曲线数据'!$B$2:$K$742,ROW()-1,MATCH(F$1,'包络曲线数据'!$B$1:$K$1,0)),""))</x:f>
      </x:c>
      <x:c r="G318" t="str">
        <x:f>IF(G$1="","",IFERROR(INDEX('包络曲线数据'!$B$2:$K$742,ROW()-1,MATCH(G$1,'包络曲线数据'!$B$1:$K$1,0)),""))</x:f>
      </x:c>
    </x:row>
    <x:row r="319">
      <x:c r="A319" t="n">
        <x:v>31.700000000000003</x:v>
      </x:c>
      <x:c r="B319" t="n">
        <x:f>IF(B$1="","",IFERROR(INDEX('包络曲线数据'!$B$2:$K$742,ROW()-1,MATCH(B$1,'包络曲线数据'!$B$1:$K$1,0)),""))</x:f>
        <x:v>76.25174310977064</x:v>
      </x:c>
      <x:c r="C319" t="n">
        <x:f>IF(C$1="","",IFERROR(INDEX('包络曲线数据'!$B$2:$K$742,ROW()-1,MATCH(C$1,'包络曲线数据'!$B$1:$K$1,0)),""))</x:f>
        <x:v>60.0133014439195</x:v>
      </x:c>
      <x:c r="D319" t="str">
        <x:f>IF(D$1="","",IFERROR(INDEX('包络曲线数据'!$B$2:$K$742,ROW()-1,MATCH(D$1,'包络曲线数据'!$B$1:$K$1,0)),""))</x:f>
      </x:c>
      <x:c r="E319" t="str">
        <x:f>IF(E$1="","",IFERROR(INDEX('包络曲线数据'!$B$2:$K$742,ROW()-1,MATCH(E$1,'包络曲线数据'!$B$1:$K$1,0)),""))</x:f>
      </x:c>
      <x:c r="F319" t="str">
        <x:f>IF(F$1="","",IFERROR(INDEX('包络曲线数据'!$B$2:$K$742,ROW()-1,MATCH(F$1,'包络曲线数据'!$B$1:$K$1,0)),""))</x:f>
      </x:c>
      <x:c r="G319" t="str">
        <x:f>IF(G$1="","",IFERROR(INDEX('包络曲线数据'!$B$2:$K$742,ROW()-1,MATCH(G$1,'包络曲线数据'!$B$1:$K$1,0)),""))</x:f>
      </x:c>
    </x:row>
    <x:row r="320">
      <x:c r="A320" t="n">
        <x:v>31.8</x:v>
      </x:c>
      <x:c r="B320" t="n">
        <x:f>IF(B$1="","",IFERROR(INDEX('包络曲线数据'!$B$2:$K$742,ROW()-1,MATCH(B$1,'包络曲线数据'!$B$1:$K$1,0)),""))</x:f>
        <x:v>74.9359718226026</x:v>
      </x:c>
      <x:c r="C320" t="n">
        <x:f>IF(C$1="","",IFERROR(INDEX('包络曲线数据'!$B$2:$K$742,ROW()-1,MATCH(C$1,'包络曲线数据'!$B$1:$K$1,0)),""))</x:f>
        <x:v>64.01862202148716</x:v>
      </x:c>
      <x:c r="D320" t="str">
        <x:f>IF(D$1="","",IFERROR(INDEX('包络曲线数据'!$B$2:$K$742,ROW()-1,MATCH(D$1,'包络曲线数据'!$B$1:$K$1,0)),""))</x:f>
      </x:c>
      <x:c r="E320" t="str">
        <x:f>IF(E$1="","",IFERROR(INDEX('包络曲线数据'!$B$2:$K$742,ROW()-1,MATCH(E$1,'包络曲线数据'!$B$1:$K$1,0)),""))</x:f>
      </x:c>
      <x:c r="F320" t="str">
        <x:f>IF(F$1="","",IFERROR(INDEX('包络曲线数据'!$B$2:$K$742,ROW()-1,MATCH(F$1,'包络曲线数据'!$B$1:$K$1,0)),""))</x:f>
      </x:c>
      <x:c r="G320" t="str">
        <x:f>IF(G$1="","",IFERROR(INDEX('包络曲线数据'!$B$2:$K$742,ROW()-1,MATCH(G$1,'包络曲线数据'!$B$1:$K$1,0)),""))</x:f>
      </x:c>
    </x:row>
    <x:row r="321">
      <x:c r="A321" t="n">
        <x:v>31.900000000000002</x:v>
      </x:c>
      <x:c r="B321" t="n">
        <x:f>IF(B$1="","",IFERROR(INDEX('包络曲线数据'!$B$2:$K$742,ROW()-1,MATCH(B$1,'包络曲线数据'!$B$1:$K$1,0)),""))</x:f>
        <x:v>68.64822682868453</x:v>
      </x:c>
      <x:c r="C321" t="n">
        <x:f>IF(C$1="","",IFERROR(INDEX('包络曲线数据'!$B$2:$K$742,ROW()-1,MATCH(C$1,'包络曲线数据'!$B$1:$K$1,0)),""))</x:f>
        <x:v>64.01862202148716</x:v>
      </x:c>
      <x:c r="D321" t="str">
        <x:f>IF(D$1="","",IFERROR(INDEX('包络曲线数据'!$B$2:$K$742,ROW()-1,MATCH(D$1,'包络曲线数据'!$B$1:$K$1,0)),""))</x:f>
      </x:c>
      <x:c r="E321" t="str">
        <x:f>IF(E$1="","",IFERROR(INDEX('包络曲线数据'!$B$2:$K$742,ROW()-1,MATCH(E$1,'包络曲线数据'!$B$1:$K$1,0)),""))</x:f>
      </x:c>
      <x:c r="F321" t="str">
        <x:f>IF(F$1="","",IFERROR(INDEX('包络曲线数据'!$B$2:$K$742,ROW()-1,MATCH(F$1,'包络曲线数据'!$B$1:$K$1,0)),""))</x:f>
      </x:c>
      <x:c r="G321" t="str">
        <x:f>IF(G$1="","",IFERROR(INDEX('包络曲线数据'!$B$2:$K$742,ROW()-1,MATCH(G$1,'包络曲线数据'!$B$1:$K$1,0)),""))</x:f>
      </x:c>
    </x:row>
    <x:row r="322">
      <x:c r="A322" t="n">
        <x:v>32</x:v>
      </x:c>
      <x:c r="B322" t="n">
        <x:f>IF(B$1="","",IFERROR(INDEX('包络曲线数据'!$B$2:$K$742,ROW()-1,MATCH(B$1,'包络曲线数据'!$B$1:$K$1,0)),""))</x:f>
        <x:v>62.13548571360974</x:v>
      </x:c>
      <x:c r="C322" t="n">
        <x:f>IF(C$1="","",IFERROR(INDEX('包络曲线数据'!$B$2:$K$742,ROW()-1,MATCH(C$1,'包络曲线数据'!$B$1:$K$1,0)),""))</x:f>
        <x:v>65.99518002068358</x:v>
      </x:c>
      <x:c r="D322" t="str">
        <x:f>IF(D$1="","",IFERROR(INDEX('包络曲线数据'!$B$2:$K$742,ROW()-1,MATCH(D$1,'包络曲线数据'!$B$1:$K$1,0)),""))</x:f>
      </x:c>
      <x:c r="E322" t="str">
        <x:f>IF(E$1="","",IFERROR(INDEX('包络曲线数据'!$B$2:$K$742,ROW()-1,MATCH(E$1,'包络曲线数据'!$B$1:$K$1,0)),""))</x:f>
      </x:c>
      <x:c r="F322" t="str">
        <x:f>IF(F$1="","",IFERROR(INDEX('包络曲线数据'!$B$2:$K$742,ROW()-1,MATCH(F$1,'包络曲线数据'!$B$1:$K$1,0)),""))</x:f>
      </x:c>
      <x:c r="G322" t="str">
        <x:f>IF(G$1="","",IFERROR(INDEX('包络曲线数据'!$B$2:$K$742,ROW()-1,MATCH(G$1,'包络曲线数据'!$B$1:$K$1,0)),""))</x:f>
      </x:c>
    </x:row>
    <x:row r="323">
      <x:c r="A323" t="n">
        <x:v>32.1</x:v>
      </x:c>
      <x:c r="B323" t="n">
        <x:f>IF(B$1="","",IFERROR(INDEX('包络曲线数据'!$B$2:$K$742,ROW()-1,MATCH(B$1,'包络曲线数据'!$B$1:$K$1,0)),""))</x:f>
        <x:v>64.02327911414292</x:v>
      </x:c>
      <x:c r="C323" t="n">
        <x:f>IF(C$1="","",IFERROR(INDEX('包络曲线数据'!$B$2:$K$742,ROW()-1,MATCH(C$1,'包络曲线数据'!$B$1:$K$1,0)),""))</x:f>
        <x:v>68.4658775196792</x:v>
      </x:c>
      <x:c r="D323" t="str">
        <x:f>IF(D$1="","",IFERROR(INDEX('包络曲线数据'!$B$2:$K$742,ROW()-1,MATCH(D$1,'包络曲线数据'!$B$1:$K$1,0)),""))</x:f>
      </x:c>
      <x:c r="E323" t="str">
        <x:f>IF(E$1="","",IFERROR(INDEX('包络曲线数据'!$B$2:$K$742,ROW()-1,MATCH(E$1,'包络曲线数据'!$B$1:$K$1,0)),""))</x:f>
      </x:c>
      <x:c r="F323" t="str">
        <x:f>IF(F$1="","",IFERROR(INDEX('包络曲线数据'!$B$2:$K$742,ROW()-1,MATCH(F$1,'包络曲线数据'!$B$1:$K$1,0)),""))</x:f>
      </x:c>
      <x:c r="G323" t="str">
        <x:f>IF(G$1="","",IFERROR(INDEX('包络曲线数据'!$B$2:$K$742,ROW()-1,MATCH(G$1,'包络曲线数据'!$B$1:$K$1,0)),""))</x:f>
      </x:c>
    </x:row>
    <x:row r="324">
      <x:c r="A324" t="n">
        <x:v>32.2</x:v>
      </x:c>
      <x:c r="B324" t="n">
        <x:f>IF(B$1="","",IFERROR(INDEX('包络曲线数据'!$B$2:$K$742,ROW()-1,MATCH(B$1,'包络曲线数据'!$B$1:$K$1,0)),""))</x:f>
        <x:v>68.2453819667654</x:v>
      </x:c>
      <x:c r="C324" t="n">
        <x:f>IF(C$1="","",IFERROR(INDEX('包络曲线数据'!$B$2:$K$742,ROW()-1,MATCH(C$1,'包络曲线数据'!$B$1:$K$1,0)),""))</x:f>
        <x:v>69.4541565192774</x:v>
      </x:c>
      <x:c r="D324" t="str">
        <x:f>IF(D$1="","",IFERROR(INDEX('包络曲线数据'!$B$2:$K$742,ROW()-1,MATCH(D$1,'包络曲线数据'!$B$1:$K$1,0)),""))</x:f>
      </x:c>
      <x:c r="E324" t="str">
        <x:f>IF(E$1="","",IFERROR(INDEX('包络曲线数据'!$B$2:$K$742,ROW()-1,MATCH(E$1,'包络曲线数据'!$B$1:$K$1,0)),""))</x:f>
      </x:c>
      <x:c r="F324" t="str">
        <x:f>IF(F$1="","",IFERROR(INDEX('包络曲线数据'!$B$2:$K$742,ROW()-1,MATCH(F$1,'包络曲线数据'!$B$1:$K$1,0)),""))</x:f>
      </x:c>
      <x:c r="G324" t="str">
        <x:f>IF(G$1="","",IFERROR(INDEX('包络曲线数据'!$B$2:$K$742,ROW()-1,MATCH(G$1,'包络曲线数据'!$B$1:$K$1,0)),""))</x:f>
      </x:c>
    </x:row>
    <x:row r="325">
      <x:c r="A325" t="n">
        <x:v>32.300000000000004</x:v>
      </x:c>
      <x:c r="B325" t="n">
        <x:f>IF(B$1="","",IFERROR(INDEX('包络曲线数据'!$B$2:$K$742,ROW()-1,MATCH(B$1,'包络曲线数据'!$B$1:$K$1,0)),""))</x:f>
        <x:v>68.2453819667654</x:v>
      </x:c>
      <x:c r="C325" t="n">
        <x:f>IF(C$1="","",IFERROR(INDEX('包络曲线数据'!$B$2:$K$742,ROW()-1,MATCH(C$1,'包络曲线数据'!$B$1:$K$1,0)),""))</x:f>
        <x:v>69.01166152799038</x:v>
      </x:c>
      <x:c r="D325" t="str">
        <x:f>IF(D$1="","",IFERROR(INDEX('包络曲线数据'!$B$2:$K$742,ROW()-1,MATCH(D$1,'包络曲线数据'!$B$1:$K$1,0)),""))</x:f>
      </x:c>
      <x:c r="E325" t="str">
        <x:f>IF(E$1="","",IFERROR(INDEX('包络曲线数据'!$B$2:$K$742,ROW()-1,MATCH(E$1,'包络曲线数据'!$B$1:$K$1,0)),""))</x:f>
      </x:c>
      <x:c r="F325" t="str">
        <x:f>IF(F$1="","",IFERROR(INDEX('包络曲线数据'!$B$2:$K$742,ROW()-1,MATCH(F$1,'包络曲线数据'!$B$1:$K$1,0)),""))</x:f>
      </x:c>
      <x:c r="G325" t="str">
        <x:f>IF(G$1="","",IFERROR(INDEX('包络曲线数据'!$B$2:$K$742,ROW()-1,MATCH(G$1,'包络曲线数据'!$B$1:$K$1,0)),""))</x:f>
      </x:c>
    </x:row>
    <x:row r="326">
      <x:c r="A326" t="n">
        <x:v>32.4</x:v>
      </x:c>
      <x:c r="B326" t="n">
        <x:f>IF(B$1="","",IFERROR(INDEX('包络曲线数据'!$B$2:$K$742,ROW()-1,MATCH(B$1,'包络曲线数据'!$B$1:$K$1,0)),""))</x:f>
        <x:v>68.13126015010455</x:v>
      </x:c>
      <x:c r="C326" t="n">
        <x:f>IF(C$1="","",IFERROR(INDEX('包络曲线数据'!$B$2:$K$742,ROW()-1,MATCH(C$1,'包络曲线数据'!$B$1:$K$1,0)),""))</x:f>
        <x:v>65.75955472011765</x:v>
      </x:c>
      <x:c r="D326" t="str">
        <x:f>IF(D$1="","",IFERROR(INDEX('包络曲线数据'!$B$2:$K$742,ROW()-1,MATCH(D$1,'包络曲线数据'!$B$1:$K$1,0)),""))</x:f>
      </x:c>
      <x:c r="E326" t="str">
        <x:f>IF(E$1="","",IFERROR(INDEX('包络曲线数据'!$B$2:$K$742,ROW()-1,MATCH(E$1,'包络曲线数据'!$B$1:$K$1,0)),""))</x:f>
      </x:c>
      <x:c r="F326" t="str">
        <x:f>IF(F$1="","",IFERROR(INDEX('包络曲线数据'!$B$2:$K$742,ROW()-1,MATCH(F$1,'包络曲线数据'!$B$1:$K$1,0)),""))</x:f>
      </x:c>
      <x:c r="G326" t="str">
        <x:f>IF(G$1="","",IFERROR(INDEX('包络曲线数据'!$B$2:$K$742,ROW()-1,MATCH(G$1,'包络曲线数据'!$B$1:$K$1,0)),""))</x:f>
      </x:c>
    </x:row>
    <x:row r="327">
      <x:c r="A327" t="n">
        <x:v>32.5</x:v>
      </x:c>
      <x:c r="B327" t="n">
        <x:f>IF(B$1="","",IFERROR(INDEX('包络曲线数据'!$B$2:$K$742,ROW()-1,MATCH(B$1,'包络曲线数据'!$B$1:$K$1,0)),""))</x:f>
        <x:v>69.83103851128651</x:v>
      </x:c>
      <x:c r="C327" t="n">
        <x:f>IF(C$1="","",IFERROR(INDEX('包络曲线数据'!$B$2:$K$742,ROW()-1,MATCH(C$1,'包络曲线数据'!$B$1:$K$1,0)),""))</x:f>
        <x:v>62.69102683659288</x:v>
      </x:c>
      <x:c r="D327" t="str">
        <x:f>IF(D$1="","",IFERROR(INDEX('包络曲线数据'!$B$2:$K$742,ROW()-1,MATCH(D$1,'包络曲线数据'!$B$1:$K$1,0)),""))</x:f>
      </x:c>
      <x:c r="E327" t="str">
        <x:f>IF(E$1="","",IFERROR(INDEX('包络曲线数据'!$B$2:$K$742,ROW()-1,MATCH(E$1,'包络曲线数据'!$B$1:$K$1,0)),""))</x:f>
      </x:c>
      <x:c r="F327" t="str">
        <x:f>IF(F$1="","",IFERROR(INDEX('包络曲线数据'!$B$2:$K$742,ROW()-1,MATCH(F$1,'包络曲线数据'!$B$1:$K$1,0)),""))</x:f>
      </x:c>
      <x:c r="G327" t="str">
        <x:f>IF(G$1="","",IFERROR(INDEX('包络曲线数据'!$B$2:$K$742,ROW()-1,MATCH(G$1,'包络曲线数据'!$B$1:$K$1,0)),""))</x:f>
      </x:c>
    </x:row>
    <x:row r="328">
      <x:c r="A328" t="n">
        <x:v>32.6</x:v>
      </x:c>
      <x:c r="B328" t="n">
        <x:f>IF(B$1="","",IFERROR(INDEX('包络曲线数据'!$B$2:$K$742,ROW()-1,MATCH(B$1,'包络曲线数据'!$B$1:$K$1,0)),""))</x:f>
        <x:v>69.83103851128651</x:v>
      </x:c>
      <x:c r="C328" t="n">
        <x:f>IF(C$1="","",IFERROR(INDEX('包络曲线数据'!$B$2:$K$742,ROW()-1,MATCH(C$1,'包络曲线数据'!$B$1:$K$1,0)),""))</x:f>
        <x:v>63.054672949834796</x:v>
      </x:c>
      <x:c r="D328" t="str">
        <x:f>IF(D$1="","",IFERROR(INDEX('包络曲线数据'!$B$2:$K$742,ROW()-1,MATCH(D$1,'包络曲线数据'!$B$1:$K$1,0)),""))</x:f>
      </x:c>
      <x:c r="E328" t="str">
        <x:f>IF(E$1="","",IFERROR(INDEX('包络曲线数据'!$B$2:$K$742,ROW()-1,MATCH(E$1,'包络曲线数据'!$B$1:$K$1,0)),""))</x:f>
      </x:c>
      <x:c r="F328" t="str">
        <x:f>IF(F$1="","",IFERROR(INDEX('包络曲线数据'!$B$2:$K$742,ROW()-1,MATCH(F$1,'包络曲线数据'!$B$1:$K$1,0)),""))</x:f>
      </x:c>
      <x:c r="G328" t="str">
        <x:f>IF(G$1="","",IFERROR(INDEX('包络曲线数据'!$B$2:$K$742,ROW()-1,MATCH(G$1,'包络曲线数据'!$B$1:$K$1,0)),""))</x:f>
      </x:c>
    </x:row>
    <x:row r="329">
      <x:c r="A329" t="n">
        <x:v>32.7</x:v>
      </x:c>
      <x:c r="B329" t="n">
        <x:f>IF(B$1="","",IFERROR(INDEX('包络曲线数据'!$B$2:$K$742,ROW()-1,MATCH(B$1,'包络曲线数据'!$B$1:$K$1,0)),""))</x:f>
        <x:v>69.92394533759668</x:v>
      </x:c>
      <x:c r="C329" t="n">
        <x:f>IF(C$1="","",IFERROR(INDEX('包络曲线数据'!$B$2:$K$742,ROW()-1,MATCH(C$1,'包络曲线数据'!$B$1:$K$1,0)),""))</x:f>
        <x:v>65.38813229587456</x:v>
      </x:c>
      <x:c r="D329" t="str">
        <x:f>IF(D$1="","",IFERROR(INDEX('包络曲线数据'!$B$2:$K$742,ROW()-1,MATCH(D$1,'包络曲线数据'!$B$1:$K$1,0)),""))</x:f>
      </x:c>
      <x:c r="E329" t="str">
        <x:f>IF(E$1="","",IFERROR(INDEX('包络曲线数据'!$B$2:$K$742,ROW()-1,MATCH(E$1,'包络曲线数据'!$B$1:$K$1,0)),""))</x:f>
      </x:c>
      <x:c r="F329" t="str">
        <x:f>IF(F$1="","",IFERROR(INDEX('包络曲线数据'!$B$2:$K$742,ROW()-1,MATCH(F$1,'包络曲线数据'!$B$1:$K$1,0)),""))</x:f>
      </x:c>
      <x:c r="G329" t="str">
        <x:f>IF(G$1="","",IFERROR(INDEX('包络曲线数据'!$B$2:$K$742,ROW()-1,MATCH(G$1,'包络曲线数据'!$B$1:$K$1,0)),""))</x:f>
      </x:c>
    </x:row>
    <x:row r="330">
      <x:c r="A330" t="n">
        <x:v>32.800000000000004</x:v>
      </x:c>
      <x:c r="B330" t="n">
        <x:f>IF(B$1="","",IFERROR(INDEX('包络曲线数据'!$B$2:$K$742,ROW()-1,MATCH(B$1,'包络曲线数据'!$B$1:$K$1,0)),""))</x:f>
        <x:v>70.50666534070717</x:v>
      </x:c>
      <x:c r="C330" t="n">
        <x:f>IF(C$1="","",IFERROR(INDEX('包络曲线数据'!$B$2:$K$742,ROW()-1,MATCH(C$1,'包络曲线数据'!$B$1:$K$1,0)),""))</x:f>
        <x:v>65.38813229587456</x:v>
      </x:c>
      <x:c r="D330" t="str">
        <x:f>IF(D$1="","",IFERROR(INDEX('包络曲线数据'!$B$2:$K$742,ROW()-1,MATCH(D$1,'包络曲线数据'!$B$1:$K$1,0)),""))</x:f>
      </x:c>
      <x:c r="E330" t="str">
        <x:f>IF(E$1="","",IFERROR(INDEX('包络曲线数据'!$B$2:$K$742,ROW()-1,MATCH(E$1,'包络曲线数据'!$B$1:$K$1,0)),""))</x:f>
      </x:c>
      <x:c r="F330" t="str">
        <x:f>IF(F$1="","",IFERROR(INDEX('包络曲线数据'!$B$2:$K$742,ROW()-1,MATCH(F$1,'包络曲线数据'!$B$1:$K$1,0)),""))</x:f>
      </x:c>
      <x:c r="G330" t="str">
        <x:f>IF(G$1="","",IFERROR(INDEX('包络曲线数据'!$B$2:$K$742,ROW()-1,MATCH(G$1,'包络曲线数据'!$B$1:$K$1,0)),""))</x:f>
      </x:c>
    </x:row>
    <x:row r="331">
      <x:c r="A331" t="n">
        <x:v>32.9</x:v>
      </x:c>
      <x:c r="B331" t="n">
        <x:f>IF(B$1="","",IFERROR(INDEX('包络曲线数据'!$B$2:$K$742,ROW()-1,MATCH(B$1,'包络曲线数据'!$B$1:$K$1,0)),""))</x:f>
        <x:v>70.50666534070717</x:v>
      </x:c>
      <x:c r="C331" t="n">
        <x:f>IF(C$1="","",IFERROR(INDEX('包络曲线数据'!$B$2:$K$742,ROW()-1,MATCH(C$1,'包络曲线数据'!$B$1:$K$1,0)),""))</x:f>
        <x:v>64.61144421581866</x:v>
      </x:c>
      <x:c r="D331" t="str">
        <x:f>IF(D$1="","",IFERROR(INDEX('包络曲线数据'!$B$2:$K$742,ROW()-1,MATCH(D$1,'包络曲线数据'!$B$1:$K$1,0)),""))</x:f>
      </x:c>
      <x:c r="E331" t="str">
        <x:f>IF(E$1="","",IFERROR(INDEX('包络曲线数据'!$B$2:$K$742,ROW()-1,MATCH(E$1,'包络曲线数据'!$B$1:$K$1,0)),""))</x:f>
      </x:c>
      <x:c r="F331" t="str">
        <x:f>IF(F$1="","",IFERROR(INDEX('包络曲线数据'!$B$2:$K$742,ROW()-1,MATCH(F$1,'包络曲线数据'!$B$1:$K$1,0)),""))</x:f>
      </x:c>
      <x:c r="G331" t="str">
        <x:f>IF(G$1="","",IFERROR(INDEX('包络曲线数据'!$B$2:$K$742,ROW()-1,MATCH(G$1,'包络曲线数据'!$B$1:$K$1,0)),""))</x:f>
      </x:c>
    </x:row>
    <x:row r="332">
      <x:c r="A332" t="n">
        <x:v>33</x:v>
      </x:c>
      <x:c r="B332" t="n">
        <x:f>IF(B$1="","",IFERROR(INDEX('包络曲线数据'!$B$2:$K$742,ROW()-1,MATCH(B$1,'包络曲线数据'!$B$1:$K$1,0)),""))</x:f>
        <x:v>69.97276730340593</x:v>
      </x:c>
      <x:c r="C332" t="n">
        <x:f>IF(C$1="","",IFERROR(INDEX('包络曲线数据'!$B$2:$K$742,ROW()-1,MATCH(C$1,'包络曲线数据'!$B$1:$K$1,0)),""))</x:f>
        <x:v>64.51529788172522</x:v>
      </x:c>
      <x:c r="D332" t="str">
        <x:f>IF(D$1="","",IFERROR(INDEX('包络曲线数据'!$B$2:$K$742,ROW()-1,MATCH(D$1,'包络曲线数据'!$B$1:$K$1,0)),""))</x:f>
      </x:c>
      <x:c r="E332" t="str">
        <x:f>IF(E$1="","",IFERROR(INDEX('包络曲线数据'!$B$2:$K$742,ROW()-1,MATCH(E$1,'包络曲线数据'!$B$1:$K$1,0)),""))</x:f>
      </x:c>
      <x:c r="F332" t="str">
        <x:f>IF(F$1="","",IFERROR(INDEX('包络曲线数据'!$B$2:$K$742,ROW()-1,MATCH(F$1,'包络曲线数据'!$B$1:$K$1,0)),""))</x:f>
      </x:c>
      <x:c r="G332" t="str">
        <x:f>IF(G$1="","",IFERROR(INDEX('包络曲线数据'!$B$2:$K$742,ROW()-1,MATCH(G$1,'包络曲线数据'!$B$1:$K$1,0)),""))</x:f>
      </x:c>
    </x:row>
    <x:row r="333">
      <x:c r="A333" t="n">
        <x:v>33.1</x:v>
      </x:c>
      <x:c r="B333" t="n">
        <x:f>IF(B$1="","",IFERROR(INDEX('包络曲线数据'!$B$2:$K$742,ROW()-1,MATCH(B$1,'包络曲线数据'!$B$1:$K$1,0)),""))</x:f>
        <x:v>69.49187479273215</x:v>
      </x:c>
      <x:c r="C333" t="n">
        <x:f>IF(C$1="","",IFERROR(INDEX('包络曲线数据'!$B$2:$K$742,ROW()-1,MATCH(C$1,'包络曲线数据'!$B$1:$K$1,0)),""))</x:f>
        <x:v>65.03664582897255</x:v>
      </x:c>
      <x:c r="D333" t="str">
        <x:f>IF(D$1="","",IFERROR(INDEX('包络曲线数据'!$B$2:$K$742,ROW()-1,MATCH(D$1,'包络曲线数据'!$B$1:$K$1,0)),""))</x:f>
      </x:c>
      <x:c r="E333" t="str">
        <x:f>IF(E$1="","",IFERROR(INDEX('包络曲线数据'!$B$2:$K$742,ROW()-1,MATCH(E$1,'包络曲线数据'!$B$1:$K$1,0)),""))</x:f>
      </x:c>
      <x:c r="F333" t="str">
        <x:f>IF(F$1="","",IFERROR(INDEX('包络曲线数据'!$B$2:$K$742,ROW()-1,MATCH(F$1,'包络曲线数据'!$B$1:$K$1,0)),""))</x:f>
      </x:c>
      <x:c r="G333" t="str">
        <x:f>IF(G$1="","",IFERROR(INDEX('包络曲线数据'!$B$2:$K$742,ROW()-1,MATCH(G$1,'包络曲线数据'!$B$1:$K$1,0)),""))</x:f>
      </x:c>
    </x:row>
    <x:row r="334">
      <x:c r="A334" t="n">
        <x:v>33.2</x:v>
      </x:c>
      <x:c r="B334" t="n">
        <x:f>IF(B$1="","",IFERROR(INDEX('包络曲线数据'!$B$2:$K$742,ROW()-1,MATCH(B$1,'包络曲线数据'!$B$1:$K$1,0)),""))</x:f>
        <x:v>80.53159352084822</x:v>
      </x:c>
      <x:c r="C334" t="n">
        <x:f>IF(C$1="","",IFERROR(INDEX('包络曲线数据'!$B$2:$K$742,ROW()-1,MATCH(C$1,'包络曲线数据'!$B$1:$K$1,0)),""))</x:f>
        <x:v>65.03664582897255</x:v>
      </x:c>
      <x:c r="D334" t="str">
        <x:f>IF(D$1="","",IFERROR(INDEX('包络曲线数据'!$B$2:$K$742,ROW()-1,MATCH(D$1,'包络曲线数据'!$B$1:$K$1,0)),""))</x:f>
      </x:c>
      <x:c r="E334" t="str">
        <x:f>IF(E$1="","",IFERROR(INDEX('包络曲线数据'!$B$2:$K$742,ROW()-1,MATCH(E$1,'包络曲线数据'!$B$1:$K$1,0)),""))</x:f>
      </x:c>
      <x:c r="F334" t="str">
        <x:f>IF(F$1="","",IFERROR(INDEX('包络曲线数据'!$B$2:$K$742,ROW()-1,MATCH(F$1,'包络曲线数据'!$B$1:$K$1,0)),""))</x:f>
      </x:c>
      <x:c r="G334" t="str">
        <x:f>IF(G$1="","",IFERROR(INDEX('包络曲线数据'!$B$2:$K$742,ROW()-1,MATCH(G$1,'包络曲线数据'!$B$1:$K$1,0)),""))</x:f>
      </x:c>
    </x:row>
    <x:row r="335">
      <x:c r="A335" t="n">
        <x:v>33.300000000000004</x:v>
      </x:c>
      <x:c r="B335" t="n">
        <x:f>IF(B$1="","",IFERROR(INDEX('包络曲线数据'!$B$2:$K$742,ROW()-1,MATCH(B$1,'包络曲线数据'!$B$1:$K$1,0)),""))</x:f>
        <x:v>81.4448890653205</x:v>
      </x:c>
      <x:c r="C335" t="n">
        <x:f>IF(C$1="","",IFERROR(INDEX('包络曲线数据'!$B$2:$K$742,ROW()-1,MATCH(C$1,'包络曲线数据'!$B$1:$K$1,0)),""))</x:f>
        <x:v>64.82110384270423</x:v>
      </x:c>
      <x:c r="D335" t="str">
        <x:f>IF(D$1="","",IFERROR(INDEX('包络曲线数据'!$B$2:$K$742,ROW()-1,MATCH(D$1,'包络曲线数据'!$B$1:$K$1,0)),""))</x:f>
      </x:c>
      <x:c r="E335" t="str">
        <x:f>IF(E$1="","",IFERROR(INDEX('包络曲线数据'!$B$2:$K$742,ROW()-1,MATCH(E$1,'包络曲线数据'!$B$1:$K$1,0)),""))</x:f>
      </x:c>
      <x:c r="F335" t="str">
        <x:f>IF(F$1="","",IFERROR(INDEX('包络曲线数据'!$B$2:$K$742,ROW()-1,MATCH(F$1,'包络曲线数据'!$B$1:$K$1,0)),""))</x:f>
      </x:c>
      <x:c r="G335" t="str">
        <x:f>IF(G$1="","",IFERROR(INDEX('包络曲线数据'!$B$2:$K$742,ROW()-1,MATCH(G$1,'包络曲线数据'!$B$1:$K$1,0)),""))</x:f>
      </x:c>
    </x:row>
    <x:row r="336">
      <x:c r="A336" t="n">
        <x:v>33.4</x:v>
      </x:c>
      <x:c r="B336" t="n">
        <x:f>IF(B$1="","",IFERROR(INDEX('包络曲线数据'!$B$2:$K$742,ROW()-1,MATCH(B$1,'包络曲线数据'!$B$1:$K$1,0)),""))</x:f>
        <x:v>81.4448890653205</x:v>
      </x:c>
      <x:c r="C336" t="n">
        <x:f>IF(C$1="","",IFERROR(INDEX('包络曲线数据'!$B$2:$K$742,ROW()-1,MATCH(C$1,'包络曲线数据'!$B$1:$K$1,0)),""))</x:f>
        <x:v>65.0911015642481</x:v>
      </x:c>
      <x:c r="D336" t="str">
        <x:f>IF(D$1="","",IFERROR(INDEX('包络曲线数据'!$B$2:$K$742,ROW()-1,MATCH(D$1,'包络曲线数据'!$B$1:$K$1,0)),""))</x:f>
      </x:c>
      <x:c r="E336" t="str">
        <x:f>IF(E$1="","",IFERROR(INDEX('包络曲线数据'!$B$2:$K$742,ROW()-1,MATCH(E$1,'包络曲线数据'!$B$1:$K$1,0)),""))</x:f>
      </x:c>
      <x:c r="F336" t="str">
        <x:f>IF(F$1="","",IFERROR(INDEX('包络曲线数据'!$B$2:$K$742,ROW()-1,MATCH(F$1,'包络曲线数据'!$B$1:$K$1,0)),""))</x:f>
      </x:c>
      <x:c r="G336" t="str">
        <x:f>IF(G$1="","",IFERROR(INDEX('包络曲线数据'!$B$2:$K$742,ROW()-1,MATCH(G$1,'包络曲线数据'!$B$1:$K$1,0)),""))</x:f>
      </x:c>
    </x:row>
    <x:row r="337">
      <x:c r="A337" t="n">
        <x:v>33.5</x:v>
      </x:c>
      <x:c r="B337" t="n">
        <x:f>IF(B$1="","",IFERROR(INDEX('包络曲线数据'!$B$2:$K$742,ROW()-1,MATCH(B$1,'包络曲线数据'!$B$1:$K$1,0)),""))</x:f>
        <x:v>68.78754976993704</x:v>
      </x:c>
      <x:c r="C337" t="n">
        <x:f>IF(C$1="","",IFERROR(INDEX('包络曲线数据'!$B$2:$K$742,ROW()-1,MATCH(C$1,'包络曲线数据'!$B$1:$K$1,0)),""))</x:f>
        <x:v>64.98734458203435</x:v>
      </x:c>
      <x:c r="D337" t="str">
        <x:f>IF(D$1="","",IFERROR(INDEX('包络曲线数据'!$B$2:$K$742,ROW()-1,MATCH(D$1,'包络曲线数据'!$B$1:$K$1,0)),""))</x:f>
      </x:c>
      <x:c r="E337" t="str">
        <x:f>IF(E$1="","",IFERROR(INDEX('包络曲线数据'!$B$2:$K$742,ROW()-1,MATCH(E$1,'包络曲线数据'!$B$1:$K$1,0)),""))</x:f>
      </x:c>
      <x:c r="F337" t="str">
        <x:f>IF(F$1="","",IFERROR(INDEX('包络曲线数据'!$B$2:$K$742,ROW()-1,MATCH(F$1,'包络曲线数据'!$B$1:$K$1,0)),""))</x:f>
      </x:c>
      <x:c r="G337" t="str">
        <x:f>IF(G$1="","",IFERROR(INDEX('包络曲线数据'!$B$2:$K$742,ROW()-1,MATCH(G$1,'包络曲线数据'!$B$1:$K$1,0)),""))</x:f>
      </x:c>
    </x:row>
    <x:row r="338">
      <x:c r="A338" t="n">
        <x:v>33.6</x:v>
      </x:c>
      <x:c r="B338" t="n">
        <x:f>IF(B$1="","",IFERROR(INDEX('包络曲线数据'!$B$2:$K$742,ROW()-1,MATCH(B$1,'包络曲线数据'!$B$1:$K$1,0)),""))</x:f>
        <x:v>62.82085072248392</x:v>
      </x:c>
      <x:c r="C338" t="n">
        <x:f>IF(C$1="","",IFERROR(INDEX('包络曲线数据'!$B$2:$K$742,ROW()-1,MATCH(C$1,'包络曲线数据'!$B$1:$K$1,0)),""))</x:f>
        <x:v>64.92879718877947</x:v>
      </x:c>
      <x:c r="D338" t="str">
        <x:f>IF(D$1="","",IFERROR(INDEX('包络曲线数据'!$B$2:$K$742,ROW()-1,MATCH(D$1,'包络曲线数据'!$B$1:$K$1,0)),""))</x:f>
      </x:c>
      <x:c r="E338" t="str">
        <x:f>IF(E$1="","",IFERROR(INDEX('包络曲线数据'!$B$2:$K$742,ROW()-1,MATCH(E$1,'包络曲线数据'!$B$1:$K$1,0)),""))</x:f>
      </x:c>
      <x:c r="F338" t="str">
        <x:f>IF(F$1="","",IFERROR(INDEX('包络曲线数据'!$B$2:$K$742,ROW()-1,MATCH(F$1,'包络曲线数据'!$B$1:$K$1,0)),""))</x:f>
      </x:c>
      <x:c r="G338" t="str">
        <x:f>IF(G$1="","",IFERROR(INDEX('包络曲线数据'!$B$2:$K$742,ROW()-1,MATCH(G$1,'包络曲线数据'!$B$1:$K$1,0)),""))</x:f>
      </x:c>
    </x:row>
    <x:row r="339">
      <x:c r="A339" t="n">
        <x:v>33.7</x:v>
      </x:c>
      <x:c r="B339" t="n">
        <x:f>IF(B$1="","",IFERROR(INDEX('包络曲线数据'!$B$2:$K$742,ROW()-1,MATCH(B$1,'包络曲线数据'!$B$1:$K$1,0)),""))</x:f>
        <x:v>54.18238381860818</x:v>
      </x:c>
      <x:c r="C339" t="n">
        <x:f>IF(C$1="","",IFERROR(INDEX('包络曲线数据'!$B$2:$K$742,ROW()-1,MATCH(C$1,'包络曲线数据'!$B$1:$K$1,0)),""))</x:f>
        <x:v>63.988905760333175</x:v>
      </x:c>
      <x:c r="D339" t="str">
        <x:f>IF(D$1="","",IFERROR(INDEX('包络曲线数据'!$B$2:$K$742,ROW()-1,MATCH(D$1,'包络曲线数据'!$B$1:$K$1,0)),""))</x:f>
      </x:c>
      <x:c r="E339" t="str">
        <x:f>IF(E$1="","",IFERROR(INDEX('包络曲线数据'!$B$2:$K$742,ROW()-1,MATCH(E$1,'包络曲线数据'!$B$1:$K$1,0)),""))</x:f>
      </x:c>
      <x:c r="F339" t="str">
        <x:f>IF(F$1="","",IFERROR(INDEX('包络曲线数据'!$B$2:$K$742,ROW()-1,MATCH(F$1,'包络曲线数据'!$B$1:$K$1,0)),""))</x:f>
      </x:c>
      <x:c r="G339" t="str">
        <x:f>IF(G$1="","",IFERROR(INDEX('包络曲线数据'!$B$2:$K$742,ROW()-1,MATCH(G$1,'包络曲线数据'!$B$1:$K$1,0)),""))</x:f>
      </x:c>
    </x:row>
    <x:row r="340">
      <x:c r="A340" t="n">
        <x:v>33.800000000000004</x:v>
      </x:c>
      <x:c r="B340" t="n">
        <x:f>IF(B$1="","",IFERROR(INDEX('包络曲线数据'!$B$2:$K$742,ROW()-1,MATCH(B$1,'包络曲线数据'!$B$1:$K$1,0)),""))</x:f>
        <x:v>54.18238381860685</x:v>
      </x:c>
      <x:c r="C340" t="n">
        <x:f>IF(C$1="","",IFERROR(INDEX('包络曲线数据'!$B$2:$K$742,ROW()-1,MATCH(C$1,'包络曲线数据'!$B$1:$K$1,0)),""))</x:f>
        <x:v>62.247896902856645</x:v>
      </x:c>
      <x:c r="D340" t="str">
        <x:f>IF(D$1="","",IFERROR(INDEX('包络曲线数据'!$B$2:$K$742,ROW()-1,MATCH(D$1,'包络曲线数据'!$B$1:$K$1,0)),""))</x:f>
      </x:c>
      <x:c r="E340" t="str">
        <x:f>IF(E$1="","",IFERROR(INDEX('包络曲线数据'!$B$2:$K$742,ROW()-1,MATCH(E$1,'包络曲线数据'!$B$1:$K$1,0)),""))</x:f>
      </x:c>
      <x:c r="F340" t="str">
        <x:f>IF(F$1="","",IFERROR(INDEX('包络曲线数据'!$B$2:$K$742,ROW()-1,MATCH(F$1,'包络曲线数据'!$B$1:$K$1,0)),""))</x:f>
      </x:c>
      <x:c r="G340" t="str">
        <x:f>IF(G$1="","",IFERROR(INDEX('包络曲线数据'!$B$2:$K$742,ROW()-1,MATCH(G$1,'包络曲线数据'!$B$1:$K$1,0)),""))</x:f>
      </x:c>
    </x:row>
    <x:row r="341">
      <x:c r="A341" t="n">
        <x:v>33.9</x:v>
      </x:c>
      <x:c r="B341" t="n">
        <x:f>IF(B$1="","",IFERROR(INDEX('包络曲线数据'!$B$2:$K$742,ROW()-1,MATCH(B$1,'包络曲线数据'!$B$1:$K$1,0)),""))</x:f>
        <x:v>50</x:v>
      </x:c>
      <x:c r="C341" t="n">
        <x:f>IF(C$1="","",IFERROR(INDEX('包络曲线数据'!$B$2:$K$742,ROW()-1,MATCH(C$1,'包络曲线数据'!$B$1:$K$1,0)),""))</x:f>
        <x:v>58.964915092577066</x:v>
      </x:c>
      <x:c r="D341" t="str">
        <x:f>IF(D$1="","",IFERROR(INDEX('包络曲线数据'!$B$2:$K$742,ROW()-1,MATCH(D$1,'包络曲线数据'!$B$1:$K$1,0)),""))</x:f>
      </x:c>
      <x:c r="E341" t="str">
        <x:f>IF(E$1="","",IFERROR(INDEX('包络曲线数据'!$B$2:$K$742,ROW()-1,MATCH(E$1,'包络曲线数据'!$B$1:$K$1,0)),""))</x:f>
      </x:c>
      <x:c r="F341" t="str">
        <x:f>IF(F$1="","",IFERROR(INDEX('包络曲线数据'!$B$2:$K$742,ROW()-1,MATCH(F$1,'包络曲线数据'!$B$1:$K$1,0)),""))</x:f>
      </x:c>
      <x:c r="G341" t="str">
        <x:f>IF(G$1="","",IFERROR(INDEX('包络曲线数据'!$B$2:$K$742,ROW()-1,MATCH(G$1,'包络曲线数据'!$B$1:$K$1,0)),""))</x:f>
      </x:c>
    </x:row>
    <x:row r="342">
      <x:c r="A342" t="n">
        <x:v>34</x:v>
      </x:c>
      <x:c r="B342" t="n">
        <x:f>IF(B$1="","",IFERROR(INDEX('包络曲线数据'!$B$2:$K$742,ROW()-1,MATCH(B$1,'包络曲线数据'!$B$1:$K$1,0)),""))</x:f>
        <x:v>60.654661002312025</x:v>
      </x:c>
      <x:c r="C342" t="n">
        <x:f>IF(C$1="","",IFERROR(INDEX('包络曲线数据'!$B$2:$K$742,ROW()-1,MATCH(C$1,'包络曲线数据'!$B$1:$K$1,0)),""))</x:f>
        <x:v>65.63490258566276</x:v>
      </x:c>
      <x:c r="D342" t="str">
        <x:f>IF(D$1="","",IFERROR(INDEX('包络曲线数据'!$B$2:$K$742,ROW()-1,MATCH(D$1,'包络曲线数据'!$B$1:$K$1,0)),""))</x:f>
      </x:c>
      <x:c r="E342" t="str">
        <x:f>IF(E$1="","",IFERROR(INDEX('包络曲线数据'!$B$2:$K$742,ROW()-1,MATCH(E$1,'包络曲线数据'!$B$1:$K$1,0)),""))</x:f>
      </x:c>
      <x:c r="F342" t="str">
        <x:f>IF(F$1="","",IFERROR(INDEX('包络曲线数据'!$B$2:$K$742,ROW()-1,MATCH(F$1,'包络曲线数据'!$B$1:$K$1,0)),""))</x:f>
      </x:c>
      <x:c r="G342" t="str">
        <x:f>IF(G$1="","",IFERROR(INDEX('包络曲线数据'!$B$2:$K$742,ROW()-1,MATCH(G$1,'包络曲线数据'!$B$1:$K$1,0)),""))</x:f>
      </x:c>
    </x:row>
    <x:row r="343">
      <x:c r="A343" t="n">
        <x:v>34.1</x:v>
      </x:c>
      <x:c r="B343" t="n">
        <x:f>IF(B$1="","",IFERROR(INDEX('包络曲线数据'!$B$2:$K$742,ROW()-1,MATCH(B$1,'包络曲线数据'!$B$1:$K$1,0)),""))</x:f>
        <x:v>60.654661002312025</x:v>
      </x:c>
      <x:c r="C343" t="n">
        <x:f>IF(C$1="","",IFERROR(INDEX('包络曲线数据'!$B$2:$K$742,ROW()-1,MATCH(C$1,'包络曲线数据'!$B$1:$K$1,0)),""))</x:f>
        <x:v>77.57470383653157</x:v>
      </x:c>
      <x:c r="D343" t="str">
        <x:f>IF(D$1="","",IFERROR(INDEX('包络曲线数据'!$B$2:$K$742,ROW()-1,MATCH(D$1,'包络曲线数据'!$B$1:$K$1,0)),""))</x:f>
      </x:c>
      <x:c r="E343" t="str">
        <x:f>IF(E$1="","",IFERROR(INDEX('包络曲线数据'!$B$2:$K$742,ROW()-1,MATCH(E$1,'包络曲线数据'!$B$1:$K$1,0)),""))</x:f>
      </x:c>
      <x:c r="F343" t="str">
        <x:f>IF(F$1="","",IFERROR(INDEX('包络曲线数据'!$B$2:$K$742,ROW()-1,MATCH(F$1,'包络曲线数据'!$B$1:$K$1,0)),""))</x:f>
      </x:c>
      <x:c r="G343" t="str">
        <x:f>IF(G$1="","",IFERROR(INDEX('包络曲线数据'!$B$2:$K$742,ROW()-1,MATCH(G$1,'包络曲线数据'!$B$1:$K$1,0)),""))</x:f>
      </x:c>
    </x:row>
    <x:row r="344">
      <x:c r="A344" t="n">
        <x:v>34.2</x:v>
      </x:c>
      <x:c r="B344" t="n">
        <x:f>IF(B$1="","",IFERROR(INDEX('包络曲线数据'!$B$2:$K$742,ROW()-1,MATCH(B$1,'包络曲线数据'!$B$1:$K$1,0)),""))</x:f>
        <x:v>52.040189638406986</x:v>
      </x:c>
      <x:c r="C344" t="n">
        <x:f>IF(C$1="","",IFERROR(INDEX('包络曲线数据'!$B$2:$K$742,ROW()-1,MATCH(C$1,'包络曲线数据'!$B$1:$K$1,0)),""))</x:f>
        <x:v>77.57470383653157</x:v>
      </x:c>
      <x:c r="D344" t="str">
        <x:f>IF(D$1="","",IFERROR(INDEX('包络曲线数据'!$B$2:$K$742,ROW()-1,MATCH(D$1,'包络曲线数据'!$B$1:$K$1,0)),""))</x:f>
      </x:c>
      <x:c r="E344" t="str">
        <x:f>IF(E$1="","",IFERROR(INDEX('包络曲线数据'!$B$2:$K$742,ROW()-1,MATCH(E$1,'包络曲线数据'!$B$1:$K$1,0)),""))</x:f>
      </x:c>
      <x:c r="F344" t="str">
        <x:f>IF(F$1="","",IFERROR(INDEX('包络曲线数据'!$B$2:$K$742,ROW()-1,MATCH(F$1,'包络曲线数据'!$B$1:$K$1,0)),""))</x:f>
      </x:c>
      <x:c r="G344" t="str">
        <x:f>IF(G$1="","",IFERROR(INDEX('包络曲线数据'!$B$2:$K$742,ROW()-1,MATCH(G$1,'包络曲线数据'!$B$1:$K$1,0)),""))</x:f>
      </x:c>
    </x:row>
    <x:row r="345">
      <x:c r="A345" t="n">
        <x:v>34.300000000000004</x:v>
      </x:c>
      <x:c r="B345" t="n">
        <x:f>IF(B$1="","",IFERROR(INDEX('包络曲线数据'!$B$2:$K$742,ROW()-1,MATCH(B$1,'包络曲线数据'!$B$1:$K$1,0)),""))</x:f>
        <x:v>62.241137830440465</x:v>
      </x:c>
      <x:c r="C345" t="n">
        <x:f>IF(C$1="","",IFERROR(INDEX('包络曲线数据'!$B$2:$K$742,ROW()-1,MATCH(C$1,'包络曲线数据'!$B$1:$K$1,0)),""))</x:f>
        <x:v>73.29301301634302</x:v>
      </x:c>
      <x:c r="D345" t="str">
        <x:f>IF(D$1="","",IFERROR(INDEX('包络曲线数据'!$B$2:$K$742,ROW()-1,MATCH(D$1,'包络曲线数据'!$B$1:$K$1,0)),""))</x:f>
      </x:c>
      <x:c r="E345" t="str">
        <x:f>IF(E$1="","",IFERROR(INDEX('包络曲线数据'!$B$2:$K$742,ROW()-1,MATCH(E$1,'包络曲线数据'!$B$1:$K$1,0)),""))</x:f>
      </x:c>
      <x:c r="F345" t="str">
        <x:f>IF(F$1="","",IFERROR(INDEX('包络曲线数据'!$B$2:$K$742,ROW()-1,MATCH(F$1,'包络曲线数据'!$B$1:$K$1,0)),""))</x:f>
      </x:c>
      <x:c r="G345" t="str">
        <x:f>IF(G$1="","",IFERROR(INDEX('包络曲线数据'!$B$2:$K$742,ROW()-1,MATCH(G$1,'包络曲线数据'!$B$1:$K$1,0)),""))</x:f>
      </x:c>
    </x:row>
    <x:row r="346">
      <x:c r="A346" t="n">
        <x:v>34.4</x:v>
      </x:c>
      <x:c r="B346" t="n">
        <x:f>IF(B$1="","",IFERROR(INDEX('包络曲线数据'!$B$2:$K$742,ROW()-1,MATCH(B$1,'包络曲线数据'!$B$1:$K$1,0)),""))</x:f>
        <x:v>72.44208602247322</x:v>
      </x:c>
      <x:c r="C346" t="n">
        <x:f>IF(C$1="","",IFERROR(INDEX('包络曲线数据'!$B$2:$K$742,ROW()-1,MATCH(C$1,'包络曲线数据'!$B$1:$K$1,0)),""))</x:f>
        <x:v>63.10785779256121</x:v>
      </x:c>
      <x:c r="D346" t="str">
        <x:f>IF(D$1="","",IFERROR(INDEX('包络曲线数据'!$B$2:$K$742,ROW()-1,MATCH(D$1,'包络曲线数据'!$B$1:$K$1,0)),""))</x:f>
      </x:c>
      <x:c r="E346" t="str">
        <x:f>IF(E$1="","",IFERROR(INDEX('包络曲线数据'!$B$2:$K$742,ROW()-1,MATCH(E$1,'包络曲线数据'!$B$1:$K$1,0)),""))</x:f>
      </x:c>
      <x:c r="F346" t="str">
        <x:f>IF(F$1="","",IFERROR(INDEX('包络曲线数据'!$B$2:$K$742,ROW()-1,MATCH(F$1,'包络曲线数据'!$B$1:$K$1,0)),""))</x:f>
      </x:c>
      <x:c r="G346" t="str">
        <x:f>IF(G$1="","",IFERROR(INDEX('包络曲线数据'!$B$2:$K$742,ROW()-1,MATCH(G$1,'包络曲线数据'!$B$1:$K$1,0)),""))</x:f>
      </x:c>
    </x:row>
    <x:row r="347">
      <x:c r="A347" t="n">
        <x:v>34.5</x:v>
      </x:c>
      <x:c r="B347" t="n">
        <x:f>IF(B$1="","",IFERROR(INDEX('包络曲线数据'!$B$2:$K$742,ROW()-1,MATCH(B$1,'包络曲线数据'!$B$1:$K$1,0)),""))</x:f>
        <x:v>76.52246529928647</x:v>
      </x:c>
      <x:c r="C347" t="n">
        <x:f>IF(C$1="","",IFERROR(INDEX('包络曲线数据'!$B$2:$K$742,ROW()-1,MATCH(C$1,'包络曲线数据'!$B$1:$K$1,0)),""))</x:f>
        <x:v>53.67418755906215</x:v>
      </x:c>
      <x:c r="D347" t="str">
        <x:f>IF(D$1="","",IFERROR(INDEX('包络曲线数据'!$B$2:$K$742,ROW()-1,MATCH(D$1,'包络曲线数据'!$B$1:$K$1,0)),""))</x:f>
      </x:c>
      <x:c r="E347" t="str">
        <x:f>IF(E$1="","",IFERROR(INDEX('包络曲线数据'!$B$2:$K$742,ROW()-1,MATCH(E$1,'包络曲线数据'!$B$1:$K$1,0)),""))</x:f>
      </x:c>
      <x:c r="F347" t="str">
        <x:f>IF(F$1="","",IFERROR(INDEX('包络曲线数据'!$B$2:$K$742,ROW()-1,MATCH(F$1,'包络曲线数据'!$B$1:$K$1,0)),""))</x:f>
      </x:c>
      <x:c r="G347" t="str">
        <x:f>IF(G$1="","",IFERROR(INDEX('包络曲线数据'!$B$2:$K$742,ROW()-1,MATCH(G$1,'包络曲线数据'!$B$1:$K$1,0)),""))</x:f>
      </x:c>
    </x:row>
    <x:row r="348">
      <x:c r="A348" t="n">
        <x:v>34.6</x:v>
      </x:c>
      <x:c r="B348" t="n">
        <x:f>IF(B$1="","",IFERROR(INDEX('包络曲线数据'!$B$2:$K$742,ROW()-1,MATCH(B$1,'包络曲线数据'!$B$1:$K$1,0)),""))</x:f>
        <x:v>76.52246529928647</x:v>
      </x:c>
      <x:c r="C348" t="n">
        <x:f>IF(C$1="","",IFERROR(INDEX('包络曲线数据'!$B$2:$K$742,ROW()-1,MATCH(C$1,'包络曲线数据'!$B$1:$K$1,0)),""))</x:f>
        <x:v>51.37782033464822</x:v>
      </x:c>
      <x:c r="D348" t="str">
        <x:f>IF(D$1="","",IFERROR(INDEX('包络曲线数据'!$B$2:$K$742,ROW()-1,MATCH(D$1,'包络曲线数据'!$B$1:$K$1,0)),""))</x:f>
      </x:c>
      <x:c r="E348" t="str">
        <x:f>IF(E$1="","",IFERROR(INDEX('包络曲线数据'!$B$2:$K$742,ROW()-1,MATCH(E$1,'包络曲线数据'!$B$1:$K$1,0)),""))</x:f>
      </x:c>
      <x:c r="F348" t="str">
        <x:f>IF(F$1="","",IFERROR(INDEX('包络曲线数据'!$B$2:$K$742,ROW()-1,MATCH(F$1,'包络曲线数据'!$B$1:$K$1,0)),""))</x:f>
      </x:c>
      <x:c r="G348" t="str">
        <x:f>IF(G$1="","",IFERROR(INDEX('包络曲线数据'!$B$2:$K$742,ROW()-1,MATCH(G$1,'包络曲线数据'!$B$1:$K$1,0)),""))</x:f>
      </x:c>
    </x:row>
    <x:row r="349">
      <x:c r="A349" t="n">
        <x:v>34.7</x:v>
      </x:c>
      <x:c r="B349" t="n">
        <x:f>IF(B$1="","",IFERROR(INDEX('包络曲线数据'!$B$2:$K$742,ROW()-1,MATCH(B$1,'包络曲线数据'!$B$1:$K$1,0)),""))</x:f>
        <x:v>69.71106540551699</x:v>
      </x:c>
      <x:c r="C349" t="n">
        <x:f>IF(C$1="","",IFERROR(INDEX('包络曲线数据'!$B$2:$K$742,ROW()-1,MATCH(C$1,'包络曲线数据'!$B$1:$K$1,0)),""))</x:f>
        <x:v>50</x:v>
      </x:c>
      <x:c r="D349" t="str">
        <x:f>IF(D$1="","",IFERROR(INDEX('包络曲线数据'!$B$2:$K$742,ROW()-1,MATCH(D$1,'包络曲线数据'!$B$1:$K$1,0)),""))</x:f>
      </x:c>
      <x:c r="E349" t="str">
        <x:f>IF(E$1="","",IFERROR(INDEX('包络曲线数据'!$B$2:$K$742,ROW()-1,MATCH(E$1,'包络曲线数据'!$B$1:$K$1,0)),""))</x:f>
      </x:c>
      <x:c r="F349" t="str">
        <x:f>IF(F$1="","",IFERROR(INDEX('包络曲线数据'!$B$2:$K$742,ROW()-1,MATCH(F$1,'包络曲线数据'!$B$1:$K$1,0)),""))</x:f>
      </x:c>
      <x:c r="G349" t="str">
        <x:f>IF(G$1="","",IFERROR(INDEX('包络曲线数据'!$B$2:$K$742,ROW()-1,MATCH(G$1,'包络曲线数据'!$B$1:$K$1,0)),""))</x:f>
      </x:c>
    </x:row>
    <x:row r="350">
      <x:c r="A350" t="n">
        <x:v>34.800000000000004</x:v>
      </x:c>
      <x:c r="B350" t="n">
        <x:f>IF(B$1="","",IFERROR(INDEX('包络曲线数据'!$B$2:$K$742,ROW()-1,MATCH(B$1,'包络曲线数据'!$B$1:$K$1,0)),""))</x:f>
        <x:v>64.28878302447403</x:v>
      </x:c>
      <x:c r="C350" t="n">
        <x:f>IF(C$1="","",IFERROR(INDEX('包络曲线数据'!$B$2:$K$742,ROW()-1,MATCH(C$1,'包络曲线数据'!$B$1:$K$1,0)),""))</x:f>
        <x:v>54.0091901333669</x:v>
      </x:c>
      <x:c r="D350" t="str">
        <x:f>IF(D$1="","",IFERROR(INDEX('包络曲线数据'!$B$2:$K$742,ROW()-1,MATCH(D$1,'包络曲线数据'!$B$1:$K$1,0)),""))</x:f>
      </x:c>
      <x:c r="E350" t="str">
        <x:f>IF(E$1="","",IFERROR(INDEX('包络曲线数据'!$B$2:$K$742,ROW()-1,MATCH(E$1,'包络曲线数据'!$B$1:$K$1,0)),""))</x:f>
      </x:c>
      <x:c r="F350" t="str">
        <x:f>IF(F$1="","",IFERROR(INDEX('包络曲线数据'!$B$2:$K$742,ROW()-1,MATCH(F$1,'包络曲线数据'!$B$1:$K$1,0)),""))</x:f>
      </x:c>
      <x:c r="G350" t="str">
        <x:f>IF(G$1="","",IFERROR(INDEX('包络曲线数据'!$B$2:$K$742,ROW()-1,MATCH(G$1,'包络曲线数据'!$B$1:$K$1,0)),""))</x:f>
      </x:c>
    </x:row>
    <x:row r="351">
      <x:c r="A351" t="n">
        <x:v>34.9</x:v>
      </x:c>
      <x:c r="B351" t="n">
        <x:f>IF(B$1="","",IFERROR(INDEX('包络曲线数据'!$B$2:$K$742,ROW()-1,MATCH(B$1,'包络曲线数据'!$B$1:$K$1,0)),""))</x:f>
        <x:v>65.97697238887962</x:v>
      </x:c>
      <x:c r="C351" t="n">
        <x:f>IF(C$1="","",IFERROR(INDEX('包络曲线数据'!$B$2:$K$742,ROW()-1,MATCH(C$1,'包络曲线数据'!$B$1:$K$1,0)),""))</x:f>
        <x:v>59.0206778000749</x:v>
      </x:c>
      <x:c r="D351" t="str">
        <x:f>IF(D$1="","",IFERROR(INDEX('包络曲线数据'!$B$2:$K$742,ROW()-1,MATCH(D$1,'包络曲线数据'!$B$1:$K$1,0)),""))</x:f>
      </x:c>
      <x:c r="E351" t="str">
        <x:f>IF(E$1="","",IFERROR(INDEX('包络曲线数据'!$B$2:$K$742,ROW()-1,MATCH(E$1,'包络曲线数据'!$B$1:$K$1,0)),""))</x:f>
      </x:c>
      <x:c r="F351" t="str">
        <x:f>IF(F$1="","",IFERROR(INDEX('包络曲线数据'!$B$2:$K$742,ROW()-1,MATCH(F$1,'包络曲线数据'!$B$1:$K$1,0)),""))</x:f>
      </x:c>
      <x:c r="G351" t="str">
        <x:f>IF(G$1="","",IFERROR(INDEX('包络曲线数据'!$B$2:$K$742,ROW()-1,MATCH(G$1,'包络曲线数据'!$B$1:$K$1,0)),""))</x:f>
      </x:c>
    </x:row>
    <x:row r="352">
      <x:c r="A352" t="n">
        <x:v>35</x:v>
      </x:c>
      <x:c r="B352" t="n">
        <x:f>IF(B$1="","",IFERROR(INDEX('包络曲线数据'!$B$2:$K$742,ROW()-1,MATCH(B$1,'包络曲线数据'!$B$1:$K$1,0)),""))</x:f>
        <x:v>68.46080143314586</x:v>
      </x:c>
      <x:c r="C352" t="n">
        <x:f>IF(C$1="","",IFERROR(INDEX('包络曲线数据'!$B$2:$K$742,ROW()-1,MATCH(C$1,'包络曲线数据'!$B$1:$K$1,0)),""))</x:f>
        <x:v>62.02757040009998</x:v>
      </x:c>
      <x:c r="D352" t="str">
        <x:f>IF(D$1="","",IFERROR(INDEX('包络曲线数据'!$B$2:$K$742,ROW()-1,MATCH(D$1,'包络曲线数据'!$B$1:$K$1,0)),""))</x:f>
      </x:c>
      <x:c r="E352" t="str">
        <x:f>IF(E$1="","",IFERROR(INDEX('包络曲线数据'!$B$2:$K$742,ROW()-1,MATCH(E$1,'包络曲线数据'!$B$1:$K$1,0)),""))</x:f>
      </x:c>
      <x:c r="F352" t="str">
        <x:f>IF(F$1="","",IFERROR(INDEX('包络曲线数据'!$B$2:$K$742,ROW()-1,MATCH(F$1,'包络曲线数据'!$B$1:$K$1,0)),""))</x:f>
      </x:c>
      <x:c r="G352" t="str">
        <x:f>IF(G$1="","",IFERROR(INDEX('包络曲线数据'!$B$2:$K$742,ROW()-1,MATCH(G$1,'包络曲线数据'!$B$1:$K$1,0)),""))</x:f>
      </x:c>
    </x:row>
    <x:row r="353">
      <x:c r="A353" t="n">
        <x:v>35.1</x:v>
      </x:c>
      <x:c r="B353" t="n">
        <x:f>IF(B$1="","",IFERROR(INDEX('包络曲线数据'!$B$2:$K$742,ROW()-1,MATCH(B$1,'包络曲线数据'!$B$1:$K$1,0)),""))</x:f>
        <x:v>68.46080143314586</x:v>
      </x:c>
      <x:c r="C353" t="n">
        <x:f>IF(C$1="","",IFERROR(INDEX('包络曲线数据'!$B$2:$K$742,ROW()-1,MATCH(C$1,'包络曲线数据'!$B$1:$K$1,0)),""))</x:f>
        <x:v>62.02757040009998</x:v>
      </x:c>
      <x:c r="D353" t="str">
        <x:f>IF(D$1="","",IFERROR(INDEX('包络曲线数据'!$B$2:$K$742,ROW()-1,MATCH(D$1,'包络曲线数据'!$B$1:$K$1,0)),""))</x:f>
      </x:c>
      <x:c r="E353" t="str">
        <x:f>IF(E$1="","",IFERROR(INDEX('包络曲线数据'!$B$2:$K$742,ROW()-1,MATCH(E$1,'包络曲线数据'!$B$1:$K$1,0)),""))</x:f>
      </x:c>
      <x:c r="F353" t="str">
        <x:f>IF(F$1="","",IFERROR(INDEX('包络曲线数据'!$B$2:$K$742,ROW()-1,MATCH(F$1,'包络曲线数据'!$B$1:$K$1,0)),""))</x:f>
      </x:c>
      <x:c r="G353" t="str">
        <x:f>IF(G$1="","",IFERROR(INDEX('包络曲线数据'!$B$2:$K$742,ROW()-1,MATCH(G$1,'包络曲线数据'!$B$1:$K$1,0)),""))</x:f>
      </x:c>
    </x:row>
    <x:row r="354">
      <x:c r="A354" t="n">
        <x:v>35.2</x:v>
      </x:c>
      <x:c r="B354" t="n">
        <x:f>IF(B$1="","",IFERROR(INDEX('包络曲线数据'!$B$2:$K$742,ROW()-1,MATCH(B$1,'包络曲线数据'!$B$1:$K$1,0)),""))</x:f>
        <x:v>69.28745367632563</x:v>
      </x:c>
      <x:c r="C354" t="n">
        <x:f>IF(C$1="","",IFERROR(INDEX('包络曲线数据'!$B$2:$K$742,ROW()-1,MATCH(C$1,'包络曲线数据'!$B$1:$K$1,0)),""))</x:f>
        <x:v>73.24454184457531</x:v>
      </x:c>
      <x:c r="D354" t="str">
        <x:f>IF(D$1="","",IFERROR(INDEX('包络曲线数据'!$B$2:$K$742,ROW()-1,MATCH(D$1,'包络曲线数据'!$B$1:$K$1,0)),""))</x:f>
      </x:c>
      <x:c r="E354" t="str">
        <x:f>IF(E$1="","",IFERROR(INDEX('包络曲线数据'!$B$2:$K$742,ROW()-1,MATCH(E$1,'包络曲线数据'!$B$1:$K$1,0)),""))</x:f>
      </x:c>
      <x:c r="F354" t="str">
        <x:f>IF(F$1="","",IFERROR(INDEX('包络曲线数据'!$B$2:$K$742,ROW()-1,MATCH(F$1,'包络曲线数据'!$B$1:$K$1,0)),""))</x:f>
      </x:c>
      <x:c r="G354" t="str">
        <x:f>IF(G$1="","",IFERROR(INDEX('包络曲线数据'!$B$2:$K$742,ROW()-1,MATCH(G$1,'包络曲线数据'!$B$1:$K$1,0)),""))</x:f>
      </x:c>
    </x:row>
    <x:row r="355">
      <x:c r="A355" t="n">
        <x:v>35.300000000000004</x:v>
      </x:c>
      <x:c r="B355" t="n">
        <x:f>IF(B$1="","",IFERROR(INDEX('包络曲线数据'!$B$2:$K$742,ROW()-1,MATCH(B$1,'包络曲线数据'!$B$1:$K$1,0)),""))</x:f>
        <x:v>69.53992803942747</x:v>
      </x:c>
      <x:c r="C355" t="n">
        <x:f>IF(C$1="","",IFERROR(INDEX('包络曲线数据'!$B$2:$K$742,ROW()-1,MATCH(C$1,'包络曲线数据'!$B$1:$K$1,0)),""))</x:f>
        <x:v>73.24454184457531</x:v>
      </x:c>
      <x:c r="D355" t="str">
        <x:f>IF(D$1="","",IFERROR(INDEX('包络曲线数据'!$B$2:$K$742,ROW()-1,MATCH(D$1,'包络曲线数据'!$B$1:$K$1,0)),""))</x:f>
      </x:c>
      <x:c r="E355" t="str">
        <x:f>IF(E$1="","",IFERROR(INDEX('包络曲线数据'!$B$2:$K$742,ROW()-1,MATCH(E$1,'包络曲线数据'!$B$1:$K$1,0)),""))</x:f>
      </x:c>
      <x:c r="F355" t="str">
        <x:f>IF(F$1="","",IFERROR(INDEX('包络曲线数据'!$B$2:$K$742,ROW()-1,MATCH(F$1,'包络曲线数据'!$B$1:$K$1,0)),""))</x:f>
      </x:c>
      <x:c r="G355" t="str">
        <x:f>IF(G$1="","",IFERROR(INDEX('包络曲线数据'!$B$2:$K$742,ROW()-1,MATCH(G$1,'包络曲线数据'!$B$1:$K$1,0)),""))</x:f>
      </x:c>
    </x:row>
    <x:row r="356">
      <x:c r="A356" t="n">
        <x:v>35.4</x:v>
      </x:c>
      <x:c r="B356" t="n">
        <x:f>IF(B$1="","",IFERROR(INDEX('包络曲线数据'!$B$2:$K$742,ROW()-1,MATCH(B$1,'包络曲线数据'!$B$1:$K$1,0)),""))</x:f>
        <x:v>70.22435623769613</x:v>
      </x:c>
      <x:c r="C356" t="n">
        <x:f>IF(C$1="","",IFERROR(INDEX('包络曲线数据'!$B$2:$K$742,ROW()-1,MATCH(C$1,'包络曲线数据'!$B$1:$K$1,0)),""))</x:f>
        <x:v>70.47588704849014</x:v>
      </x:c>
      <x:c r="D356" t="str">
        <x:f>IF(D$1="","",IFERROR(INDEX('包络曲线数据'!$B$2:$K$742,ROW()-1,MATCH(D$1,'包络曲线数据'!$B$1:$K$1,0)),""))</x:f>
      </x:c>
      <x:c r="E356" t="str">
        <x:f>IF(E$1="","",IFERROR(INDEX('包络曲线数据'!$B$2:$K$742,ROW()-1,MATCH(E$1,'包络曲线数据'!$B$1:$K$1,0)),""))</x:f>
      </x:c>
      <x:c r="F356" t="str">
        <x:f>IF(F$1="","",IFERROR(INDEX('包络曲线数据'!$B$2:$K$742,ROW()-1,MATCH(F$1,'包络曲线数据'!$B$1:$K$1,0)),""))</x:f>
      </x:c>
      <x:c r="G356" t="str">
        <x:f>IF(G$1="","",IFERROR(INDEX('包络曲线数据'!$B$2:$K$742,ROW()-1,MATCH(G$1,'包络曲线数据'!$B$1:$K$1,0)),""))</x:f>
      </x:c>
    </x:row>
    <x:row r="357">
      <x:c r="A357" t="n">
        <x:v>35.5</x:v>
      </x:c>
      <x:c r="B357" t="n">
        <x:f>IF(B$1="","",IFERROR(INDEX('包络曲线数据'!$B$2:$K$742,ROW()-1,MATCH(B$1,'包络曲线数据'!$B$1:$K$1,0)),""))</x:f>
        <x:v>70.22435623769613</x:v>
      </x:c>
      <x:c r="C357" t="n">
        <x:f>IF(C$1="","",IFERROR(INDEX('包络曲线数据'!$B$2:$K$742,ROW()-1,MATCH(C$1,'包络曲线数据'!$B$1:$K$1,0)),""))</x:f>
        <x:v>66.84043181771466</x:v>
      </x:c>
      <x:c r="D357" t="str">
        <x:f>IF(D$1="","",IFERROR(INDEX('包络曲线数据'!$B$2:$K$742,ROW()-1,MATCH(D$1,'包络曲线数据'!$B$1:$K$1,0)),""))</x:f>
      </x:c>
      <x:c r="E357" t="str">
        <x:f>IF(E$1="","",IFERROR(INDEX('包络曲线数据'!$B$2:$K$742,ROW()-1,MATCH(E$1,'包络曲线数据'!$B$1:$K$1,0)),""))</x:f>
      </x:c>
      <x:c r="F357" t="str">
        <x:f>IF(F$1="","",IFERROR(INDEX('包络曲线数据'!$B$2:$K$742,ROW()-1,MATCH(F$1,'包络曲线数据'!$B$1:$K$1,0)),""))</x:f>
      </x:c>
      <x:c r="G357" t="str">
        <x:f>IF(G$1="","",IFERROR(INDEX('包络曲线数据'!$B$2:$K$742,ROW()-1,MATCH(G$1,'包络曲线数据'!$B$1:$K$1,0)),""))</x:f>
      </x:c>
    </x:row>
    <x:row r="358">
      <x:c r="A358" t="n">
        <x:v>35.6</x:v>
      </x:c>
      <x:c r="B358" t="n">
        <x:f>IF(B$1="","",IFERROR(INDEX('包络曲线数据'!$B$2:$K$742,ROW()-1,MATCH(B$1,'包络曲线数据'!$B$1:$K$1,0)),""))</x:f>
        <x:v>69.51699183166531</x:v>
      </x:c>
      <x:c r="C358" t="n">
        <x:f>IF(C$1="","",IFERROR(INDEX('包络曲线数据'!$B$2:$K$742,ROW()-1,MATCH(C$1,'包络曲线数据'!$B$1:$K$1,0)),""))</x:f>
        <x:v>62.80197415434701</x:v>
      </x:c>
      <x:c r="D358" t="str">
        <x:f>IF(D$1="","",IFERROR(INDEX('包络曲线数据'!$B$2:$K$742,ROW()-1,MATCH(D$1,'包络曲线数据'!$B$1:$K$1,0)),""))</x:f>
      </x:c>
      <x:c r="E358" t="str">
        <x:f>IF(E$1="","",IFERROR(INDEX('包络曲线数据'!$B$2:$K$742,ROW()-1,MATCH(E$1,'包络曲线数据'!$B$1:$K$1,0)),""))</x:f>
      </x:c>
      <x:c r="F358" t="str">
        <x:f>IF(F$1="","",IFERROR(INDEX('包络曲线数据'!$B$2:$K$742,ROW()-1,MATCH(F$1,'包络曲线数据'!$B$1:$K$1,0)),""))</x:f>
      </x:c>
      <x:c r="G358" t="str">
        <x:f>IF(G$1="","",IFERROR(INDEX('包络曲线数据'!$B$2:$K$742,ROW()-1,MATCH(G$1,'包络曲线数据'!$B$1:$K$1,0)),""))</x:f>
      </x:c>
    </x:row>
    <x:row r="359">
      <x:c r="A359" t="n">
        <x:v>35.7</x:v>
      </x:c>
      <x:c r="B359" t="n">
        <x:f>IF(B$1="","",IFERROR(INDEX('包络曲线数据'!$B$2:$K$742,ROW()-1,MATCH(B$1,'包络曲线数据'!$B$1:$K$1,0)),""))</x:f>
        <x:v>69.88395337422205</x:v>
      </x:c>
      <x:c r="C359" t="n">
        <x:f>IF(C$1="","",IFERROR(INDEX('包络曲线数据'!$B$2:$K$742,ROW()-1,MATCH(C$1,'包络曲线数据'!$B$1:$K$1,0)),""))</x:f>
        <x:v>64.17040832085428</x:v>
      </x:c>
      <x:c r="D359" t="str">
        <x:f>IF(D$1="","",IFERROR(INDEX('包络曲线数据'!$B$2:$K$742,ROW()-1,MATCH(D$1,'包络曲线数据'!$B$1:$K$1,0)),""))</x:f>
      </x:c>
      <x:c r="E359" t="str">
        <x:f>IF(E$1="","",IFERROR(INDEX('包络曲线数据'!$B$2:$K$742,ROW()-1,MATCH(E$1,'包络曲线数据'!$B$1:$K$1,0)),""))</x:f>
      </x:c>
      <x:c r="F359" t="str">
        <x:f>IF(F$1="","",IFERROR(INDEX('包络曲线数据'!$B$2:$K$742,ROW()-1,MATCH(F$1,'包络曲线数据'!$B$1:$K$1,0)),""))</x:f>
      </x:c>
      <x:c r="G359" t="str">
        <x:f>IF(G$1="","",IFERROR(INDEX('包络曲线数据'!$B$2:$K$742,ROW()-1,MATCH(G$1,'包络曲线数据'!$B$1:$K$1,0)),""))</x:f>
      </x:c>
    </x:row>
    <x:row r="360">
      <x:c r="A360" t="n">
        <x:v>35.800000000000004</x:v>
      </x:c>
      <x:c r="B360" t="n">
        <x:f>IF(B$1="","",IFERROR(INDEX('包络曲线数据'!$B$2:$K$742,ROW()-1,MATCH(B$1,'包络曲线数据'!$B$1:$K$1,0)),""))</x:f>
        <x:v>69.88395337422205</x:v>
      </x:c>
      <x:c r="C360" t="n">
        <x:f>IF(C$1="","",IFERROR(INDEX('包络曲线数据'!$B$2:$K$742,ROW()-1,MATCH(C$1,'包络曲线数据'!$B$1:$K$1,0)),""))</x:f>
        <x:v>64.44840509996217</x:v>
      </x:c>
      <x:c r="D360" t="str">
        <x:f>IF(D$1="","",IFERROR(INDEX('包络曲线数据'!$B$2:$K$742,ROW()-1,MATCH(D$1,'包络曲线数据'!$B$1:$K$1,0)),""))</x:f>
      </x:c>
      <x:c r="E360" t="str">
        <x:f>IF(E$1="","",IFERROR(INDEX('包络曲线数据'!$B$2:$K$742,ROW()-1,MATCH(E$1,'包络曲线数据'!$B$1:$K$1,0)),""))</x:f>
      </x:c>
      <x:c r="F360" t="str">
        <x:f>IF(F$1="","",IFERROR(INDEX('包络曲线数据'!$B$2:$K$742,ROW()-1,MATCH(F$1,'包络曲线数据'!$B$1:$K$1,0)),""))</x:f>
      </x:c>
      <x:c r="G360" t="str">
        <x:f>IF(G$1="","",IFERROR(INDEX('包络曲线数据'!$B$2:$K$742,ROW()-1,MATCH(G$1,'包络曲线数据'!$B$1:$K$1,0)),""))</x:f>
      </x:c>
    </x:row>
    <x:row r="361">
      <x:c r="A361" t="n">
        <x:v>35.9</x:v>
      </x:c>
      <x:c r="B361" t="n">
        <x:f>IF(B$1="","",IFERROR(INDEX('包络曲线数据'!$B$2:$K$742,ROW()-1,MATCH(B$1,'包络曲线数据'!$B$1:$K$1,0)),""))</x:f>
        <x:v>70.07735457224186</x:v>
      </x:c>
      <x:c r="C361" t="n">
        <x:f>IF(C$1="","",IFERROR(INDEX('包络曲线数据'!$B$2:$K$742,ROW()-1,MATCH(C$1,'包络曲线数据'!$B$1:$K$1,0)),""))</x:f>
        <x:v>64.75159046802669</x:v>
      </x:c>
      <x:c r="D361" t="str">
        <x:f>IF(D$1="","",IFERROR(INDEX('包络曲线数据'!$B$2:$K$742,ROW()-1,MATCH(D$1,'包络曲线数据'!$B$1:$K$1,0)),""))</x:f>
      </x:c>
      <x:c r="E361" t="str">
        <x:f>IF(E$1="","",IFERROR(INDEX('包络曲线数据'!$B$2:$K$742,ROW()-1,MATCH(E$1,'包络曲线数据'!$B$1:$K$1,0)),""))</x:f>
      </x:c>
      <x:c r="F361" t="str">
        <x:f>IF(F$1="","",IFERROR(INDEX('包络曲线数据'!$B$2:$K$742,ROW()-1,MATCH(F$1,'包络曲线数据'!$B$1:$K$1,0)),""))</x:f>
      </x:c>
      <x:c r="G361" t="str">
        <x:f>IF(G$1="","",IFERROR(INDEX('包络曲线数据'!$B$2:$K$742,ROW()-1,MATCH(G$1,'包络曲线数据'!$B$1:$K$1,0)),""))</x:f>
      </x:c>
    </x:row>
    <x:row r="362">
      <x:c r="A362" t="n">
        <x:v>36</x:v>
      </x:c>
      <x:c r="B362" t="n">
        <x:f>IF(B$1="","",IFERROR(INDEX('包络曲线数据'!$B$2:$K$742,ROW()-1,MATCH(B$1,'包络曲线数据'!$B$1:$K$1,0)),""))</x:f>
        <x:v>70.07735457224186</x:v>
      </x:c>
      <x:c r="C362" t="n">
        <x:f>IF(C$1="","",IFERROR(INDEX('包络曲线数据'!$B$2:$K$742,ROW()-1,MATCH(C$1,'包络曲线数据'!$B$1:$K$1,0)),""))</x:f>
        <x:v>63.77953205060002</x:v>
      </x:c>
      <x:c r="D362" t="str">
        <x:f>IF(D$1="","",IFERROR(INDEX('包络曲线数据'!$B$2:$K$742,ROW()-1,MATCH(D$1,'包络曲线数据'!$B$1:$K$1,0)),""))</x:f>
      </x:c>
      <x:c r="E362" t="str">
        <x:f>IF(E$1="","",IFERROR(INDEX('包络曲线数据'!$B$2:$K$742,ROW()-1,MATCH(E$1,'包络曲线数据'!$B$1:$K$1,0)),""))</x:f>
      </x:c>
      <x:c r="F362" t="str">
        <x:f>IF(F$1="","",IFERROR(INDEX('包络曲线数据'!$B$2:$K$742,ROW()-1,MATCH(F$1,'包络曲线数据'!$B$1:$K$1,0)),""))</x:f>
      </x:c>
      <x:c r="G362" t="str">
        <x:f>IF(G$1="","",IFERROR(INDEX('包络曲线数据'!$B$2:$K$742,ROW()-1,MATCH(G$1,'包络曲线数据'!$B$1:$K$1,0)),""))</x:f>
      </x:c>
    </x:row>
    <x:row r="363">
      <x:c r="A363" t="n">
        <x:v>36.1</x:v>
      </x:c>
      <x:c r="B363" t="n">
        <x:f>IF(B$1="","",IFERROR(INDEX('包络曲线数据'!$B$2:$K$742,ROW()-1,MATCH(B$1,'包络曲线数据'!$B$1:$K$1,0)),""))</x:f>
        <x:v>69.05511259880582</x:v>
      </x:c>
      <x:c r="C363" t="n">
        <x:f>IF(C$1="","",IFERROR(INDEX('包络曲线数据'!$B$2:$K$742,ROW()-1,MATCH(C$1,'包络曲线数据'!$B$1:$K$1,0)),""))</x:f>
        <x:v>64.3240497667952</x:v>
      </x:c>
      <x:c r="D363" t="str">
        <x:f>IF(D$1="","",IFERROR(INDEX('包络曲线数据'!$B$2:$K$742,ROW()-1,MATCH(D$1,'包络曲线数据'!$B$1:$K$1,0)),""))</x:f>
      </x:c>
      <x:c r="E363" t="str">
        <x:f>IF(E$1="","",IFERROR(INDEX('包络曲线数据'!$B$2:$K$742,ROW()-1,MATCH(E$1,'包络曲线数据'!$B$1:$K$1,0)),""))</x:f>
      </x:c>
      <x:c r="F363" t="str">
        <x:f>IF(F$1="","",IFERROR(INDEX('包络曲线数据'!$B$2:$K$742,ROW()-1,MATCH(F$1,'包络曲线数据'!$B$1:$K$1,0)),""))</x:f>
      </x:c>
      <x:c r="G363" t="str">
        <x:f>IF(G$1="","",IFERROR(INDEX('包络曲线数据'!$B$2:$K$742,ROW()-1,MATCH(G$1,'包络曲线数据'!$B$1:$K$1,0)),""))</x:f>
      </x:c>
    </x:row>
    <x:row r="364">
      <x:c r="A364" t="n">
        <x:v>36.2</x:v>
      </x:c>
      <x:c r="B364" t="n">
        <x:f>IF(B$1="","",IFERROR(INDEX('包络曲线数据'!$B$2:$K$742,ROW()-1,MATCH(B$1,'包络曲线数据'!$B$1:$K$1,0)),""))</x:f>
        <x:v>74.72224556368025</x:v>
      </x:c>
      <x:c r="C364" t="n">
        <x:f>IF(C$1="","",IFERROR(INDEX('包络曲线数据'!$B$2:$K$742,ROW()-1,MATCH(C$1,'包络曲线数据'!$B$1:$K$1,0)),""))</x:f>
        <x:v>64.68586790918773</x:v>
      </x:c>
      <x:c r="D364" t="str">
        <x:f>IF(D$1="","",IFERROR(INDEX('包络曲线数据'!$B$2:$K$742,ROW()-1,MATCH(D$1,'包络曲线数据'!$B$1:$K$1,0)),""))</x:f>
      </x:c>
      <x:c r="E364" t="str">
        <x:f>IF(E$1="","",IFERROR(INDEX('包络曲线数据'!$B$2:$K$742,ROW()-1,MATCH(E$1,'包络曲线数据'!$B$1:$K$1,0)),""))</x:f>
      </x:c>
      <x:c r="F364" t="str">
        <x:f>IF(F$1="","",IFERROR(INDEX('包络曲线数据'!$B$2:$K$742,ROW()-1,MATCH(F$1,'包络曲线数据'!$B$1:$K$1,0)),""))</x:f>
      </x:c>
      <x:c r="G364" t="str">
        <x:f>IF(G$1="","",IFERROR(INDEX('包络曲线数据'!$B$2:$K$742,ROW()-1,MATCH(G$1,'包络曲线数据'!$B$1:$K$1,0)),""))</x:f>
      </x:c>
    </x:row>
    <x:row r="365">
      <x:c r="A365" t="n">
        <x:v>36.300000000000004</x:v>
      </x:c>
      <x:c r="B365" t="n">
        <x:f>IF(B$1="","",IFERROR(INDEX('包络曲线数据'!$B$2:$K$742,ROW()-1,MATCH(B$1,'包络曲线数据'!$B$1:$K$1,0)),""))</x:f>
        <x:v>74.72224556368025</x:v>
      </x:c>
      <x:c r="C365" t="n">
        <x:f>IF(C$1="","",IFERROR(INDEX('包络曲线数据'!$B$2:$K$742,ROW()-1,MATCH(C$1,'包络曲线数据'!$B$1:$K$1,0)),""))</x:f>
        <x:v>64.93084418953785</x:v>
      </x:c>
      <x:c r="D365" t="str">
        <x:f>IF(D$1="","",IFERROR(INDEX('包络曲线数据'!$B$2:$K$742,ROW()-1,MATCH(D$1,'包络曲线数据'!$B$1:$K$1,0)),""))</x:f>
      </x:c>
      <x:c r="E365" t="str">
        <x:f>IF(E$1="","",IFERROR(INDEX('包络曲线数据'!$B$2:$K$742,ROW()-1,MATCH(E$1,'包络曲线数据'!$B$1:$K$1,0)),""))</x:f>
      </x:c>
      <x:c r="F365" t="str">
        <x:f>IF(F$1="","",IFERROR(INDEX('包络曲线数据'!$B$2:$K$742,ROW()-1,MATCH(F$1,'包络曲线数据'!$B$1:$K$1,0)),""))</x:f>
      </x:c>
      <x:c r="G365" t="str">
        <x:f>IF(G$1="","",IFERROR(INDEX('包络曲线数据'!$B$2:$K$742,ROW()-1,MATCH(G$1,'包络曲线数据'!$B$1:$K$1,0)),""))</x:f>
      </x:c>
    </x:row>
    <x:row r="366">
      <x:c r="A366" t="n">
        <x:v>36.4</x:v>
      </x:c>
      <x:c r="B366" t="n">
        <x:f>IF(B$1="","",IFERROR(INDEX('包络曲线数据'!$B$2:$K$742,ROW()-1,MATCH(B$1,'包络曲线数据'!$B$1:$K$1,0)),""))</x:f>
        <x:v>66.70514452530298</x:v>
      </x:c>
      <x:c r="C366" t="n">
        <x:f>IF(C$1="","",IFERROR(INDEX('包络曲线数据'!$B$2:$K$742,ROW()-1,MATCH(C$1,'包络曲线数据'!$B$1:$K$1,0)),""))</x:f>
        <x:v>64.70570818853119</x:v>
      </x:c>
      <x:c r="D366" t="str">
        <x:f>IF(D$1="","",IFERROR(INDEX('包络曲线数据'!$B$2:$K$742,ROW()-1,MATCH(D$1,'包络曲线数据'!$B$1:$K$1,0)),""))</x:f>
      </x:c>
      <x:c r="E366" t="str">
        <x:f>IF(E$1="","",IFERROR(INDEX('包络曲线数据'!$B$2:$K$742,ROW()-1,MATCH(E$1,'包络曲线数据'!$B$1:$K$1,0)),""))</x:f>
      </x:c>
      <x:c r="F366" t="str">
        <x:f>IF(F$1="","",IFERROR(INDEX('包络曲线数据'!$B$2:$K$742,ROW()-1,MATCH(F$1,'包络曲线数据'!$B$1:$K$1,0)),""))</x:f>
      </x:c>
      <x:c r="G366" t="str">
        <x:f>IF(G$1="","",IFERROR(INDEX('包络曲线数据'!$B$2:$K$742,ROW()-1,MATCH(G$1,'包络曲线数据'!$B$1:$K$1,0)),""))</x:f>
      </x:c>
    </x:row>
    <x:row r="367">
      <x:c r="A367" t="n">
        <x:v>36.5</x:v>
      </x:c>
      <x:c r="B367" t="n">
        <x:f>IF(B$1="","",IFERROR(INDEX('包络曲线数据'!$B$2:$K$742,ROW()-1,MATCH(B$1,'包络曲线数据'!$B$1:$K$1,0)),""))</x:f>
        <x:v>61.48361010569854</x:v>
      </x:c>
      <x:c r="C367" t="n">
        <x:f>IF(C$1="","",IFERROR(INDEX('包络曲线数据'!$B$2:$K$742,ROW()-1,MATCH(C$1,'包络曲线数据'!$B$1:$K$1,0)),""))</x:f>
        <x:v>65.07414346967865</x:v>
      </x:c>
      <x:c r="D367" t="str">
        <x:f>IF(D$1="","",IFERROR(INDEX('包络曲线数据'!$B$2:$K$742,ROW()-1,MATCH(D$1,'包络曲线数据'!$B$1:$K$1,0)),""))</x:f>
      </x:c>
      <x:c r="E367" t="str">
        <x:f>IF(E$1="","",IFERROR(INDEX('包络曲线数据'!$B$2:$K$742,ROW()-1,MATCH(E$1,'包络曲线数据'!$B$1:$K$1,0)),""))</x:f>
      </x:c>
      <x:c r="F367" t="str">
        <x:f>IF(F$1="","",IFERROR(INDEX('包络曲线数据'!$B$2:$K$742,ROW()-1,MATCH(F$1,'包络曲线数据'!$B$1:$K$1,0)),""))</x:f>
      </x:c>
      <x:c r="G367" t="str">
        <x:f>IF(G$1="","",IFERROR(INDEX('包络曲线数据'!$B$2:$K$742,ROW()-1,MATCH(G$1,'包络曲线数据'!$B$1:$K$1,0)),""))</x:f>
      </x:c>
    </x:row>
    <x:row r="368">
      <x:c r="A368" t="n">
        <x:v>36.6</x:v>
      </x:c>
      <x:c r="B368" t="n">
        <x:f>IF(B$1="","",IFERROR(INDEX('包络曲线数据'!$B$2:$K$742,ROW()-1,MATCH(B$1,'包络曲线数据'!$B$1:$K$1,0)),""))</x:f>
        <x:v>63.37430252548481</x:v>
      </x:c>
      <x:c r="C368" t="n">
        <x:f>IF(C$1="","",IFERROR(INDEX('包络曲线数据'!$B$2:$K$742,ROW()-1,MATCH(C$1,'包络曲线数据'!$B$1:$K$1,0)),""))</x:f>
        <x:v>65.48434230922275</x:v>
      </x:c>
      <x:c r="D368" t="str">
        <x:f>IF(D$1="","",IFERROR(INDEX('包络曲线数据'!$B$2:$K$742,ROW()-1,MATCH(D$1,'包络曲线数据'!$B$1:$K$1,0)),""))</x:f>
      </x:c>
      <x:c r="E368" t="str">
        <x:f>IF(E$1="","",IFERROR(INDEX('包络曲线数据'!$B$2:$K$742,ROW()-1,MATCH(E$1,'包络曲线数据'!$B$1:$K$1,0)),""))</x:f>
      </x:c>
      <x:c r="F368" t="str">
        <x:f>IF(F$1="","",IFERROR(INDEX('包络曲线数据'!$B$2:$K$742,ROW()-1,MATCH(F$1,'包络曲线数据'!$B$1:$K$1,0)),""))</x:f>
      </x:c>
      <x:c r="G368" t="str">
        <x:f>IF(G$1="","",IFERROR(INDEX('包络曲线数据'!$B$2:$K$742,ROW()-1,MATCH(G$1,'包络曲线数据'!$B$1:$K$1,0)),""))</x:f>
      </x:c>
    </x:row>
    <x:row r="369">
      <x:c r="A369" t="n">
        <x:v>36.7</x:v>
      </x:c>
      <x:c r="B369" t="n">
        <x:f>IF(B$1="","",IFERROR(INDEX('包络曲线数据'!$B$2:$K$742,ROW()-1,MATCH(B$1,'包络曲线数据'!$B$1:$K$1,0)),""))</x:f>
        <x:v>63.37430252548481</x:v>
      </x:c>
      <x:c r="C369" t="n">
        <x:f>IF(C$1="","",IFERROR(INDEX('包络曲线数据'!$B$2:$K$742,ROW()-1,MATCH(C$1,'包络曲线数据'!$B$1:$K$1,0)),""))</x:f>
        <x:v>66.25444733417741</x:v>
      </x:c>
      <x:c r="D369" t="str">
        <x:f>IF(D$1="","",IFERROR(INDEX('包络曲线数据'!$B$2:$K$742,ROW()-1,MATCH(D$1,'包络曲线数据'!$B$1:$K$1,0)),""))</x:f>
      </x:c>
      <x:c r="E369" t="str">
        <x:f>IF(E$1="","",IFERROR(INDEX('包络曲线数据'!$B$2:$K$742,ROW()-1,MATCH(E$1,'包络曲线数据'!$B$1:$K$1,0)),""))</x:f>
      </x:c>
      <x:c r="F369" t="str">
        <x:f>IF(F$1="","",IFERROR(INDEX('包络曲线数据'!$B$2:$K$742,ROW()-1,MATCH(F$1,'包络曲线数据'!$B$1:$K$1,0)),""))</x:f>
      </x:c>
      <x:c r="G369" t="str">
        <x:f>IF(G$1="","",IFERROR(INDEX('包络曲线数据'!$B$2:$K$742,ROW()-1,MATCH(G$1,'包络曲线数据'!$B$1:$K$1,0)),""))</x:f>
      </x:c>
    </x:row>
    <x:row r="370">
      <x:c r="A370" t="n">
        <x:v>36.800000000000004</x:v>
      </x:c>
      <x:c r="B370" t="n">
        <x:f>IF(B$1="","",IFERROR(INDEX('包络曲线数据'!$B$2:$K$742,ROW()-1,MATCH(B$1,'包络曲线数据'!$B$1:$K$1,0)),""))</x:f>
        <x:v>50</x:v>
      </x:c>
      <x:c r="C370" t="n">
        <x:f>IF(C$1="","",IFERROR(INDEX('包络曲线数据'!$B$2:$K$742,ROW()-1,MATCH(C$1,'包络曲线数据'!$B$1:$K$1,0)),""))</x:f>
        <x:v>66.25444733417741</x:v>
      </x:c>
      <x:c r="D370" t="str">
        <x:f>IF(D$1="","",IFERROR(INDEX('包络曲线数据'!$B$2:$K$742,ROW()-1,MATCH(D$1,'包络曲线数据'!$B$1:$K$1,0)),""))</x:f>
      </x:c>
      <x:c r="E370" t="str">
        <x:f>IF(E$1="","",IFERROR(INDEX('包络曲线数据'!$B$2:$K$742,ROW()-1,MATCH(E$1,'包络曲线数据'!$B$1:$K$1,0)),""))</x:f>
      </x:c>
      <x:c r="F370" t="str">
        <x:f>IF(F$1="","",IFERROR(INDEX('包络曲线数据'!$B$2:$K$742,ROW()-1,MATCH(F$1,'包络曲线数据'!$B$1:$K$1,0)),""))</x:f>
      </x:c>
      <x:c r="G370" t="str">
        <x:f>IF(G$1="","",IFERROR(INDEX('包络曲线数据'!$B$2:$K$742,ROW()-1,MATCH(G$1,'包络曲线数据'!$B$1:$K$1,0)),""))</x:f>
      </x:c>
    </x:row>
    <x:row r="371">
      <x:c r="A371" t="n">
        <x:v>36.9</x:v>
      </x:c>
      <x:c r="B371" t="n">
        <x:f>IF(B$1="","",IFERROR(INDEX('包络曲线数据'!$B$2:$K$742,ROW()-1,MATCH(B$1,'包络曲线数据'!$B$1:$K$1,0)),""))</x:f>
        <x:v>53.64388579162064</x:v>
      </x:c>
      <x:c r="C371" t="n">
        <x:f>IF(C$1="","",IFERROR(INDEX('包络曲线数据'!$B$2:$K$742,ROW()-1,MATCH(C$1,'包络曲线数据'!$B$1:$K$1,0)),""))</x:f>
        <x:v>64.31398669296662</x:v>
      </x:c>
      <x:c r="D371" t="str">
        <x:f>IF(D$1="","",IFERROR(INDEX('包络曲线数据'!$B$2:$K$742,ROW()-1,MATCH(D$1,'包络曲线数据'!$B$1:$K$1,0)),""))</x:f>
      </x:c>
      <x:c r="E371" t="str">
        <x:f>IF(E$1="","",IFERROR(INDEX('包络曲线数据'!$B$2:$K$742,ROW()-1,MATCH(E$1,'包络曲线数据'!$B$1:$K$1,0)),""))</x:f>
      </x:c>
      <x:c r="F371" t="str">
        <x:f>IF(F$1="","",IFERROR(INDEX('包络曲线数据'!$B$2:$K$742,ROW()-1,MATCH(F$1,'包络曲线数据'!$B$1:$K$1,0)),""))</x:f>
      </x:c>
      <x:c r="G371" t="str">
        <x:f>IF(G$1="","",IFERROR(INDEX('包络曲线数据'!$B$2:$K$742,ROW()-1,MATCH(G$1,'包络曲线数据'!$B$1:$K$1,0)),""))</x:f>
      </x:c>
    </x:row>
    <x:row r="372">
      <x:c r="A372" t="n">
        <x:v>37</x:v>
      </x:c>
      <x:c r="B372" t="n">
        <x:f>IF(B$1="","",IFERROR(INDEX('包络曲线数据'!$B$2:$K$742,ROW()-1,MATCH(B$1,'包络曲线数据'!$B$1:$K$1,0)),""))</x:f>
        <x:v>62.753600270672564</x:v>
      </x:c>
      <x:c r="C372" t="n">
        <x:f>IF(C$1="","",IFERROR(INDEX('包络曲线数据'!$B$2:$K$742,ROW()-1,MATCH(C$1,'包络曲线数据'!$B$1:$K$1,0)),""))</x:f>
        <x:v>60.77156207424815</x:v>
      </x:c>
      <x:c r="D372" t="str">
        <x:f>IF(D$1="","",IFERROR(INDEX('包络曲线数据'!$B$2:$K$742,ROW()-1,MATCH(D$1,'包络曲线数据'!$B$1:$K$1,0)),""))</x:f>
      </x:c>
      <x:c r="E372" t="str">
        <x:f>IF(E$1="","",IFERROR(INDEX('包络曲线数据'!$B$2:$K$742,ROW()-1,MATCH(E$1,'包络曲线数据'!$B$1:$K$1,0)),""))</x:f>
      </x:c>
      <x:c r="F372" t="str">
        <x:f>IF(F$1="","",IFERROR(INDEX('包络曲线数据'!$B$2:$K$742,ROW()-1,MATCH(F$1,'包络曲线数据'!$B$1:$K$1,0)),""))</x:f>
      </x:c>
      <x:c r="G372" t="str">
        <x:f>IF(G$1="","",IFERROR(INDEX('包络曲线数据'!$B$2:$K$742,ROW()-1,MATCH(G$1,'包络曲线数据'!$B$1:$K$1,0)),""))</x:f>
      </x:c>
    </x:row>
    <x:row r="373">
      <x:c r="A373" t="n">
        <x:v>37.1</x:v>
      </x:c>
      <x:c r="B373" t="n">
        <x:f>IF(B$1="","",IFERROR(INDEX('包络曲线数据'!$B$2:$K$742,ROW()-1,MATCH(B$1,'包络曲线数据'!$B$1:$K$1,0)),""))</x:f>
        <x:v>62.753600270672564</x:v>
      </x:c>
      <x:c r="C373" t="n">
        <x:f>IF(C$1="","",IFERROR(INDEX('包络曲线数据'!$B$2:$K$742,ROW()-1,MATCH(C$1,'包络曲线数据'!$B$1:$K$1,0)),""))</x:f>
        <x:v>77.00967055459492</x:v>
      </x:c>
      <x:c r="D373" t="str">
        <x:f>IF(D$1="","",IFERROR(INDEX('包络曲线数据'!$B$2:$K$742,ROW()-1,MATCH(D$1,'包络曲线数据'!$B$1:$K$1,0)),""))</x:f>
      </x:c>
      <x:c r="E373" t="str">
        <x:f>IF(E$1="","",IFERROR(INDEX('包络曲线数据'!$B$2:$K$742,ROW()-1,MATCH(E$1,'包络曲线数据'!$B$1:$K$1,0)),""))</x:f>
      </x:c>
      <x:c r="F373" t="str">
        <x:f>IF(F$1="","",IFERROR(INDEX('包络曲线数据'!$B$2:$K$742,ROW()-1,MATCH(F$1,'包络曲线数据'!$B$1:$K$1,0)),""))</x:f>
      </x:c>
      <x:c r="G373" t="str">
        <x:f>IF(G$1="","",IFERROR(INDEX('包络曲线数据'!$B$2:$K$742,ROW()-1,MATCH(G$1,'包络曲线数据'!$B$1:$K$1,0)),""))</x:f>
      </x:c>
    </x:row>
    <x:row r="374">
      <x:c r="A374" t="n">
        <x:v>37.2</x:v>
      </x:c>
      <x:c r="B374" t="n">
        <x:f>IF(B$1="","",IFERROR(INDEX('包络曲线数据'!$B$2:$K$742,ROW()-1,MATCH(B$1,'包络曲线数据'!$B$1:$K$1,0)),""))</x:f>
        <x:v>60.66730041404724</x:v>
      </x:c>
      <x:c r="C374" t="n">
        <x:f>IF(C$1="","",IFERROR(INDEX('包络曲线数据'!$B$2:$K$742,ROW()-1,MATCH(C$1,'包络曲线数据'!$B$1:$K$1,0)),""))</x:f>
        <x:v>78.3348773283717</x:v>
      </x:c>
      <x:c r="D374" t="str">
        <x:f>IF(D$1="","",IFERROR(INDEX('包络曲线数据'!$B$2:$K$742,ROW()-1,MATCH(D$1,'包络曲线数据'!$B$1:$K$1,0)),""))</x:f>
      </x:c>
      <x:c r="E374" t="str">
        <x:f>IF(E$1="","",IFERROR(INDEX('包络曲线数据'!$B$2:$K$742,ROW()-1,MATCH(E$1,'包络曲线数据'!$B$1:$K$1,0)),""))</x:f>
      </x:c>
      <x:c r="F374" t="str">
        <x:f>IF(F$1="","",IFERROR(INDEX('包络曲线数据'!$B$2:$K$742,ROW()-1,MATCH(F$1,'包络曲线数据'!$B$1:$K$1,0)),""))</x:f>
      </x:c>
      <x:c r="G374" t="str">
        <x:f>IF(G$1="","",IFERROR(INDEX('包络曲线数据'!$B$2:$K$742,ROW()-1,MATCH(G$1,'包络曲线数据'!$B$1:$K$1,0)),""))</x:f>
      </x:c>
    </x:row>
    <x:row r="375">
      <x:c r="A375" t="n">
        <x:v>37.300000000000004</x:v>
      </x:c>
      <x:c r="B375" t="n">
        <x:f>IF(B$1="","",IFERROR(INDEX('包络曲线数据'!$B$2:$K$742,ROW()-1,MATCH(B$1,'包络曲线数据'!$B$1:$K$1,0)),""))</x:f>
        <x:v>50</x:v>
      </x:c>
      <x:c r="C375" t="n">
        <x:f>IF(C$1="","",IFERROR(INDEX('包络曲线数据'!$B$2:$K$742,ROW()-1,MATCH(C$1,'包络曲线数据'!$B$1:$K$1,0)),""))</x:f>
        <x:v>78.33487732837078</x:v>
      </x:c>
      <x:c r="D375" t="str">
        <x:f>IF(D$1="","",IFERROR(INDEX('包络曲线数据'!$B$2:$K$742,ROW()-1,MATCH(D$1,'包络曲线数据'!$B$1:$K$1,0)),""))</x:f>
      </x:c>
      <x:c r="E375" t="str">
        <x:f>IF(E$1="","",IFERROR(INDEX('包络曲线数据'!$B$2:$K$742,ROW()-1,MATCH(E$1,'包络曲线数据'!$B$1:$K$1,0)),""))</x:f>
      </x:c>
      <x:c r="F375" t="str">
        <x:f>IF(F$1="","",IFERROR(INDEX('包络曲线数据'!$B$2:$K$742,ROW()-1,MATCH(F$1,'包络曲线数据'!$B$1:$K$1,0)),""))</x:f>
      </x:c>
      <x:c r="G375" t="str">
        <x:f>IF(G$1="","",IFERROR(INDEX('包络曲线数据'!$B$2:$K$742,ROW()-1,MATCH(G$1,'包络曲线数据'!$B$1:$K$1,0)),""))</x:f>
      </x:c>
    </x:row>
    <x:row r="376">
      <x:c r="A376" t="n">
        <x:v>37.4</x:v>
      </x:c>
      <x:c r="B376" t="n">
        <x:f>IF(B$1="","",IFERROR(INDEX('包络曲线数据'!$B$2:$K$742,ROW()-1,MATCH(B$1,'包络曲线数据'!$B$1:$K$1,0)),""))</x:f>
        <x:v>74.58380350210146</x:v>
      </x:c>
      <x:c r="C376" t="n">
        <x:f>IF(C$1="","",IFERROR(INDEX('包络曲线数据'!$B$2:$K$742,ROW()-1,MATCH(C$1,'包络曲线数据'!$B$1:$K$1,0)),""))</x:f>
        <x:v>67.72245838746215</x:v>
      </x:c>
      <x:c r="D376" t="str">
        <x:f>IF(D$1="","",IFERROR(INDEX('包络曲线数据'!$B$2:$K$742,ROW()-1,MATCH(D$1,'包络曲线数据'!$B$1:$K$1,0)),""))</x:f>
      </x:c>
      <x:c r="E376" t="str">
        <x:f>IF(E$1="","",IFERROR(INDEX('包络曲线数据'!$B$2:$K$742,ROW()-1,MATCH(E$1,'包络曲线数据'!$B$1:$K$1,0)),""))</x:f>
      </x:c>
      <x:c r="F376" t="str">
        <x:f>IF(F$1="","",IFERROR(INDEX('包络曲线数据'!$B$2:$K$742,ROW()-1,MATCH(F$1,'包络曲线数据'!$B$1:$K$1,0)),""))</x:f>
      </x:c>
      <x:c r="G376" t="str">
        <x:f>IF(G$1="","",IFERROR(INDEX('包络曲线数据'!$B$2:$K$742,ROW()-1,MATCH(G$1,'包络曲线数据'!$B$1:$K$1,0)),""))</x:f>
      </x:c>
    </x:row>
    <x:row r="377">
      <x:c r="A377" t="n">
        <x:v>37.5</x:v>
      </x:c>
      <x:c r="B377" t="n">
        <x:f>IF(B$1="","",IFERROR(INDEX('包络曲线数据'!$B$2:$K$742,ROW()-1,MATCH(B$1,'包络曲线数据'!$B$1:$K$1,0)),""))</x:f>
        <x:v>75.86503768620844</x:v>
      </x:c>
      <x:c r="C377" t="n">
        <x:f>IF(C$1="","",IFERROR(INDEX('包络曲线数据'!$B$2:$K$742,ROW()-1,MATCH(C$1,'包络曲线数据'!$B$1:$K$1,0)),""))</x:f>
        <x:v>57.47837693991917</x:v>
      </x:c>
      <x:c r="D377" t="str">
        <x:f>IF(D$1="","",IFERROR(INDEX('包络曲线数据'!$B$2:$K$742,ROW()-1,MATCH(D$1,'包络曲线数据'!$B$1:$K$1,0)),""))</x:f>
      </x:c>
      <x:c r="E377" t="str">
        <x:f>IF(E$1="","",IFERROR(INDEX('包络曲线数据'!$B$2:$K$742,ROW()-1,MATCH(E$1,'包络曲线数据'!$B$1:$K$1,0)),""))</x:f>
      </x:c>
      <x:c r="F377" t="str">
        <x:f>IF(F$1="","",IFERROR(INDEX('包络曲线数据'!$B$2:$K$742,ROW()-1,MATCH(F$1,'包络曲线数据'!$B$1:$K$1,0)),""))</x:f>
      </x:c>
      <x:c r="G377" t="str">
        <x:f>IF(G$1="","",IFERROR(INDEX('包络曲线数据'!$B$2:$K$742,ROW()-1,MATCH(G$1,'包络曲线数据'!$B$1:$K$1,0)),""))</x:f>
      </x:c>
    </x:row>
    <x:row r="378">
      <x:c r="A378" t="n">
        <x:v>37.6</x:v>
      </x:c>
      <x:c r="B378" t="n">
        <x:f>IF(B$1="","",IFERROR(INDEX('包络曲线数据'!$B$2:$K$742,ROW()-1,MATCH(B$1,'包络曲线数据'!$B$1:$K$1,0)),""))</x:f>
        <x:v>75.44649196963653</x:v>
      </x:c>
      <x:c r="C378" t="n">
        <x:f>IF(C$1="","",IFERROR(INDEX('包络曲线数据'!$B$2:$K$742,ROW()-1,MATCH(C$1,'包络曲线数据'!$B$1:$K$1,0)),""))</x:f>
        <x:v>53.92799430486643</x:v>
      </x:c>
      <x:c r="D378" t="str">
        <x:f>IF(D$1="","",IFERROR(INDEX('包络曲线数据'!$B$2:$K$742,ROW()-1,MATCH(D$1,'包络曲线数据'!$B$1:$K$1,0)),""))</x:f>
      </x:c>
      <x:c r="E378" t="str">
        <x:f>IF(E$1="","",IFERROR(INDEX('包络曲线数据'!$B$2:$K$742,ROW()-1,MATCH(E$1,'包络曲线数据'!$B$1:$K$1,0)),""))</x:f>
      </x:c>
      <x:c r="F378" t="str">
        <x:f>IF(F$1="","",IFERROR(INDEX('包络曲线数据'!$B$2:$K$742,ROW()-1,MATCH(F$1,'包络曲线数据'!$B$1:$K$1,0)),""))</x:f>
      </x:c>
      <x:c r="G378" t="str">
        <x:f>IF(G$1="","",IFERROR(INDEX('包络曲线数据'!$B$2:$K$742,ROW()-1,MATCH(G$1,'包络曲线数据'!$B$1:$K$1,0)),""))</x:f>
      </x:c>
    </x:row>
    <x:row r="379">
      <x:c r="A379" t="n">
        <x:v>37.7</x:v>
      </x:c>
      <x:c r="B379" t="n">
        <x:f>IF(B$1="","",IFERROR(INDEX('包络曲线数据'!$B$2:$K$742,ROW()-1,MATCH(B$1,'包络曲线数据'!$B$1:$K$1,0)),""))</x:f>
        <x:v>70.23532102933828</x:v>
      </x:c>
      <x:c r="C379" t="n">
        <x:f>IF(C$1="","",IFERROR(INDEX('包络曲线数据'!$B$2:$K$742,ROW()-1,MATCH(C$1,'包络曲线数据'!$B$1:$K$1,0)),""))</x:f>
        <x:v>50</x:v>
      </x:c>
      <x:c r="D379" t="str">
        <x:f>IF(D$1="","",IFERROR(INDEX('包络曲线数据'!$B$2:$K$742,ROW()-1,MATCH(D$1,'包络曲线数据'!$B$1:$K$1,0)),""))</x:f>
      </x:c>
      <x:c r="E379" t="str">
        <x:f>IF(E$1="","",IFERROR(INDEX('包络曲线数据'!$B$2:$K$742,ROW()-1,MATCH(E$1,'包络曲线数据'!$B$1:$K$1,0)),""))</x:f>
      </x:c>
      <x:c r="F379" t="str">
        <x:f>IF(F$1="","",IFERROR(INDEX('包络曲线数据'!$B$2:$K$742,ROW()-1,MATCH(F$1,'包络曲线数据'!$B$1:$K$1,0)),""))</x:f>
      </x:c>
      <x:c r="G379" t="str">
        <x:f>IF(G$1="","",IFERROR(INDEX('包络曲线数据'!$B$2:$K$742,ROW()-1,MATCH(G$1,'包络曲线数据'!$B$1:$K$1,0)),""))</x:f>
      </x:c>
    </x:row>
    <x:row r="380">
      <x:c r="A380" t="n">
        <x:v>37.800000000000004</x:v>
      </x:c>
      <x:c r="B380" t="n">
        <x:f>IF(B$1="","",IFERROR(INDEX('包络曲线数据'!$B$2:$K$742,ROW()-1,MATCH(B$1,'包络曲线数据'!$B$1:$K$1,0)),""))</x:f>
        <x:v>63.13296653830883</x:v>
      </x:c>
      <x:c r="C380" t="n">
        <x:f>IF(C$1="","",IFERROR(INDEX('包络曲线数据'!$B$2:$K$742,ROW()-1,MATCH(C$1,'包络曲线数据'!$B$1:$K$1,0)),""))</x:f>
        <x:v>50</x:v>
      </x:c>
      <x:c r="D380" t="str">
        <x:f>IF(D$1="","",IFERROR(INDEX('包络曲线数据'!$B$2:$K$742,ROW()-1,MATCH(D$1,'包络曲线数据'!$B$1:$K$1,0)),""))</x:f>
      </x:c>
      <x:c r="E380" t="str">
        <x:f>IF(E$1="","",IFERROR(INDEX('包络曲线数据'!$B$2:$K$742,ROW()-1,MATCH(E$1,'包络曲线数据'!$B$1:$K$1,0)),""))</x:f>
      </x:c>
      <x:c r="F380" t="str">
        <x:f>IF(F$1="","",IFERROR(INDEX('包络曲线数据'!$B$2:$K$742,ROW()-1,MATCH(F$1,'包络曲线数据'!$B$1:$K$1,0)),""))</x:f>
      </x:c>
      <x:c r="G380" t="str">
        <x:f>IF(G$1="","",IFERROR(INDEX('包络曲线数据'!$B$2:$K$742,ROW()-1,MATCH(G$1,'包络曲线数据'!$B$1:$K$1,0)),""))</x:f>
      </x:c>
    </x:row>
    <x:row r="381">
      <x:c r="A381" t="n">
        <x:v>37.9</x:v>
      </x:c>
      <x:c r="B381" t="n">
        <x:f>IF(B$1="","",IFERROR(INDEX('包络曲线数据'!$B$2:$K$742,ROW()-1,MATCH(B$1,'包络曲线数据'!$B$1:$K$1,0)),""))</x:f>
        <x:v>65.94121776117225</x:v>
      </x:c>
      <x:c r="C381" t="n">
        <x:f>IF(C$1="","",IFERROR(INDEX('包络曲线数据'!$B$2:$K$742,ROW()-1,MATCH(C$1,'包络曲线数据'!$B$1:$K$1,0)),""))</x:f>
        <x:v>53.722198881456976</x:v>
      </x:c>
      <x:c r="D381" t="str">
        <x:f>IF(D$1="","",IFERROR(INDEX('包络曲线数据'!$B$2:$K$742,ROW()-1,MATCH(D$1,'包络曲线数据'!$B$1:$K$1,0)),""))</x:f>
      </x:c>
      <x:c r="E381" t="str">
        <x:f>IF(E$1="","",IFERROR(INDEX('包络曲线数据'!$B$2:$K$742,ROW()-1,MATCH(E$1,'包络曲线数据'!$B$1:$K$1,0)),""))</x:f>
      </x:c>
      <x:c r="F381" t="str">
        <x:f>IF(F$1="","",IFERROR(INDEX('包络曲线数据'!$B$2:$K$742,ROW()-1,MATCH(F$1,'包络曲线数据'!$B$1:$K$1,0)),""))</x:f>
      </x:c>
      <x:c r="G381" t="str">
        <x:f>IF(G$1="","",IFERROR(INDEX('包络曲线数据'!$B$2:$K$742,ROW()-1,MATCH(G$1,'包络曲线数据'!$B$1:$K$1,0)),""))</x:f>
      </x:c>
    </x:row>
    <x:row r="382">
      <x:c r="A382" t="n">
        <x:v>38</x:v>
      </x:c>
      <x:c r="B382" t="n">
        <x:f>IF(B$1="","",IFERROR(INDEX('包络曲线数据'!$B$2:$K$742,ROW()-1,MATCH(B$1,'包络曲线数据'!$B$1:$K$1,0)),""))</x:f>
        <x:v>68.12900600039907</x:v>
      </x:c>
      <x:c r="C382" t="n">
        <x:f>IF(C$1="","",IFERROR(INDEX('包络曲线数据'!$B$2:$K$742,ROW()-1,MATCH(C$1,'包络曲线数据'!$B$1:$K$1,0)),""))</x:f>
        <x:v>62.638756145522066</x:v>
      </x:c>
      <x:c r="D382" t="str">
        <x:f>IF(D$1="","",IFERROR(INDEX('包络曲线数据'!$B$2:$K$742,ROW()-1,MATCH(D$1,'包络曲线数据'!$B$1:$K$1,0)),""))</x:f>
      </x:c>
      <x:c r="E382" t="str">
        <x:f>IF(E$1="","",IFERROR(INDEX('包络曲线数据'!$B$2:$K$742,ROW()-1,MATCH(E$1,'包络曲线数据'!$B$1:$K$1,0)),""))</x:f>
      </x:c>
      <x:c r="F382" t="str">
        <x:f>IF(F$1="","",IFERROR(INDEX('包络曲线数据'!$B$2:$K$742,ROW()-1,MATCH(F$1,'包络曲线数据'!$B$1:$K$1,0)),""))</x:f>
      </x:c>
      <x:c r="G382" t="str">
        <x:f>IF(G$1="","",IFERROR(INDEX('包络曲线数据'!$B$2:$K$742,ROW()-1,MATCH(G$1,'包络曲线数据'!$B$1:$K$1,0)),""))</x:f>
      </x:c>
    </x:row>
    <x:row r="383">
      <x:c r="A383" t="n">
        <x:v>38.1</x:v>
      </x:c>
      <x:c r="B383" t="n">
        <x:f>IF(B$1="","",IFERROR(INDEX('包络曲线数据'!$B$2:$K$742,ROW()-1,MATCH(B$1,'包络曲线数据'!$B$1:$K$1,0)),""))</x:f>
        <x:v>69.10021098669316</x:v>
      </x:c>
      <x:c r="C383" t="n">
        <x:f>IF(C$1="","",IFERROR(INDEX('包络曲线数据'!$B$2:$K$742,ROW()-1,MATCH(C$1,'包络曲线数据'!$B$1:$K$1,0)),""))</x:f>
        <x:v>62.638756145522066</x:v>
      </x:c>
      <x:c r="D383" t="str">
        <x:f>IF(D$1="","",IFERROR(INDEX('包络曲线数据'!$B$2:$K$742,ROW()-1,MATCH(D$1,'包络曲线数据'!$B$1:$K$1,0)),""))</x:f>
      </x:c>
      <x:c r="E383" t="str">
        <x:f>IF(E$1="","",IFERROR(INDEX('包络曲线数据'!$B$2:$K$742,ROW()-1,MATCH(E$1,'包络曲线数据'!$B$1:$K$1,0)),""))</x:f>
      </x:c>
      <x:c r="F383" t="str">
        <x:f>IF(F$1="","",IFERROR(INDEX('包络曲线数据'!$B$2:$K$742,ROW()-1,MATCH(F$1,'包络曲线数据'!$B$1:$K$1,0)),""))</x:f>
      </x:c>
      <x:c r="G383" t="str">
        <x:f>IF(G$1="","",IFERROR(INDEX('包络曲线数据'!$B$2:$K$742,ROW()-1,MATCH(G$1,'包络曲线数据'!$B$1:$K$1,0)),""))</x:f>
      </x:c>
    </x:row>
    <x:row r="384">
      <x:c r="A384" t="n">
        <x:v>38.2</x:v>
      </x:c>
      <x:c r="B384" t="n">
        <x:f>IF(B$1="","",IFERROR(INDEX('包络曲线数据'!$B$2:$K$742,ROW()-1,MATCH(B$1,'包络曲线数据'!$B$1:$K$1,0)),""))</x:f>
        <x:v>69.10021098669316</x:v>
      </x:c>
      <x:c r="C384" t="n">
        <x:f>IF(C$1="","",IFERROR(INDEX('包络曲线数据'!$B$2:$K$742,ROW()-1,MATCH(C$1,'包络曲线数据'!$B$1:$K$1,0)),""))</x:f>
        <x:v>63.13739783499517</x:v>
      </x:c>
      <x:c r="D384" t="str">
        <x:f>IF(D$1="","",IFERROR(INDEX('包络曲线数据'!$B$2:$K$742,ROW()-1,MATCH(D$1,'包络曲线数据'!$B$1:$K$1,0)),""))</x:f>
      </x:c>
      <x:c r="E384" t="str">
        <x:f>IF(E$1="","",IFERROR(INDEX('包络曲线数据'!$B$2:$K$742,ROW()-1,MATCH(E$1,'包络曲线数据'!$B$1:$K$1,0)),""))</x:f>
      </x:c>
      <x:c r="F384" t="str">
        <x:f>IF(F$1="","",IFERROR(INDEX('包络曲线数据'!$B$2:$K$742,ROW()-1,MATCH(F$1,'包络曲线数据'!$B$1:$K$1,0)),""))</x:f>
      </x:c>
      <x:c r="G384" t="str">
        <x:f>IF(G$1="","",IFERROR(INDEX('包络曲线数据'!$B$2:$K$742,ROW()-1,MATCH(G$1,'包络曲线数据'!$B$1:$K$1,0)),""))</x:f>
      </x:c>
    </x:row>
    <x:row r="385">
      <x:c r="A385" t="n">
        <x:v>38.300000000000004</x:v>
      </x:c>
      <x:c r="B385" t="n">
        <x:f>IF(B$1="","",IFERROR(INDEX('包络曲线数据'!$B$2:$K$742,ROW()-1,MATCH(B$1,'包络曲线数据'!$B$1:$K$1,0)),""))</x:f>
        <x:v>68.71560947813968</x:v>
      </x:c>
      <x:c r="C385" t="n">
        <x:f>IF(C$1="","",IFERROR(INDEX('包络曲线数据'!$B$2:$K$742,ROW()-1,MATCH(C$1,'包络曲线数据'!$B$1:$K$1,0)),""))</x:f>
        <x:v>70.47223030271543</x:v>
      </x:c>
      <x:c r="D385" t="str">
        <x:f>IF(D$1="","",IFERROR(INDEX('包络曲线数据'!$B$2:$K$742,ROW()-1,MATCH(D$1,'包络曲线数据'!$B$1:$K$1,0)),""))</x:f>
      </x:c>
      <x:c r="E385" t="str">
        <x:f>IF(E$1="","",IFERROR(INDEX('包络曲线数据'!$B$2:$K$742,ROW()-1,MATCH(E$1,'包络曲线数据'!$B$1:$K$1,0)),""))</x:f>
      </x:c>
      <x:c r="F385" t="str">
        <x:f>IF(F$1="","",IFERROR(INDEX('包络曲线数据'!$B$2:$K$742,ROW()-1,MATCH(F$1,'包络曲线数据'!$B$1:$K$1,0)),""))</x:f>
      </x:c>
      <x:c r="G385" t="str">
        <x:f>IF(G$1="","",IFERROR(INDEX('包络曲线数据'!$B$2:$K$742,ROW()-1,MATCH(G$1,'包络曲线数据'!$B$1:$K$1,0)),""))</x:f>
      </x:c>
    </x:row>
    <x:row r="386">
      <x:c r="A386" t="n">
        <x:v>38.400000000000006</x:v>
      </x:c>
      <x:c r="B386" t="n">
        <x:f>IF(B$1="","",IFERROR(INDEX('包络曲线数据'!$B$2:$K$742,ROW()-1,MATCH(B$1,'包络曲线数据'!$B$1:$K$1,0)),""))</x:f>
        <x:v>68.71560947813967</x:v>
      </x:c>
      <x:c r="C386" t="n">
        <x:f>IF(C$1="","",IFERROR(INDEX('包络曲线数据'!$B$2:$K$742,ROW()-1,MATCH(C$1,'包络曲线数据'!$B$1:$K$1,0)),""))</x:f>
        <x:v>71.1591073910607</x:v>
      </x:c>
      <x:c r="D386" t="str">
        <x:f>IF(D$1="","",IFERROR(INDEX('包络曲线数据'!$B$2:$K$742,ROW()-1,MATCH(D$1,'包络曲线数据'!$B$1:$K$1,0)),""))</x:f>
      </x:c>
      <x:c r="E386" t="str">
        <x:f>IF(E$1="","",IFERROR(INDEX('包络曲线数据'!$B$2:$K$742,ROW()-1,MATCH(E$1,'包络曲线数据'!$B$1:$K$1,0)),""))</x:f>
      </x:c>
      <x:c r="F386" t="str">
        <x:f>IF(F$1="","",IFERROR(INDEX('包络曲线数据'!$B$2:$K$742,ROW()-1,MATCH(F$1,'包络曲线数据'!$B$1:$K$1,0)),""))</x:f>
      </x:c>
      <x:c r="G386" t="str">
        <x:f>IF(G$1="","",IFERROR(INDEX('包络曲线数据'!$B$2:$K$742,ROW()-1,MATCH(G$1,'包络曲线数据'!$B$1:$K$1,0)),""))</x:f>
      </x:c>
    </x:row>
    <x:row r="387">
      <x:c r="A387" t="n">
        <x:v>38.5</x:v>
      </x:c>
      <x:c r="B387" t="n">
        <x:f>IF(B$1="","",IFERROR(INDEX('包络曲线数据'!$B$2:$K$742,ROW()-1,MATCH(B$1,'包络曲线数据'!$B$1:$K$1,0)),""))</x:f>
        <x:v>68.65332922916605</x:v>
      </x:c>
      <x:c r="C387" t="n">
        <x:f>IF(C$1="","",IFERROR(INDEX('包络曲线数据'!$B$2:$K$742,ROW()-1,MATCH(C$1,'包络曲线数据'!$B$1:$K$1,0)),""))</x:f>
        <x:v>71.1591073910607</x:v>
      </x:c>
      <x:c r="D387" t="str">
        <x:f>IF(D$1="","",IFERROR(INDEX('包络曲线数据'!$B$2:$K$742,ROW()-1,MATCH(D$1,'包络曲线数据'!$B$1:$K$1,0)),""))</x:f>
      </x:c>
      <x:c r="E387" t="str">
        <x:f>IF(E$1="","",IFERROR(INDEX('包络曲线数据'!$B$2:$K$742,ROW()-1,MATCH(E$1,'包络曲线数据'!$B$1:$K$1,0)),""))</x:f>
      </x:c>
      <x:c r="F387" t="str">
        <x:f>IF(F$1="","",IFERROR(INDEX('包络曲线数据'!$B$2:$K$742,ROW()-1,MATCH(F$1,'包络曲线数据'!$B$1:$K$1,0)),""))</x:f>
      </x:c>
      <x:c r="G387" t="str">
        <x:f>IF(G$1="","",IFERROR(INDEX('包络曲线数据'!$B$2:$K$742,ROW()-1,MATCH(G$1,'包络曲线数据'!$B$1:$K$1,0)),""))</x:f>
      </x:c>
    </x:row>
    <x:row r="388">
      <x:c r="A388" t="n">
        <x:v>38.6</x:v>
      </x:c>
      <x:c r="B388" t="n">
        <x:f>IF(B$1="","",IFERROR(INDEX('包络曲线数据'!$B$2:$K$742,ROW()-1,MATCH(B$1,'包络曲线数据'!$B$1:$K$1,0)),""))</x:f>
        <x:v>68.89690363392558</x:v>
      </x:c>
      <x:c r="C388" t="n">
        <x:f>IF(C$1="","",IFERROR(INDEX('包络曲线数据'!$B$2:$K$742,ROW()-1,MATCH(C$1,'包络曲线数据'!$B$1:$K$1,0)),""))</x:f>
        <x:v>65.26073293360241</x:v>
      </x:c>
      <x:c r="D388" t="str">
        <x:f>IF(D$1="","",IFERROR(INDEX('包络曲线数据'!$B$2:$K$742,ROW()-1,MATCH(D$1,'包络曲线数据'!$B$1:$K$1,0)),""))</x:f>
      </x:c>
      <x:c r="E388" t="str">
        <x:f>IF(E$1="","",IFERROR(INDEX('包络曲线数据'!$B$2:$K$742,ROW()-1,MATCH(E$1,'包络曲线数据'!$B$1:$K$1,0)),""))</x:f>
      </x:c>
      <x:c r="F388" t="str">
        <x:f>IF(F$1="","",IFERROR(INDEX('包络曲线数据'!$B$2:$K$742,ROW()-1,MATCH(F$1,'包络曲线数据'!$B$1:$K$1,0)),""))</x:f>
      </x:c>
      <x:c r="G388" t="str">
        <x:f>IF(G$1="","",IFERROR(INDEX('包络曲线数据'!$B$2:$K$742,ROW()-1,MATCH(G$1,'包络曲线数据'!$B$1:$K$1,0)),""))</x:f>
      </x:c>
    </x:row>
    <x:row r="389">
      <x:c r="A389" t="n">
        <x:v>38.7</x:v>
      </x:c>
      <x:c r="B389" t="n">
        <x:f>IF(B$1="","",IFERROR(INDEX('包络曲线数据'!$B$2:$K$742,ROW()-1,MATCH(B$1,'包络曲线数据'!$B$1:$K$1,0)),""))</x:f>
        <x:v>90.99944227835972</x:v>
      </x:c>
      <x:c r="C389" t="n">
        <x:f>IF(C$1="","",IFERROR(INDEX('包络曲线数据'!$B$2:$K$742,ROW()-1,MATCH(C$1,'包络曲线数据'!$B$1:$K$1,0)),""))</x:f>
        <x:v>59.58806246365525</x:v>
      </x:c>
      <x:c r="D389" t="str">
        <x:f>IF(D$1="","",IFERROR(INDEX('包络曲线数据'!$B$2:$K$742,ROW()-1,MATCH(D$1,'包络曲线数据'!$B$1:$K$1,0)),""))</x:f>
      </x:c>
      <x:c r="E389" t="str">
        <x:f>IF(E$1="","",IFERROR(INDEX('包络曲线数据'!$B$2:$K$742,ROW()-1,MATCH(E$1,'包络曲线数据'!$B$1:$K$1,0)),""))</x:f>
      </x:c>
      <x:c r="F389" t="str">
        <x:f>IF(F$1="","",IFERROR(INDEX('包络曲线数据'!$B$2:$K$742,ROW()-1,MATCH(F$1,'包络曲线数据'!$B$1:$K$1,0)),""))</x:f>
      </x:c>
      <x:c r="G389" t="str">
        <x:f>IF(G$1="","",IFERROR(INDEX('包络曲线数据'!$B$2:$K$742,ROW()-1,MATCH(G$1,'包络曲线数据'!$B$1:$K$1,0)),""))</x:f>
      </x:c>
    </x:row>
    <x:row r="390">
      <x:c r="A390" t="n">
        <x:v>38.800000000000004</x:v>
      </x:c>
      <x:c r="B390" t="n">
        <x:f>IF(B$1="","",IFERROR(INDEX('包络曲线数据'!$B$2:$K$742,ROW()-1,MATCH(B$1,'包络曲线数据'!$B$1:$K$1,0)),""))</x:f>
        <x:v>90.99944227835972</x:v>
      </x:c>
      <x:c r="C390" t="n">
        <x:f>IF(C$1="","",IFERROR(INDEX('包络曲线数据'!$B$2:$K$742,ROW()-1,MATCH(C$1,'包络曲线数据'!$B$1:$K$1,0)),""))</x:f>
        <x:v>62.3969178741319</x:v>
      </x:c>
      <x:c r="D390" t="str">
        <x:f>IF(D$1="","",IFERROR(INDEX('包络曲线数据'!$B$2:$K$742,ROW()-1,MATCH(D$1,'包络曲线数据'!$B$1:$K$1,0)),""))</x:f>
      </x:c>
      <x:c r="E390" t="str">
        <x:f>IF(E$1="","",IFERROR(INDEX('包络曲线数据'!$B$2:$K$742,ROW()-1,MATCH(E$1,'包络曲线数据'!$B$1:$K$1,0)),""))</x:f>
      </x:c>
      <x:c r="F390" t="str">
        <x:f>IF(F$1="","",IFERROR(INDEX('包络曲线数据'!$B$2:$K$742,ROW()-1,MATCH(F$1,'包络曲线数据'!$B$1:$K$1,0)),""))</x:f>
      </x:c>
      <x:c r="G390" t="str">
        <x:f>IF(G$1="","",IFERROR(INDEX('包络曲线数据'!$B$2:$K$742,ROW()-1,MATCH(G$1,'包络曲线数据'!$B$1:$K$1,0)),""))</x:f>
      </x:c>
    </x:row>
    <x:row r="391">
      <x:c r="A391" t="n">
        <x:v>38.900000000000006</x:v>
      </x:c>
      <x:c r="B391" t="n">
        <x:f>IF(B$1="","",IFERROR(INDEX('包络曲线数据'!$B$2:$K$742,ROW()-1,MATCH(B$1,'包络曲线数据'!$B$1:$K$1,0)),""))</x:f>
        <x:v>87.0688781134418</x:v>
      </x:c>
      <x:c r="C391" t="n">
        <x:f>IF(C$1="","",IFERROR(INDEX('包络曲线数据'!$B$2:$K$742,ROW()-1,MATCH(C$1,'包络曲线数据'!$B$1:$K$1,0)),""))</x:f>
        <x:v>63.80500097891673</x:v>
      </x:c>
      <x:c r="D391" t="str">
        <x:f>IF(D$1="","",IFERROR(INDEX('包络曲线数据'!$B$2:$K$742,ROW()-1,MATCH(D$1,'包络曲线数据'!$B$1:$K$1,0)),""))</x:f>
      </x:c>
      <x:c r="E391" t="str">
        <x:f>IF(E$1="","",IFERROR(INDEX('包络曲线数据'!$B$2:$K$742,ROW()-1,MATCH(E$1,'包络曲线数据'!$B$1:$K$1,0)),""))</x:f>
      </x:c>
      <x:c r="F391" t="str">
        <x:f>IF(F$1="","",IFERROR(INDEX('包络曲线数据'!$B$2:$K$742,ROW()-1,MATCH(F$1,'包络曲线数据'!$B$1:$K$1,0)),""))</x:f>
      </x:c>
      <x:c r="G391" t="str">
        <x:f>IF(G$1="","",IFERROR(INDEX('包络曲线数据'!$B$2:$K$742,ROW()-1,MATCH(G$1,'包络曲线数据'!$B$1:$K$1,0)),""))</x:f>
      </x:c>
    </x:row>
    <x:row r="392">
      <x:c r="A392" t="n">
        <x:v>39</x:v>
      </x:c>
      <x:c r="B392" t="n">
        <x:f>IF(B$1="","",IFERROR(INDEX('包络曲线数据'!$B$2:$K$742,ROW()-1,MATCH(B$1,'包络曲线数据'!$B$1:$K$1,0)),""))</x:f>
        <x:v>76.71851630368727</x:v>
      </x:c>
      <x:c r="C392" t="n">
        <x:f>IF(C$1="","",IFERROR(INDEX('包络曲线数据'!$B$2:$K$742,ROW()-1,MATCH(C$1,'包络曲线数据'!$B$1:$K$1,0)),""))</x:f>
        <x:v>63.974595244708794</x:v>
      </x:c>
      <x:c r="D392" t="str">
        <x:f>IF(D$1="","",IFERROR(INDEX('包络曲线数据'!$B$2:$K$742,ROW()-1,MATCH(D$1,'包络曲线数据'!$B$1:$K$1,0)),""))</x:f>
      </x:c>
      <x:c r="E392" t="str">
        <x:f>IF(E$1="","",IFERROR(INDEX('包络曲线数据'!$B$2:$K$742,ROW()-1,MATCH(E$1,'包络曲线数据'!$B$1:$K$1,0)),""))</x:f>
      </x:c>
      <x:c r="F392" t="str">
        <x:f>IF(F$1="","",IFERROR(INDEX('包络曲线数据'!$B$2:$K$742,ROW()-1,MATCH(F$1,'包络曲线数据'!$B$1:$K$1,0)),""))</x:f>
      </x:c>
      <x:c r="G392" t="str">
        <x:f>IF(G$1="","",IFERROR(INDEX('包络曲线数据'!$B$2:$K$742,ROW()-1,MATCH(G$1,'包络曲线数据'!$B$1:$K$1,0)),""))</x:f>
      </x:c>
    </x:row>
    <x:row r="393">
      <x:c r="A393" t="n">
        <x:v>39.1</x:v>
      </x:c>
      <x:c r="B393" t="n">
        <x:f>IF(B$1="","",IFERROR(INDEX('包络曲线数据'!$B$2:$K$742,ROW()-1,MATCH(B$1,'包络曲线数据'!$B$1:$K$1,0)),""))</x:f>
        <x:v>74.60972463637214</x:v>
      </x:c>
      <x:c r="C393" t="n">
        <x:f>IF(C$1="","",IFERROR(INDEX('包络曲线数据'!$B$2:$K$742,ROW()-1,MATCH(C$1,'包络曲线数据'!$B$1:$K$1,0)),""))</x:f>
        <x:v>63.989662979349966</x:v>
      </x:c>
      <x:c r="D393" t="str">
        <x:f>IF(D$1="","",IFERROR(INDEX('包络曲线数据'!$B$2:$K$742,ROW()-1,MATCH(D$1,'包络曲线数据'!$B$1:$K$1,0)),""))</x:f>
      </x:c>
      <x:c r="E393" t="str">
        <x:f>IF(E$1="","",IFERROR(INDEX('包络曲线数据'!$B$2:$K$742,ROW()-1,MATCH(E$1,'包络曲线数据'!$B$1:$K$1,0)),""))</x:f>
      </x:c>
      <x:c r="F393" t="str">
        <x:f>IF(F$1="","",IFERROR(INDEX('包络曲线数据'!$B$2:$K$742,ROW()-1,MATCH(F$1,'包络曲线数据'!$B$1:$K$1,0)),""))</x:f>
      </x:c>
      <x:c r="G393" t="str">
        <x:f>IF(G$1="","",IFERROR(INDEX('包络曲线数据'!$B$2:$K$742,ROW()-1,MATCH(G$1,'包络曲线数据'!$B$1:$K$1,0)),""))</x:f>
      </x:c>
    </x:row>
    <x:row r="394">
      <x:c r="A394" t="n">
        <x:v>39.2</x:v>
      </x:c>
      <x:c r="B394" t="n">
        <x:f>IF(B$1="","",IFERROR(INDEX('包络曲线数据'!$B$2:$K$742,ROW()-1,MATCH(B$1,'包络曲线数据'!$B$1:$K$1,0)),""))</x:f>
        <x:v>74.60972463637214</x:v>
      </x:c>
      <x:c r="C394" t="n">
        <x:f>IF(C$1="","",IFERROR(INDEX('包络曲线数据'!$B$2:$K$742,ROW()-1,MATCH(C$1,'包络曲线数据'!$B$1:$K$1,0)),""))</x:f>
        <x:v>63.989662979349966</x:v>
      </x:c>
      <x:c r="D394" t="str">
        <x:f>IF(D$1="","",IFERROR(INDEX('包络曲线数据'!$B$2:$K$742,ROW()-1,MATCH(D$1,'包络曲线数据'!$B$1:$K$1,0)),""))</x:f>
      </x:c>
      <x:c r="E394" t="str">
        <x:f>IF(E$1="","",IFERROR(INDEX('包络曲线数据'!$B$2:$K$742,ROW()-1,MATCH(E$1,'包络曲线数据'!$B$1:$K$1,0)),""))</x:f>
      </x:c>
      <x:c r="F394" t="str">
        <x:f>IF(F$1="","",IFERROR(INDEX('包络曲线数据'!$B$2:$K$742,ROW()-1,MATCH(F$1,'包络曲线数据'!$B$1:$K$1,0)),""))</x:f>
      </x:c>
      <x:c r="G394" t="str">
        <x:f>IF(G$1="","",IFERROR(INDEX('包络曲线数据'!$B$2:$K$742,ROW()-1,MATCH(G$1,'包络曲线数据'!$B$1:$K$1,0)),""))</x:f>
      </x:c>
    </x:row>
    <x:row r="395">
      <x:c r="A395" t="n">
        <x:v>39.300000000000004</x:v>
      </x:c>
      <x:c r="B395" t="n">
        <x:f>IF(B$1="","",IFERROR(INDEX('包络曲线数据'!$B$2:$K$742,ROW()-1,MATCH(B$1,'包络曲线数据'!$B$1:$K$1,0)),""))</x:f>
        <x:v>65.30720291566001</x:v>
      </x:c>
      <x:c r="C395" t="n">
        <x:f>IF(C$1="","",IFERROR(INDEX('包络曲线数据'!$B$2:$K$742,ROW()-1,MATCH(C$1,'包络曲线数据'!$B$1:$K$1,0)),""))</x:f>
        <x:v>64.28727802699848</x:v>
      </x:c>
      <x:c r="D395" t="str">
        <x:f>IF(D$1="","",IFERROR(INDEX('包络曲线数据'!$B$2:$K$742,ROW()-1,MATCH(D$1,'包络曲线数据'!$B$1:$K$1,0)),""))</x:f>
      </x:c>
      <x:c r="E395" t="str">
        <x:f>IF(E$1="","",IFERROR(INDEX('包络曲线数据'!$B$2:$K$742,ROW()-1,MATCH(E$1,'包络曲线数据'!$B$1:$K$1,0)),""))</x:f>
      </x:c>
      <x:c r="F395" t="str">
        <x:f>IF(F$1="","",IFERROR(INDEX('包络曲线数据'!$B$2:$K$742,ROW()-1,MATCH(F$1,'包络曲线数据'!$B$1:$K$1,0)),""))</x:f>
      </x:c>
      <x:c r="G395" t="str">
        <x:f>IF(G$1="","",IFERROR(INDEX('包络曲线数据'!$B$2:$K$742,ROW()-1,MATCH(G$1,'包络曲线数据'!$B$1:$K$1,0)),""))</x:f>
      </x:c>
    </x:row>
    <x:row r="396">
      <x:c r="A396" t="n">
        <x:v>39.400000000000006</x:v>
      </x:c>
      <x:c r="B396" t="n">
        <x:f>IF(B$1="","",IFERROR(INDEX('包络曲线数据'!$B$2:$K$742,ROW()-1,MATCH(B$1,'包络曲线数据'!$B$1:$K$1,0)),""))</x:f>
        <x:v>65.30720291566001</x:v>
      </x:c>
      <x:c r="C396" t="n">
        <x:f>IF(C$1="","",IFERROR(INDEX('包络曲线数据'!$B$2:$K$742,ROW()-1,MATCH(C$1,'包络曲线数据'!$B$1:$K$1,0)),""))</x:f>
        <x:v>64.28727802699848</x:v>
      </x:c>
      <x:c r="D396" t="str">
        <x:f>IF(D$1="","",IFERROR(INDEX('包络曲线数据'!$B$2:$K$742,ROW()-1,MATCH(D$1,'包络曲线数据'!$B$1:$K$1,0)),""))</x:f>
      </x:c>
      <x:c r="E396" t="str">
        <x:f>IF(E$1="","",IFERROR(INDEX('包络曲线数据'!$B$2:$K$742,ROW()-1,MATCH(E$1,'包络曲线数据'!$B$1:$K$1,0)),""))</x:f>
      </x:c>
      <x:c r="F396" t="str">
        <x:f>IF(F$1="","",IFERROR(INDEX('包络曲线数据'!$B$2:$K$742,ROW()-1,MATCH(F$1,'包络曲线数据'!$B$1:$K$1,0)),""))</x:f>
      </x:c>
      <x:c r="G396" t="str">
        <x:f>IF(G$1="","",IFERROR(INDEX('包络曲线数据'!$B$2:$K$742,ROW()-1,MATCH(G$1,'包络曲线数据'!$B$1:$K$1,0)),""))</x:f>
      </x:c>
    </x:row>
    <x:row r="397">
      <x:c r="A397" t="n">
        <x:v>39.5</x:v>
      </x:c>
      <x:c r="B397" t="n">
        <x:f>IF(B$1="","",IFERROR(INDEX('包络曲线数据'!$B$2:$K$742,ROW()-1,MATCH(B$1,'包络曲线数据'!$B$1:$K$1,0)),""))</x:f>
        <x:v>60.20898450049181</x:v>
      </x:c>
      <x:c r="C397" t="n">
        <x:f>IF(C$1="","",IFERROR(INDEX('包络曲线数据'!$B$2:$K$742,ROW()-1,MATCH(C$1,'包络曲线数据'!$B$1:$K$1,0)),""))</x:f>
        <x:v>62.377556790373426</x:v>
      </x:c>
      <x:c r="D397" t="str">
        <x:f>IF(D$1="","",IFERROR(INDEX('包络曲线数据'!$B$2:$K$742,ROW()-1,MATCH(D$1,'包络曲线数据'!$B$1:$K$1,0)),""))</x:f>
      </x:c>
      <x:c r="E397" t="str">
        <x:f>IF(E$1="","",IFERROR(INDEX('包络曲线数据'!$B$2:$K$742,ROW()-1,MATCH(E$1,'包络曲线数据'!$B$1:$K$1,0)),""))</x:f>
      </x:c>
      <x:c r="F397" t="str">
        <x:f>IF(F$1="","",IFERROR(INDEX('包络曲线数据'!$B$2:$K$742,ROW()-1,MATCH(F$1,'包络曲线数据'!$B$1:$K$1,0)),""))</x:f>
      </x:c>
      <x:c r="G397" t="str">
        <x:f>IF(G$1="","",IFERROR(INDEX('包络曲线数据'!$B$2:$K$742,ROW()-1,MATCH(G$1,'包络曲线数据'!$B$1:$K$1,0)),""))</x:f>
      </x:c>
    </x:row>
    <x:row r="398">
      <x:c r="A398" t="n">
        <x:v>39.6</x:v>
      </x:c>
      <x:c r="B398" t="n">
        <x:f>IF(B$1="","",IFERROR(INDEX('包络曲线数据'!$B$2:$K$742,ROW()-1,MATCH(B$1,'包络曲线数据'!$B$1:$K$1,0)),""))</x:f>
        <x:v>60.20898450049181</x:v>
      </x:c>
      <x:c r="C398" t="n">
        <x:f>IF(C$1="","",IFERROR(INDEX('包络曲线数据'!$B$2:$K$742,ROW()-1,MATCH(C$1,'包络曲线数据'!$B$1:$K$1,0)),""))</x:f>
        <x:v>62.95998471687048</x:v>
      </x:c>
      <x:c r="D398" t="str">
        <x:f>IF(D$1="","",IFERROR(INDEX('包络曲线数据'!$B$2:$K$742,ROW()-1,MATCH(D$1,'包络曲线数据'!$B$1:$K$1,0)),""))</x:f>
      </x:c>
      <x:c r="E398" t="str">
        <x:f>IF(E$1="","",IFERROR(INDEX('包络曲线数据'!$B$2:$K$742,ROW()-1,MATCH(E$1,'包络曲线数据'!$B$1:$K$1,0)),""))</x:f>
      </x:c>
      <x:c r="F398" t="str">
        <x:f>IF(F$1="","",IFERROR(INDEX('包络曲线数据'!$B$2:$K$742,ROW()-1,MATCH(F$1,'包络曲线数据'!$B$1:$K$1,0)),""))</x:f>
      </x:c>
      <x:c r="G398" t="str">
        <x:f>IF(G$1="","",IFERROR(INDEX('包络曲线数据'!$B$2:$K$742,ROW()-1,MATCH(G$1,'包络曲线数据'!$B$1:$K$1,0)),""))</x:f>
      </x:c>
    </x:row>
    <x:row r="399">
      <x:c r="A399" t="n">
        <x:v>39.7</x:v>
      </x:c>
      <x:c r="B399" t="n">
        <x:f>IF(B$1="","",IFERROR(INDEX('包络曲线数据'!$B$2:$K$742,ROW()-1,MATCH(B$1,'包络曲线数据'!$B$1:$K$1,0)),""))</x:f>
        <x:v>50</x:v>
      </x:c>
      <x:c r="C399" t="n">
        <x:f>IF(C$1="","",IFERROR(INDEX('包络曲线数据'!$B$2:$K$742,ROW()-1,MATCH(C$1,'包络曲线数据'!$B$1:$K$1,0)),""))</x:f>
        <x:v>82.98980774907852</x:v>
      </x:c>
      <x:c r="D399" t="str">
        <x:f>IF(D$1="","",IFERROR(INDEX('包络曲线数据'!$B$2:$K$742,ROW()-1,MATCH(D$1,'包络曲线数据'!$B$1:$K$1,0)),""))</x:f>
      </x:c>
      <x:c r="E399" t="str">
        <x:f>IF(E$1="","",IFERROR(INDEX('包络曲线数据'!$B$2:$K$742,ROW()-1,MATCH(E$1,'包络曲线数据'!$B$1:$K$1,0)),""))</x:f>
      </x:c>
      <x:c r="F399" t="str">
        <x:f>IF(F$1="","",IFERROR(INDEX('包络曲线数据'!$B$2:$K$742,ROW()-1,MATCH(F$1,'包络曲线数据'!$B$1:$K$1,0)),""))</x:f>
      </x:c>
      <x:c r="G399" t="str">
        <x:f>IF(G$1="","",IFERROR(INDEX('包络曲线数据'!$B$2:$K$742,ROW()-1,MATCH(G$1,'包络曲线数据'!$B$1:$K$1,0)),""))</x:f>
      </x:c>
    </x:row>
    <x:row r="400">
      <x:c r="A400" t="n">
        <x:v>39.800000000000004</x:v>
      </x:c>
      <x:c r="B400" t="n">
        <x:f>IF(B$1="","",IFERROR(INDEX('包络曲线数据'!$B$2:$K$742,ROW()-1,MATCH(B$1,'包络曲线数据'!$B$1:$K$1,0)),""))</x:f>
        <x:v>50</x:v>
      </x:c>
      <x:c r="C400" t="n">
        <x:f>IF(C$1="","",IFERROR(INDEX('包络曲线数据'!$B$2:$K$742,ROW()-1,MATCH(C$1,'包络曲线数据'!$B$1:$K$1,0)),""))</x:f>
        <x:v>87.88915527494896</x:v>
      </x:c>
      <x:c r="D400" t="str">
        <x:f>IF(D$1="","",IFERROR(INDEX('包络曲线数据'!$B$2:$K$742,ROW()-1,MATCH(D$1,'包络曲线数据'!$B$1:$K$1,0)),""))</x:f>
      </x:c>
      <x:c r="E400" t="str">
        <x:f>IF(E$1="","",IFERROR(INDEX('包络曲线数据'!$B$2:$K$742,ROW()-1,MATCH(E$1,'包络曲线数据'!$B$1:$K$1,0)),""))</x:f>
      </x:c>
      <x:c r="F400" t="str">
        <x:f>IF(F$1="","",IFERROR(INDEX('包络曲线数据'!$B$2:$K$742,ROW()-1,MATCH(F$1,'包络曲线数据'!$B$1:$K$1,0)),""))</x:f>
      </x:c>
      <x:c r="G400" t="str">
        <x:f>IF(G$1="","",IFERROR(INDEX('包络曲线数据'!$B$2:$K$742,ROW()-1,MATCH(G$1,'包络曲线数据'!$B$1:$K$1,0)),""))</x:f>
      </x:c>
    </x:row>
    <x:row r="401">
      <x:c r="A401" t="n">
        <x:v>39.900000000000006</x:v>
      </x:c>
      <x:c r="B401" t="n">
        <x:f>IF(B$1="","",IFERROR(INDEX('包络曲线数据'!$B$2:$K$742,ROW()-1,MATCH(B$1,'包络曲线数据'!$B$1:$K$1,0)),""))</x:f>
        <x:v>74.61174907702812</x:v>
      </x:c>
      <x:c r="C401" t="n">
        <x:f>IF(C$1="","",IFERROR(INDEX('包络曲线数据'!$B$2:$K$742,ROW()-1,MATCH(C$1,'包络曲线数据'!$B$1:$K$1,0)),""))</x:f>
        <x:v>87.88915527494896</x:v>
      </x:c>
      <x:c r="D401" t="str">
        <x:f>IF(D$1="","",IFERROR(INDEX('包络曲线数据'!$B$2:$K$742,ROW()-1,MATCH(D$1,'包络曲线数据'!$B$1:$K$1,0)),""))</x:f>
      </x:c>
      <x:c r="E401" t="str">
        <x:f>IF(E$1="","",IFERROR(INDEX('包络曲线数据'!$B$2:$K$742,ROW()-1,MATCH(E$1,'包络曲线数据'!$B$1:$K$1,0)),""))</x:f>
      </x:c>
      <x:c r="F401" t="str">
        <x:f>IF(F$1="","",IFERROR(INDEX('包络曲线数据'!$B$2:$K$742,ROW()-1,MATCH(F$1,'包络曲线数据'!$B$1:$K$1,0)),""))</x:f>
      </x:c>
      <x:c r="G401" t="str">
        <x:f>IF(G$1="","",IFERROR(INDEX('包络曲线数据'!$B$2:$K$742,ROW()-1,MATCH(G$1,'包络曲线数据'!$B$1:$K$1,0)),""))</x:f>
      </x:c>
    </x:row>
    <x:row r="402">
      <x:c r="A402" t="n">
        <x:v>40</x:v>
      </x:c>
      <x:c r="B402" t="n">
        <x:f>IF(B$1="","",IFERROR(INDEX('包络曲线数据'!$B$2:$K$742,ROW()-1,MATCH(B$1,'包络曲线数据'!$B$1:$K$1,0)),""))</x:f>
        <x:v>74.61174907702812</x:v>
      </x:c>
      <x:c r="C402" t="n">
        <x:f>IF(C$1="","",IFERROR(INDEX('包络曲线数据'!$B$2:$K$742,ROW()-1,MATCH(C$1,'包络曲线数据'!$B$1:$K$1,0)),""))</x:f>
        <x:v>80.15078305770611</x:v>
      </x:c>
      <x:c r="D402" t="str">
        <x:f>IF(D$1="","",IFERROR(INDEX('包络曲线数据'!$B$2:$K$742,ROW()-1,MATCH(D$1,'包络曲线数据'!$B$1:$K$1,0)),""))</x:f>
      </x:c>
      <x:c r="E402" t="str">
        <x:f>IF(E$1="","",IFERROR(INDEX('包络曲线数据'!$B$2:$K$742,ROW()-1,MATCH(E$1,'包络曲线数据'!$B$1:$K$1,0)),""))</x:f>
      </x:c>
      <x:c r="F402" t="str">
        <x:f>IF(F$1="","",IFERROR(INDEX('包络曲线数据'!$B$2:$K$742,ROW()-1,MATCH(F$1,'包络曲线数据'!$B$1:$K$1,0)),""))</x:f>
      </x:c>
      <x:c r="G402" t="str">
        <x:f>IF(G$1="","",IFERROR(INDEX('包络曲线数据'!$B$2:$K$742,ROW()-1,MATCH(G$1,'包络曲线数据'!$B$1:$K$1,0)),""))</x:f>
      </x:c>
    </x:row>
    <x:row r="403">
      <x:c r="A403" t="n">
        <x:v>40.1</x:v>
      </x:c>
      <x:c r="B403" t="n">
        <x:f>IF(B$1="","",IFERROR(INDEX('包络曲线数据'!$B$2:$K$742,ROW()-1,MATCH(B$1,'包络曲线数据'!$B$1:$K$1,0)),""))</x:f>
        <x:v>71.45769590780645</x:v>
      </x:c>
      <x:c r="C403" t="n">
        <x:f>IF(C$1="","",IFERROR(INDEX('包络曲线数据'!$B$2:$K$742,ROW()-1,MATCH(C$1,'包络曲线数据'!$B$1:$K$1,0)),""))</x:f>
        <x:v>73.2625504273608</x:v>
      </x:c>
      <x:c r="D403" t="str">
        <x:f>IF(D$1="","",IFERROR(INDEX('包络曲线数据'!$B$2:$K$742,ROW()-1,MATCH(D$1,'包络曲线数据'!$B$1:$K$1,0)),""))</x:f>
      </x:c>
      <x:c r="E403" t="str">
        <x:f>IF(E$1="","",IFERROR(INDEX('包络曲线数据'!$B$2:$K$742,ROW()-1,MATCH(E$1,'包络曲线数据'!$B$1:$K$1,0)),""))</x:f>
      </x:c>
      <x:c r="F403" t="str">
        <x:f>IF(F$1="","",IFERROR(INDEX('包络曲线数据'!$B$2:$K$742,ROW()-1,MATCH(F$1,'包络曲线数据'!$B$1:$K$1,0)),""))</x:f>
      </x:c>
      <x:c r="G403" t="str">
        <x:f>IF(G$1="","",IFERROR(INDEX('包络曲线数据'!$B$2:$K$742,ROW()-1,MATCH(G$1,'包络曲线数据'!$B$1:$K$1,0)),""))</x:f>
      </x:c>
    </x:row>
    <x:row r="404">
      <x:c r="A404" t="n">
        <x:v>40.2</x:v>
      </x:c>
      <x:c r="B404" t="n">
        <x:f>IF(B$1="","",IFERROR(INDEX('包络曲线数据'!$B$2:$K$742,ROW()-1,MATCH(B$1,'包络曲线数据'!$B$1:$K$1,0)),""))</x:f>
        <x:v>65.20574711553041</x:v>
      </x:c>
      <x:c r="C404" t="n">
        <x:f>IF(C$1="","",IFERROR(INDEX('包络曲线数据'!$B$2:$K$742,ROW()-1,MATCH(C$1,'包络曲线数据'!$B$1:$K$1,0)),""))</x:f>
        <x:v>71.09437238073696</x:v>
      </x:c>
      <x:c r="D404" t="str">
        <x:f>IF(D$1="","",IFERROR(INDEX('包络曲线数据'!$B$2:$K$742,ROW()-1,MATCH(D$1,'包络曲线数据'!$B$1:$K$1,0)),""))</x:f>
      </x:c>
      <x:c r="E404" t="str">
        <x:f>IF(E$1="","",IFERROR(INDEX('包络曲线数据'!$B$2:$K$742,ROW()-1,MATCH(E$1,'包络曲线数据'!$B$1:$K$1,0)),""))</x:f>
      </x:c>
      <x:c r="F404" t="str">
        <x:f>IF(F$1="","",IFERROR(INDEX('包络曲线数据'!$B$2:$K$742,ROW()-1,MATCH(F$1,'包络曲线数据'!$B$1:$K$1,0)),""))</x:f>
      </x:c>
      <x:c r="G404" t="str">
        <x:f>IF(G$1="","",IFERROR(INDEX('包络曲线数据'!$B$2:$K$742,ROW()-1,MATCH(G$1,'包络曲线数据'!$B$1:$K$1,0)),""))</x:f>
      </x:c>
    </x:row>
    <x:row r="405">
      <x:c r="A405" t="n">
        <x:v>40.300000000000004</x:v>
      </x:c>
      <x:c r="B405" t="n">
        <x:f>IF(B$1="","",IFERROR(INDEX('包络曲线数据'!$B$2:$K$742,ROW()-1,MATCH(B$1,'包络曲线数据'!$B$1:$K$1,0)),""))</x:f>
        <x:v>50</x:v>
      </x:c>
      <x:c r="C405" t="n">
        <x:f>IF(C$1="","",IFERROR(INDEX('包络曲线数据'!$B$2:$K$742,ROW()-1,MATCH(C$1,'包络曲线数据'!$B$1:$K$1,0)),""))</x:f>
        <x:v>69.02840405069541</x:v>
      </x:c>
      <x:c r="D405" t="str">
        <x:f>IF(D$1="","",IFERROR(INDEX('包络曲线数据'!$B$2:$K$742,ROW()-1,MATCH(D$1,'包络曲线数据'!$B$1:$K$1,0)),""))</x:f>
      </x:c>
      <x:c r="E405" t="str">
        <x:f>IF(E$1="","",IFERROR(INDEX('包络曲线数据'!$B$2:$K$742,ROW()-1,MATCH(E$1,'包络曲线数据'!$B$1:$K$1,0)),""))</x:f>
      </x:c>
      <x:c r="F405" t="str">
        <x:f>IF(F$1="","",IFERROR(INDEX('包络曲线数据'!$B$2:$K$742,ROW()-1,MATCH(F$1,'包络曲线数据'!$B$1:$K$1,0)),""))</x:f>
      </x:c>
      <x:c r="G405" t="str">
        <x:f>IF(G$1="","",IFERROR(INDEX('包络曲线数据'!$B$2:$K$742,ROW()-1,MATCH(G$1,'包络曲线数据'!$B$1:$K$1,0)),""))</x:f>
      </x:c>
    </x:row>
    <x:row r="406">
      <x:c r="A406" t="n">
        <x:v>40.400000000000006</x:v>
      </x:c>
      <x:c r="B406" t="n">
        <x:f>IF(B$1="","",IFERROR(INDEX('包络曲线数据'!$B$2:$K$742,ROW()-1,MATCH(B$1,'包络曲线数据'!$B$1:$K$1,0)),""))</x:f>
        <x:v>67.50511516415034</x:v>
      </x:c>
      <x:c r="C406" t="n">
        <x:f>IF(C$1="","",IFERROR(INDEX('包络曲线数据'!$B$2:$K$742,ROW()-1,MATCH(C$1,'包络曲线数据'!$B$1:$K$1,0)),""))</x:f>
        <x:v>67.80248717794261</x:v>
      </x:c>
      <x:c r="D406" t="str">
        <x:f>IF(D$1="","",IFERROR(INDEX('包络曲线数据'!$B$2:$K$742,ROW()-1,MATCH(D$1,'包络曲线数据'!$B$1:$K$1,0)),""))</x:f>
      </x:c>
      <x:c r="E406" t="str">
        <x:f>IF(E$1="","",IFERROR(INDEX('包络曲线数据'!$B$2:$K$742,ROW()-1,MATCH(E$1,'包络曲线数据'!$B$1:$K$1,0)),""))</x:f>
      </x:c>
      <x:c r="F406" t="str">
        <x:f>IF(F$1="","",IFERROR(INDEX('包络曲线数据'!$B$2:$K$742,ROW()-1,MATCH(F$1,'包络曲线数据'!$B$1:$K$1,0)),""))</x:f>
      </x:c>
      <x:c r="G406" t="str">
        <x:f>IF(G$1="","",IFERROR(INDEX('包络曲线数据'!$B$2:$K$742,ROW()-1,MATCH(G$1,'包络曲线数据'!$B$1:$K$1,0)),""))</x:f>
      </x:c>
    </x:row>
    <x:row r="407">
      <x:c r="A407" t="n">
        <x:v>40.5</x:v>
      </x:c>
      <x:c r="B407" t="n">
        <x:f>IF(B$1="","",IFERROR(INDEX('包络曲线数据'!$B$2:$K$742,ROW()-1,MATCH(B$1,'包络曲线数据'!$B$1:$K$1,0)),""))</x:f>
        <x:v>68.20507915029337</x:v>
      </x:c>
      <x:c r="C407" t="n">
        <x:f>IF(C$1="","",IFERROR(INDEX('包络曲线数据'!$B$2:$K$742,ROW()-1,MATCH(C$1,'包络曲线数据'!$B$1:$K$1,0)),""))</x:f>
        <x:v>63.919405789825475</x:v>
      </x:c>
      <x:c r="D407" t="str">
        <x:f>IF(D$1="","",IFERROR(INDEX('包络曲线数据'!$B$2:$K$742,ROW()-1,MATCH(D$1,'包络曲线数据'!$B$1:$K$1,0)),""))</x:f>
      </x:c>
      <x:c r="E407" t="str">
        <x:f>IF(E$1="","",IFERROR(INDEX('包络曲线数据'!$B$2:$K$742,ROW()-1,MATCH(E$1,'包络曲线数据'!$B$1:$K$1,0)),""))</x:f>
      </x:c>
      <x:c r="F407" t="str">
        <x:f>IF(F$1="","",IFERROR(INDEX('包络曲线数据'!$B$2:$K$742,ROW()-1,MATCH(F$1,'包络曲线数据'!$B$1:$K$1,0)),""))</x:f>
      </x:c>
      <x:c r="G407" t="str">
        <x:f>IF(G$1="","",IFERROR(INDEX('包络曲线数据'!$B$2:$K$742,ROW()-1,MATCH(G$1,'包络曲线数据'!$B$1:$K$1,0)),""))</x:f>
      </x:c>
    </x:row>
    <x:row r="408">
      <x:c r="A408" t="n">
        <x:v>40.6</x:v>
      </x:c>
      <x:c r="B408" t="n">
        <x:f>IF(B$1="","",IFERROR(INDEX('包络曲线数据'!$B$2:$K$742,ROW()-1,MATCH(B$1,'包络曲线数据'!$B$1:$K$1,0)),""))</x:f>
        <x:v>68.20507915029337</x:v>
      </x:c>
      <x:c r="C408" t="n">
        <x:f>IF(C$1="","",IFERROR(INDEX('包络曲线数据'!$B$2:$K$742,ROW()-1,MATCH(C$1,'包络曲线数据'!$B$1:$K$1,0)),""))</x:f>
        <x:v>63.919405789825475</x:v>
      </x:c>
      <x:c r="D408" t="str">
        <x:f>IF(D$1="","",IFERROR(INDEX('包络曲线数据'!$B$2:$K$742,ROW()-1,MATCH(D$1,'包络曲线数据'!$B$1:$K$1,0)),""))</x:f>
      </x:c>
      <x:c r="E408" t="str">
        <x:f>IF(E$1="","",IFERROR(INDEX('包络曲线数据'!$B$2:$K$742,ROW()-1,MATCH(E$1,'包络曲线数据'!$B$1:$K$1,0)),""))</x:f>
      </x:c>
      <x:c r="F408" t="str">
        <x:f>IF(F$1="","",IFERROR(INDEX('包络曲线数据'!$B$2:$K$742,ROW()-1,MATCH(F$1,'包络曲线数据'!$B$1:$K$1,0)),""))</x:f>
      </x:c>
      <x:c r="G408" t="str">
        <x:f>IF(G$1="","",IFERROR(INDEX('包络曲线数据'!$B$2:$K$742,ROW()-1,MATCH(G$1,'包络曲线数据'!$B$1:$K$1,0)),""))</x:f>
      </x:c>
    </x:row>
    <x:row r="409">
      <x:c r="A409" t="n">
        <x:v>40.7</x:v>
      </x:c>
      <x:c r="B409" t="n">
        <x:f>IF(B$1="","",IFERROR(INDEX('包络曲线数据'!$B$2:$K$742,ROW()-1,MATCH(B$1,'包络曲线数据'!$B$1:$K$1,0)),""))</x:f>
        <x:v>68.05558255827158</x:v>
      </x:c>
      <x:c r="C409" t="n">
        <x:f>IF(C$1="","",IFERROR(INDEX('包络曲线数据'!$B$2:$K$742,ROW()-1,MATCH(C$1,'包络曲线数据'!$B$1:$K$1,0)),""))</x:f>
        <x:v>62.21806610934506</x:v>
      </x:c>
      <x:c r="D409" t="str">
        <x:f>IF(D$1="","",IFERROR(INDEX('包络曲线数据'!$B$2:$K$742,ROW()-1,MATCH(D$1,'包络曲线数据'!$B$1:$K$1,0)),""))</x:f>
      </x:c>
      <x:c r="E409" t="str">
        <x:f>IF(E$1="","",IFERROR(INDEX('包络曲线数据'!$B$2:$K$742,ROW()-1,MATCH(E$1,'包络曲线数据'!$B$1:$K$1,0)),""))</x:f>
      </x:c>
      <x:c r="F409" t="str">
        <x:f>IF(F$1="","",IFERROR(INDEX('包络曲线数据'!$B$2:$K$742,ROW()-1,MATCH(F$1,'包络曲线数据'!$B$1:$K$1,0)),""))</x:f>
      </x:c>
      <x:c r="G409" t="str">
        <x:f>IF(G$1="","",IFERROR(INDEX('包络曲线数据'!$B$2:$K$742,ROW()-1,MATCH(G$1,'包络曲线数据'!$B$1:$K$1,0)),""))</x:f>
      </x:c>
    </x:row>
    <x:row r="410">
      <x:c r="A410" t="n">
        <x:v>40.800000000000004</x:v>
      </x:c>
      <x:c r="B410" t="n">
        <x:f>IF(B$1="","",IFERROR(INDEX('包络曲线数据'!$B$2:$K$742,ROW()-1,MATCH(B$1,'包络曲线数据'!$B$1:$K$1,0)),""))</x:f>
        <x:v>67.91578969118785</x:v>
      </x:c>
      <x:c r="C410" t="n">
        <x:f>IF(C$1="","",IFERROR(INDEX('包络曲线数据'!$B$2:$K$742,ROW()-1,MATCH(C$1,'包络曲线数据'!$B$1:$K$1,0)),""))</x:f>
        <x:v>53.705799695511004</x:v>
      </x:c>
      <x:c r="D410" t="str">
        <x:f>IF(D$1="","",IFERROR(INDEX('包络曲线数据'!$B$2:$K$742,ROW()-1,MATCH(D$1,'包络曲线数据'!$B$1:$K$1,0)),""))</x:f>
      </x:c>
      <x:c r="E410" t="str">
        <x:f>IF(E$1="","",IFERROR(INDEX('包络曲线数据'!$B$2:$K$742,ROW()-1,MATCH(E$1,'包络曲线数据'!$B$1:$K$1,0)),""))</x:f>
      </x:c>
      <x:c r="F410" t="str">
        <x:f>IF(F$1="","",IFERROR(INDEX('包络曲线数据'!$B$2:$K$742,ROW()-1,MATCH(F$1,'包络曲线数据'!$B$1:$K$1,0)),""))</x:f>
      </x:c>
      <x:c r="G410" t="str">
        <x:f>IF(G$1="","",IFERROR(INDEX('包络曲线数据'!$B$2:$K$742,ROW()-1,MATCH(G$1,'包络曲线数据'!$B$1:$K$1,0)),""))</x:f>
      </x:c>
    </x:row>
    <x:row r="411">
      <x:c r="A411" t="n">
        <x:v>40.900000000000006</x:v>
      </x:c>
      <x:c r="B411" t="n">
        <x:f>IF(B$1="","",IFERROR(INDEX('包络曲线数据'!$B$2:$K$742,ROW()-1,MATCH(B$1,'包络曲线数据'!$B$1:$K$1,0)),""))</x:f>
        <x:v>68.5727619731675</x:v>
      </x:c>
      <x:c r="C411" t="n">
        <x:f>IF(C$1="","",IFERROR(INDEX('包络曲线数据'!$B$2:$K$742,ROW()-1,MATCH(C$1,'包络曲线数据'!$B$1:$K$1,0)),""))</x:f>
        <x:v>68.53922138352934</x:v>
      </x:c>
      <x:c r="D411" t="str">
        <x:f>IF(D$1="","",IFERROR(INDEX('包络曲线数据'!$B$2:$K$742,ROW()-1,MATCH(D$1,'包络曲线数据'!$B$1:$K$1,0)),""))</x:f>
      </x:c>
      <x:c r="E411" t="str">
        <x:f>IF(E$1="","",IFERROR(INDEX('包络曲线数据'!$B$2:$K$742,ROW()-1,MATCH(E$1,'包络曲线数据'!$B$1:$K$1,0)),""))</x:f>
      </x:c>
      <x:c r="F411" t="str">
        <x:f>IF(F$1="","",IFERROR(INDEX('包络曲线数据'!$B$2:$K$742,ROW()-1,MATCH(F$1,'包络曲线数据'!$B$1:$K$1,0)),""))</x:f>
      </x:c>
      <x:c r="G411" t="str">
        <x:f>IF(G$1="","",IFERROR(INDEX('包络曲线数据'!$B$2:$K$742,ROW()-1,MATCH(G$1,'包络曲线数据'!$B$1:$K$1,0)),""))</x:f>
      </x:c>
    </x:row>
    <x:row r="412">
      <x:c r="A412" t="n">
        <x:v>41</x:v>
      </x:c>
      <x:c r="B412" t="n">
        <x:f>IF(B$1="","",IFERROR(INDEX('包络曲线数据'!$B$2:$K$742,ROW()-1,MATCH(B$1,'包络曲线数据'!$B$1:$K$1,0)),""))</x:f>
        <x:v>68.5727619731675</x:v>
      </x:c>
      <x:c r="C412" t="n">
        <x:f>IF(C$1="","",IFERROR(INDEX('包络曲线数据'!$B$2:$K$742,ROW()-1,MATCH(C$1,'包络曲线数据'!$B$1:$K$1,0)),""))</x:f>
        <x:v>71.38081739362866</x:v>
      </x:c>
      <x:c r="D412" t="str">
        <x:f>IF(D$1="","",IFERROR(INDEX('包络曲线数据'!$B$2:$K$742,ROW()-1,MATCH(D$1,'包络曲线数据'!$B$1:$K$1,0)),""))</x:f>
      </x:c>
      <x:c r="E412" t="str">
        <x:f>IF(E$1="","",IFERROR(INDEX('包络曲线数据'!$B$2:$K$742,ROW()-1,MATCH(E$1,'包络曲线数据'!$B$1:$K$1,0)),""))</x:f>
      </x:c>
      <x:c r="F412" t="str">
        <x:f>IF(F$1="","",IFERROR(INDEX('包络曲线数据'!$B$2:$K$742,ROW()-1,MATCH(F$1,'包络曲线数据'!$B$1:$K$1,0)),""))</x:f>
      </x:c>
      <x:c r="G412" t="str">
        <x:f>IF(G$1="","",IFERROR(INDEX('包络曲线数据'!$B$2:$K$742,ROW()-1,MATCH(G$1,'包络曲线数据'!$B$1:$K$1,0)),""))</x:f>
      </x:c>
    </x:row>
    <x:row r="413">
      <x:c r="A413" t="n">
        <x:v>41.1</x:v>
      </x:c>
      <x:c r="B413" t="n">
        <x:f>IF(B$1="","",IFERROR(INDEX('包络曲线数据'!$B$2:$K$742,ROW()-1,MATCH(B$1,'包络曲线数据'!$B$1:$K$1,0)),""))</x:f>
        <x:v>69.58553330503075</x:v>
      </x:c>
      <x:c r="C413" t="n">
        <x:f>IF(C$1="","",IFERROR(INDEX('包络曲线数据'!$B$2:$K$742,ROW()-1,MATCH(C$1,'包络曲线数据'!$B$1:$K$1,0)),""))</x:f>
        <x:v>71.38081739362866</x:v>
      </x:c>
      <x:c r="D413" t="str">
        <x:f>IF(D$1="","",IFERROR(INDEX('包络曲线数据'!$B$2:$K$742,ROW()-1,MATCH(D$1,'包络曲线数据'!$B$1:$K$1,0)),""))</x:f>
      </x:c>
      <x:c r="E413" t="str">
        <x:f>IF(E$1="","",IFERROR(INDEX('包络曲线数据'!$B$2:$K$742,ROW()-1,MATCH(E$1,'包络曲线数据'!$B$1:$K$1,0)),""))</x:f>
      </x:c>
      <x:c r="F413" t="str">
        <x:f>IF(F$1="","",IFERROR(INDEX('包络曲线数据'!$B$2:$K$742,ROW()-1,MATCH(F$1,'包络曲线数据'!$B$1:$K$1,0)),""))</x:f>
      </x:c>
      <x:c r="G413" t="str">
        <x:f>IF(G$1="","",IFERROR(INDEX('包络曲线数据'!$B$2:$K$742,ROW()-1,MATCH(G$1,'包络曲线数据'!$B$1:$K$1,0)),""))</x:f>
      </x:c>
    </x:row>
    <x:row r="414">
      <x:c r="A414" t="n">
        <x:v>41.2</x:v>
      </x:c>
      <x:c r="B414" t="n">
        <x:f>IF(B$1="","",IFERROR(INDEX('包络曲线数据'!$B$2:$K$742,ROW()-1,MATCH(B$1,'包络曲线数据'!$B$1:$K$1,0)),""))</x:f>
        <x:v>69.58553330503075</x:v>
      </x:c>
      <x:c r="C414" t="n">
        <x:f>IF(C$1="","",IFERROR(INDEX('包络曲线数据'!$B$2:$K$742,ROW()-1,MATCH(C$1,'包络曲线数据'!$B$1:$K$1,0)),""))</x:f>
        <x:v>60.90211740472454</x:v>
      </x:c>
      <x:c r="D414" t="str">
        <x:f>IF(D$1="","",IFERROR(INDEX('包络曲线数据'!$B$2:$K$742,ROW()-1,MATCH(D$1,'包络曲线数据'!$B$1:$K$1,0)),""))</x:f>
      </x:c>
      <x:c r="E414" t="str">
        <x:f>IF(E$1="","",IFERROR(INDEX('包络曲线数据'!$B$2:$K$742,ROW()-1,MATCH(E$1,'包络曲线数据'!$B$1:$K$1,0)),""))</x:f>
      </x:c>
      <x:c r="F414" t="str">
        <x:f>IF(F$1="","",IFERROR(INDEX('包络曲线数据'!$B$2:$K$742,ROW()-1,MATCH(F$1,'包络曲线数据'!$B$1:$K$1,0)),""))</x:f>
      </x:c>
      <x:c r="G414" t="str">
        <x:f>IF(G$1="","",IFERROR(INDEX('包络曲线数据'!$B$2:$K$742,ROW()-1,MATCH(G$1,'包络曲线数据'!$B$1:$K$1,0)),""))</x:f>
      </x:c>
    </x:row>
    <x:row r="415">
      <x:c r="A415" t="n">
        <x:v>41.300000000000004</x:v>
      </x:c>
      <x:c r="B415" t="n">
        <x:f>IF(B$1="","",IFERROR(INDEX('包络曲线数据'!$B$2:$K$742,ROW()-1,MATCH(B$1,'包络曲线数据'!$B$1:$K$1,0)),""))</x:f>
        <x:v>68.51585925198401</x:v>
      </x:c>
      <x:c r="C415" t="n">
        <x:f>IF(C$1="","",IFERROR(INDEX('包络曲线数据'!$B$2:$K$742,ROW()-1,MATCH(C$1,'包络曲线数据'!$B$1:$K$1,0)),""))</x:f>
        <x:v>50</x:v>
      </x:c>
      <x:c r="D415" t="str">
        <x:f>IF(D$1="","",IFERROR(INDEX('包络曲线数据'!$B$2:$K$742,ROW()-1,MATCH(D$1,'包络曲线数据'!$B$1:$K$1,0)),""))</x:f>
      </x:c>
      <x:c r="E415" t="str">
        <x:f>IF(E$1="","",IFERROR(INDEX('包络曲线数据'!$B$2:$K$742,ROW()-1,MATCH(E$1,'包络曲线数据'!$B$1:$K$1,0)),""))</x:f>
      </x:c>
      <x:c r="F415" t="str">
        <x:f>IF(F$1="","",IFERROR(INDEX('包络曲线数据'!$B$2:$K$742,ROW()-1,MATCH(F$1,'包络曲线数据'!$B$1:$K$1,0)),""))</x:f>
      </x:c>
      <x:c r="G415" t="str">
        <x:f>IF(G$1="","",IFERROR(INDEX('包络曲线数据'!$B$2:$K$742,ROW()-1,MATCH(G$1,'包络曲线数据'!$B$1:$K$1,0)),""))</x:f>
      </x:c>
    </x:row>
    <x:row r="416">
      <x:c r="A416" t="n">
        <x:v>41.400000000000006</x:v>
      </x:c>
      <x:c r="B416" t="n">
        <x:f>IF(B$1="","",IFERROR(INDEX('包络曲线数据'!$B$2:$K$742,ROW()-1,MATCH(B$1,'包络曲线数据'!$B$1:$K$1,0)),""))</x:f>
        <x:v>82.61979851062762</x:v>
      </x:c>
      <x:c r="C416" t="n">
        <x:f>IF(C$1="","",IFERROR(INDEX('包络曲线数据'!$B$2:$K$742,ROW()-1,MATCH(C$1,'包络曲线数据'!$B$1:$K$1,0)),""))</x:f>
        <x:v>55.33215844389641</x:v>
      </x:c>
      <x:c r="D416" t="str">
        <x:f>IF(D$1="","",IFERROR(INDEX('包络曲线数据'!$B$2:$K$742,ROW()-1,MATCH(D$1,'包络曲线数据'!$B$1:$K$1,0)),""))</x:f>
      </x:c>
      <x:c r="E416" t="str">
        <x:f>IF(E$1="","",IFERROR(INDEX('包络曲线数据'!$B$2:$K$742,ROW()-1,MATCH(E$1,'包络曲线数据'!$B$1:$K$1,0)),""))</x:f>
      </x:c>
      <x:c r="F416" t="str">
        <x:f>IF(F$1="","",IFERROR(INDEX('包络曲线数据'!$B$2:$K$742,ROW()-1,MATCH(F$1,'包络曲线数据'!$B$1:$K$1,0)),""))</x:f>
      </x:c>
      <x:c r="G416" t="str">
        <x:f>IF(G$1="","",IFERROR(INDEX('包络曲线数据'!$B$2:$K$742,ROW()-1,MATCH(G$1,'包络曲线数据'!$B$1:$K$1,0)),""))</x:f>
      </x:c>
    </x:row>
    <x:row r="417">
      <x:c r="A417" t="n">
        <x:v>41.5</x:v>
      </x:c>
      <x:c r="B417" t="n">
        <x:f>IF(B$1="","",IFERROR(INDEX('包络曲线数据'!$B$2:$K$742,ROW()-1,MATCH(B$1,'包络曲线数据'!$B$1:$K$1,0)),""))</x:f>
        <x:v>84.19036815028126</x:v>
      </x:c>
      <x:c r="C417" t="n">
        <x:f>IF(C$1="","",IFERROR(INDEX('包络曲线数据'!$B$2:$K$742,ROW()-1,MATCH(C$1,'包络曲线数据'!$B$1:$K$1,0)),""))</x:f>
        <x:v>62.44426952362546</x:v>
      </x:c>
      <x:c r="D417" t="str">
        <x:f>IF(D$1="","",IFERROR(INDEX('包络曲线数据'!$B$2:$K$742,ROW()-1,MATCH(D$1,'包络曲线数据'!$B$1:$K$1,0)),""))</x:f>
      </x:c>
      <x:c r="E417" t="str">
        <x:f>IF(E$1="","",IFERROR(INDEX('包络曲线数据'!$B$2:$K$742,ROW()-1,MATCH(E$1,'包络曲线数据'!$B$1:$K$1,0)),""))</x:f>
      </x:c>
      <x:c r="F417" t="str">
        <x:f>IF(F$1="","",IFERROR(INDEX('包络曲线数据'!$B$2:$K$742,ROW()-1,MATCH(F$1,'包络曲线数据'!$B$1:$K$1,0)),""))</x:f>
      </x:c>
      <x:c r="G417" t="str">
        <x:f>IF(G$1="","",IFERROR(INDEX('包络曲线数据'!$B$2:$K$742,ROW()-1,MATCH(G$1,'包络曲线数据'!$B$1:$K$1,0)),""))</x:f>
      </x:c>
    </x:row>
    <x:row r="418">
      <x:c r="A418" t="n">
        <x:v>41.6</x:v>
      </x:c>
      <x:c r="B418" t="n">
        <x:f>IF(B$1="","",IFERROR(INDEX('包络曲线数据'!$B$2:$K$742,ROW()-1,MATCH(B$1,'包络曲线数据'!$B$1:$K$1,0)),""))</x:f>
        <x:v>84.19036815028126</x:v>
      </x:c>
      <x:c r="C418" t="n">
        <x:f>IF(C$1="","",IFERROR(INDEX('包络曲线数据'!$B$2:$K$742,ROW()-1,MATCH(C$1,'包络曲线数据'!$B$1:$K$1,0)),""))</x:f>
        <x:v>62.5198587922955</x:v>
      </x:c>
      <x:c r="D418" t="str">
        <x:f>IF(D$1="","",IFERROR(INDEX('包络曲线数据'!$B$2:$K$742,ROW()-1,MATCH(D$1,'包络曲线数据'!$B$1:$K$1,0)),""))</x:f>
      </x:c>
      <x:c r="E418" t="str">
        <x:f>IF(E$1="","",IFERROR(INDEX('包络曲线数据'!$B$2:$K$742,ROW()-1,MATCH(E$1,'包络曲线数据'!$B$1:$K$1,0)),""))</x:f>
      </x:c>
      <x:c r="F418" t="str">
        <x:f>IF(F$1="","",IFERROR(INDEX('包络曲线数据'!$B$2:$K$742,ROW()-1,MATCH(F$1,'包络曲线数据'!$B$1:$K$1,0)),""))</x:f>
      </x:c>
      <x:c r="G418" t="str">
        <x:f>IF(G$1="","",IFERROR(INDEX('包络曲线数据'!$B$2:$K$742,ROW()-1,MATCH(G$1,'包络曲线数据'!$B$1:$K$1,0)),""))</x:f>
      </x:c>
    </x:row>
    <x:row r="419">
      <x:c r="A419" t="n">
        <x:v>41.7</x:v>
      </x:c>
      <x:c r="B419" t="n">
        <x:f>IF(B$1="","",IFERROR(INDEX('包络曲线数据'!$B$2:$K$742,ROW()-1,MATCH(B$1,'包络曲线数据'!$B$1:$K$1,0)),""))</x:f>
        <x:v>74.50749147051236</x:v>
      </x:c>
      <x:c r="C419" t="n">
        <x:f>IF(C$1="","",IFERROR(INDEX('包络曲线数据'!$B$2:$K$742,ROW()-1,MATCH(C$1,'包络曲线数据'!$B$1:$K$1,0)),""))</x:f>
        <x:v>62.40463181946859</x:v>
      </x:c>
      <x:c r="D419" t="str">
        <x:f>IF(D$1="","",IFERROR(INDEX('包络曲线数据'!$B$2:$K$742,ROW()-1,MATCH(D$1,'包络曲线数据'!$B$1:$K$1,0)),""))</x:f>
      </x:c>
      <x:c r="E419" t="str">
        <x:f>IF(E$1="","",IFERROR(INDEX('包络曲线数据'!$B$2:$K$742,ROW()-1,MATCH(E$1,'包络曲线数据'!$B$1:$K$1,0)),""))</x:f>
      </x:c>
      <x:c r="F419" t="str">
        <x:f>IF(F$1="","",IFERROR(INDEX('包络曲线数据'!$B$2:$K$742,ROW()-1,MATCH(F$1,'包络曲线数据'!$B$1:$K$1,0)),""))</x:f>
      </x:c>
      <x:c r="G419" t="str">
        <x:f>IF(G$1="","",IFERROR(INDEX('包络曲线数据'!$B$2:$K$742,ROW()-1,MATCH(G$1,'包络曲线数据'!$B$1:$K$1,0)),""))</x:f>
      </x:c>
    </x:row>
    <x:row r="420">
      <x:c r="A420" t="n">
        <x:v>41.800000000000004</x:v>
      </x:c>
      <x:c r="B420" t="n">
        <x:f>IF(B$1="","",IFERROR(INDEX('包络曲线数据'!$B$2:$K$742,ROW()-1,MATCH(B$1,'包络曲线数据'!$B$1:$K$1,0)),""))</x:f>
        <x:v>67.37258735371663</x:v>
      </x:c>
      <x:c r="C420" t="n">
        <x:f>IF(C$1="","",IFERROR(INDEX('包络曲线数据'!$B$2:$K$742,ROW()-1,MATCH(C$1,'包络曲线数据'!$B$1:$K$1,0)),""))</x:f>
        <x:v>60.660067006019425</x:v>
      </x:c>
      <x:c r="D420" t="str">
        <x:f>IF(D$1="","",IFERROR(INDEX('包络曲线数据'!$B$2:$K$742,ROW()-1,MATCH(D$1,'包络曲线数据'!$B$1:$K$1,0)),""))</x:f>
      </x:c>
      <x:c r="E420" t="str">
        <x:f>IF(E$1="","",IFERROR(INDEX('包络曲线数据'!$B$2:$K$742,ROW()-1,MATCH(E$1,'包络曲线数据'!$B$1:$K$1,0)),""))</x:f>
      </x:c>
      <x:c r="F420" t="str">
        <x:f>IF(F$1="","",IFERROR(INDEX('包络曲线数据'!$B$2:$K$742,ROW()-1,MATCH(F$1,'包络曲线数据'!$B$1:$K$1,0)),""))</x:f>
      </x:c>
      <x:c r="G420" t="str">
        <x:f>IF(G$1="","",IFERROR(INDEX('包络曲线数据'!$B$2:$K$742,ROW()-1,MATCH(G$1,'包络曲线数据'!$B$1:$K$1,0)),""))</x:f>
      </x:c>
    </x:row>
    <x:row r="421">
      <x:c r="A421" t="n">
        <x:v>41.900000000000006</x:v>
      </x:c>
      <x:c r="B421" t="n">
        <x:f>IF(B$1="","",IFERROR(INDEX('包络曲线数据'!$B$2:$K$742,ROW()-1,MATCH(B$1,'包络曲线数据'!$B$1:$K$1,0)),""))</x:f>
        <x:v>66.90143535642818</x:v>
      </x:c>
      <x:c r="C421" t="n">
        <x:f>IF(C$1="","",IFERROR(INDEX('包络曲线数据'!$B$2:$K$742,ROW()-1,MATCH(C$1,'包络曲线数据'!$B$1:$K$1,0)),""))</x:f>
        <x:v>60.660067006019254</x:v>
      </x:c>
      <x:c r="D421" t="str">
        <x:f>IF(D$1="","",IFERROR(INDEX('包络曲线数据'!$B$2:$K$742,ROW()-1,MATCH(D$1,'包络曲线数据'!$B$1:$K$1,0)),""))</x:f>
      </x:c>
      <x:c r="E421" t="str">
        <x:f>IF(E$1="","",IFERROR(INDEX('包络曲线数据'!$B$2:$K$742,ROW()-1,MATCH(E$1,'包络曲线数据'!$B$1:$K$1,0)),""))</x:f>
      </x:c>
      <x:c r="F421" t="str">
        <x:f>IF(F$1="","",IFERROR(INDEX('包络曲线数据'!$B$2:$K$742,ROW()-1,MATCH(F$1,'包络曲线数据'!$B$1:$K$1,0)),""))</x:f>
      </x:c>
      <x:c r="G421" t="str">
        <x:f>IF(G$1="","",IFERROR(INDEX('包络曲线数据'!$B$2:$K$742,ROW()-1,MATCH(G$1,'包络曲线数据'!$B$1:$K$1,0)),""))</x:f>
      </x:c>
    </x:row>
    <x:row r="422">
      <x:c r="A422" t="n">
        <x:v>42</x:v>
      </x:c>
      <x:c r="B422" t="n">
        <x:f>IF(B$1="","",IFERROR(INDEX('包络曲线数据'!$B$2:$K$742,ROW()-1,MATCH(B$1,'包络曲线数据'!$B$1:$K$1,0)),""))</x:f>
        <x:v>60.81659710162897</x:v>
      </x:c>
      <x:c r="C422" t="n">
        <x:f>IF(C$1="","",IFERROR(INDEX('包络曲线数据'!$B$2:$K$742,ROW()-1,MATCH(C$1,'包络曲线数据'!$B$1:$K$1,0)),""))</x:f>
        <x:v>60.00527804797167</x:v>
      </x:c>
      <x:c r="D422" t="str">
        <x:f>IF(D$1="","",IFERROR(INDEX('包络曲线数据'!$B$2:$K$742,ROW()-1,MATCH(D$1,'包络曲线数据'!$B$1:$K$1,0)),""))</x:f>
      </x:c>
      <x:c r="E422" t="str">
        <x:f>IF(E$1="","",IFERROR(INDEX('包络曲线数据'!$B$2:$K$742,ROW()-1,MATCH(E$1,'包络曲线数据'!$B$1:$K$1,0)),""))</x:f>
      </x:c>
      <x:c r="F422" t="str">
        <x:f>IF(F$1="","",IFERROR(INDEX('包络曲线数据'!$B$2:$K$742,ROW()-1,MATCH(F$1,'包络曲线数据'!$B$1:$K$1,0)),""))</x:f>
      </x:c>
      <x:c r="G422" t="str">
        <x:f>IF(G$1="","",IFERROR(INDEX('包络曲线数据'!$B$2:$K$742,ROW()-1,MATCH(G$1,'包络曲线数据'!$B$1:$K$1,0)),""))</x:f>
      </x:c>
    </x:row>
    <x:row r="423">
      <x:c r="A423" t="n">
        <x:v>42.1</x:v>
      </x:c>
      <x:c r="B423" t="n">
        <x:f>IF(B$1="","",IFERROR(INDEX('包络曲线数据'!$B$2:$K$742,ROW()-1,MATCH(B$1,'包络曲线数据'!$B$1:$K$1,0)),""))</x:f>
        <x:v>58.84493784367291</x:v>
      </x:c>
      <x:c r="C423" t="n">
        <x:f>IF(C$1="","",IFERROR(INDEX('包络曲线数据'!$B$2:$K$742,ROW()-1,MATCH(C$1,'包络曲线数据'!$B$1:$K$1,0)),""))</x:f>
        <x:v>59.31652474638302</x:v>
      </x:c>
      <x:c r="D423" t="str">
        <x:f>IF(D$1="","",IFERROR(INDEX('包络曲线数据'!$B$2:$K$742,ROW()-1,MATCH(D$1,'包络曲线数据'!$B$1:$K$1,0)),""))</x:f>
      </x:c>
      <x:c r="E423" t="str">
        <x:f>IF(E$1="","",IFERROR(INDEX('包络曲线数据'!$B$2:$K$742,ROW()-1,MATCH(E$1,'包络曲线数据'!$B$1:$K$1,0)),""))</x:f>
      </x:c>
      <x:c r="F423" t="str">
        <x:f>IF(F$1="","",IFERROR(INDEX('包络曲线数据'!$B$2:$K$742,ROW()-1,MATCH(F$1,'包络曲线数据'!$B$1:$K$1,0)),""))</x:f>
      </x:c>
      <x:c r="G423" t="str">
        <x:f>IF(G$1="","",IFERROR(INDEX('包络曲线数据'!$B$2:$K$742,ROW()-1,MATCH(G$1,'包络曲线数据'!$B$1:$K$1,0)),""))</x:f>
      </x:c>
    </x:row>
    <x:row r="424">
      <x:c r="A424" t="n">
        <x:v>42.2</x:v>
      </x:c>
      <x:c r="B424" t="n">
        <x:f>IF(B$1="","",IFERROR(INDEX('包络曲线数据'!$B$2:$K$742,ROW()-1,MATCH(B$1,'包络曲线数据'!$B$1:$K$1,0)),""))</x:f>
        <x:v>59.181306933272324</x:v>
      </x:c>
      <x:c r="C424" t="n">
        <x:f>IF(C$1="","",IFERROR(INDEX('包络曲线数据'!$B$2:$K$742,ROW()-1,MATCH(C$1,'包络曲线数据'!$B$1:$K$1,0)),""))</x:f>
        <x:v>62.255898891687934</x:v>
      </x:c>
      <x:c r="D424" t="str">
        <x:f>IF(D$1="","",IFERROR(INDEX('包络曲线数据'!$B$2:$K$742,ROW()-1,MATCH(D$1,'包络曲线数据'!$B$1:$K$1,0)),""))</x:f>
      </x:c>
      <x:c r="E424" t="str">
        <x:f>IF(E$1="","",IFERROR(INDEX('包络曲线数据'!$B$2:$K$742,ROW()-1,MATCH(E$1,'包络曲线数据'!$B$1:$K$1,0)),""))</x:f>
      </x:c>
      <x:c r="F424" t="str">
        <x:f>IF(F$1="","",IFERROR(INDEX('包络曲线数据'!$B$2:$K$742,ROW()-1,MATCH(F$1,'包络曲线数据'!$B$1:$K$1,0)),""))</x:f>
      </x:c>
      <x:c r="G424" t="str">
        <x:f>IF(G$1="","",IFERROR(INDEX('包络曲线数据'!$B$2:$K$742,ROW()-1,MATCH(G$1,'包络曲线数据'!$B$1:$K$1,0)),""))</x:f>
      </x:c>
    </x:row>
    <x:row r="425">
      <x:c r="A425" t="n">
        <x:v>42.300000000000004</x:v>
      </x:c>
      <x:c r="B425" t="n">
        <x:f>IF(B$1="","",IFERROR(INDEX('包络曲线数据'!$B$2:$K$742,ROW()-1,MATCH(B$1,'包络曲线数据'!$B$1:$K$1,0)),""))</x:f>
        <x:v>59.18130693327113</x:v>
      </x:c>
      <x:c r="C425" t="n">
        <x:f>IF(C$1="","",IFERROR(INDEX('包络曲线数据'!$B$2:$K$742,ROW()-1,MATCH(C$1,'包络曲线数据'!$B$1:$K$1,0)),""))</x:f>
        <x:v>62.25589889168854</x:v>
      </x:c>
      <x:c r="D425" t="str">
        <x:f>IF(D$1="","",IFERROR(INDEX('包络曲线数据'!$B$2:$K$742,ROW()-1,MATCH(D$1,'包络曲线数据'!$B$1:$K$1,0)),""))</x:f>
      </x:c>
      <x:c r="E425" t="str">
        <x:f>IF(E$1="","",IFERROR(INDEX('包络曲线数据'!$B$2:$K$742,ROW()-1,MATCH(E$1,'包络曲线数据'!$B$1:$K$1,0)),""))</x:f>
      </x:c>
      <x:c r="F425" t="str">
        <x:f>IF(F$1="","",IFERROR(INDEX('包络曲线数据'!$B$2:$K$742,ROW()-1,MATCH(F$1,'包络曲线数据'!$B$1:$K$1,0)),""))</x:f>
      </x:c>
      <x:c r="G425" t="str">
        <x:f>IF(G$1="","",IFERROR(INDEX('包络曲线数据'!$B$2:$K$742,ROW()-1,MATCH(G$1,'包络曲线数据'!$B$1:$K$1,0)),""))</x:f>
      </x:c>
    </x:row>
    <x:row r="426">
      <x:c r="A426" t="n">
        <x:v>42.400000000000006</x:v>
      </x:c>
      <x:c r="B426" t="n">
        <x:f>IF(B$1="","",IFERROR(INDEX('包络曲线数据'!$B$2:$K$742,ROW()-1,MATCH(B$1,'包络曲线数据'!$B$1:$K$1,0)),""))</x:f>
        <x:v>50</x:v>
      </x:c>
      <x:c r="C426" t="n">
        <x:f>IF(C$1="","",IFERROR(INDEX('包络曲线数据'!$B$2:$K$742,ROW()-1,MATCH(C$1,'包络曲线数据'!$B$1:$K$1,0)),""))</x:f>
        <x:v>64.78837523082973</x:v>
      </x:c>
      <x:c r="D426" t="str">
        <x:f>IF(D$1="","",IFERROR(INDEX('包络曲线数据'!$B$2:$K$742,ROW()-1,MATCH(D$1,'包络曲线数据'!$B$1:$K$1,0)),""))</x:f>
      </x:c>
      <x:c r="E426" t="str">
        <x:f>IF(E$1="","",IFERROR(INDEX('包络曲线数据'!$B$2:$K$742,ROW()-1,MATCH(E$1,'包络曲线数据'!$B$1:$K$1,0)),""))</x:f>
      </x:c>
      <x:c r="F426" t="str">
        <x:f>IF(F$1="","",IFERROR(INDEX('包络曲线数据'!$B$2:$K$742,ROW()-1,MATCH(F$1,'包络曲线数据'!$B$1:$K$1,0)),""))</x:f>
      </x:c>
      <x:c r="G426" t="str">
        <x:f>IF(G$1="","",IFERROR(INDEX('包络曲线数据'!$B$2:$K$742,ROW()-1,MATCH(G$1,'包络曲线数据'!$B$1:$K$1,0)),""))</x:f>
      </x:c>
    </x:row>
    <x:row r="427">
      <x:c r="A427" t="n">
        <x:v>42.5</x:v>
      </x:c>
      <x:c r="B427" t="n">
        <x:f>IF(B$1="","",IFERROR(INDEX('包络曲线数据'!$B$2:$K$742,ROW()-1,MATCH(B$1,'包络曲线数据'!$B$1:$K$1,0)),""))</x:f>
        <x:v>74.51776985060222</x:v>
      </x:c>
      <x:c r="C427" t="n">
        <x:f>IF(C$1="","",IFERROR(INDEX('包络曲线数据'!$B$2:$K$742,ROW()-1,MATCH(C$1,'包络曲线数据'!$B$1:$K$1,0)),""))</x:f>
        <x:v>87.73350376406805</x:v>
      </x:c>
      <x:c r="D427" t="str">
        <x:f>IF(D$1="","",IFERROR(INDEX('包络曲线数据'!$B$2:$K$742,ROW()-1,MATCH(D$1,'包络曲线数据'!$B$1:$K$1,0)),""))</x:f>
      </x:c>
      <x:c r="E427" t="str">
        <x:f>IF(E$1="","",IFERROR(INDEX('包络曲线数据'!$B$2:$K$742,ROW()-1,MATCH(E$1,'包络曲线数据'!$B$1:$K$1,0)),""))</x:f>
      </x:c>
      <x:c r="F427" t="str">
        <x:f>IF(F$1="","",IFERROR(INDEX('包络曲线数据'!$B$2:$K$742,ROW()-1,MATCH(F$1,'包络曲线数据'!$B$1:$K$1,0)),""))</x:f>
      </x:c>
      <x:c r="G427" t="str">
        <x:f>IF(G$1="","",IFERROR(INDEX('包络曲线数据'!$B$2:$K$742,ROW()-1,MATCH(G$1,'包络曲线数据'!$B$1:$K$1,0)),""))</x:f>
      </x:c>
    </x:row>
    <x:row r="428">
      <x:c r="A428" t="n">
        <x:v>42.6</x:v>
      </x:c>
      <x:c r="B428" t="n">
        <x:f>IF(B$1="","",IFERROR(INDEX('包络曲线数据'!$B$2:$K$742,ROW()-1,MATCH(B$1,'包络曲线数据'!$B$1:$K$1,0)),""))</x:f>
        <x:v>76.35097636533297</x:v>
      </x:c>
      <x:c r="C428" t="n">
        <x:f>IF(C$1="","",IFERROR(INDEX('包络曲线数据'!$B$2:$K$742,ROW()-1,MATCH(C$1,'包络曲线数据'!$B$1:$K$1,0)),""))</x:f>
        <x:v>87.73350376406805</x:v>
      </x:c>
      <x:c r="D428" t="str">
        <x:f>IF(D$1="","",IFERROR(INDEX('包络曲线数据'!$B$2:$K$742,ROW()-1,MATCH(D$1,'包络曲线数据'!$B$1:$K$1,0)),""))</x:f>
      </x:c>
      <x:c r="E428" t="str">
        <x:f>IF(E$1="","",IFERROR(INDEX('包络曲线数据'!$B$2:$K$742,ROW()-1,MATCH(E$1,'包络曲线数据'!$B$1:$K$1,0)),""))</x:f>
      </x:c>
      <x:c r="F428" t="str">
        <x:f>IF(F$1="","",IFERROR(INDEX('包络曲线数据'!$B$2:$K$742,ROW()-1,MATCH(F$1,'包络曲线数据'!$B$1:$K$1,0)),""))</x:f>
      </x:c>
      <x:c r="G428" t="str">
        <x:f>IF(G$1="","",IFERROR(INDEX('包络曲线数据'!$B$2:$K$742,ROW()-1,MATCH(G$1,'包络曲线数据'!$B$1:$K$1,0)),""))</x:f>
      </x:c>
    </x:row>
    <x:row r="429">
      <x:c r="A429" t="n">
        <x:v>42.7</x:v>
      </x:c>
      <x:c r="B429" t="n">
        <x:f>IF(B$1="","",IFERROR(INDEX('包络曲线数据'!$B$2:$K$742,ROW()-1,MATCH(B$1,'包络曲线数据'!$B$1:$K$1,0)),""))</x:f>
        <x:v>76.35097636533297</x:v>
      </x:c>
      <x:c r="C429" t="n">
        <x:f>IF(C$1="","",IFERROR(INDEX('包络曲线数据'!$B$2:$K$742,ROW()-1,MATCH(C$1,'包络曲线数据'!$B$1:$K$1,0)),""))</x:f>
        <x:v>83.93035765111279</x:v>
      </x:c>
      <x:c r="D429" t="str">
        <x:f>IF(D$1="","",IFERROR(INDEX('包络曲线数据'!$B$2:$K$742,ROW()-1,MATCH(D$1,'包络曲线数据'!$B$1:$K$1,0)),""))</x:f>
      </x:c>
      <x:c r="E429" t="str">
        <x:f>IF(E$1="","",IFERROR(INDEX('包络曲线数据'!$B$2:$K$742,ROW()-1,MATCH(E$1,'包络曲线数据'!$B$1:$K$1,0)),""))</x:f>
      </x:c>
      <x:c r="F429" t="str">
        <x:f>IF(F$1="","",IFERROR(INDEX('包络曲线数据'!$B$2:$K$742,ROW()-1,MATCH(F$1,'包络曲线数据'!$B$1:$K$1,0)),""))</x:f>
      </x:c>
      <x:c r="G429" t="str">
        <x:f>IF(G$1="","",IFERROR(INDEX('包络曲线数据'!$B$2:$K$742,ROW()-1,MATCH(G$1,'包络曲线数据'!$B$1:$K$1,0)),""))</x:f>
      </x:c>
    </x:row>
    <x:row r="430">
      <x:c r="A430" t="n">
        <x:v>42.800000000000004</x:v>
      </x:c>
      <x:c r="B430" t="n">
        <x:f>IF(B$1="","",IFERROR(INDEX('包络曲线数据'!$B$2:$K$742,ROW()-1,MATCH(B$1,'包络曲线数据'!$B$1:$K$1,0)),""))</x:f>
        <x:v>70.51247660396338</x:v>
      </x:c>
      <x:c r="C430" t="n">
        <x:f>IF(C$1="","",IFERROR(INDEX('包络曲线数据'!$B$2:$K$742,ROW()-1,MATCH(C$1,'包络曲线数据'!$B$1:$K$1,0)),""))</x:f>
        <x:v>75.44902256850688</x:v>
      </x:c>
      <x:c r="D430" t="str">
        <x:f>IF(D$1="","",IFERROR(INDEX('包络曲线数据'!$B$2:$K$742,ROW()-1,MATCH(D$1,'包络曲线数据'!$B$1:$K$1,0)),""))</x:f>
      </x:c>
      <x:c r="E430" t="str">
        <x:f>IF(E$1="","",IFERROR(INDEX('包络曲线数据'!$B$2:$K$742,ROW()-1,MATCH(E$1,'包络曲线数据'!$B$1:$K$1,0)),""))</x:f>
      </x:c>
      <x:c r="F430" t="str">
        <x:f>IF(F$1="","",IFERROR(INDEX('包络曲线数据'!$B$2:$K$742,ROW()-1,MATCH(F$1,'包络曲线数据'!$B$1:$K$1,0)),""))</x:f>
      </x:c>
      <x:c r="G430" t="str">
        <x:f>IF(G$1="","",IFERROR(INDEX('包络曲线数据'!$B$2:$K$742,ROW()-1,MATCH(G$1,'包络曲线数据'!$B$1:$K$1,0)),""))</x:f>
      </x:c>
    </x:row>
    <x:row r="431">
      <x:c r="A431" t="n">
        <x:v>42.900000000000006</x:v>
      </x:c>
      <x:c r="B431" t="n">
        <x:f>IF(B$1="","",IFERROR(INDEX('包络曲线数据'!$B$2:$K$742,ROW()-1,MATCH(B$1,'包络曲线数据'!$B$1:$K$1,0)),""))</x:f>
        <x:v>61.20550700212295</x:v>
      </x:c>
      <x:c r="C431" t="n">
        <x:f>IF(C$1="","",IFERROR(INDEX('包络曲线数据'!$B$2:$K$742,ROW()-1,MATCH(C$1,'包络曲线数据'!$B$1:$K$1,0)),""))</x:f>
        <x:v>74.01905757146979</x:v>
      </x:c>
      <x:c r="D431" t="str">
        <x:f>IF(D$1="","",IFERROR(INDEX('包络曲线数据'!$B$2:$K$742,ROW()-1,MATCH(D$1,'包络曲线数据'!$B$1:$K$1,0)),""))</x:f>
      </x:c>
      <x:c r="E431" t="str">
        <x:f>IF(E$1="","",IFERROR(INDEX('包络曲线数据'!$B$2:$K$742,ROW()-1,MATCH(E$1,'包络曲线数据'!$B$1:$K$1,0)),""))</x:f>
      </x:c>
      <x:c r="F431" t="str">
        <x:f>IF(F$1="","",IFERROR(INDEX('包络曲线数据'!$B$2:$K$742,ROW()-1,MATCH(F$1,'包络曲线数据'!$B$1:$K$1,0)),""))</x:f>
      </x:c>
      <x:c r="G431" t="str">
        <x:f>IF(G$1="","",IFERROR(INDEX('包络曲线数据'!$B$2:$K$742,ROW()-1,MATCH(G$1,'包络曲线数据'!$B$1:$K$1,0)),""))</x:f>
      </x:c>
    </x:row>
    <x:row r="432">
      <x:c r="A432" t="n">
        <x:v>43</x:v>
      </x:c>
      <x:c r="B432" t="n">
        <x:f>IF(B$1="","",IFERROR(INDEX('包络曲线数据'!$B$2:$K$742,ROW()-1,MATCH(B$1,'包络曲线数据'!$B$1:$K$1,0)),""))</x:f>
        <x:v>64.39001682803493</x:v>
      </x:c>
      <x:c r="C432" t="n">
        <x:f>IF(C$1="","",IFERROR(INDEX('包络曲线数据'!$B$2:$K$742,ROW()-1,MATCH(C$1,'包络曲线数据'!$B$1:$K$1,0)),""))</x:f>
        <x:v>72.32374590458673</x:v>
      </x:c>
      <x:c r="D432" t="str">
        <x:f>IF(D$1="","",IFERROR(INDEX('包络曲线数据'!$B$2:$K$742,ROW()-1,MATCH(D$1,'包络曲线数据'!$B$1:$K$1,0)),""))</x:f>
      </x:c>
      <x:c r="E432" t="str">
        <x:f>IF(E$1="","",IFERROR(INDEX('包络曲线数据'!$B$2:$K$742,ROW()-1,MATCH(E$1,'包络曲线数据'!$B$1:$K$1,0)),""))</x:f>
      </x:c>
      <x:c r="F432" t="str">
        <x:f>IF(F$1="","",IFERROR(INDEX('包络曲线数据'!$B$2:$K$742,ROW()-1,MATCH(F$1,'包络曲线数据'!$B$1:$K$1,0)),""))</x:f>
      </x:c>
      <x:c r="G432" t="str">
        <x:f>IF(G$1="","",IFERROR(INDEX('包络曲线数据'!$B$2:$K$742,ROW()-1,MATCH(G$1,'包络曲线数据'!$B$1:$K$1,0)),""))</x:f>
      </x:c>
    </x:row>
    <x:row r="433">
      <x:c r="A433" t="n">
        <x:v>43.1</x:v>
      </x:c>
      <x:c r="B433" t="n">
        <x:f>IF(B$1="","",IFERROR(INDEX('包络曲线数据'!$B$2:$K$742,ROW()-1,MATCH(B$1,'包络曲线数据'!$B$1:$K$1,0)),""))</x:f>
        <x:v>67.47008074445068</x:v>
      </x:c>
      <x:c r="C433" t="n">
        <x:f>IF(C$1="","",IFERROR(INDEX('包络曲线数据'!$B$2:$K$742,ROW()-1,MATCH(C$1,'包络曲线数据'!$B$1:$K$1,0)),""))</x:f>
        <x:v>70.72794698407394</x:v>
      </x:c>
      <x:c r="D433" t="str">
        <x:f>IF(D$1="","",IFERROR(INDEX('包络曲线数据'!$B$2:$K$742,ROW()-1,MATCH(D$1,'包络曲线数据'!$B$1:$K$1,0)),""))</x:f>
      </x:c>
      <x:c r="E433" t="str">
        <x:f>IF(E$1="","",IFERROR(INDEX('包络曲线数据'!$B$2:$K$742,ROW()-1,MATCH(E$1,'包络曲线数据'!$B$1:$K$1,0)),""))</x:f>
      </x:c>
      <x:c r="F433" t="str">
        <x:f>IF(F$1="","",IFERROR(INDEX('包络曲线数据'!$B$2:$K$742,ROW()-1,MATCH(F$1,'包络曲线数据'!$B$1:$K$1,0)),""))</x:f>
      </x:c>
      <x:c r="G433" t="str">
        <x:f>IF(G$1="","",IFERROR(INDEX('包络曲线数据'!$B$2:$K$742,ROW()-1,MATCH(G$1,'包络曲线数据'!$B$1:$K$1,0)),""))</x:f>
      </x:c>
    </x:row>
    <x:row r="434">
      <x:c r="A434" t="n">
        <x:v>43.2</x:v>
      </x:c>
      <x:c r="B434" t="n">
        <x:f>IF(B$1="","",IFERROR(INDEX('包络曲线数据'!$B$2:$K$742,ROW()-1,MATCH(B$1,'包络曲线数据'!$B$1:$K$1,0)),""))</x:f>
        <x:v>67.76080602971714</x:v>
      </x:c>
      <x:c r="C434" t="n">
        <x:f>IF(C$1="","",IFERROR(INDEX('包络曲线数据'!$B$2:$K$742,ROW()-1,MATCH(C$1,'包络曲线数据'!$B$1:$K$1,0)),""))</x:f>
        <x:v>65.3151762454679</x:v>
      </x:c>
      <x:c r="D434" t="str">
        <x:f>IF(D$1="","",IFERROR(INDEX('包络曲线数据'!$B$2:$K$742,ROW()-1,MATCH(D$1,'包络曲线数据'!$B$1:$K$1,0)),""))</x:f>
      </x:c>
      <x:c r="E434" t="str">
        <x:f>IF(E$1="","",IFERROR(INDEX('包络曲线数据'!$B$2:$K$742,ROW()-1,MATCH(E$1,'包络曲线数据'!$B$1:$K$1,0)),""))</x:f>
      </x:c>
      <x:c r="F434" t="str">
        <x:f>IF(F$1="","",IFERROR(INDEX('包络曲线数据'!$B$2:$K$742,ROW()-1,MATCH(F$1,'包络曲线数据'!$B$1:$K$1,0)),""))</x:f>
      </x:c>
      <x:c r="G434" t="str">
        <x:f>IF(G$1="","",IFERROR(INDEX('包络曲线数据'!$B$2:$K$742,ROW()-1,MATCH(G$1,'包络曲线数据'!$B$1:$K$1,0)),""))</x:f>
      </x:c>
    </x:row>
    <x:row r="435">
      <x:c r="A435" t="n">
        <x:v>43.300000000000004</x:v>
      </x:c>
      <x:c r="B435" t="n">
        <x:f>IF(B$1="","",IFERROR(INDEX('包络曲线数据'!$B$2:$K$742,ROW()-1,MATCH(B$1,'包络曲线数据'!$B$1:$K$1,0)),""))</x:f>
        <x:v>69.4239765819215</x:v>
      </x:c>
      <x:c r="C435" t="n">
        <x:f>IF(C$1="","",IFERROR(INDEX('包络曲线数据'!$B$2:$K$742,ROW()-1,MATCH(C$1,'包络曲线数据'!$B$1:$K$1,0)),""))</x:f>
        <x:v>65.90819014146344</x:v>
      </x:c>
      <x:c r="D435" t="str">
        <x:f>IF(D$1="","",IFERROR(INDEX('包络曲线数据'!$B$2:$K$742,ROW()-1,MATCH(D$1,'包络曲线数据'!$B$1:$K$1,0)),""))</x:f>
      </x:c>
      <x:c r="E435" t="str">
        <x:f>IF(E$1="","",IFERROR(INDEX('包络曲线数据'!$B$2:$K$742,ROW()-1,MATCH(E$1,'包络曲线数据'!$B$1:$K$1,0)),""))</x:f>
      </x:c>
      <x:c r="F435" t="str">
        <x:f>IF(F$1="","",IFERROR(INDEX('包络曲线数据'!$B$2:$K$742,ROW()-1,MATCH(F$1,'包络曲线数据'!$B$1:$K$1,0)),""))</x:f>
      </x:c>
      <x:c r="G435" t="str">
        <x:f>IF(G$1="","",IFERROR(INDEX('包络曲线数据'!$B$2:$K$742,ROW()-1,MATCH(G$1,'包络曲线数据'!$B$1:$K$1,0)),""))</x:f>
      </x:c>
    </x:row>
    <x:row r="436">
      <x:c r="A436" t="n">
        <x:v>43.400000000000006</x:v>
      </x:c>
      <x:c r="B436" t="n">
        <x:f>IF(B$1="","",IFERROR(INDEX('包络曲线数据'!$B$2:$K$742,ROW()-1,MATCH(B$1,'包络曲线数据'!$B$1:$K$1,0)),""))</x:f>
        <x:v>69.4239765819215</x:v>
      </x:c>
      <x:c r="C436" t="n">
        <x:f>IF(C$1="","",IFERROR(INDEX('包络曲线数据'!$B$2:$K$742,ROW()-1,MATCH(C$1,'包络曲线数据'!$B$1:$K$1,0)),""))</x:f>
        <x:v>65.90819014146324</x:v>
      </x:c>
      <x:c r="D436" t="str">
        <x:f>IF(D$1="","",IFERROR(INDEX('包络曲线数据'!$B$2:$K$742,ROW()-1,MATCH(D$1,'包络曲线数据'!$B$1:$K$1,0)),""))</x:f>
      </x:c>
      <x:c r="E436" t="str">
        <x:f>IF(E$1="","",IFERROR(INDEX('包络曲线数据'!$B$2:$K$742,ROW()-1,MATCH(E$1,'包络曲线数据'!$B$1:$K$1,0)),""))</x:f>
      </x:c>
      <x:c r="F436" t="str">
        <x:f>IF(F$1="","",IFERROR(INDEX('包络曲线数据'!$B$2:$K$742,ROW()-1,MATCH(F$1,'包络曲线数据'!$B$1:$K$1,0)),""))</x:f>
      </x:c>
      <x:c r="G436" t="str">
        <x:f>IF(G$1="","",IFERROR(INDEX('包络曲线数据'!$B$2:$K$742,ROW()-1,MATCH(G$1,'包络曲线数据'!$B$1:$K$1,0)),""))</x:f>
      </x:c>
    </x:row>
    <x:row r="437">
      <x:c r="A437" t="n">
        <x:v>43.5</x:v>
      </x:c>
      <x:c r="B437" t="n">
        <x:f>IF(B$1="","",IFERROR(INDEX('包络曲线数据'!$B$2:$K$742,ROW()-1,MATCH(B$1,'包络曲线数据'!$B$1:$K$1,0)),""))</x:f>
        <x:v>69.27997499805505</x:v>
      </x:c>
      <x:c r="C437" t="n">
        <x:f>IF(C$1="","",IFERROR(INDEX('包络曲线数据'!$B$2:$K$742,ROW()-1,MATCH(C$1,'包络曲线数据'!$B$1:$K$1,0)),""))</x:f>
        <x:v>62.43493369986244</x:v>
      </x:c>
      <x:c r="D437" t="str">
        <x:f>IF(D$1="","",IFERROR(INDEX('包络曲线数据'!$B$2:$K$742,ROW()-1,MATCH(D$1,'包络曲线数据'!$B$1:$K$1,0)),""))</x:f>
      </x:c>
      <x:c r="E437" t="str">
        <x:f>IF(E$1="","",IFERROR(INDEX('包络曲线数据'!$B$2:$K$742,ROW()-1,MATCH(E$1,'包络曲线数据'!$B$1:$K$1,0)),""))</x:f>
      </x:c>
      <x:c r="F437" t="str">
        <x:f>IF(F$1="","",IFERROR(INDEX('包络曲线数据'!$B$2:$K$742,ROW()-1,MATCH(F$1,'包络曲线数据'!$B$1:$K$1,0)),""))</x:f>
      </x:c>
      <x:c r="G437" t="str">
        <x:f>IF(G$1="","",IFERROR(INDEX('包络曲线数据'!$B$2:$K$742,ROW()-1,MATCH(G$1,'包络曲线数据'!$B$1:$K$1,0)),""))</x:f>
      </x:c>
    </x:row>
    <x:row r="438">
      <x:c r="A438" t="n">
        <x:v>43.6</x:v>
      </x:c>
      <x:c r="B438" t="n">
        <x:f>IF(B$1="","",IFERROR(INDEX('包络曲线数据'!$B$2:$K$742,ROW()-1,MATCH(B$1,'包络曲线数据'!$B$1:$K$1,0)),""))</x:f>
        <x:v>69.27997499805505</x:v>
      </x:c>
      <x:c r="C438" t="n">
        <x:f>IF(C$1="","",IFERROR(INDEX('包络曲线数据'!$B$2:$K$742,ROW()-1,MATCH(C$1,'包络曲线数据'!$B$1:$K$1,0)),""))</x:f>
        <x:v>72.91693368243918</x:v>
      </x:c>
      <x:c r="D438" t="str">
        <x:f>IF(D$1="","",IFERROR(INDEX('包络曲线数据'!$B$2:$K$742,ROW()-1,MATCH(D$1,'包络曲线数据'!$B$1:$K$1,0)),""))</x:f>
      </x:c>
      <x:c r="E438" t="str">
        <x:f>IF(E$1="","",IFERROR(INDEX('包络曲线数据'!$B$2:$K$742,ROW()-1,MATCH(E$1,'包络曲线数据'!$B$1:$K$1,0)),""))</x:f>
      </x:c>
      <x:c r="F438" t="str">
        <x:f>IF(F$1="","",IFERROR(INDEX('包络曲线数据'!$B$2:$K$742,ROW()-1,MATCH(F$1,'包络曲线数据'!$B$1:$K$1,0)),""))</x:f>
      </x:c>
      <x:c r="G438" t="str">
        <x:f>IF(G$1="","",IFERROR(INDEX('包络曲线数据'!$B$2:$K$742,ROW()-1,MATCH(G$1,'包络曲线数据'!$B$1:$K$1,0)),""))</x:f>
      </x:c>
    </x:row>
    <x:row r="439">
      <x:c r="A439" t="n">
        <x:v>43.7</x:v>
      </x:c>
      <x:c r="B439" t="n">
        <x:f>IF(B$1="","",IFERROR(INDEX('包络曲线数据'!$B$2:$K$742,ROW()-1,MATCH(B$1,'包络曲线数据'!$B$1:$K$1,0)),""))</x:f>
        <x:v>68.82681122428198</x:v>
      </x:c>
      <x:c r="C439" t="n">
        <x:f>IF(C$1="","",IFERROR(INDEX('包络曲线数据'!$B$2:$K$742,ROW()-1,MATCH(C$1,'包络曲线数据'!$B$1:$K$1,0)),""))</x:f>
        <x:v>72.91693368243918</x:v>
      </x:c>
      <x:c r="D439" t="str">
        <x:f>IF(D$1="","",IFERROR(INDEX('包络曲线数据'!$B$2:$K$742,ROW()-1,MATCH(D$1,'包络曲线数据'!$B$1:$K$1,0)),""))</x:f>
      </x:c>
      <x:c r="E439" t="str">
        <x:f>IF(E$1="","",IFERROR(INDEX('包络曲线数据'!$B$2:$K$742,ROW()-1,MATCH(E$1,'包络曲线数据'!$B$1:$K$1,0)),""))</x:f>
      </x:c>
      <x:c r="F439" t="str">
        <x:f>IF(F$1="","",IFERROR(INDEX('包络曲线数据'!$B$2:$K$742,ROW()-1,MATCH(F$1,'包络曲线数据'!$B$1:$K$1,0)),""))</x:f>
      </x:c>
      <x:c r="G439" t="str">
        <x:f>IF(G$1="","",IFERROR(INDEX('包络曲线数据'!$B$2:$K$742,ROW()-1,MATCH(G$1,'包络曲线数据'!$B$1:$K$1,0)),""))</x:f>
      </x:c>
    </x:row>
    <x:row r="440">
      <x:c r="A440" t="n">
        <x:v>43.800000000000004</x:v>
      </x:c>
      <x:c r="B440" t="n">
        <x:f>IF(B$1="","",IFERROR(INDEX('包络曲线数据'!$B$2:$K$742,ROW()-1,MATCH(B$1,'包络曲线数据'!$B$1:$K$1,0)),""))</x:f>
        <x:v>68.58171152655751</x:v>
      </x:c>
      <x:c r="C440" t="n">
        <x:f>IF(C$1="","",IFERROR(INDEX('包络曲线数据'!$B$2:$K$742,ROW()-1,MATCH(C$1,'包络曲线数据'!$B$1:$K$1,0)),""))</x:f>
        <x:v>69.65637963756289</x:v>
      </x:c>
      <x:c r="D440" t="str">
        <x:f>IF(D$1="","",IFERROR(INDEX('包络曲线数据'!$B$2:$K$742,ROW()-1,MATCH(D$1,'包络曲线数据'!$B$1:$K$1,0)),""))</x:f>
      </x:c>
      <x:c r="E440" t="str">
        <x:f>IF(E$1="","",IFERROR(INDEX('包络曲线数据'!$B$2:$K$742,ROW()-1,MATCH(E$1,'包络曲线数据'!$B$1:$K$1,0)),""))</x:f>
      </x:c>
      <x:c r="F440" t="str">
        <x:f>IF(F$1="","",IFERROR(INDEX('包络曲线数据'!$B$2:$K$742,ROW()-1,MATCH(F$1,'包络曲线数据'!$B$1:$K$1,0)),""))</x:f>
      </x:c>
      <x:c r="G440" t="str">
        <x:f>IF(G$1="","",IFERROR(INDEX('包络曲线数据'!$B$2:$K$742,ROW()-1,MATCH(G$1,'包络曲线数据'!$B$1:$K$1,0)),""))</x:f>
      </x:c>
    </x:row>
    <x:row r="441">
      <x:c r="A441" t="n">
        <x:v>43.900000000000006</x:v>
      </x:c>
      <x:c r="B441" t="n">
        <x:f>IF(B$1="","",IFERROR(INDEX('包络曲线数据'!$B$2:$K$742,ROW()-1,MATCH(B$1,'包络曲线数据'!$B$1:$K$1,0)),""))</x:f>
        <x:v>68.58171152655751</x:v>
      </x:c>
      <x:c r="C441" t="n">
        <x:f>IF(C$1="","",IFERROR(INDEX('包络曲线数据'!$B$2:$K$742,ROW()-1,MATCH(C$1,'包络曲线数据'!$B$1:$K$1,0)),""))</x:f>
        <x:v>62.6353589503499</x:v>
      </x:c>
      <x:c r="D441" t="str">
        <x:f>IF(D$1="","",IFERROR(INDEX('包络曲线数据'!$B$2:$K$742,ROW()-1,MATCH(D$1,'包络曲线数据'!$B$1:$K$1,0)),""))</x:f>
      </x:c>
      <x:c r="E441" t="str">
        <x:f>IF(E$1="","",IFERROR(INDEX('包络曲线数据'!$B$2:$K$742,ROW()-1,MATCH(E$1,'包络曲线数据'!$B$1:$K$1,0)),""))</x:f>
      </x:c>
      <x:c r="F441" t="str">
        <x:f>IF(F$1="","",IFERROR(INDEX('包络曲线数据'!$B$2:$K$742,ROW()-1,MATCH(F$1,'包络曲线数据'!$B$1:$K$1,0)),""))</x:f>
      </x:c>
      <x:c r="G441" t="str">
        <x:f>IF(G$1="","",IFERROR(INDEX('包络曲线数据'!$B$2:$K$742,ROW()-1,MATCH(G$1,'包络曲线数据'!$B$1:$K$1,0)),""))</x:f>
      </x:c>
    </x:row>
    <x:row r="442">
      <x:c r="A442" t="n">
        <x:v>44</x:v>
      </x:c>
      <x:c r="B442" t="n">
        <x:f>IF(B$1="","",IFERROR(INDEX('包络曲线数据'!$B$2:$K$742,ROW()-1,MATCH(B$1,'包络曲线数据'!$B$1:$K$1,0)),""))</x:f>
        <x:v>68.10870466567543</x:v>
      </x:c>
      <x:c r="C442" t="n">
        <x:f>IF(C$1="","",IFERROR(INDEX('包络曲线数据'!$B$2:$K$742,ROW()-1,MATCH(C$1,'包络曲线数据'!$B$1:$K$1,0)),""))</x:f>
        <x:v>50</x:v>
      </x:c>
      <x:c r="D442" t="str">
        <x:f>IF(D$1="","",IFERROR(INDEX('包络曲线数据'!$B$2:$K$742,ROW()-1,MATCH(D$1,'包络曲线数据'!$B$1:$K$1,0)),""))</x:f>
      </x:c>
      <x:c r="E442" t="str">
        <x:f>IF(E$1="","",IFERROR(INDEX('包络曲线数据'!$B$2:$K$742,ROW()-1,MATCH(E$1,'包络曲线数据'!$B$1:$K$1,0)),""))</x:f>
      </x:c>
      <x:c r="F442" t="str">
        <x:f>IF(F$1="","",IFERROR(INDEX('包络曲线数据'!$B$2:$K$742,ROW()-1,MATCH(F$1,'包络曲线数据'!$B$1:$K$1,0)),""))</x:f>
      </x:c>
      <x:c r="G442" t="str">
        <x:f>IF(G$1="","",IFERROR(INDEX('包络曲线数据'!$B$2:$K$742,ROW()-1,MATCH(G$1,'包络曲线数据'!$B$1:$K$1,0)),""))</x:f>
      </x:c>
    </x:row>
    <x:row r="443">
      <x:c r="A443" t="n">
        <x:v>44.1</x:v>
      </x:c>
      <x:c r="B443" t="n">
        <x:f>IF(B$1="","",IFERROR(INDEX('包络曲线数据'!$B$2:$K$742,ROW()-1,MATCH(B$1,'包络曲线数据'!$B$1:$K$1,0)),""))</x:f>
        <x:v>68.66169288103656</x:v>
      </x:c>
      <x:c r="C443" t="n">
        <x:f>IF(C$1="","",IFERROR(INDEX('包络曲线数据'!$B$2:$K$742,ROW()-1,MATCH(C$1,'包络曲线数据'!$B$1:$K$1,0)),""))</x:f>
        <x:v>50.83479379817862</x:v>
      </x:c>
      <x:c r="D443" t="str">
        <x:f>IF(D$1="","",IFERROR(INDEX('包络曲线数据'!$B$2:$K$742,ROW()-1,MATCH(D$1,'包络曲线数据'!$B$1:$K$1,0)),""))</x:f>
      </x:c>
      <x:c r="E443" t="str">
        <x:f>IF(E$1="","",IFERROR(INDEX('包络曲线数据'!$B$2:$K$742,ROW()-1,MATCH(E$1,'包络曲线数据'!$B$1:$K$1,0)),""))</x:f>
      </x:c>
      <x:c r="F443" t="str">
        <x:f>IF(F$1="","",IFERROR(INDEX('包络曲线数据'!$B$2:$K$742,ROW()-1,MATCH(F$1,'包络曲线数据'!$B$1:$K$1,0)),""))</x:f>
      </x:c>
      <x:c r="G443" t="str">
        <x:f>IF(G$1="","",IFERROR(INDEX('包络曲线数据'!$B$2:$K$742,ROW()-1,MATCH(G$1,'包络曲线数据'!$B$1:$K$1,0)),""))</x:f>
      </x:c>
    </x:row>
    <x:row r="444">
      <x:c r="A444" t="n">
        <x:v>44.2</x:v>
      </x:c>
      <x:c r="B444" t="n">
        <x:f>IF(B$1="","",IFERROR(INDEX('包络曲线数据'!$B$2:$K$742,ROW()-1,MATCH(B$1,'包络曲线数据'!$B$1:$K$1,0)),""))</x:f>
        <x:v>80.28055984701757</x:v>
      </x:c>
      <x:c r="C444" t="n">
        <x:f>IF(C$1="","",IFERROR(INDEX('包络曲线数据'!$B$2:$K$742,ROW()-1,MATCH(C$1,'包络曲线数据'!$B$1:$K$1,0)),""))</x:f>
        <x:v>61.94930798489099</x:v>
      </x:c>
      <x:c r="D444" t="str">
        <x:f>IF(D$1="","",IFERROR(INDEX('包络曲线数据'!$B$2:$K$742,ROW()-1,MATCH(D$1,'包络曲线数据'!$B$1:$K$1,0)),""))</x:f>
      </x:c>
      <x:c r="E444" t="str">
        <x:f>IF(E$1="","",IFERROR(INDEX('包络曲线数据'!$B$2:$K$742,ROW()-1,MATCH(E$1,'包络曲线数据'!$B$1:$K$1,0)),""))</x:f>
      </x:c>
      <x:c r="F444" t="str">
        <x:f>IF(F$1="","",IFERROR(INDEX('包络曲线数据'!$B$2:$K$742,ROW()-1,MATCH(F$1,'包络曲线数据'!$B$1:$K$1,0)),""))</x:f>
      </x:c>
      <x:c r="G444" t="str">
        <x:f>IF(G$1="","",IFERROR(INDEX('包络曲线数据'!$B$2:$K$742,ROW()-1,MATCH(G$1,'包络曲线数据'!$B$1:$K$1,0)),""))</x:f>
      </x:c>
    </x:row>
    <x:row r="445">
      <x:c r="A445" t="n">
        <x:v>44.300000000000004</x:v>
      </x:c>
      <x:c r="B445" t="n">
        <x:f>IF(B$1="","",IFERROR(INDEX('包络曲线数据'!$B$2:$K$742,ROW()-1,MATCH(B$1,'包络曲线数据'!$B$1:$K$1,0)),""))</x:f>
        <x:v>80.28055984701757</x:v>
      </x:c>
      <x:c r="C445" t="n">
        <x:f>IF(C$1="","",IFERROR(INDEX('包络曲线数据'!$B$2:$K$742,ROW()-1,MATCH(C$1,'包络曲线数据'!$B$1:$K$1,0)),""))</x:f>
        <x:v>63.60717402992974</x:v>
      </x:c>
      <x:c r="D445" t="str">
        <x:f>IF(D$1="","",IFERROR(INDEX('包络曲线数据'!$B$2:$K$742,ROW()-1,MATCH(D$1,'包络曲线数据'!$B$1:$K$1,0)),""))</x:f>
      </x:c>
      <x:c r="E445" t="str">
        <x:f>IF(E$1="","",IFERROR(INDEX('包络曲线数据'!$B$2:$K$742,ROW()-1,MATCH(E$1,'包络曲线数据'!$B$1:$K$1,0)),""))</x:f>
      </x:c>
      <x:c r="F445" t="str">
        <x:f>IF(F$1="","",IFERROR(INDEX('包络曲线数据'!$B$2:$K$742,ROW()-1,MATCH(F$1,'包络曲线数据'!$B$1:$K$1,0)),""))</x:f>
      </x:c>
      <x:c r="G445" t="str">
        <x:f>IF(G$1="","",IFERROR(INDEX('包络曲线数据'!$B$2:$K$742,ROW()-1,MATCH(G$1,'包络曲线数据'!$B$1:$K$1,0)),""))</x:f>
      </x:c>
    </x:row>
    <x:row r="446">
      <x:c r="A446" t="n">
        <x:v>44.400000000000006</x:v>
      </x:c>
      <x:c r="B446" t="n">
        <x:f>IF(B$1="","",IFERROR(INDEX('包络曲线数据'!$B$2:$K$742,ROW()-1,MATCH(B$1,'包络曲线数据'!$B$1:$K$1,0)),""))</x:f>
        <x:v>72.45618740628956</x:v>
      </x:c>
      <x:c r="C446" t="n">
        <x:f>IF(C$1="","",IFERROR(INDEX('包络曲线数据'!$B$2:$K$742,ROW()-1,MATCH(C$1,'包络曲线数据'!$B$1:$K$1,0)),""))</x:f>
        <x:v>63.35045309757826</x:v>
      </x:c>
      <x:c r="D446" t="str">
        <x:f>IF(D$1="","",IFERROR(INDEX('包络曲线数据'!$B$2:$K$742,ROW()-1,MATCH(D$1,'包络曲线数据'!$B$1:$K$1,0)),""))</x:f>
      </x:c>
      <x:c r="E446" t="str">
        <x:f>IF(E$1="","",IFERROR(INDEX('包络曲线数据'!$B$2:$K$742,ROW()-1,MATCH(E$1,'包络曲线数据'!$B$1:$K$1,0)),""))</x:f>
      </x:c>
      <x:c r="F446" t="str">
        <x:f>IF(F$1="","",IFERROR(INDEX('包络曲线数据'!$B$2:$K$742,ROW()-1,MATCH(F$1,'包络曲线数据'!$B$1:$K$1,0)),""))</x:f>
      </x:c>
      <x:c r="G446" t="str">
        <x:f>IF(G$1="","",IFERROR(INDEX('包络曲线数据'!$B$2:$K$742,ROW()-1,MATCH(G$1,'包络曲线数据'!$B$1:$K$1,0)),""))</x:f>
      </x:c>
    </x:row>
    <x:row r="447">
      <x:c r="A447" t="n">
        <x:v>44.5</x:v>
      </x:c>
      <x:c r="B447" t="n">
        <x:f>IF(B$1="","",IFERROR(INDEX('包络曲线数据'!$B$2:$K$742,ROW()-1,MATCH(B$1,'包络曲线数据'!$B$1:$K$1,0)),""))</x:f>
        <x:v>62.63507779539814</x:v>
      </x:c>
      <x:c r="C447" t="n">
        <x:f>IF(C$1="","",IFERROR(INDEX('包络曲线数据'!$B$2:$K$742,ROW()-1,MATCH(C$1,'包络曲线数据'!$B$1:$K$1,0)),""))</x:f>
        <x:v>60.7702623398961</x:v>
      </x:c>
      <x:c r="D447" t="str">
        <x:f>IF(D$1="","",IFERROR(INDEX('包络曲线数据'!$B$2:$K$742,ROW()-1,MATCH(D$1,'包络曲线数据'!$B$1:$K$1,0)),""))</x:f>
      </x:c>
      <x:c r="E447" t="str">
        <x:f>IF(E$1="","",IFERROR(INDEX('包络曲线数据'!$B$2:$K$742,ROW()-1,MATCH(E$1,'包络曲线数据'!$B$1:$K$1,0)),""))</x:f>
      </x:c>
      <x:c r="F447" t="str">
        <x:f>IF(F$1="","",IFERROR(INDEX('包络曲线数据'!$B$2:$K$742,ROW()-1,MATCH(F$1,'包络曲线数据'!$B$1:$K$1,0)),""))</x:f>
      </x:c>
      <x:c r="G447" t="str">
        <x:f>IF(G$1="","",IFERROR(INDEX('包络曲线数据'!$B$2:$K$742,ROW()-1,MATCH(G$1,'包络曲线数据'!$B$1:$K$1,0)),""))</x:f>
      </x:c>
    </x:row>
    <x:row r="448">
      <x:c r="A448" t="n">
        <x:v>44.6</x:v>
      </x:c>
      <x:c r="B448" t="n">
        <x:f>IF(B$1="","",IFERROR(INDEX('包络曲线数据'!$B$2:$K$742,ROW()-1,MATCH(B$1,'包络曲线数据'!$B$1:$K$1,0)),""))</x:f>
        <x:v>61.1525912965604</x:v>
      </x:c>
      <x:c r="C448" t="n">
        <x:f>IF(C$1="","",IFERROR(INDEX('包络曲线数据'!$B$2:$K$742,ROW()-1,MATCH(C$1,'包络曲线数据'!$B$1:$K$1,0)),""))</x:f>
        <x:v>61.593728802927046</x:v>
      </x:c>
      <x:c r="D448" t="str">
        <x:f>IF(D$1="","",IFERROR(INDEX('包络曲线数据'!$B$2:$K$742,ROW()-1,MATCH(D$1,'包络曲线数据'!$B$1:$K$1,0)),""))</x:f>
      </x:c>
      <x:c r="E448" t="str">
        <x:f>IF(E$1="","",IFERROR(INDEX('包络曲线数据'!$B$2:$K$742,ROW()-1,MATCH(E$1,'包络曲线数据'!$B$1:$K$1,0)),""))</x:f>
      </x:c>
      <x:c r="F448" t="str">
        <x:f>IF(F$1="","",IFERROR(INDEX('包络曲线数据'!$B$2:$K$742,ROW()-1,MATCH(F$1,'包络曲线数据'!$B$1:$K$1,0)),""))</x:f>
      </x:c>
      <x:c r="G448" t="str">
        <x:f>IF(G$1="","",IFERROR(INDEX('包络曲线数据'!$B$2:$K$742,ROW()-1,MATCH(G$1,'包络曲线数据'!$B$1:$K$1,0)),""))</x:f>
      </x:c>
    </x:row>
    <x:row r="449">
      <x:c r="A449" t="n">
        <x:v>44.7</x:v>
      </x:c>
      <x:c r="B449" t="n">
        <x:f>IF(B$1="","",IFERROR(INDEX('包络曲线数据'!$B$2:$K$742,ROW()-1,MATCH(B$1,'包络曲线数据'!$B$1:$K$1,0)),""))</x:f>
        <x:v>61.1525912965604</x:v>
      </x:c>
      <x:c r="C449" t="n">
        <x:f>IF(C$1="","",IFERROR(INDEX('包络曲线数据'!$B$2:$K$742,ROW()-1,MATCH(C$1,'包络曲线数据'!$B$1:$K$1,0)),""))</x:f>
        <x:v>61.593728802927046</x:v>
      </x:c>
      <x:c r="D449" t="str">
        <x:f>IF(D$1="","",IFERROR(INDEX('包络曲线数据'!$B$2:$K$742,ROW()-1,MATCH(D$1,'包络曲线数据'!$B$1:$K$1,0)),""))</x:f>
      </x:c>
      <x:c r="E449" t="str">
        <x:f>IF(E$1="","",IFERROR(INDEX('包络曲线数据'!$B$2:$K$742,ROW()-1,MATCH(E$1,'包络曲线数据'!$B$1:$K$1,0)),""))</x:f>
      </x:c>
      <x:c r="F449" t="str">
        <x:f>IF(F$1="","",IFERROR(INDEX('包络曲线数据'!$B$2:$K$742,ROW()-1,MATCH(F$1,'包络曲线数据'!$B$1:$K$1,0)),""))</x:f>
      </x:c>
      <x:c r="G449" t="str">
        <x:f>IF(G$1="","",IFERROR(INDEX('包络曲线数据'!$B$2:$K$742,ROW()-1,MATCH(G$1,'包络曲线数据'!$B$1:$K$1,0)),""))</x:f>
      </x:c>
    </x:row>
    <x:row r="450">
      <x:c r="A450" t="n">
        <x:v>44.800000000000004</x:v>
      </x:c>
      <x:c r="B450" t="n">
        <x:f>IF(B$1="","",IFERROR(INDEX('包络曲线数据'!$B$2:$K$742,ROW()-1,MATCH(B$1,'包络曲线数据'!$B$1:$K$1,0)),""))</x:f>
        <x:v>55.79500625308731</x:v>
      </x:c>
      <x:c r="C450" t="n">
        <x:f>IF(C$1="","",IFERROR(INDEX('包络曲线数据'!$B$2:$K$742,ROW()-1,MATCH(C$1,'包络曲线数据'!$B$1:$K$1,0)),""))</x:f>
        <x:v>63.48991278201221</x:v>
      </x:c>
      <x:c r="D450" t="str">
        <x:f>IF(D$1="","",IFERROR(INDEX('包络曲线数据'!$B$2:$K$742,ROW()-1,MATCH(D$1,'包络曲线数据'!$B$1:$K$1,0)),""))</x:f>
      </x:c>
      <x:c r="E450" t="str">
        <x:f>IF(E$1="","",IFERROR(INDEX('包络曲线数据'!$B$2:$K$742,ROW()-1,MATCH(E$1,'包络曲线数据'!$B$1:$K$1,0)),""))</x:f>
      </x:c>
      <x:c r="F450" t="str">
        <x:f>IF(F$1="","",IFERROR(INDEX('包络曲线数据'!$B$2:$K$742,ROW()-1,MATCH(F$1,'包络曲线数据'!$B$1:$K$1,0)),""))</x:f>
      </x:c>
      <x:c r="G450" t="str">
        <x:f>IF(G$1="","",IFERROR(INDEX('包络曲线数据'!$B$2:$K$742,ROW()-1,MATCH(G$1,'包络曲线数据'!$B$1:$K$1,0)),""))</x:f>
      </x:c>
    </x:row>
    <x:row r="451">
      <x:c r="A451" t="n">
        <x:v>44.900000000000006</x:v>
      </x:c>
      <x:c r="B451" t="n">
        <x:f>IF(B$1="","",IFERROR(INDEX('包络曲线数据'!$B$2:$K$742,ROW()-1,MATCH(B$1,'包络曲线数据'!$B$1:$K$1,0)),""))</x:f>
        <x:v>59.18765754046815</x:v>
      </x:c>
      <x:c r="C451" t="n">
        <x:f>IF(C$1="","",IFERROR(INDEX('包络曲线数据'!$B$2:$K$742,ROW()-1,MATCH(C$1,'包络曲线数据'!$B$1:$K$1,0)),""))</x:f>
        <x:v>63.48991278201221</x:v>
      </x:c>
      <x:c r="D451" t="str">
        <x:f>IF(D$1="","",IFERROR(INDEX('包络曲线数据'!$B$2:$K$742,ROW()-1,MATCH(D$1,'包络曲线数据'!$B$1:$K$1,0)),""))</x:f>
      </x:c>
      <x:c r="E451" t="str">
        <x:f>IF(E$1="","",IFERROR(INDEX('包络曲线数据'!$B$2:$K$742,ROW()-1,MATCH(E$1,'包络曲线数据'!$B$1:$K$1,0)),""))</x:f>
      </x:c>
      <x:c r="F451" t="str">
        <x:f>IF(F$1="","",IFERROR(INDEX('包络曲线数据'!$B$2:$K$742,ROW()-1,MATCH(F$1,'包络曲线数据'!$B$1:$K$1,0)),""))</x:f>
      </x:c>
      <x:c r="G451" t="str">
        <x:f>IF(G$1="","",IFERROR(INDEX('包络曲线数据'!$B$2:$K$742,ROW()-1,MATCH(G$1,'包络曲线数据'!$B$1:$K$1,0)),""))</x:f>
      </x:c>
    </x:row>
    <x:row r="452">
      <x:c r="A452" t="n">
        <x:v>45</x:v>
      </x:c>
      <x:c r="B452" t="n">
        <x:f>IF(B$1="","",IFERROR(INDEX('包络曲线数据'!$B$2:$K$742,ROW()-1,MATCH(B$1,'包络曲线数据'!$B$1:$K$1,0)),""))</x:f>
        <x:v>61.901778570372485</x:v>
      </x:c>
      <x:c r="C452" t="n">
        <x:f>IF(C$1="","",IFERROR(INDEX('包络曲线数据'!$B$2:$K$742,ROW()-1,MATCH(C$1,'包络曲线数据'!$B$1:$K$1,0)),""))</x:f>
        <x:v>60.71129761051971</x:v>
      </x:c>
      <x:c r="D452" t="str">
        <x:f>IF(D$1="","",IFERROR(INDEX('包络曲线数据'!$B$2:$K$742,ROW()-1,MATCH(D$1,'包络曲线数据'!$B$1:$K$1,0)),""))</x:f>
      </x:c>
      <x:c r="E452" t="str">
        <x:f>IF(E$1="","",IFERROR(INDEX('包络曲线数据'!$B$2:$K$742,ROW()-1,MATCH(E$1,'包络曲线数据'!$B$1:$K$1,0)),""))</x:f>
      </x:c>
      <x:c r="F452" t="str">
        <x:f>IF(F$1="","",IFERROR(INDEX('包络曲线数据'!$B$2:$K$742,ROW()-1,MATCH(F$1,'包络曲线数据'!$B$1:$K$1,0)),""))</x:f>
      </x:c>
      <x:c r="G452" t="str">
        <x:f>IF(G$1="","",IFERROR(INDEX('包络曲线数据'!$B$2:$K$742,ROW()-1,MATCH(G$1,'包络曲线数据'!$B$1:$K$1,0)),""))</x:f>
      </x:c>
    </x:row>
    <x:row r="453">
      <x:c r="A453" t="n">
        <x:v>45.1</x:v>
      </x:c>
      <x:c r="B453" t="n">
        <x:f>IF(B$1="","",IFERROR(INDEX('包络曲线数据'!$B$2:$K$742,ROW()-1,MATCH(B$1,'包络曲线数据'!$B$1:$K$1,0)),""))</x:f>
        <x:v>61.901778570372485</x:v>
      </x:c>
      <x:c r="C453" t="n">
        <x:f>IF(C$1="","",IFERROR(INDEX('包络曲线数据'!$B$2:$K$742,ROW()-1,MATCH(C$1,'包络曲线数据'!$B$1:$K$1,0)),""))</x:f>
        <x:v>63.446490435109446</x:v>
      </x:c>
      <x:c r="D453" t="str">
        <x:f>IF(D$1="","",IFERROR(INDEX('包络曲线数据'!$B$2:$K$742,ROW()-1,MATCH(D$1,'包络曲线数据'!$B$1:$K$1,0)),""))</x:f>
      </x:c>
      <x:c r="E453" t="str">
        <x:f>IF(E$1="","",IFERROR(INDEX('包络曲线数据'!$B$2:$K$742,ROW()-1,MATCH(E$1,'包络曲线数据'!$B$1:$K$1,0)),""))</x:f>
      </x:c>
      <x:c r="F453" t="str">
        <x:f>IF(F$1="","",IFERROR(INDEX('包络曲线数据'!$B$2:$K$742,ROW()-1,MATCH(F$1,'包络曲线数据'!$B$1:$K$1,0)),""))</x:f>
      </x:c>
      <x:c r="G453" t="str">
        <x:f>IF(G$1="","",IFERROR(INDEX('包络曲线数据'!$B$2:$K$742,ROW()-1,MATCH(G$1,'包络曲线数据'!$B$1:$K$1,0)),""))</x:f>
      </x:c>
    </x:row>
    <x:row r="454">
      <x:c r="A454" t="n">
        <x:v>45.2</x:v>
      </x:c>
      <x:c r="B454" t="n">
        <x:f>IF(B$1="","",IFERROR(INDEX('包络曲线数据'!$B$2:$K$742,ROW()-1,MATCH(B$1,'包络曲线数据'!$B$1:$K$1,0)),""))</x:f>
        <x:v>60.57805940773821</x:v>
      </x:c>
      <x:c r="C454" t="n">
        <x:f>IF(C$1="","",IFERROR(INDEX('包络曲线数据'!$B$2:$K$742,ROW()-1,MATCH(C$1,'包络曲线数据'!$B$1:$K$1,0)),""))</x:f>
        <x:v>86.86237636812962</x:v>
      </x:c>
      <x:c r="D454" t="str">
        <x:f>IF(D$1="","",IFERROR(INDEX('包络曲线数据'!$B$2:$K$742,ROW()-1,MATCH(D$1,'包络曲线数据'!$B$1:$K$1,0)),""))</x:f>
      </x:c>
      <x:c r="E454" t="str">
        <x:f>IF(E$1="","",IFERROR(INDEX('包络曲线数据'!$B$2:$K$742,ROW()-1,MATCH(E$1,'包络曲线数据'!$B$1:$K$1,0)),""))</x:f>
      </x:c>
      <x:c r="F454" t="str">
        <x:f>IF(F$1="","",IFERROR(INDEX('包络曲线数据'!$B$2:$K$742,ROW()-1,MATCH(F$1,'包络曲线数据'!$B$1:$K$1,0)),""))</x:f>
      </x:c>
      <x:c r="G454" t="str">
        <x:f>IF(G$1="","",IFERROR(INDEX('包络曲线数据'!$B$2:$K$742,ROW()-1,MATCH(G$1,'包络曲线数据'!$B$1:$K$1,0)),""))</x:f>
      </x:c>
    </x:row>
    <x:row r="455">
      <x:c r="A455" t="n">
        <x:v>45.300000000000004</x:v>
      </x:c>
      <x:c r="B455" t="n">
        <x:f>IF(B$1="","",IFERROR(INDEX('包络曲线数据'!$B$2:$K$742,ROW()-1,MATCH(B$1,'包络曲线数据'!$B$1:$K$1,0)),""))</x:f>
        <x:v>60.04857174268856</x:v>
      </x:c>
      <x:c r="C455" t="n">
        <x:f>IF(C$1="","",IFERROR(INDEX('包络曲线数据'!$B$2:$K$742,ROW()-1,MATCH(C$1,'包络曲线数据'!$B$1:$K$1,0)),""))</x:f>
        <x:v>88.06761152119319</x:v>
      </x:c>
      <x:c r="D455" t="str">
        <x:f>IF(D$1="","",IFERROR(INDEX('包络曲线数据'!$B$2:$K$742,ROW()-1,MATCH(D$1,'包络曲线数据'!$B$1:$K$1,0)),""))</x:f>
      </x:c>
      <x:c r="E455" t="str">
        <x:f>IF(E$1="","",IFERROR(INDEX('包络曲线数据'!$B$2:$K$742,ROW()-1,MATCH(E$1,'包络曲线数据'!$B$1:$K$1,0)),""))</x:f>
      </x:c>
      <x:c r="F455" t="str">
        <x:f>IF(F$1="","",IFERROR(INDEX('包络曲线数据'!$B$2:$K$742,ROW()-1,MATCH(F$1,'包络曲线数据'!$B$1:$K$1,0)),""))</x:f>
      </x:c>
      <x:c r="G455" t="str">
        <x:f>IF(G$1="","",IFERROR(INDEX('包络曲线数据'!$B$2:$K$742,ROW()-1,MATCH(G$1,'包络曲线数据'!$B$1:$K$1,0)),""))</x:f>
      </x:c>
    </x:row>
    <x:row r="456">
      <x:c r="A456" t="n">
        <x:v>45.400000000000006</x:v>
      </x:c>
      <x:c r="B456" t="n">
        <x:f>IF(B$1="","",IFERROR(INDEX('包络曲线数据'!$B$2:$K$742,ROW()-1,MATCH(B$1,'包络曲线数据'!$B$1:$K$1,0)),""))</x:f>
        <x:v>74.6217821943505</x:v>
      </x:c>
      <x:c r="C456" t="n">
        <x:f>IF(C$1="","",IFERROR(INDEX('包络曲线数据'!$B$2:$K$742,ROW()-1,MATCH(C$1,'包络曲线数据'!$B$1:$K$1,0)),""))</x:f>
        <x:v>88.06761152119223</x:v>
      </x:c>
      <x:c r="D456" t="str">
        <x:f>IF(D$1="","",IFERROR(INDEX('包络曲线数据'!$B$2:$K$742,ROW()-1,MATCH(D$1,'包络曲线数据'!$B$1:$K$1,0)),""))</x:f>
      </x:c>
      <x:c r="E456" t="str">
        <x:f>IF(E$1="","",IFERROR(INDEX('包络曲线数据'!$B$2:$K$742,ROW()-1,MATCH(E$1,'包络曲线数据'!$B$1:$K$1,0)),""))</x:f>
      </x:c>
      <x:c r="F456" t="str">
        <x:f>IF(F$1="","",IFERROR(INDEX('包络曲线数据'!$B$2:$K$742,ROW()-1,MATCH(F$1,'包络曲线数据'!$B$1:$K$1,0)),""))</x:f>
      </x:c>
      <x:c r="G456" t="str">
        <x:f>IF(G$1="","",IFERROR(INDEX('包络曲线数据'!$B$2:$K$742,ROW()-1,MATCH(G$1,'包络曲线数据'!$B$1:$K$1,0)),""))</x:f>
      </x:c>
    </x:row>
    <x:row r="457">
      <x:c r="A457" t="n">
        <x:v>45.5</x:v>
      </x:c>
      <x:c r="B457" t="n">
        <x:f>IF(B$1="","",IFERROR(INDEX('包络曲线数据'!$B$2:$K$742,ROW()-1,MATCH(B$1,'包络曲线数据'!$B$1:$K$1,0)),""))</x:f>
        <x:v>74.6217821943505</x:v>
      </x:c>
      <x:c r="C457" t="n">
        <x:f>IF(C$1="","",IFERROR(INDEX('包络曲线数据'!$B$2:$K$742,ROW()-1,MATCH(C$1,'包络曲线数据'!$B$1:$K$1,0)),""))</x:f>
        <x:v>78.21157237331359</x:v>
      </x:c>
      <x:c r="D457" t="str">
        <x:f>IF(D$1="","",IFERROR(INDEX('包络曲线数据'!$B$2:$K$742,ROW()-1,MATCH(D$1,'包络曲线数据'!$B$1:$K$1,0)),""))</x:f>
      </x:c>
      <x:c r="E457" t="str">
        <x:f>IF(E$1="","",IFERROR(INDEX('包络曲线数据'!$B$2:$K$742,ROW()-1,MATCH(E$1,'包络曲线数据'!$B$1:$K$1,0)),""))</x:f>
      </x:c>
      <x:c r="F457" t="str">
        <x:f>IF(F$1="","",IFERROR(INDEX('包络曲线数据'!$B$2:$K$742,ROW()-1,MATCH(F$1,'包络曲线数据'!$B$1:$K$1,0)),""))</x:f>
      </x:c>
      <x:c r="G457" t="str">
        <x:f>IF(G$1="","",IFERROR(INDEX('包络曲线数据'!$B$2:$K$742,ROW()-1,MATCH(G$1,'包络曲线数据'!$B$1:$K$1,0)),""))</x:f>
      </x:c>
    </x:row>
    <x:row r="458">
      <x:c r="A458" t="n">
        <x:v>45.6</x:v>
      </x:c>
      <x:c r="B458" t="n">
        <x:f>IF(B$1="","",IFERROR(INDEX('包络曲线数据'!$B$2:$K$742,ROW()-1,MATCH(B$1,'包络曲线数据'!$B$1:$K$1,0)),""))</x:f>
        <x:v>71.42990087031762</x:v>
      </x:c>
      <x:c r="C458" t="n">
        <x:f>IF(C$1="","",IFERROR(INDEX('包络曲线数据'!$B$2:$K$742,ROW()-1,MATCH(C$1,'包络曲线数据'!$B$1:$K$1,0)),""))</x:f>
        <x:v>71.61551428481324</x:v>
      </x:c>
      <x:c r="D458" t="str">
        <x:f>IF(D$1="","",IFERROR(INDEX('包络曲线数据'!$B$2:$K$742,ROW()-1,MATCH(D$1,'包络曲线数据'!$B$1:$K$1,0)),""))</x:f>
      </x:c>
      <x:c r="E458" t="str">
        <x:f>IF(E$1="","",IFERROR(INDEX('包络曲线数据'!$B$2:$K$742,ROW()-1,MATCH(E$1,'包络曲线数据'!$B$1:$K$1,0)),""))</x:f>
      </x:c>
      <x:c r="F458" t="str">
        <x:f>IF(F$1="","",IFERROR(INDEX('包络曲线数据'!$B$2:$K$742,ROW()-1,MATCH(F$1,'包络曲线数据'!$B$1:$K$1,0)),""))</x:f>
      </x:c>
      <x:c r="G458" t="str">
        <x:f>IF(G$1="","",IFERROR(INDEX('包络曲线数据'!$B$2:$K$742,ROW()-1,MATCH(G$1,'包络曲线数据'!$B$1:$K$1,0)),""))</x:f>
      </x:c>
    </x:row>
    <x:row r="459">
      <x:c r="A459" t="n">
        <x:v>45.7</x:v>
      </x:c>
      <x:c r="B459" t="n">
        <x:f>IF(B$1="","",IFERROR(INDEX('包络曲线数据'!$B$2:$K$742,ROW()-1,MATCH(B$1,'包络曲线数据'!$B$1:$K$1,0)),""))</x:f>
        <x:v>68.09577539631049</x:v>
      </x:c>
      <x:c r="C459" t="n">
        <x:f>IF(C$1="","",IFERROR(INDEX('包络曲线数据'!$B$2:$K$742,ROW()-1,MATCH(C$1,'包络曲线数据'!$B$1:$K$1,0)),""))</x:f>
        <x:v>70.04077743867973</x:v>
      </x:c>
      <x:c r="D459" t="str">
        <x:f>IF(D$1="","",IFERROR(INDEX('包络曲线数据'!$B$2:$K$742,ROW()-1,MATCH(D$1,'包络曲线数据'!$B$1:$K$1,0)),""))</x:f>
      </x:c>
      <x:c r="E459" t="str">
        <x:f>IF(E$1="","",IFERROR(INDEX('包络曲线数据'!$B$2:$K$742,ROW()-1,MATCH(E$1,'包络曲线数据'!$B$1:$K$1,0)),""))</x:f>
      </x:c>
      <x:c r="F459" t="str">
        <x:f>IF(F$1="","",IFERROR(INDEX('包络曲线数据'!$B$2:$K$742,ROW()-1,MATCH(F$1,'包络曲线数据'!$B$1:$K$1,0)),""))</x:f>
      </x:c>
      <x:c r="G459" t="str">
        <x:f>IF(G$1="","",IFERROR(INDEX('包络曲线数据'!$B$2:$K$742,ROW()-1,MATCH(G$1,'包络曲线数据'!$B$1:$K$1,0)),""))</x:f>
      </x:c>
    </x:row>
    <x:row r="460">
      <x:c r="A460" t="n">
        <x:v>45.800000000000004</x:v>
      </x:c>
      <x:c r="B460" t="n">
        <x:f>IF(B$1="","",IFERROR(INDEX('包络曲线数据'!$B$2:$K$742,ROW()-1,MATCH(B$1,'包络曲线数据'!$B$1:$K$1,0)),""))</x:f>
        <x:v>66.01146720922014</x:v>
      </x:c>
      <x:c r="C460" t="n">
        <x:f>IF(C$1="","",IFERROR(INDEX('包络曲线数据'!$B$2:$K$742,ROW()-1,MATCH(C$1,'包络曲线数据'!$B$1:$K$1,0)),""))</x:f>
        <x:v>66.74694579067727</x:v>
      </x:c>
      <x:c r="D460" t="str">
        <x:f>IF(D$1="","",IFERROR(INDEX('包络曲线数据'!$B$2:$K$742,ROW()-1,MATCH(D$1,'包络曲线数据'!$B$1:$K$1,0)),""))</x:f>
      </x:c>
      <x:c r="E460" t="str">
        <x:f>IF(E$1="","",IFERROR(INDEX('包络曲线数据'!$B$2:$K$742,ROW()-1,MATCH(E$1,'包络曲线数据'!$B$1:$K$1,0)),""))</x:f>
      </x:c>
      <x:c r="F460" t="str">
        <x:f>IF(F$1="","",IFERROR(INDEX('包络曲线数据'!$B$2:$K$742,ROW()-1,MATCH(F$1,'包络曲线数据'!$B$1:$K$1,0)),""))</x:f>
      </x:c>
      <x:c r="G460" t="str">
        <x:f>IF(G$1="","",IFERROR(INDEX('包络曲线数据'!$B$2:$K$742,ROW()-1,MATCH(G$1,'包络曲线数据'!$B$1:$K$1,0)),""))</x:f>
      </x:c>
    </x:row>
    <x:row r="461">
      <x:c r="A461" t="n">
        <x:v>45.900000000000006</x:v>
      </x:c>
      <x:c r="B461" t="n">
        <x:f>IF(B$1="","",IFERROR(INDEX('包络曲线数据'!$B$2:$K$742,ROW()-1,MATCH(B$1,'包络曲线数据'!$B$1:$K$1,0)),""))</x:f>
        <x:v>66.44519593026337</x:v>
      </x:c>
      <x:c r="C461" t="n">
        <x:f>IF(C$1="","",IFERROR(INDEX('包络曲线数据'!$B$2:$K$742,ROW()-1,MATCH(C$1,'包络曲线数据'!$B$1:$K$1,0)),""))</x:f>
        <x:v>64.74242494163812</x:v>
      </x:c>
      <x:c r="D461" t="str">
        <x:f>IF(D$1="","",IFERROR(INDEX('包络曲线数据'!$B$2:$K$742,ROW()-1,MATCH(D$1,'包络曲线数据'!$B$1:$K$1,0)),""))</x:f>
      </x:c>
      <x:c r="E461" t="str">
        <x:f>IF(E$1="","",IFERROR(INDEX('包络曲线数据'!$B$2:$K$742,ROW()-1,MATCH(E$1,'包络曲线数据'!$B$1:$K$1,0)),""))</x:f>
      </x:c>
      <x:c r="F461" t="str">
        <x:f>IF(F$1="","",IFERROR(INDEX('包络曲线数据'!$B$2:$K$742,ROW()-1,MATCH(F$1,'包络曲线数据'!$B$1:$K$1,0)),""))</x:f>
      </x:c>
      <x:c r="G461" t="str">
        <x:f>IF(G$1="","",IFERROR(INDEX('包络曲线数据'!$B$2:$K$742,ROW()-1,MATCH(G$1,'包络曲线数据'!$B$1:$K$1,0)),""))</x:f>
      </x:c>
    </x:row>
    <x:row r="462">
      <x:c r="A462" t="n">
        <x:v>46</x:v>
      </x:c>
      <x:c r="B462" t="n">
        <x:f>IF(B$1="","",IFERROR(INDEX('包络曲线数据'!$B$2:$K$742,ROW()-1,MATCH(B$1,'包络曲线数据'!$B$1:$K$1,0)),""))</x:f>
        <x:v>67.5643960604778</x:v>
      </x:c>
      <x:c r="C462" t="n">
        <x:f>IF(C$1="","",IFERROR(INDEX('包络曲线数据'!$B$2:$K$742,ROW()-1,MATCH(C$1,'包络曲线数据'!$B$1:$K$1,0)),""))</x:f>
        <x:v>63.3960940860389</x:v>
      </x:c>
      <x:c r="D462" t="str">
        <x:f>IF(D$1="","",IFERROR(INDEX('包络曲线数据'!$B$2:$K$742,ROW()-1,MATCH(D$1,'包络曲线数据'!$B$1:$K$1,0)),""))</x:f>
      </x:c>
      <x:c r="E462" t="str">
        <x:f>IF(E$1="","",IFERROR(INDEX('包络曲线数据'!$B$2:$K$742,ROW()-1,MATCH(E$1,'包络曲线数据'!$B$1:$K$1,0)),""))</x:f>
      </x:c>
      <x:c r="F462" t="str">
        <x:f>IF(F$1="","",IFERROR(INDEX('包络曲线数据'!$B$2:$K$742,ROW()-1,MATCH(F$1,'包络曲线数据'!$B$1:$K$1,0)),""))</x:f>
      </x:c>
      <x:c r="G462" t="str">
        <x:f>IF(G$1="","",IFERROR(INDEX('包络曲线数据'!$B$2:$K$742,ROW()-1,MATCH(G$1,'包络曲线数据'!$B$1:$K$1,0)),""))</x:f>
      </x:c>
    </x:row>
    <x:row r="463">
      <x:c r="A463" t="n">
        <x:v>46.1</x:v>
      </x:c>
      <x:c r="B463" t="n">
        <x:f>IF(B$1="","",IFERROR(INDEX('包络曲线数据'!$B$2:$K$742,ROW()-1,MATCH(B$1,'包络曲线数据'!$B$1:$K$1,0)),""))</x:f>
        <x:v>67.67517287100861</x:v>
      </x:c>
      <x:c r="C463" t="n">
        <x:f>IF(C$1="","",IFERROR(INDEX('包络曲线数据'!$B$2:$K$742,ROW()-1,MATCH(C$1,'包络曲线数据'!$B$1:$K$1,0)),""))</x:f>
        <x:v>63.3960940860389</x:v>
      </x:c>
      <x:c r="D463" t="str">
        <x:f>IF(D$1="","",IFERROR(INDEX('包络曲线数据'!$B$2:$K$742,ROW()-1,MATCH(D$1,'包络曲线数据'!$B$1:$K$1,0)),""))</x:f>
      </x:c>
      <x:c r="E463" t="str">
        <x:f>IF(E$1="","",IFERROR(INDEX('包络曲线数据'!$B$2:$K$742,ROW()-1,MATCH(E$1,'包络曲线数据'!$B$1:$K$1,0)),""))</x:f>
      </x:c>
      <x:c r="F463" t="str">
        <x:f>IF(F$1="","",IFERROR(INDEX('包络曲线数据'!$B$2:$K$742,ROW()-1,MATCH(F$1,'包络曲线数据'!$B$1:$K$1,0)),""))</x:f>
      </x:c>
      <x:c r="G463" t="str">
        <x:f>IF(G$1="","",IFERROR(INDEX('包络曲线数据'!$B$2:$K$742,ROW()-1,MATCH(G$1,'包络曲线数据'!$B$1:$K$1,0)),""))</x:f>
      </x:c>
    </x:row>
    <x:row r="464">
      <x:c r="A464" t="n">
        <x:v>46.2</x:v>
      </x:c>
      <x:c r="B464" t="n">
        <x:f>IF(B$1="","",IFERROR(INDEX('包络曲线数据'!$B$2:$K$742,ROW()-1,MATCH(B$1,'包络曲线数据'!$B$1:$K$1,0)),""))</x:f>
        <x:v>67.67517287100861</x:v>
      </x:c>
      <x:c r="C464" t="n">
        <x:f>IF(C$1="","",IFERROR(INDEX('包络曲线数据'!$B$2:$K$742,ROW()-1,MATCH(C$1,'包络曲线数据'!$B$1:$K$1,0)),""))</x:f>
        <x:v>58.352398742033245</x:v>
      </x:c>
      <x:c r="D464" t="str">
        <x:f>IF(D$1="","",IFERROR(INDEX('包络曲线数据'!$B$2:$K$742,ROW()-1,MATCH(D$1,'包络曲线数据'!$B$1:$K$1,0)),""))</x:f>
      </x:c>
      <x:c r="E464" t="str">
        <x:f>IF(E$1="","",IFERROR(INDEX('包络曲线数据'!$B$2:$K$742,ROW()-1,MATCH(E$1,'包络曲线数据'!$B$1:$K$1,0)),""))</x:f>
      </x:c>
      <x:c r="F464" t="str">
        <x:f>IF(F$1="","",IFERROR(INDEX('包络曲线数据'!$B$2:$K$742,ROW()-1,MATCH(F$1,'包络曲线数据'!$B$1:$K$1,0)),""))</x:f>
      </x:c>
      <x:c r="G464" t="str">
        <x:f>IF(G$1="","",IFERROR(INDEX('包络曲线数据'!$B$2:$K$742,ROW()-1,MATCH(G$1,'包络曲线数据'!$B$1:$K$1,0)),""))</x:f>
      </x:c>
    </x:row>
    <x:row r="465">
      <x:c r="A465" t="n">
        <x:v>46.300000000000004</x:v>
      </x:c>
      <x:c r="B465" t="n">
        <x:f>IF(B$1="","",IFERROR(INDEX('包络曲线数据'!$B$2:$K$742,ROW()-1,MATCH(B$1,'包络曲线数据'!$B$1:$K$1,0)),""))</x:f>
        <x:v>67.45038634708563</x:v>
      </x:c>
      <x:c r="C465" t="n">
        <x:f>IF(C$1="","",IFERROR(INDEX('包络曲线数据'!$B$2:$K$742,ROW()-1,MATCH(C$1,'包络曲线数据'!$B$1:$K$1,0)),""))</x:f>
        <x:v>50</x:v>
      </x:c>
      <x:c r="D465" t="str">
        <x:f>IF(D$1="","",IFERROR(INDEX('包络曲线数据'!$B$2:$K$742,ROW()-1,MATCH(D$1,'包络曲线数据'!$B$1:$K$1,0)),""))</x:f>
      </x:c>
      <x:c r="E465" t="str">
        <x:f>IF(E$1="","",IFERROR(INDEX('包络曲线数据'!$B$2:$K$742,ROW()-1,MATCH(E$1,'包络曲线数据'!$B$1:$K$1,0)),""))</x:f>
      </x:c>
      <x:c r="F465" t="str">
        <x:f>IF(F$1="","",IFERROR(INDEX('包络曲线数据'!$B$2:$K$742,ROW()-1,MATCH(F$1,'包络曲线数据'!$B$1:$K$1,0)),""))</x:f>
      </x:c>
      <x:c r="G465" t="str">
        <x:f>IF(G$1="","",IFERROR(INDEX('包络曲线数据'!$B$2:$K$742,ROW()-1,MATCH(G$1,'包络曲线数据'!$B$1:$K$1,0)),""))</x:f>
      </x:c>
    </x:row>
    <x:row r="466">
      <x:c r="A466" t="n">
        <x:v>46.400000000000006</x:v>
      </x:c>
      <x:c r="B466" t="n">
        <x:f>IF(B$1="","",IFERROR(INDEX('包络曲线数据'!$B$2:$K$742,ROW()-1,MATCH(B$1,'包络曲线数据'!$B$1:$K$1,0)),""))</x:f>
        <x:v>67.45038634708563</x:v>
      </x:c>
      <x:c r="C466" t="n">
        <x:f>IF(C$1="","",IFERROR(INDEX('包络曲线数据'!$B$2:$K$742,ROW()-1,MATCH(C$1,'包络曲线数据'!$B$1:$K$1,0)),""))</x:f>
        <x:v>72.30367153981432</x:v>
      </x:c>
      <x:c r="D466" t="str">
        <x:f>IF(D$1="","",IFERROR(INDEX('包络曲线数据'!$B$2:$K$742,ROW()-1,MATCH(D$1,'包络曲线数据'!$B$1:$K$1,0)),""))</x:f>
      </x:c>
      <x:c r="E466" t="str">
        <x:f>IF(E$1="","",IFERROR(INDEX('包络曲线数据'!$B$2:$K$742,ROW()-1,MATCH(E$1,'包络曲线数据'!$B$1:$K$1,0)),""))</x:f>
      </x:c>
      <x:c r="F466" t="str">
        <x:f>IF(F$1="","",IFERROR(INDEX('包络曲线数据'!$B$2:$K$742,ROW()-1,MATCH(F$1,'包络曲线数据'!$B$1:$K$1,0)),""))</x:f>
      </x:c>
      <x:c r="G466" t="str">
        <x:f>IF(G$1="","",IFERROR(INDEX('包络曲线数据'!$B$2:$K$742,ROW()-1,MATCH(G$1,'包络曲线数据'!$B$1:$K$1,0)),""))</x:f>
      </x:c>
    </x:row>
    <x:row r="467">
      <x:c r="A467" t="n">
        <x:v>46.5</x:v>
      </x:c>
      <x:c r="B467" t="n">
        <x:f>IF(B$1="","",IFERROR(INDEX('包络曲线数据'!$B$2:$K$742,ROW()-1,MATCH(B$1,'包络曲线数据'!$B$1:$K$1,0)),""))</x:f>
        <x:v>67.31713129549338</x:v>
      </x:c>
      <x:c r="C467" t="n">
        <x:f>IF(C$1="","",IFERROR(INDEX('包络曲线数据'!$B$2:$K$742,ROW()-1,MATCH(C$1,'包络曲线数据'!$B$1:$K$1,0)),""))</x:f>
        <x:v>73.10078059706925</x:v>
      </x:c>
      <x:c r="D467" t="str">
        <x:f>IF(D$1="","",IFERROR(INDEX('包络曲线数据'!$B$2:$K$742,ROW()-1,MATCH(D$1,'包络曲线数据'!$B$1:$K$1,0)),""))</x:f>
      </x:c>
      <x:c r="E467" t="str">
        <x:f>IF(E$1="","",IFERROR(INDEX('包络曲线数据'!$B$2:$K$742,ROW()-1,MATCH(E$1,'包络曲线数据'!$B$1:$K$1,0)),""))</x:f>
      </x:c>
      <x:c r="F467" t="str">
        <x:f>IF(F$1="","",IFERROR(INDEX('包络曲线数据'!$B$2:$K$742,ROW()-1,MATCH(F$1,'包络曲线数据'!$B$1:$K$1,0)),""))</x:f>
      </x:c>
      <x:c r="G467" t="str">
        <x:f>IF(G$1="","",IFERROR(INDEX('包络曲线数据'!$B$2:$K$742,ROW()-1,MATCH(G$1,'包络曲线数据'!$B$1:$K$1,0)),""))</x:f>
      </x:c>
    </x:row>
    <x:row r="468">
      <x:c r="A468" t="n">
        <x:v>46.6</x:v>
      </x:c>
      <x:c r="B468" t="n">
        <x:f>IF(B$1="","",IFERROR(INDEX('包络曲线数据'!$B$2:$K$742,ROW()-1,MATCH(B$1,'包络曲线数据'!$B$1:$K$1,0)),""))</x:f>
        <x:v>67.23005192182704</x:v>
      </x:c>
      <x:c r="C468" t="n">
        <x:f>IF(C$1="","",IFERROR(INDEX('包络曲线数据'!$B$2:$K$742,ROW()-1,MATCH(C$1,'包络曲线数据'!$B$1:$K$1,0)),""))</x:f>
        <x:v>71.52429752596976</x:v>
      </x:c>
      <x:c r="D468" t="str">
        <x:f>IF(D$1="","",IFERROR(INDEX('包络曲线数据'!$B$2:$K$742,ROW()-1,MATCH(D$1,'包络曲线数据'!$B$1:$K$1,0)),""))</x:f>
      </x:c>
      <x:c r="E468" t="str">
        <x:f>IF(E$1="","",IFERROR(INDEX('包络曲线数据'!$B$2:$K$742,ROW()-1,MATCH(E$1,'包络曲线数据'!$B$1:$K$1,0)),""))</x:f>
      </x:c>
      <x:c r="F468" t="str">
        <x:f>IF(F$1="","",IFERROR(INDEX('包络曲线数据'!$B$2:$K$742,ROW()-1,MATCH(F$1,'包络曲线数据'!$B$1:$K$1,0)),""))</x:f>
      </x:c>
      <x:c r="G468" t="str">
        <x:f>IF(G$1="","",IFERROR(INDEX('包络曲线数据'!$B$2:$K$742,ROW()-1,MATCH(G$1,'包络曲线数据'!$B$1:$K$1,0)),""))</x:f>
      </x:c>
    </x:row>
    <x:row r="469">
      <x:c r="A469" t="n">
        <x:v>46.7</x:v>
      </x:c>
      <x:c r="B469" t="n">
        <x:f>IF(B$1="","",IFERROR(INDEX('包络曲线数据'!$B$2:$K$742,ROW()-1,MATCH(B$1,'包络曲线数据'!$B$1:$K$1,0)),""))</x:f>
        <x:v>67.74666583827025</x:v>
      </x:c>
      <x:c r="C469" t="n">
        <x:f>IF(C$1="","",IFERROR(INDEX('包络曲线数据'!$B$2:$K$742,ROW()-1,MATCH(C$1,'包络曲线数据'!$B$1:$K$1,0)),""))</x:f>
        <x:v>60.45613935730424</x:v>
      </x:c>
      <x:c r="D469" t="str">
        <x:f>IF(D$1="","",IFERROR(INDEX('包络曲线数据'!$B$2:$K$742,ROW()-1,MATCH(D$1,'包络曲线数据'!$B$1:$K$1,0)),""))</x:f>
      </x:c>
      <x:c r="E469" t="str">
        <x:f>IF(E$1="","",IFERROR(INDEX('包络曲线数据'!$B$2:$K$742,ROW()-1,MATCH(E$1,'包络曲线数据'!$B$1:$K$1,0)),""))</x:f>
      </x:c>
      <x:c r="F469" t="str">
        <x:f>IF(F$1="","",IFERROR(INDEX('包络曲线数据'!$B$2:$K$742,ROW()-1,MATCH(F$1,'包络曲线数据'!$B$1:$K$1,0)),""))</x:f>
      </x:c>
      <x:c r="G469" t="str">
        <x:f>IF(G$1="","",IFERROR(INDEX('包络曲线数据'!$B$2:$K$742,ROW()-1,MATCH(G$1,'包络曲线数据'!$B$1:$K$1,0)),""))</x:f>
      </x:c>
    </x:row>
    <x:row r="470">
      <x:c r="A470" t="n">
        <x:v>46.800000000000004</x:v>
      </x:c>
      <x:c r="B470" t="n">
        <x:f>IF(B$1="","",IFERROR(INDEX('包络曲线数据'!$B$2:$K$742,ROW()-1,MATCH(B$1,'包络曲线数据'!$B$1:$K$1,0)),""))</x:f>
        <x:v>68.23568213609543</x:v>
      </x:c>
      <x:c r="C470" t="n">
        <x:f>IF(C$1="","",IFERROR(INDEX('包络曲线数据'!$B$2:$K$742,ROW()-1,MATCH(C$1,'包络曲线数据'!$B$1:$K$1,0)),""))</x:f>
        <x:v>50</x:v>
      </x:c>
      <x:c r="D470" t="str">
        <x:f>IF(D$1="","",IFERROR(INDEX('包络曲线数据'!$B$2:$K$742,ROW()-1,MATCH(D$1,'包络曲线数据'!$B$1:$K$1,0)),""))</x:f>
      </x:c>
      <x:c r="E470" t="str">
        <x:f>IF(E$1="","",IFERROR(INDEX('包络曲线数据'!$B$2:$K$742,ROW()-1,MATCH(E$1,'包络曲线数据'!$B$1:$K$1,0)),""))</x:f>
      </x:c>
      <x:c r="F470" t="str">
        <x:f>IF(F$1="","",IFERROR(INDEX('包络曲线数据'!$B$2:$K$742,ROW()-1,MATCH(F$1,'包络曲线数据'!$B$1:$K$1,0)),""))</x:f>
      </x:c>
      <x:c r="G470" t="str">
        <x:f>IF(G$1="","",IFERROR(INDEX('包络曲线数据'!$B$2:$K$742,ROW()-1,MATCH(G$1,'包络曲线数据'!$B$1:$K$1,0)),""))</x:f>
      </x:c>
    </x:row>
    <x:row r="471">
      <x:c r="A471" t="n">
        <x:v>46.900000000000006</x:v>
      </x:c>
      <x:c r="B471" t="n">
        <x:f>IF(B$1="","",IFERROR(INDEX('包络曲线数据'!$B$2:$K$742,ROW()-1,MATCH(B$1,'包络曲线数据'!$B$1:$K$1,0)),""))</x:f>
        <x:v>68.72438283007897</x:v>
      </x:c>
      <x:c r="C471" t="n">
        <x:f>IF(C$1="","",IFERROR(INDEX('包络曲线数据'!$B$2:$K$742,ROW()-1,MATCH(C$1,'包络曲线数据'!$B$1:$K$1,0)),""))</x:f>
        <x:v>61.35148413012655</x:v>
      </x:c>
      <x:c r="D471" t="str">
        <x:f>IF(D$1="","",IFERROR(INDEX('包络曲线数据'!$B$2:$K$742,ROW()-1,MATCH(D$1,'包络曲线数据'!$B$1:$K$1,0)),""))</x:f>
      </x:c>
      <x:c r="E471" t="str">
        <x:f>IF(E$1="","",IFERROR(INDEX('包络曲线数据'!$B$2:$K$742,ROW()-1,MATCH(E$1,'包络曲线数据'!$B$1:$K$1,0)),""))</x:f>
      </x:c>
      <x:c r="F471" t="str">
        <x:f>IF(F$1="","",IFERROR(INDEX('包络曲线数据'!$B$2:$K$742,ROW()-1,MATCH(F$1,'包络曲线数据'!$B$1:$K$1,0)),""))</x:f>
      </x:c>
      <x:c r="G471" t="str">
        <x:f>IF(G$1="","",IFERROR(INDEX('包络曲线数据'!$B$2:$K$742,ROW()-1,MATCH(G$1,'包络曲线数据'!$B$1:$K$1,0)),""))</x:f>
      </x:c>
    </x:row>
    <x:row r="472">
      <x:c r="A472" t="n">
        <x:v>47</x:v>
      </x:c>
      <x:c r="B472" t="n">
        <x:f>IF(B$1="","",IFERROR(INDEX('包络曲线数据'!$B$2:$K$742,ROW()-1,MATCH(B$1,'包络曲线数据'!$B$1:$K$1,0)),""))</x:f>
        <x:v>79.24623543072204</x:v>
      </x:c>
      <x:c r="C472" t="n">
        <x:f>IF(C$1="","",IFERROR(INDEX('包络曲线数据'!$B$2:$K$742,ROW()-1,MATCH(C$1,'包络曲线数据'!$B$1:$K$1,0)),""))</x:f>
        <x:v>62.90081979466099</x:v>
      </x:c>
      <x:c r="D472" t="str">
        <x:f>IF(D$1="","",IFERROR(INDEX('包络曲线数据'!$B$2:$K$742,ROW()-1,MATCH(D$1,'包络曲线数据'!$B$1:$K$1,0)),""))</x:f>
      </x:c>
      <x:c r="E472" t="str">
        <x:f>IF(E$1="","",IFERROR(INDEX('包络曲线数据'!$B$2:$K$742,ROW()-1,MATCH(E$1,'包络曲线数据'!$B$1:$K$1,0)),""))</x:f>
      </x:c>
      <x:c r="F472" t="str">
        <x:f>IF(F$1="","",IFERROR(INDEX('包络曲线数据'!$B$2:$K$742,ROW()-1,MATCH(F$1,'包络曲线数据'!$B$1:$K$1,0)),""))</x:f>
      </x:c>
      <x:c r="G472" t="str">
        <x:f>IF(G$1="","",IFERROR(INDEX('包络曲线数据'!$B$2:$K$742,ROW()-1,MATCH(G$1,'包络曲线数据'!$B$1:$K$1,0)),""))</x:f>
      </x:c>
    </x:row>
    <x:row r="473">
      <x:c r="A473" t="n">
        <x:v>47.1</x:v>
      </x:c>
      <x:c r="B473" t="n">
        <x:f>IF(B$1="","",IFERROR(INDEX('包络曲线数据'!$B$2:$K$742,ROW()-1,MATCH(B$1,'包络曲线数据'!$B$1:$K$1,0)),""))</x:f>
        <x:v>79.47478641132946</x:v>
      </x:c>
      <x:c r="C473" t="n">
        <x:f>IF(C$1="","",IFERROR(INDEX('包络曲线数据'!$B$2:$K$742,ROW()-1,MATCH(C$1,'包络曲线数据'!$B$1:$K$1,0)),""))</x:f>
        <x:v>63.63305665134693</x:v>
      </x:c>
      <x:c r="D473" t="str">
        <x:f>IF(D$1="","",IFERROR(INDEX('包络曲线数据'!$B$2:$K$742,ROW()-1,MATCH(D$1,'包络曲线数据'!$B$1:$K$1,0)),""))</x:f>
      </x:c>
      <x:c r="E473" t="str">
        <x:f>IF(E$1="","",IFERROR(INDEX('包络曲线数据'!$B$2:$K$742,ROW()-1,MATCH(E$1,'包络曲线数据'!$B$1:$K$1,0)),""))</x:f>
      </x:c>
      <x:c r="F473" t="str">
        <x:f>IF(F$1="","",IFERROR(INDEX('包络曲线数据'!$B$2:$K$742,ROW()-1,MATCH(F$1,'包络曲线数据'!$B$1:$K$1,0)),""))</x:f>
      </x:c>
      <x:c r="G473" t="str">
        <x:f>IF(G$1="","",IFERROR(INDEX('包络曲线数据'!$B$2:$K$742,ROW()-1,MATCH(G$1,'包络曲线数据'!$B$1:$K$1,0)),""))</x:f>
      </x:c>
    </x:row>
    <x:row r="474">
      <x:c r="A474" t="n">
        <x:v>47.2</x:v>
      </x:c>
      <x:c r="B474" t="n">
        <x:f>IF(B$1="","",IFERROR(INDEX('包络曲线数据'!$B$2:$K$742,ROW()-1,MATCH(B$1,'包络曲线数据'!$B$1:$K$1,0)),""))</x:f>
        <x:v>77.40982612934046</x:v>
      </x:c>
      <x:c r="C474" t="n">
        <x:f>IF(C$1="","",IFERROR(INDEX('包络曲线数据'!$B$2:$K$742,ROW()-1,MATCH(C$1,'包络曲线数据'!$B$1:$K$1,0)),""))</x:f>
        <x:v>63.63305665134693</x:v>
      </x:c>
      <x:c r="D474" t="str">
        <x:f>IF(D$1="","",IFERROR(INDEX('包络曲线数据'!$B$2:$K$742,ROW()-1,MATCH(D$1,'包络曲线数据'!$B$1:$K$1,0)),""))</x:f>
      </x:c>
      <x:c r="E474" t="str">
        <x:f>IF(E$1="","",IFERROR(INDEX('包络曲线数据'!$B$2:$K$742,ROW()-1,MATCH(E$1,'包络曲线数据'!$B$1:$K$1,0)),""))</x:f>
      </x:c>
      <x:c r="F474" t="str">
        <x:f>IF(F$1="","",IFERROR(INDEX('包络曲线数据'!$B$2:$K$742,ROW()-1,MATCH(F$1,'包络曲线数据'!$B$1:$K$1,0)),""))</x:f>
      </x:c>
      <x:c r="G474" t="str">
        <x:f>IF(G$1="","",IFERROR(INDEX('包络曲线数据'!$B$2:$K$742,ROW()-1,MATCH(G$1,'包络曲线数据'!$B$1:$K$1,0)),""))</x:f>
      </x:c>
    </x:row>
    <x:row r="475">
      <x:c r="A475" t="n">
        <x:v>47.300000000000004</x:v>
      </x:c>
      <x:c r="B475" t="n">
        <x:f>IF(B$1="","",IFERROR(INDEX('包络曲线数据'!$B$2:$K$742,ROW()-1,MATCH(B$1,'包络曲线数据'!$B$1:$K$1,0)),""))</x:f>
        <x:v>67.58115597828618</x:v>
      </x:c>
      <x:c r="C475" t="n">
        <x:f>IF(C$1="","",IFERROR(INDEX('包络曲线数据'!$B$2:$K$742,ROW()-1,MATCH(C$1,'包络曲线数据'!$B$1:$K$1,0)),""))</x:f>
        <x:v>62.63465747020338</x:v>
      </x:c>
      <x:c r="D475" t="str">
        <x:f>IF(D$1="","",IFERROR(INDEX('包络曲线数据'!$B$2:$K$742,ROW()-1,MATCH(D$1,'包络曲线数据'!$B$1:$K$1,0)),""))</x:f>
      </x:c>
      <x:c r="E475" t="str">
        <x:f>IF(E$1="","",IFERROR(INDEX('包络曲线数据'!$B$2:$K$742,ROW()-1,MATCH(E$1,'包络曲线数据'!$B$1:$K$1,0)),""))</x:f>
      </x:c>
      <x:c r="F475" t="str">
        <x:f>IF(F$1="","",IFERROR(INDEX('包络曲线数据'!$B$2:$K$742,ROW()-1,MATCH(F$1,'包络曲线数据'!$B$1:$K$1,0)),""))</x:f>
      </x:c>
      <x:c r="G475" t="str">
        <x:f>IF(G$1="","",IFERROR(INDEX('包络曲线数据'!$B$2:$K$742,ROW()-1,MATCH(G$1,'包络曲线数据'!$B$1:$K$1,0)),""))</x:f>
      </x:c>
    </x:row>
    <x:row r="476">
      <x:c r="A476" t="n">
        <x:v>47.400000000000006</x:v>
      </x:c>
      <x:c r="B476" t="n">
        <x:f>IF(B$1="","",IFERROR(INDEX('包络曲线数据'!$B$2:$K$742,ROW()-1,MATCH(B$1,'包络曲线数据'!$B$1:$K$1,0)),""))</x:f>
        <x:v>50</x:v>
      </x:c>
      <x:c r="C476" t="n">
        <x:f>IF(C$1="","",IFERROR(INDEX('包络曲线数据'!$B$2:$K$742,ROW()-1,MATCH(C$1,'包络曲线数据'!$B$1:$K$1,0)),""))</x:f>
        <x:v>64.09408169154126</x:v>
      </x:c>
      <x:c r="D476" t="str">
        <x:f>IF(D$1="","",IFERROR(INDEX('包络曲线数据'!$B$2:$K$742,ROW()-1,MATCH(D$1,'包络曲线数据'!$B$1:$K$1,0)),""))</x:f>
      </x:c>
      <x:c r="E476" t="str">
        <x:f>IF(E$1="","",IFERROR(INDEX('包络曲线数据'!$B$2:$K$742,ROW()-1,MATCH(E$1,'包络曲线数据'!$B$1:$K$1,0)),""))</x:f>
      </x:c>
      <x:c r="F476" t="str">
        <x:f>IF(F$1="","",IFERROR(INDEX('包络曲线数据'!$B$2:$K$742,ROW()-1,MATCH(F$1,'包络曲线数据'!$B$1:$K$1,0)),""))</x:f>
      </x:c>
      <x:c r="G476" t="str">
        <x:f>IF(G$1="","",IFERROR(INDEX('包络曲线数据'!$B$2:$K$742,ROW()-1,MATCH(G$1,'包络曲线数据'!$B$1:$K$1,0)),""))</x:f>
      </x:c>
    </x:row>
    <x:row r="477">
      <x:c r="A477" t="n">
        <x:v>47.5</x:v>
      </x:c>
      <x:c r="B477" t="n">
        <x:f>IF(B$1="","",IFERROR(INDEX('包络曲线数据'!$B$2:$K$742,ROW()-1,MATCH(B$1,'包络曲线数据'!$B$1:$K$1,0)),""))</x:f>
        <x:v>50</x:v>
      </x:c>
      <x:c r="C477" t="n">
        <x:f>IF(C$1="","",IFERROR(INDEX('包络曲线数据'!$B$2:$K$742,ROW()-1,MATCH(C$1,'包络曲线数据'!$B$1:$K$1,0)),""))</x:f>
        <x:v>64.57506496304626</x:v>
      </x:c>
      <x:c r="D477" t="str">
        <x:f>IF(D$1="","",IFERROR(INDEX('包络曲线数据'!$B$2:$K$742,ROW()-1,MATCH(D$1,'包络曲线数据'!$B$1:$K$1,0)),""))</x:f>
      </x:c>
      <x:c r="E477" t="str">
        <x:f>IF(E$1="","",IFERROR(INDEX('包络曲线数据'!$B$2:$K$742,ROW()-1,MATCH(E$1,'包络曲线数据'!$B$1:$K$1,0)),""))</x:f>
      </x:c>
      <x:c r="F477" t="str">
        <x:f>IF(F$1="","",IFERROR(INDEX('包络曲线数据'!$B$2:$K$742,ROW()-1,MATCH(F$1,'包络曲线数据'!$B$1:$K$1,0)),""))</x:f>
      </x:c>
      <x:c r="G477" t="str">
        <x:f>IF(G$1="","",IFERROR(INDEX('包络曲线数据'!$B$2:$K$742,ROW()-1,MATCH(G$1,'包络曲线数据'!$B$1:$K$1,0)),""))</x:f>
      </x:c>
    </x:row>
    <x:row r="478">
      <x:c r="A478" t="n">
        <x:v>47.6</x:v>
      </x:c>
      <x:c r="B478" t="n">
        <x:f>IF(B$1="","",IFERROR(INDEX('包络曲线数据'!$B$2:$K$742,ROW()-1,MATCH(B$1,'包络曲线数据'!$B$1:$K$1,0)),""))</x:f>
        <x:v>59.30388062000097</x:v>
      </x:c>
      <x:c r="C478" t="n">
        <x:f>IF(C$1="","",IFERROR(INDEX('包络曲线数据'!$B$2:$K$742,ROW()-1,MATCH(C$1,'包络曲线数据'!$B$1:$K$1,0)),""))</x:f>
        <x:v>64.6859285297212</x:v>
      </x:c>
      <x:c r="D478" t="str">
        <x:f>IF(D$1="","",IFERROR(INDEX('包络曲线数据'!$B$2:$K$742,ROW()-1,MATCH(D$1,'包络曲线数据'!$B$1:$K$1,0)),""))</x:f>
      </x:c>
      <x:c r="E478" t="str">
        <x:f>IF(E$1="","",IFERROR(INDEX('包络曲线数据'!$B$2:$K$742,ROW()-1,MATCH(E$1,'包络曲线数据'!$B$1:$K$1,0)),""))</x:f>
      </x:c>
      <x:c r="F478" t="str">
        <x:f>IF(F$1="","",IFERROR(INDEX('包络曲线数据'!$B$2:$K$742,ROW()-1,MATCH(F$1,'包络曲线数据'!$B$1:$K$1,0)),""))</x:f>
      </x:c>
      <x:c r="G478" t="str">
        <x:f>IF(G$1="","",IFERROR(INDEX('包络曲线数据'!$B$2:$K$742,ROW()-1,MATCH(G$1,'包络曲线数据'!$B$1:$K$1,0)),""))</x:f>
      </x:c>
    </x:row>
    <x:row r="479">
      <x:c r="A479" t="n">
        <x:v>47.7</x:v>
      </x:c>
      <x:c r="B479" t="n">
        <x:f>IF(B$1="","",IFERROR(INDEX('包络曲线数据'!$B$2:$K$742,ROW()-1,MATCH(B$1,'包络曲线数据'!$B$1:$K$1,0)),""))</x:f>
        <x:v>62.80423519986093</x:v>
      </x:c>
      <x:c r="C479" t="n">
        <x:f>IF(C$1="","",IFERROR(INDEX('包络曲线数据'!$B$2:$K$742,ROW()-1,MATCH(C$1,'包络曲线数据'!$B$1:$K$1,0)),""))</x:f>
        <x:v>66.39533856839518</x:v>
      </x:c>
      <x:c r="D479" t="str">
        <x:f>IF(D$1="","",IFERROR(INDEX('包络曲线数据'!$B$2:$K$742,ROW()-1,MATCH(D$1,'包络曲线数据'!$B$1:$K$1,0)),""))</x:f>
      </x:c>
      <x:c r="E479" t="str">
        <x:f>IF(E$1="","",IFERROR(INDEX('包络曲线数据'!$B$2:$K$742,ROW()-1,MATCH(E$1,'包络曲线数据'!$B$1:$K$1,0)),""))</x:f>
      </x:c>
      <x:c r="F479" t="str">
        <x:f>IF(F$1="","",IFERROR(INDEX('包络曲线数据'!$B$2:$K$742,ROW()-1,MATCH(F$1,'包络曲线数据'!$B$1:$K$1,0)),""))</x:f>
      </x:c>
      <x:c r="G479" t="str">
        <x:f>IF(G$1="","",IFERROR(INDEX('包络曲线数据'!$B$2:$K$742,ROW()-1,MATCH(G$1,'包络曲线数据'!$B$1:$K$1,0)),""))</x:f>
      </x:c>
    </x:row>
    <x:row r="480">
      <x:c r="A480" t="n">
        <x:v>47.800000000000004</x:v>
      </x:c>
      <x:c r="B480" t="n">
        <x:f>IF(B$1="","",IFERROR(INDEX('包络曲线数据'!$B$2:$K$742,ROW()-1,MATCH(B$1,'包络曲线数据'!$B$1:$K$1,0)),""))</x:f>
        <x:v>62.80423519986093</x:v>
      </x:c>
      <x:c r="C480" t="n">
        <x:f>IF(C$1="","",IFERROR(INDEX('包络曲线数据'!$B$2:$K$742,ROW()-1,MATCH(C$1,'包络曲线数据'!$B$1:$K$1,0)),""))</x:f>
        <x:v>66.39533856839518</x:v>
      </x:c>
      <x:c r="D480" t="str">
        <x:f>IF(D$1="","",IFERROR(INDEX('包络曲线数据'!$B$2:$K$742,ROW()-1,MATCH(D$1,'包络曲线数据'!$B$1:$K$1,0)),""))</x:f>
      </x:c>
      <x:c r="E480" t="str">
        <x:f>IF(E$1="","",IFERROR(INDEX('包络曲线数据'!$B$2:$K$742,ROW()-1,MATCH(E$1,'包络曲线数据'!$B$1:$K$1,0)),""))</x:f>
      </x:c>
      <x:c r="F480" t="str">
        <x:f>IF(F$1="","",IFERROR(INDEX('包络曲线数据'!$B$2:$K$742,ROW()-1,MATCH(F$1,'包络曲线数据'!$B$1:$K$1,0)),""))</x:f>
      </x:c>
      <x:c r="G480" t="str">
        <x:f>IF(G$1="","",IFERROR(INDEX('包络曲线数据'!$B$2:$K$742,ROW()-1,MATCH(G$1,'包络曲线数据'!$B$1:$K$1,0)),""))</x:f>
      </x:c>
    </x:row>
    <x:row r="481">
      <x:c r="A481" t="n">
        <x:v>47.900000000000006</x:v>
      </x:c>
      <x:c r="B481" t="n">
        <x:f>IF(B$1="","",IFERROR(INDEX('包络曲线数据'!$B$2:$K$742,ROW()-1,MATCH(B$1,'包络曲线数据'!$B$1:$K$1,0)),""))</x:f>
        <x:v>61.04858185738375</x:v>
      </x:c>
      <x:c r="C481" t="n">
        <x:f>IF(C$1="","",IFERROR(INDEX('包络曲线数据'!$B$2:$K$742,ROW()-1,MATCH(C$1,'包络曲线数据'!$B$1:$K$1,0)),""))</x:f>
        <x:v>65.88709787712948</x:v>
      </x:c>
      <x:c r="D481" t="str">
        <x:f>IF(D$1="","",IFERROR(INDEX('包络曲线数据'!$B$2:$K$742,ROW()-1,MATCH(D$1,'包络曲线数据'!$B$1:$K$1,0)),""))</x:f>
      </x:c>
      <x:c r="E481" t="str">
        <x:f>IF(E$1="","",IFERROR(INDEX('包络曲线数据'!$B$2:$K$742,ROW()-1,MATCH(E$1,'包络曲线数据'!$B$1:$K$1,0)),""))</x:f>
      </x:c>
      <x:c r="F481" t="str">
        <x:f>IF(F$1="","",IFERROR(INDEX('包络曲线数据'!$B$2:$K$742,ROW()-1,MATCH(F$1,'包络曲线数据'!$B$1:$K$1,0)),""))</x:f>
      </x:c>
      <x:c r="G481" t="str">
        <x:f>IF(G$1="","",IFERROR(INDEX('包络曲线数据'!$B$2:$K$742,ROW()-1,MATCH(G$1,'包络曲线数据'!$B$1:$K$1,0)),""))</x:f>
      </x:c>
    </x:row>
    <x:row r="482">
      <x:c r="A482" t="n">
        <x:v>48</x:v>
      </x:c>
      <x:c r="B482" t="n">
        <x:f>IF(B$1="","",IFERROR(INDEX('包络曲线数据'!$B$2:$K$742,ROW()-1,MATCH(B$1,'包络曲线数据'!$B$1:$K$1,0)),""))</x:f>
        <x:v>51.64015699133739</x:v>
      </x:c>
      <x:c r="C482" t="n">
        <x:f>IF(C$1="","",IFERROR(INDEX('包络曲线数据'!$B$2:$K$742,ROW()-1,MATCH(C$1,'包络曲线数据'!$B$1:$K$1,0)),""))</x:f>
        <x:v>65.88709787712948</x:v>
      </x:c>
      <x:c r="D482" t="str">
        <x:f>IF(D$1="","",IFERROR(INDEX('包络曲线数据'!$B$2:$K$742,ROW()-1,MATCH(D$1,'包络曲线数据'!$B$1:$K$1,0)),""))</x:f>
      </x:c>
      <x:c r="E482" t="str">
        <x:f>IF(E$1="","",IFERROR(INDEX('包络曲线数据'!$B$2:$K$742,ROW()-1,MATCH(E$1,'包络曲线数据'!$B$1:$K$1,0)),""))</x:f>
      </x:c>
      <x:c r="F482" t="str">
        <x:f>IF(F$1="","",IFERROR(INDEX('包络曲线数据'!$B$2:$K$742,ROW()-1,MATCH(F$1,'包络曲线数据'!$B$1:$K$1,0)),""))</x:f>
      </x:c>
      <x:c r="G482" t="str">
        <x:f>IF(G$1="","",IFERROR(INDEX('包络曲线数据'!$B$2:$K$742,ROW()-1,MATCH(G$1,'包络曲线数据'!$B$1:$K$1,0)),""))</x:f>
      </x:c>
    </x:row>
    <x:row r="483">
      <x:c r="A483" t="n">
        <x:v>48.1</x:v>
      </x:c>
      <x:c r="B483" t="n">
        <x:f>IF(B$1="","",IFERROR(INDEX('包络曲线数据'!$B$2:$K$742,ROW()-1,MATCH(B$1,'包络曲线数据'!$B$1:$K$1,0)),""))</x:f>
        <x:v>50</x:v>
      </x:c>
      <x:c r="C483" t="n">
        <x:f>IF(C$1="","",IFERROR(INDEX('包络曲线数据'!$B$2:$K$742,ROW()-1,MATCH(C$1,'包络曲线数据'!$B$1:$K$1,0)),""))</x:f>
        <x:v>85.75507562541748</x:v>
      </x:c>
      <x:c r="D483" t="str">
        <x:f>IF(D$1="","",IFERROR(INDEX('包络曲线数据'!$B$2:$K$742,ROW()-1,MATCH(D$1,'包络曲线数据'!$B$1:$K$1,0)),""))</x:f>
      </x:c>
      <x:c r="E483" t="str">
        <x:f>IF(E$1="","",IFERROR(INDEX('包络曲线数据'!$B$2:$K$742,ROW()-1,MATCH(E$1,'包络曲线数据'!$B$1:$K$1,0)),""))</x:f>
      </x:c>
      <x:c r="F483" t="str">
        <x:f>IF(F$1="","",IFERROR(INDEX('包络曲线数据'!$B$2:$K$742,ROW()-1,MATCH(F$1,'包络曲线数据'!$B$1:$K$1,0)),""))</x:f>
      </x:c>
      <x:c r="G483" t="str">
        <x:f>IF(G$1="","",IFERROR(INDEX('包络曲线数据'!$B$2:$K$742,ROW()-1,MATCH(G$1,'包络曲线数据'!$B$1:$K$1,0)),""))</x:f>
      </x:c>
    </x:row>
    <x:row r="484">
      <x:c r="A484" t="n">
        <x:v>48.2</x:v>
      </x:c>
      <x:c r="B484" t="n">
        <x:f>IF(B$1="","",IFERROR(INDEX('包络曲线数据'!$B$2:$K$742,ROW()-1,MATCH(B$1,'包络曲线数据'!$B$1:$K$1,0)),""))</x:f>
        <x:v>74.01836784255597</x:v>
      </x:c>
      <x:c r="C484" t="n">
        <x:f>IF(C$1="","",IFERROR(INDEX('包络曲线数据'!$B$2:$K$742,ROW()-1,MATCH(C$1,'包络曲线数据'!$B$1:$K$1,0)),""))</x:f>
        <x:v>85.75507562541748</x:v>
      </x:c>
      <x:c r="D484" t="str">
        <x:f>IF(D$1="","",IFERROR(INDEX('包络曲线数据'!$B$2:$K$742,ROW()-1,MATCH(D$1,'包络曲线数据'!$B$1:$K$1,0)),""))</x:f>
      </x:c>
      <x:c r="E484" t="str">
        <x:f>IF(E$1="","",IFERROR(INDEX('包络曲线数据'!$B$2:$K$742,ROW()-1,MATCH(E$1,'包络曲线数据'!$B$1:$K$1,0)),""))</x:f>
      </x:c>
      <x:c r="F484" t="str">
        <x:f>IF(F$1="","",IFERROR(INDEX('包络曲线数据'!$B$2:$K$742,ROW()-1,MATCH(F$1,'包络曲线数据'!$B$1:$K$1,0)),""))</x:f>
      </x:c>
      <x:c r="G484" t="str">
        <x:f>IF(G$1="","",IFERROR(INDEX('包络曲线数据'!$B$2:$K$742,ROW()-1,MATCH(G$1,'包络曲线数据'!$B$1:$K$1,0)),""))</x:f>
      </x:c>
    </x:row>
    <x:row r="485">
      <x:c r="A485" t="n">
        <x:v>48.300000000000004</x:v>
      </x:c>
      <x:c r="B485" t="n">
        <x:f>IF(B$1="","",IFERROR(INDEX('包络曲线数据'!$B$2:$K$742,ROW()-1,MATCH(B$1,'包络曲线数据'!$B$1:$K$1,0)),""))</x:f>
        <x:v>74.86197781217324</x:v>
      </x:c>
      <x:c r="C485" t="n">
        <x:f>IF(C$1="","",IFERROR(INDEX('包络曲线数据'!$B$2:$K$742,ROW()-1,MATCH(C$1,'包络曲线数据'!$B$1:$K$1,0)),""))</x:f>
        <x:v>77.67328002717225</x:v>
      </x:c>
      <x:c r="D485" t="str">
        <x:f>IF(D$1="","",IFERROR(INDEX('包络曲线数据'!$B$2:$K$742,ROW()-1,MATCH(D$1,'包络曲线数据'!$B$1:$K$1,0)),""))</x:f>
      </x:c>
      <x:c r="E485" t="str">
        <x:f>IF(E$1="","",IFERROR(INDEX('包络曲线数据'!$B$2:$K$742,ROW()-1,MATCH(E$1,'包络曲线数据'!$B$1:$K$1,0)),""))</x:f>
      </x:c>
      <x:c r="F485" t="str">
        <x:f>IF(F$1="","",IFERROR(INDEX('包络曲线数据'!$B$2:$K$742,ROW()-1,MATCH(F$1,'包络曲线数据'!$B$1:$K$1,0)),""))</x:f>
      </x:c>
      <x:c r="G485" t="str">
        <x:f>IF(G$1="","",IFERROR(INDEX('包络曲线数据'!$B$2:$K$742,ROW()-1,MATCH(G$1,'包络曲线数据'!$B$1:$K$1,0)),""))</x:f>
      </x:c>
    </x:row>
    <x:row r="486">
      <x:c r="A486" t="n">
        <x:v>48.400000000000006</x:v>
      </x:c>
      <x:c r="B486" t="n">
        <x:f>IF(B$1="","",IFERROR(INDEX('包络曲线数据'!$B$2:$K$742,ROW()-1,MATCH(B$1,'包络曲线数据'!$B$1:$K$1,0)),""))</x:f>
        <x:v>74.05310403452256</x:v>
      </x:c>
      <x:c r="C486" t="n">
        <x:f>IF(C$1="","",IFERROR(INDEX('包络曲线数据'!$B$2:$K$742,ROW()-1,MATCH(C$1,'包络曲线数据'!$B$1:$K$1,0)),""))</x:f>
        <x:v>70.22766549940013</x:v>
      </x:c>
      <x:c r="D486" t="str">
        <x:f>IF(D$1="","",IFERROR(INDEX('包络曲线数据'!$B$2:$K$742,ROW()-1,MATCH(D$1,'包络曲线数据'!$B$1:$K$1,0)),""))</x:f>
      </x:c>
      <x:c r="E486" t="str">
        <x:f>IF(E$1="","",IFERROR(INDEX('包络曲线数据'!$B$2:$K$742,ROW()-1,MATCH(E$1,'包络曲线数据'!$B$1:$K$1,0)),""))</x:f>
      </x:c>
      <x:c r="F486" t="str">
        <x:f>IF(F$1="","",IFERROR(INDEX('包络曲线数据'!$B$2:$K$742,ROW()-1,MATCH(F$1,'包络曲线数据'!$B$1:$K$1,0)),""))</x:f>
      </x:c>
      <x:c r="G486" t="str">
        <x:f>IF(G$1="","",IFERROR(INDEX('包络曲线数据'!$B$2:$K$742,ROW()-1,MATCH(G$1,'包络曲线数据'!$B$1:$K$1,0)),""))</x:f>
      </x:c>
    </x:row>
    <x:row r="487">
      <x:c r="A487" t="n">
        <x:v>48.5</x:v>
      </x:c>
      <x:c r="B487" t="n">
        <x:f>IF(B$1="","",IFERROR(INDEX('包络曲线数据'!$B$2:$K$742,ROW()-1,MATCH(B$1,'包络曲线数据'!$B$1:$K$1,0)),""))</x:f>
        <x:v>67.83869903729966</x:v>
      </x:c>
      <x:c r="C487" t="n">
        <x:f>IF(C$1="","",IFERROR(INDEX('包络曲线数据'!$B$2:$K$742,ROW()-1,MATCH(C$1,'包络曲线数据'!$B$1:$K$1,0)),""))</x:f>
        <x:v>65.39430112722741</x:v>
      </x:c>
      <x:c r="D487" t="str">
        <x:f>IF(D$1="","",IFERROR(INDEX('包络曲线数据'!$B$2:$K$742,ROW()-1,MATCH(D$1,'包络曲线数据'!$B$1:$K$1,0)),""))</x:f>
      </x:c>
      <x:c r="E487" t="str">
        <x:f>IF(E$1="","",IFERROR(INDEX('包络曲线数据'!$B$2:$K$742,ROW()-1,MATCH(E$1,'包络曲线数据'!$B$1:$K$1,0)),""))</x:f>
      </x:c>
      <x:c r="F487" t="str">
        <x:f>IF(F$1="","",IFERROR(INDEX('包络曲线数据'!$B$2:$K$742,ROW()-1,MATCH(F$1,'包络曲线数据'!$B$1:$K$1,0)),""))</x:f>
      </x:c>
      <x:c r="G487" t="str">
        <x:f>IF(G$1="","",IFERROR(INDEX('包络曲线数据'!$B$2:$K$742,ROW()-1,MATCH(G$1,'包络曲线数据'!$B$1:$K$1,0)),""))</x:f>
      </x:c>
    </x:row>
    <x:row r="488">
      <x:c r="A488" t="n">
        <x:v>48.6</x:v>
      </x:c>
      <x:c r="B488" t="n">
        <x:f>IF(B$1="","",IFERROR(INDEX('包络曲线数据'!$B$2:$K$742,ROW()-1,MATCH(B$1,'包络曲线数据'!$B$1:$K$1,0)),""))</x:f>
        <x:v>63.69599338619631</x:v>
      </x:c>
      <x:c r="C488" t="n">
        <x:f>IF(C$1="","",IFERROR(INDEX('包络曲线数据'!$B$2:$K$742,ROW()-1,MATCH(C$1,'包络曲线数据'!$B$1:$K$1,0)),""))</x:f>
        <x:v>59.645154654329396</x:v>
      </x:c>
      <x:c r="D488" t="str">
        <x:f>IF(D$1="","",IFERROR(INDEX('包络曲线数据'!$B$2:$K$742,ROW()-1,MATCH(D$1,'包络曲线数据'!$B$1:$K$1,0)),""))</x:f>
      </x:c>
      <x:c r="E488" t="str">
        <x:f>IF(E$1="","",IFERROR(INDEX('包络曲线数据'!$B$2:$K$742,ROW()-1,MATCH(E$1,'包络曲线数据'!$B$1:$K$1,0)),""))</x:f>
      </x:c>
      <x:c r="F488" t="str">
        <x:f>IF(F$1="","",IFERROR(INDEX('包络曲线数据'!$B$2:$K$742,ROW()-1,MATCH(F$1,'包络曲线数据'!$B$1:$K$1,0)),""))</x:f>
      </x:c>
      <x:c r="G488" t="str">
        <x:f>IF(G$1="","",IFERROR(INDEX('包络曲线数据'!$B$2:$K$742,ROW()-1,MATCH(G$1,'包络曲线数据'!$B$1:$K$1,0)),""))</x:f>
      </x:c>
    </x:row>
    <x:row r="489">
      <x:c r="A489" t="n">
        <x:v>48.7</x:v>
      </x:c>
      <x:c r="B489" t="n">
        <x:f>IF(B$1="","",IFERROR(INDEX('包络曲线数据'!$B$2:$K$742,ROW()-1,MATCH(B$1,'包络曲线数据'!$B$1:$K$1,0)),""))</x:f>
        <x:v>66.19674254802815</x:v>
      </x:c>
      <x:c r="C489" t="n">
        <x:f>IF(C$1="","",IFERROR(INDEX('包络曲线数据'!$B$2:$K$742,ROW()-1,MATCH(C$1,'包络曲线数据'!$B$1:$K$1,0)),""))</x:f>
        <x:v>57.68958142760468</x:v>
      </x:c>
      <x:c r="D489" t="str">
        <x:f>IF(D$1="","",IFERROR(INDEX('包络曲线数据'!$B$2:$K$742,ROW()-1,MATCH(D$1,'包络曲线数据'!$B$1:$K$1,0)),""))</x:f>
      </x:c>
      <x:c r="E489" t="str">
        <x:f>IF(E$1="","",IFERROR(INDEX('包络曲线数据'!$B$2:$K$742,ROW()-1,MATCH(E$1,'包络曲线数据'!$B$1:$K$1,0)),""))</x:f>
      </x:c>
      <x:c r="F489" t="str">
        <x:f>IF(F$1="","",IFERROR(INDEX('包络曲线数据'!$B$2:$K$742,ROW()-1,MATCH(F$1,'包络曲线数据'!$B$1:$K$1,0)),""))</x:f>
      </x:c>
      <x:c r="G489" t="str">
        <x:f>IF(G$1="","",IFERROR(INDEX('包络曲线数据'!$B$2:$K$742,ROW()-1,MATCH(G$1,'包络曲线数据'!$B$1:$K$1,0)),""))</x:f>
      </x:c>
    </x:row>
    <x:row r="490">
      <x:c r="A490" t="n">
        <x:v>48.800000000000004</x:v>
      </x:c>
      <x:c r="B490" t="n">
        <x:f>IF(B$1="","",IFERROR(INDEX('包络曲线数据'!$B$2:$K$742,ROW()-1,MATCH(B$1,'包络曲线数据'!$B$1:$K$1,0)),""))</x:f>
        <x:v>68.56920246101313</x:v>
      </x:c>
      <x:c r="C490" t="n">
        <x:f>IF(C$1="","",IFERROR(INDEX('包络曲线数据'!$B$2:$K$742,ROW()-1,MATCH(C$1,'包络曲线数据'!$B$1:$K$1,0)),""))</x:f>
        <x:v>57.331719976706296</x:v>
      </x:c>
      <x:c r="D490" t="str">
        <x:f>IF(D$1="","",IFERROR(INDEX('包络曲线数据'!$B$2:$K$742,ROW()-1,MATCH(D$1,'包络曲线数据'!$B$1:$K$1,0)),""))</x:f>
      </x:c>
      <x:c r="E490" t="str">
        <x:f>IF(E$1="","",IFERROR(INDEX('包络曲线数据'!$B$2:$K$742,ROW()-1,MATCH(E$1,'包络曲线数据'!$B$1:$K$1,0)),""))</x:f>
      </x:c>
      <x:c r="F490" t="str">
        <x:f>IF(F$1="","",IFERROR(INDEX('包络曲线数据'!$B$2:$K$742,ROW()-1,MATCH(F$1,'包络曲线数据'!$B$1:$K$1,0)),""))</x:f>
      </x:c>
      <x:c r="G490" t="str">
        <x:f>IF(G$1="","",IFERROR(INDEX('包络曲线数据'!$B$2:$K$742,ROW()-1,MATCH(G$1,'包络曲线数据'!$B$1:$K$1,0)),""))</x:f>
      </x:c>
    </x:row>
    <x:row r="491">
      <x:c r="A491" t="n">
        <x:v>48.900000000000006</x:v>
      </x:c>
      <x:c r="B491" t="n">
        <x:f>IF(B$1="","",IFERROR(INDEX('包络曲线数据'!$B$2:$K$742,ROW()-1,MATCH(B$1,'包络曲线数据'!$B$1:$K$1,0)),""))</x:f>
        <x:v>68.69258786473614</x:v>
      </x:c>
      <x:c r="C491" t="n">
        <x:f>IF(C$1="","",IFERROR(INDEX('包络曲线数据'!$B$2:$K$742,ROW()-1,MATCH(C$1,'包络曲线数据'!$B$1:$K$1,0)),""))</x:f>
        <x:v>63.394574290383005</x:v>
      </x:c>
      <x:c r="D491" t="str">
        <x:f>IF(D$1="","",IFERROR(INDEX('包络曲线数据'!$B$2:$K$742,ROW()-1,MATCH(D$1,'包络曲线数据'!$B$1:$K$1,0)),""))</x:f>
      </x:c>
      <x:c r="E491" t="str">
        <x:f>IF(E$1="","",IFERROR(INDEX('包络曲线数据'!$B$2:$K$742,ROW()-1,MATCH(E$1,'包络曲线数据'!$B$1:$K$1,0)),""))</x:f>
      </x:c>
      <x:c r="F491" t="str">
        <x:f>IF(F$1="","",IFERROR(INDEX('包络曲线数据'!$B$2:$K$742,ROW()-1,MATCH(F$1,'包络曲线数据'!$B$1:$K$1,0)),""))</x:f>
      </x:c>
      <x:c r="G491" t="str">
        <x:f>IF(G$1="","",IFERROR(INDEX('包络曲线数据'!$B$2:$K$742,ROW()-1,MATCH(G$1,'包络曲线数据'!$B$1:$K$1,0)),""))</x:f>
      </x:c>
    </x:row>
    <x:row r="492">
      <x:c r="A492" t="n">
        <x:v>49</x:v>
      </x:c>
      <x:c r="B492" t="n">
        <x:f>IF(B$1="","",IFERROR(INDEX('包络曲线数据'!$B$2:$K$742,ROW()-1,MATCH(B$1,'包络曲线数据'!$B$1:$K$1,0)),""))</x:f>
        <x:v>68.76082215553826</x:v>
      </x:c>
      <x:c r="C492" t="n">
        <x:f>IF(C$1="","",IFERROR(INDEX('包络曲线数据'!$B$2:$K$742,ROW()-1,MATCH(C$1,'包络曲线数据'!$B$1:$K$1,0)),""))</x:f>
        <x:v>63.394574290383005</x:v>
      </x:c>
      <x:c r="D492" t="str">
        <x:f>IF(D$1="","",IFERROR(INDEX('包络曲线数据'!$B$2:$K$742,ROW()-1,MATCH(D$1,'包络曲线数据'!$B$1:$K$1,0)),""))</x:f>
      </x:c>
      <x:c r="E492" t="str">
        <x:f>IF(E$1="","",IFERROR(INDEX('包络曲线数据'!$B$2:$K$742,ROW()-1,MATCH(E$1,'包络曲线数据'!$B$1:$K$1,0)),""))</x:f>
      </x:c>
      <x:c r="F492" t="str">
        <x:f>IF(F$1="","",IFERROR(INDEX('包络曲线数据'!$B$2:$K$742,ROW()-1,MATCH(F$1,'包络曲线数据'!$B$1:$K$1,0)),""))</x:f>
      </x:c>
      <x:c r="G492" t="str">
        <x:f>IF(G$1="","",IFERROR(INDEX('包络曲线数据'!$B$2:$K$742,ROW()-1,MATCH(G$1,'包络曲线数据'!$B$1:$K$1,0)),""))</x:f>
      </x:c>
    </x:row>
    <x:row r="493">
      <x:c r="A493" t="n">
        <x:v>49.1</x:v>
      </x:c>
      <x:c r="B493" t="n">
        <x:f>IF(B$1="","",IFERROR(INDEX('包络曲线数据'!$B$2:$K$742,ROW()-1,MATCH(B$1,'包络曲线数据'!$B$1:$K$1,0)),""))</x:f>
        <x:v>68.76082215553826</x:v>
      </x:c>
      <x:c r="C493" t="n">
        <x:f>IF(C$1="","",IFERROR(INDEX('包络曲线数据'!$B$2:$K$742,ROW()-1,MATCH(C$1,'包络曲线数据'!$B$1:$K$1,0)),""))</x:f>
        <x:v>53.90534115954349</x:v>
      </x:c>
      <x:c r="D493" t="str">
        <x:f>IF(D$1="","",IFERROR(INDEX('包络曲线数据'!$B$2:$K$742,ROW()-1,MATCH(D$1,'包络曲线数据'!$B$1:$K$1,0)),""))</x:f>
      </x:c>
      <x:c r="E493" t="str">
        <x:f>IF(E$1="","",IFERROR(INDEX('包络曲线数据'!$B$2:$K$742,ROW()-1,MATCH(E$1,'包络曲线数据'!$B$1:$K$1,0)),""))</x:f>
      </x:c>
      <x:c r="F493" t="str">
        <x:f>IF(F$1="","",IFERROR(INDEX('包络曲线数据'!$B$2:$K$742,ROW()-1,MATCH(F$1,'包络曲线数据'!$B$1:$K$1,0)),""))</x:f>
      </x:c>
      <x:c r="G493" t="str">
        <x:f>IF(G$1="","",IFERROR(INDEX('包络曲线数据'!$B$2:$K$742,ROW()-1,MATCH(G$1,'包络曲线数据'!$B$1:$K$1,0)),""))</x:f>
      </x:c>
    </x:row>
    <x:row r="494">
      <x:c r="A494" t="n">
        <x:v>49.2</x:v>
      </x:c>
      <x:c r="B494" t="n">
        <x:f>IF(B$1="","",IFERROR(INDEX('包络曲线数据'!$B$2:$K$742,ROW()-1,MATCH(B$1,'包络曲线数据'!$B$1:$K$1,0)),""))</x:f>
        <x:v>66.98000593125172</x:v>
      </x:c>
      <x:c r="C494" t="n">
        <x:f>IF(C$1="","",IFERROR(INDEX('包络曲线数据'!$B$2:$K$742,ROW()-1,MATCH(C$1,'包络曲线数据'!$B$1:$K$1,0)),""))</x:f>
        <x:v>60.78251953335727</x:v>
      </x:c>
      <x:c r="D494" t="str">
        <x:f>IF(D$1="","",IFERROR(INDEX('包络曲线数据'!$B$2:$K$742,ROW()-1,MATCH(D$1,'包络曲线数据'!$B$1:$K$1,0)),""))</x:f>
      </x:c>
      <x:c r="E494" t="str">
        <x:f>IF(E$1="","",IFERROR(INDEX('包络曲线数据'!$B$2:$K$742,ROW()-1,MATCH(E$1,'包络曲线数据'!$B$1:$K$1,0)),""))</x:f>
      </x:c>
      <x:c r="F494" t="str">
        <x:f>IF(F$1="","",IFERROR(INDEX('包络曲线数据'!$B$2:$K$742,ROW()-1,MATCH(F$1,'包络曲线数据'!$B$1:$K$1,0)),""))</x:f>
      </x:c>
      <x:c r="G494" t="str">
        <x:f>IF(G$1="","",IFERROR(INDEX('包络曲线数据'!$B$2:$K$742,ROW()-1,MATCH(G$1,'包络曲线数据'!$B$1:$K$1,0)),""))</x:f>
      </x:c>
    </x:row>
    <x:row r="495">
      <x:c r="A495" t="n">
        <x:v>49.300000000000004</x:v>
      </x:c>
      <x:c r="B495" t="n">
        <x:f>IF(B$1="","",IFERROR(INDEX('包络曲线数据'!$B$2:$K$742,ROW()-1,MATCH(B$1,'包络曲线数据'!$B$1:$K$1,0)),""))</x:f>
        <x:v>68.49162357987217</x:v>
      </x:c>
      <x:c r="C495" t="n">
        <x:f>IF(C$1="","",IFERROR(INDEX('包络曲线数据'!$B$2:$K$742,ROW()-1,MATCH(C$1,'包络曲线数据'!$B$1:$K$1,0)),""))</x:f>
        <x:v>71.09828709407549</x:v>
      </x:c>
      <x:c r="D495" t="str">
        <x:f>IF(D$1="","",IFERROR(INDEX('包络曲线数据'!$B$2:$K$742,ROW()-1,MATCH(D$1,'包络曲线数据'!$B$1:$K$1,0)),""))</x:f>
      </x:c>
      <x:c r="E495" t="str">
        <x:f>IF(E$1="","",IFERROR(INDEX('包络曲线数据'!$B$2:$K$742,ROW()-1,MATCH(E$1,'包络曲线数据'!$B$1:$K$1,0)),""))</x:f>
      </x:c>
      <x:c r="F495" t="str">
        <x:f>IF(F$1="","",IFERROR(INDEX('包络曲线数据'!$B$2:$K$742,ROW()-1,MATCH(F$1,'包络曲线数据'!$B$1:$K$1,0)),""))</x:f>
      </x:c>
      <x:c r="G495" t="str">
        <x:f>IF(G$1="","",IFERROR(INDEX('包络曲线数据'!$B$2:$K$742,ROW()-1,MATCH(G$1,'包络曲线数据'!$B$1:$K$1,0)),""))</x:f>
      </x:c>
    </x:row>
    <x:row r="496">
      <x:c r="A496" t="n">
        <x:v>49.400000000000006</x:v>
      </x:c>
      <x:c r="B496" t="n">
        <x:f>IF(B$1="","",IFERROR(INDEX('包络曲线数据'!$B$2:$K$742,ROW()-1,MATCH(B$1,'包络曲线数据'!$B$1:$K$1,0)),""))</x:f>
        <x:v>68.49162357987217</x:v>
      </x:c>
      <x:c r="C496" t="n">
        <x:f>IF(C$1="","",IFERROR(INDEX('包络曲线数据'!$B$2:$K$742,ROW()-1,MATCH(C$1,'包络曲线数据'!$B$1:$K$1,0)),""))</x:f>
        <x:v>71.09828709407547</x:v>
      </x:c>
      <x:c r="D496" t="str">
        <x:f>IF(D$1="","",IFERROR(INDEX('包络曲线数据'!$B$2:$K$742,ROW()-1,MATCH(D$1,'包络曲线数据'!$B$1:$K$1,0)),""))</x:f>
      </x:c>
      <x:c r="E496" t="str">
        <x:f>IF(E$1="","",IFERROR(INDEX('包络曲线数据'!$B$2:$K$742,ROW()-1,MATCH(E$1,'包络曲线数据'!$B$1:$K$1,0)),""))</x:f>
      </x:c>
      <x:c r="F496" t="str">
        <x:f>IF(F$1="","",IFERROR(INDEX('包络曲线数据'!$B$2:$K$742,ROW()-1,MATCH(F$1,'包络曲线数据'!$B$1:$K$1,0)),""))</x:f>
      </x:c>
      <x:c r="G496" t="str">
        <x:f>IF(G$1="","",IFERROR(INDEX('包络曲线数据'!$B$2:$K$742,ROW()-1,MATCH(G$1,'包络曲线数据'!$B$1:$K$1,0)),""))</x:f>
      </x:c>
    </x:row>
    <x:row r="497">
      <x:c r="A497" t="n">
        <x:v>49.5</x:v>
      </x:c>
      <x:c r="B497" t="n">
        <x:f>IF(B$1="","",IFERROR(INDEX('包络曲线数据'!$B$2:$K$742,ROW()-1,MATCH(B$1,'包络曲线数据'!$B$1:$K$1,0)),""))</x:f>
        <x:v>67.81524477006514</x:v>
      </x:c>
      <x:c r="C497" t="n">
        <x:f>IF(C$1="","",IFERROR(INDEX('包络曲线数据'!$B$2:$K$742,ROW()-1,MATCH(C$1,'包络曲线数据'!$B$1:$K$1,0)),""))</x:f>
        <x:v>64.75994798817305</x:v>
      </x:c>
      <x:c r="D497" t="str">
        <x:f>IF(D$1="","",IFERROR(INDEX('包络曲线数据'!$B$2:$K$742,ROW()-1,MATCH(D$1,'包络曲线数据'!$B$1:$K$1,0)),""))</x:f>
      </x:c>
      <x:c r="E497" t="str">
        <x:f>IF(E$1="","",IFERROR(INDEX('包络曲线数据'!$B$2:$K$742,ROW()-1,MATCH(E$1,'包络曲线数据'!$B$1:$K$1,0)),""))</x:f>
      </x:c>
      <x:c r="F497" t="str">
        <x:f>IF(F$1="","",IFERROR(INDEX('包络曲线数据'!$B$2:$K$742,ROW()-1,MATCH(F$1,'包络曲线数据'!$B$1:$K$1,0)),""))</x:f>
      </x:c>
      <x:c r="G497" t="str">
        <x:f>IF(G$1="","",IFERROR(INDEX('包络曲线数据'!$B$2:$K$742,ROW()-1,MATCH(G$1,'包络曲线数据'!$B$1:$K$1,0)),""))</x:f>
      </x:c>
    </x:row>
    <x:row r="498">
      <x:c r="A498" t="n">
        <x:v>49.6</x:v>
      </x:c>
      <x:c r="B498" t="n">
        <x:f>IF(B$1="","",IFERROR(INDEX('包络曲线数据'!$B$2:$K$742,ROW()-1,MATCH(B$1,'包络曲线数据'!$B$1:$K$1,0)),""))</x:f>
        <x:v>66.80562800175328</x:v>
      </x:c>
      <x:c r="C498" t="n">
        <x:f>IF(C$1="","",IFERROR(INDEX('包络曲线数据'!$B$2:$K$742,ROW()-1,MATCH(C$1,'包络曲线数据'!$B$1:$K$1,0)),""))</x:f>
        <x:v>51.88180101764843</x:v>
      </x:c>
      <x:c r="D498" t="str">
        <x:f>IF(D$1="","",IFERROR(INDEX('包络曲线数据'!$B$2:$K$742,ROW()-1,MATCH(D$1,'包络曲线数据'!$B$1:$K$1,0)),""))</x:f>
      </x:c>
      <x:c r="E498" t="str">
        <x:f>IF(E$1="","",IFERROR(INDEX('包络曲线数据'!$B$2:$K$742,ROW()-1,MATCH(E$1,'包络曲线数据'!$B$1:$K$1,0)),""))</x:f>
      </x:c>
      <x:c r="F498" t="str">
        <x:f>IF(F$1="","",IFERROR(INDEX('包络曲线数据'!$B$2:$K$742,ROW()-1,MATCH(F$1,'包络曲线数据'!$B$1:$K$1,0)),""))</x:f>
      </x:c>
      <x:c r="G498" t="str">
        <x:f>IF(G$1="","",IFERROR(INDEX('包络曲线数据'!$B$2:$K$742,ROW()-1,MATCH(G$1,'包络曲线数据'!$B$1:$K$1,0)),""))</x:f>
      </x:c>
    </x:row>
    <x:row r="499">
      <x:c r="A499" t="n">
        <x:v>49.7</x:v>
      </x:c>
      <x:c r="B499" t="n">
        <x:f>IF(B$1="","",IFERROR(INDEX('包络曲线数据'!$B$2:$K$742,ROW()-1,MATCH(B$1,'包络曲线数据'!$B$1:$K$1,0)),""))</x:f>
        <x:v>66.80562800175328</x:v>
      </x:c>
      <x:c r="C499" t="n">
        <x:f>IF(C$1="","",IFERROR(INDEX('包络曲线数据'!$B$2:$K$742,ROW()-1,MATCH(C$1,'包络曲线数据'!$B$1:$K$1,0)),""))</x:f>
        <x:v>60.906545866563555</x:v>
      </x:c>
      <x:c r="D499" t="str">
        <x:f>IF(D$1="","",IFERROR(INDEX('包络曲线数据'!$B$2:$K$742,ROW()-1,MATCH(D$1,'包络曲线数据'!$B$1:$K$1,0)),""))</x:f>
      </x:c>
      <x:c r="E499" t="str">
        <x:f>IF(E$1="","",IFERROR(INDEX('包络曲线数据'!$B$2:$K$742,ROW()-1,MATCH(E$1,'包络曲线数据'!$B$1:$K$1,0)),""))</x:f>
      </x:c>
      <x:c r="F499" t="str">
        <x:f>IF(F$1="","",IFERROR(INDEX('包络曲线数据'!$B$2:$K$742,ROW()-1,MATCH(F$1,'包络曲线数据'!$B$1:$K$1,0)),""))</x:f>
      </x:c>
      <x:c r="G499" t="str">
        <x:f>IF(G$1="","",IFERROR(INDEX('包络曲线数据'!$B$2:$K$742,ROW()-1,MATCH(G$1,'包络曲线数据'!$B$1:$K$1,0)),""))</x:f>
      </x:c>
    </x:row>
    <x:row r="500">
      <x:c r="A500" t="n">
        <x:v>49.800000000000004</x:v>
      </x:c>
      <x:c r="B500" t="n">
        <x:f>IF(B$1="","",IFERROR(INDEX('包络曲线数据'!$B$2:$K$742,ROW()-1,MATCH(B$1,'包络曲线数据'!$B$1:$K$1,0)),""))</x:f>
        <x:v>65.84491896381277</x:v>
      </x:c>
      <x:c r="C500" t="n">
        <x:f>IF(C$1="","",IFERROR(INDEX('包络曲线数据'!$B$2:$K$742,ROW()-1,MATCH(C$1,'包络曲线数据'!$B$1:$K$1,0)),""))</x:f>
        <x:v>64.13677962970107</x:v>
      </x:c>
      <x:c r="D500" t="str">
        <x:f>IF(D$1="","",IFERROR(INDEX('包络曲线数据'!$B$2:$K$742,ROW()-1,MATCH(D$1,'包络曲线数据'!$B$1:$K$1,0)),""))</x:f>
      </x:c>
      <x:c r="E500" t="str">
        <x:f>IF(E$1="","",IFERROR(INDEX('包络曲线数据'!$B$2:$K$742,ROW()-1,MATCH(E$1,'包络曲线数据'!$B$1:$K$1,0)),""))</x:f>
      </x:c>
      <x:c r="F500" t="str">
        <x:f>IF(F$1="","",IFERROR(INDEX('包络曲线数据'!$B$2:$K$742,ROW()-1,MATCH(F$1,'包络曲线数据'!$B$1:$K$1,0)),""))</x:f>
      </x:c>
      <x:c r="G500" t="str">
        <x:f>IF(G$1="","",IFERROR(INDEX('包络曲线数据'!$B$2:$K$742,ROW()-1,MATCH(G$1,'包络曲线数据'!$B$1:$K$1,0)),""))</x:f>
      </x:c>
    </x:row>
    <x:row r="501">
      <x:c r="A501" t="n">
        <x:v>49.900000000000006</x:v>
      </x:c>
      <x:c r="B501" t="n">
        <x:f>IF(B$1="","",IFERROR(INDEX('包络曲线数据'!$B$2:$K$742,ROW()-1,MATCH(B$1,'包络曲线数据'!$B$1:$K$1,0)),""))</x:f>
        <x:v>68.3642303590411</x:v>
      </x:c>
      <x:c r="C501" t="n">
        <x:f>IF(C$1="","",IFERROR(INDEX('包络曲线数据'!$B$2:$K$742,ROW()-1,MATCH(C$1,'包络曲线数据'!$B$1:$K$1,0)),""))</x:f>
        <x:v>64.13677962970107</x:v>
      </x:c>
      <x:c r="D501" t="str">
        <x:f>IF(D$1="","",IFERROR(INDEX('包络曲线数据'!$B$2:$K$742,ROW()-1,MATCH(D$1,'包络曲线数据'!$B$1:$K$1,0)),""))</x:f>
      </x:c>
      <x:c r="E501" t="str">
        <x:f>IF(E$1="","",IFERROR(INDEX('包络曲线数据'!$B$2:$K$742,ROW()-1,MATCH(E$1,'包络曲线数据'!$B$1:$K$1,0)),""))</x:f>
      </x:c>
      <x:c r="F501" t="str">
        <x:f>IF(F$1="","",IFERROR(INDEX('包络曲线数据'!$B$2:$K$742,ROW()-1,MATCH(F$1,'包络曲线数据'!$B$1:$K$1,0)),""))</x:f>
      </x:c>
      <x:c r="G501" t="str">
        <x:f>IF(G$1="","",IFERROR(INDEX('包络曲线数据'!$B$2:$K$742,ROW()-1,MATCH(G$1,'包络曲线数据'!$B$1:$K$1,0)),""))</x:f>
      </x:c>
    </x:row>
    <x:row r="502">
      <x:c r="A502" t="n">
        <x:v>50</x:v>
      </x:c>
      <x:c r="B502" t="n">
        <x:f>IF(B$1="","",IFERROR(INDEX('包络曲线数据'!$B$2:$K$742,ROW()-1,MATCH(B$1,'包络曲线数据'!$B$1:$K$1,0)),""))</x:f>
        <x:v>75.76275062159147</x:v>
      </x:c>
      <x:c r="C502" t="n">
        <x:f>IF(C$1="","",IFERROR(INDEX('包络曲线数据'!$B$2:$K$742,ROW()-1,MATCH(C$1,'包络曲线数据'!$B$1:$K$1,0)),""))</x:f>
        <x:v>64.7332279127355</x:v>
      </x:c>
      <x:c r="D502" t="str">
        <x:f>IF(D$1="","",IFERROR(INDEX('包络曲线数据'!$B$2:$K$742,ROW()-1,MATCH(D$1,'包络曲线数据'!$B$1:$K$1,0)),""))</x:f>
      </x:c>
      <x:c r="E502" t="str">
        <x:f>IF(E$1="","",IFERROR(INDEX('包络曲线数据'!$B$2:$K$742,ROW()-1,MATCH(E$1,'包络曲线数据'!$B$1:$K$1,0)),""))</x:f>
      </x:c>
      <x:c r="F502" t="str">
        <x:f>IF(F$1="","",IFERROR(INDEX('包络曲线数据'!$B$2:$K$742,ROW()-1,MATCH(F$1,'包络曲线数据'!$B$1:$K$1,0)),""))</x:f>
      </x:c>
      <x:c r="G502" t="str">
        <x:f>IF(G$1="","",IFERROR(INDEX('包络曲线数据'!$B$2:$K$742,ROW()-1,MATCH(G$1,'包络曲线数据'!$B$1:$K$1,0)),""))</x:f>
      </x:c>
    </x:row>
    <x:row r="503">
      <x:c r="A503" t="n">
        <x:v>50.1</x:v>
      </x:c>
      <x:c r="B503" t="n">
        <x:f>IF(B$1="","",IFERROR(INDEX('包络曲线数据'!$B$2:$K$742,ROW()-1,MATCH(B$1,'包络曲线数据'!$B$1:$K$1,0)),""))</x:f>
        <x:v>75.76275062159147</x:v>
      </x:c>
      <x:c r="C503" t="n">
        <x:f>IF(C$1="","",IFERROR(INDEX('包络曲线数据'!$B$2:$K$742,ROW()-1,MATCH(C$1,'包络曲线数据'!$B$1:$K$1,0)),""))</x:f>
        <x:v>65.46914544092228</x:v>
      </x:c>
      <x:c r="D503" t="str">
        <x:f>IF(D$1="","",IFERROR(INDEX('包络曲线数据'!$B$2:$K$742,ROW()-1,MATCH(D$1,'包络曲线数据'!$B$1:$K$1,0)),""))</x:f>
      </x:c>
      <x:c r="E503" t="str">
        <x:f>IF(E$1="","",IFERROR(INDEX('包络曲线数据'!$B$2:$K$742,ROW()-1,MATCH(E$1,'包络曲线数据'!$B$1:$K$1,0)),""))</x:f>
      </x:c>
      <x:c r="F503" t="str">
        <x:f>IF(F$1="","",IFERROR(INDEX('包络曲线数据'!$B$2:$K$742,ROW()-1,MATCH(F$1,'包络曲线数据'!$B$1:$K$1,0)),""))</x:f>
      </x:c>
      <x:c r="G503" t="str">
        <x:f>IF(G$1="","",IFERROR(INDEX('包络曲线数据'!$B$2:$K$742,ROW()-1,MATCH(G$1,'包络曲线数据'!$B$1:$K$1,0)),""))</x:f>
      </x:c>
    </x:row>
    <x:row r="504">
      <x:c r="A504" t="n">
        <x:v>50.2</x:v>
      </x:c>
      <x:c r="B504" t="n">
        <x:f>IF(B$1="","",IFERROR(INDEX('包络曲线数据'!$B$2:$K$742,ROW()-1,MATCH(B$1,'包络曲线数据'!$B$1:$K$1,0)),""))</x:f>
        <x:v>64.54547266162687</x:v>
      </x:c>
      <x:c r="C504" t="n">
        <x:f>IF(C$1="","",IFERROR(INDEX('包络曲线数据'!$B$2:$K$742,ROW()-1,MATCH(C$1,'包络曲线数据'!$B$1:$K$1,0)),""))</x:f>
        <x:v>65.46914544092228</x:v>
      </x:c>
      <x:c r="D504" t="str">
        <x:f>IF(D$1="","",IFERROR(INDEX('包络曲线数据'!$B$2:$K$742,ROW()-1,MATCH(D$1,'包络曲线数据'!$B$1:$K$1,0)),""))</x:f>
      </x:c>
      <x:c r="E504" t="str">
        <x:f>IF(E$1="","",IFERROR(INDEX('包络曲线数据'!$B$2:$K$742,ROW()-1,MATCH(E$1,'包络曲线数据'!$B$1:$K$1,0)),""))</x:f>
      </x:c>
      <x:c r="F504" t="str">
        <x:f>IF(F$1="","",IFERROR(INDEX('包络曲线数据'!$B$2:$K$742,ROW()-1,MATCH(F$1,'包络曲线数据'!$B$1:$K$1,0)),""))</x:f>
      </x:c>
      <x:c r="G504" t="str">
        <x:f>IF(G$1="","",IFERROR(INDEX('包络曲线数据'!$B$2:$K$742,ROW()-1,MATCH(G$1,'包络曲线数据'!$B$1:$K$1,0)),""))</x:f>
      </x:c>
    </x:row>
    <x:row r="505">
      <x:c r="A505" t="n">
        <x:v>50.300000000000004</x:v>
      </x:c>
      <x:c r="B505" t="n">
        <x:f>IF(B$1="","",IFERROR(INDEX('包络曲线数据'!$B$2:$K$742,ROW()-1,MATCH(B$1,'包络曲线数据'!$B$1:$K$1,0)),""))</x:f>
        <x:v>59.85812477398551</x:v>
      </x:c>
      <x:c r="C505" t="n">
        <x:f>IF(C$1="","",IFERROR(INDEX('包络曲线数据'!$B$2:$K$742,ROW()-1,MATCH(C$1,'包络曲线数据'!$B$1:$K$1,0)),""))</x:f>
        <x:v>66.5616496460559</x:v>
      </x:c>
      <x:c r="D505" t="str">
        <x:f>IF(D$1="","",IFERROR(INDEX('包络曲线数据'!$B$2:$K$742,ROW()-1,MATCH(D$1,'包络曲线数据'!$B$1:$K$1,0)),""))</x:f>
      </x:c>
      <x:c r="E505" t="str">
        <x:f>IF(E$1="","",IFERROR(INDEX('包络曲线数据'!$B$2:$K$742,ROW()-1,MATCH(E$1,'包络曲线数据'!$B$1:$K$1,0)),""))</x:f>
      </x:c>
      <x:c r="F505" t="str">
        <x:f>IF(F$1="","",IFERROR(INDEX('包络曲线数据'!$B$2:$K$742,ROW()-1,MATCH(F$1,'包络曲线数据'!$B$1:$K$1,0)),""))</x:f>
      </x:c>
      <x:c r="G505" t="str">
        <x:f>IF(G$1="","",IFERROR(INDEX('包络曲线数据'!$B$2:$K$742,ROW()-1,MATCH(G$1,'包络曲线数据'!$B$1:$K$1,0)),""))</x:f>
      </x:c>
    </x:row>
    <x:row r="506">
      <x:c r="A506" t="n">
        <x:v>50.400000000000006</x:v>
      </x:c>
      <x:c r="B506" t="n">
        <x:f>IF(B$1="","",IFERROR(INDEX('包络曲线数据'!$B$2:$K$742,ROW()-1,MATCH(B$1,'包络曲线数据'!$B$1:$K$1,0)),""))</x:f>
        <x:v>61.511228416968876</x:v>
      </x:c>
      <x:c r="C506" t="n">
        <x:f>IF(C$1="","",IFERROR(INDEX('包络曲线数据'!$B$2:$K$742,ROW()-1,MATCH(C$1,'包络曲线数据'!$B$1:$K$1,0)),""))</x:f>
        <x:v>66.5616496460559</x:v>
      </x:c>
      <x:c r="D506" t="str">
        <x:f>IF(D$1="","",IFERROR(INDEX('包络曲线数据'!$B$2:$K$742,ROW()-1,MATCH(D$1,'包络曲线数据'!$B$1:$K$1,0)),""))</x:f>
      </x:c>
      <x:c r="E506" t="str">
        <x:f>IF(E$1="","",IFERROR(INDEX('包络曲线数据'!$B$2:$K$742,ROW()-1,MATCH(E$1,'包络曲线数据'!$B$1:$K$1,0)),""))</x:f>
      </x:c>
      <x:c r="F506" t="str">
        <x:f>IF(F$1="","",IFERROR(INDEX('包络曲线数据'!$B$2:$K$742,ROW()-1,MATCH(F$1,'包络曲线数据'!$B$1:$K$1,0)),""))</x:f>
      </x:c>
      <x:c r="G506" t="str">
        <x:f>IF(G$1="","",IFERROR(INDEX('包络曲线数据'!$B$2:$K$742,ROW()-1,MATCH(G$1,'包络曲线数据'!$B$1:$K$1,0)),""))</x:f>
      </x:c>
    </x:row>
    <x:row r="507">
      <x:c r="A507" t="n">
        <x:v>50.5</x:v>
      </x:c>
      <x:c r="B507" t="n">
        <x:f>IF(B$1="","",IFERROR(INDEX('包络曲线数据'!$B$2:$K$742,ROW()-1,MATCH(B$1,'包络曲线数据'!$B$1:$K$1,0)),""))</x:f>
        <x:v>63.617434011533575</x:v>
      </x:c>
      <x:c r="C507" t="n">
        <x:f>IF(C$1="","",IFERROR(INDEX('包络曲线数据'!$B$2:$K$742,ROW()-1,MATCH(C$1,'包络曲线数据'!$B$1:$K$1,0)),""))</x:f>
        <x:v>65.76301131754539</x:v>
      </x:c>
      <x:c r="D507" t="str">
        <x:f>IF(D$1="","",IFERROR(INDEX('包络曲线数据'!$B$2:$K$742,ROW()-1,MATCH(D$1,'包络曲线数据'!$B$1:$K$1,0)),""))</x:f>
      </x:c>
      <x:c r="E507" t="str">
        <x:f>IF(E$1="","",IFERROR(INDEX('包络曲线数据'!$B$2:$K$742,ROW()-1,MATCH(E$1,'包络曲线数据'!$B$1:$K$1,0)),""))</x:f>
      </x:c>
      <x:c r="F507" t="str">
        <x:f>IF(F$1="","",IFERROR(INDEX('包络曲线数据'!$B$2:$K$742,ROW()-1,MATCH(F$1,'包络曲线数据'!$B$1:$K$1,0)),""))</x:f>
      </x:c>
      <x:c r="G507" t="str">
        <x:f>IF(G$1="","",IFERROR(INDEX('包络曲线数据'!$B$2:$K$742,ROW()-1,MATCH(G$1,'包络曲线数据'!$B$1:$K$1,0)),""))</x:f>
      </x:c>
    </x:row>
    <x:row r="508">
      <x:c r="A508" t="n">
        <x:v>50.6</x:v>
      </x:c>
      <x:c r="B508" t="n">
        <x:f>IF(B$1="","",IFERROR(INDEX('包络曲线数据'!$B$2:$K$742,ROW()-1,MATCH(B$1,'包络曲线数据'!$B$1:$K$1,0)),""))</x:f>
        <x:v>63.617434011533575</x:v>
      </x:c>
      <x:c r="C508" t="n">
        <x:f>IF(C$1="","",IFERROR(INDEX('包络曲线数据'!$B$2:$K$742,ROW()-1,MATCH(C$1,'包络曲线数据'!$B$1:$K$1,0)),""))</x:f>
        <x:v>65.76301131754539</x:v>
      </x:c>
      <x:c r="D508" t="str">
        <x:f>IF(D$1="","",IFERROR(INDEX('包络曲线数据'!$B$2:$K$742,ROW()-1,MATCH(D$1,'包络曲线数据'!$B$1:$K$1,0)),""))</x:f>
      </x:c>
      <x:c r="E508" t="str">
        <x:f>IF(E$1="","",IFERROR(INDEX('包络曲线数据'!$B$2:$K$742,ROW()-1,MATCH(E$1,'包络曲线数据'!$B$1:$K$1,0)),""))</x:f>
      </x:c>
      <x:c r="F508" t="str">
        <x:f>IF(F$1="","",IFERROR(INDEX('包络曲线数据'!$B$2:$K$742,ROW()-1,MATCH(F$1,'包络曲线数据'!$B$1:$K$1,0)),""))</x:f>
      </x:c>
      <x:c r="G508" t="str">
        <x:f>IF(G$1="","",IFERROR(INDEX('包络曲线数据'!$B$2:$K$742,ROW()-1,MATCH(G$1,'包络曲线数据'!$B$1:$K$1,0)),""))</x:f>
      </x:c>
    </x:row>
    <x:row r="509">
      <x:c r="A509" t="n">
        <x:v>50.7</x:v>
      </x:c>
      <x:c r="B509" t="n">
        <x:f>IF(B$1="","",IFERROR(INDEX('包络曲线数据'!$B$2:$K$742,ROW()-1,MATCH(B$1,'包络曲线数据'!$B$1:$K$1,0)),""))</x:f>
        <x:v>59.721314700518434</x:v>
      </x:c>
      <x:c r="C509" t="n">
        <x:f>IF(C$1="","",IFERROR(INDEX('包络曲线数据'!$B$2:$K$742,ROW()-1,MATCH(C$1,'包络曲线数据'!$B$1:$K$1,0)),""))</x:f>
        <x:v>66.2687156515559</x:v>
      </x:c>
      <x:c r="D509" t="str">
        <x:f>IF(D$1="","",IFERROR(INDEX('包络曲线数据'!$B$2:$K$742,ROW()-1,MATCH(D$1,'包络曲线数据'!$B$1:$K$1,0)),""))</x:f>
      </x:c>
      <x:c r="E509" t="str">
        <x:f>IF(E$1="","",IFERROR(INDEX('包络曲线数据'!$B$2:$K$742,ROW()-1,MATCH(E$1,'包络曲线数据'!$B$1:$K$1,0)),""))</x:f>
      </x:c>
      <x:c r="F509" t="str">
        <x:f>IF(F$1="","",IFERROR(INDEX('包络曲线数据'!$B$2:$K$742,ROW()-1,MATCH(F$1,'包络曲线数据'!$B$1:$K$1,0)),""))</x:f>
      </x:c>
      <x:c r="G509" t="str">
        <x:f>IF(G$1="","",IFERROR(INDEX('包络曲线数据'!$B$2:$K$742,ROW()-1,MATCH(G$1,'包络曲线数据'!$B$1:$K$1,0)),""))</x:f>
      </x:c>
    </x:row>
    <x:row r="510">
      <x:c r="A510" t="n">
        <x:v>50.800000000000004</x:v>
      </x:c>
      <x:c r="B510" t="n">
        <x:f>IF(B$1="","",IFERROR(INDEX('包络曲线数据'!$B$2:$K$742,ROW()-1,MATCH(B$1,'包络曲线数据'!$B$1:$K$1,0)),""))</x:f>
        <x:v>51.94426294010327</x:v>
      </x:c>
      <x:c r="C510" t="n">
        <x:f>IF(C$1="","",IFERROR(INDEX('包络曲线数据'!$B$2:$K$742,ROW()-1,MATCH(C$1,'包络曲线数据'!$B$1:$K$1,0)),""))</x:f>
        <x:v>67.02890867014398</x:v>
      </x:c>
      <x:c r="D510" t="str">
        <x:f>IF(D$1="","",IFERROR(INDEX('包络曲线数据'!$B$2:$K$742,ROW()-1,MATCH(D$1,'包络曲线数据'!$B$1:$K$1,0)),""))</x:f>
      </x:c>
      <x:c r="E510" t="str">
        <x:f>IF(E$1="","",IFERROR(INDEX('包络曲线数据'!$B$2:$K$742,ROW()-1,MATCH(E$1,'包络曲线数据'!$B$1:$K$1,0)),""))</x:f>
      </x:c>
      <x:c r="F510" t="str">
        <x:f>IF(F$1="","",IFERROR(INDEX('包络曲线数据'!$B$2:$K$742,ROW()-1,MATCH(F$1,'包络曲线数据'!$B$1:$K$1,0)),""))</x:f>
      </x:c>
      <x:c r="G510" t="str">
        <x:f>IF(G$1="","",IFERROR(INDEX('包络曲线数据'!$B$2:$K$742,ROW()-1,MATCH(G$1,'包络曲线数据'!$B$1:$K$1,0)),""))</x:f>
      </x:c>
    </x:row>
    <x:row r="511">
      <x:c r="A511" t="n">
        <x:v>50.900000000000006</x:v>
      </x:c>
      <x:c r="B511" t="n">
        <x:f>IF(B$1="","",IFERROR(INDEX('包络曲线数据'!$B$2:$K$742,ROW()-1,MATCH(B$1,'包络曲线数据'!$B$1:$K$1,0)),""))</x:f>
        <x:v>50</x:v>
      </x:c>
      <x:c r="C511" t="n">
        <x:f>IF(C$1="","",IFERROR(INDEX('包络曲线数据'!$B$2:$K$742,ROW()-1,MATCH(C$1,'包络曲线数据'!$B$1:$K$1,0)),""))</x:f>
        <x:v>66.06956611292725</x:v>
      </x:c>
      <x:c r="D511" t="str">
        <x:f>IF(D$1="","",IFERROR(INDEX('包络曲线数据'!$B$2:$K$742,ROW()-1,MATCH(D$1,'包络曲线数据'!$B$1:$K$1,0)),""))</x:f>
      </x:c>
      <x:c r="E511" t="str">
        <x:f>IF(E$1="","",IFERROR(INDEX('包络曲线数据'!$B$2:$K$742,ROW()-1,MATCH(E$1,'包络曲线数据'!$B$1:$K$1,0)),""))</x:f>
      </x:c>
      <x:c r="F511" t="str">
        <x:f>IF(F$1="","",IFERROR(INDEX('包络曲线数据'!$B$2:$K$742,ROW()-1,MATCH(F$1,'包络曲线数据'!$B$1:$K$1,0)),""))</x:f>
      </x:c>
      <x:c r="G511" t="str">
        <x:f>IF(G$1="","",IFERROR(INDEX('包络曲线数据'!$B$2:$K$742,ROW()-1,MATCH(G$1,'包络曲线数据'!$B$1:$K$1,0)),""))</x:f>
      </x:c>
    </x:row>
    <x:row r="512">
      <x:c r="A512" t="n">
        <x:v>51</x:v>
      </x:c>
      <x:c r="B512" t="n">
        <x:f>IF(B$1="","",IFERROR(INDEX('包络曲线数据'!$B$2:$K$742,ROW()-1,MATCH(B$1,'包络曲线数据'!$B$1:$K$1,0)),""))</x:f>
        <x:v>50</x:v>
      </x:c>
      <x:c r="C512" t="n">
        <x:f>IF(C$1="","",IFERROR(INDEX('包络曲线数据'!$B$2:$K$742,ROW()-1,MATCH(C$1,'包络曲线数据'!$B$1:$K$1,0)),""))</x:f>
        <x:v>81.45558182044047</x:v>
      </x:c>
      <x:c r="D512" t="str">
        <x:f>IF(D$1="","",IFERROR(INDEX('包络曲线数据'!$B$2:$K$742,ROW()-1,MATCH(D$1,'包络曲线数据'!$B$1:$K$1,0)),""))</x:f>
      </x:c>
      <x:c r="E512" t="str">
        <x:f>IF(E$1="","",IFERROR(INDEX('包络曲线数据'!$B$2:$K$742,ROW()-1,MATCH(E$1,'包络曲线数据'!$B$1:$K$1,0)),""))</x:f>
      </x:c>
      <x:c r="F512" t="str">
        <x:f>IF(F$1="","",IFERROR(INDEX('包络曲线数据'!$B$2:$K$742,ROW()-1,MATCH(F$1,'包络曲线数据'!$B$1:$K$1,0)),""))</x:f>
      </x:c>
      <x:c r="G512" t="str">
        <x:f>IF(G$1="","",IFERROR(INDEX('包络曲线数据'!$B$2:$K$742,ROW()-1,MATCH(G$1,'包络曲线数据'!$B$1:$K$1,0)),""))</x:f>
      </x:c>
    </x:row>
    <x:row r="513">
      <x:c r="A513" t="n">
        <x:v>51.1</x:v>
      </x:c>
      <x:c r="B513" t="n">
        <x:f>IF(B$1="","",IFERROR(INDEX('包络曲线数据'!$B$2:$K$742,ROW()-1,MATCH(B$1,'包络曲线数据'!$B$1:$K$1,0)),""))</x:f>
        <x:v>64.10079340432078</x:v>
      </x:c>
      <x:c r="C513" t="n">
        <x:f>IF(C$1="","",IFERROR(INDEX('包络曲线数据'!$B$2:$K$742,ROW()-1,MATCH(C$1,'包络曲线数据'!$B$1:$K$1,0)),""))</x:f>
        <x:v>81.88660435970328</x:v>
      </x:c>
      <x:c r="D513" t="str">
        <x:f>IF(D$1="","",IFERROR(INDEX('包络曲线数据'!$B$2:$K$742,ROW()-1,MATCH(D$1,'包络曲线数据'!$B$1:$K$1,0)),""))</x:f>
      </x:c>
      <x:c r="E513" t="str">
        <x:f>IF(E$1="","",IFERROR(INDEX('包络曲线数据'!$B$2:$K$742,ROW()-1,MATCH(E$1,'包络曲线数据'!$B$1:$K$1,0)),""))</x:f>
      </x:c>
      <x:c r="F513" t="str">
        <x:f>IF(F$1="","",IFERROR(INDEX('包络曲线数据'!$B$2:$K$742,ROW()-1,MATCH(F$1,'包络曲线数据'!$B$1:$K$1,0)),""))</x:f>
      </x:c>
      <x:c r="G513" t="str">
        <x:f>IF(G$1="","",IFERROR(INDEX('包络曲线数据'!$B$2:$K$742,ROW()-1,MATCH(G$1,'包络曲线数据'!$B$1:$K$1,0)),""))</x:f>
      </x:c>
    </x:row>
    <x:row r="514">
      <x:c r="A514" t="n">
        <x:v>51.2</x:v>
      </x:c>
      <x:c r="B514" t="n">
        <x:f>IF(B$1="","",IFERROR(INDEX('包络曲线数据'!$B$2:$K$742,ROW()-1,MATCH(B$1,'包络曲线数据'!$B$1:$K$1,0)),""))</x:f>
        <x:v>73.211877082747</x:v>
      </x:c>
      <x:c r="C514" t="n">
        <x:f>IF(C$1="","",IFERROR(INDEX('包络曲线数据'!$B$2:$K$742,ROW()-1,MATCH(C$1,'包络曲线数据'!$B$1:$K$1,0)),""))</x:f>
        <x:v>80.54055565845255</x:v>
      </x:c>
      <x:c r="D514" t="str">
        <x:f>IF(D$1="","",IFERROR(INDEX('包络曲线数据'!$B$2:$K$742,ROW()-1,MATCH(D$1,'包络曲线数据'!$B$1:$K$1,0)),""))</x:f>
      </x:c>
      <x:c r="E514" t="str">
        <x:f>IF(E$1="","",IFERROR(INDEX('包络曲线数据'!$B$2:$K$742,ROW()-1,MATCH(E$1,'包络曲线数据'!$B$1:$K$1,0)),""))</x:f>
      </x:c>
      <x:c r="F514" t="str">
        <x:f>IF(F$1="","",IFERROR(INDEX('包络曲线数据'!$B$2:$K$742,ROW()-1,MATCH(F$1,'包络曲线数据'!$B$1:$K$1,0)),""))</x:f>
      </x:c>
      <x:c r="G514" t="str">
        <x:f>IF(G$1="","",IFERROR(INDEX('包络曲线数据'!$B$2:$K$742,ROW()-1,MATCH(G$1,'包络曲线数据'!$B$1:$K$1,0)),""))</x:f>
      </x:c>
    </x:row>
    <x:row r="515">
      <x:c r="A515" t="n">
        <x:v>51.300000000000004</x:v>
      </x:c>
      <x:c r="B515" t="n">
        <x:f>IF(B$1="","",IFERROR(INDEX('包络曲线数据'!$B$2:$K$742,ROW()-1,MATCH(B$1,'包络曲线数据'!$B$1:$K$1,0)),""))</x:f>
        <x:v>73.211877082747</x:v>
      </x:c>
      <x:c r="C515" t="n">
        <x:f>IF(C$1="","",IFERROR(INDEX('包络曲线数据'!$B$2:$K$742,ROW()-1,MATCH(C$1,'包络曲线数据'!$B$1:$K$1,0)),""))</x:f>
        <x:v>69.98528282374293</x:v>
      </x:c>
      <x:c r="D515" t="str">
        <x:f>IF(D$1="","",IFERROR(INDEX('包络曲线数据'!$B$2:$K$742,ROW()-1,MATCH(D$1,'包络曲线数据'!$B$1:$K$1,0)),""))</x:f>
      </x:c>
      <x:c r="E515" t="str">
        <x:f>IF(E$1="","",IFERROR(INDEX('包络曲线数据'!$B$2:$K$742,ROW()-1,MATCH(E$1,'包络曲线数据'!$B$1:$K$1,0)),""))</x:f>
      </x:c>
      <x:c r="F515" t="str">
        <x:f>IF(F$1="","",IFERROR(INDEX('包络曲线数据'!$B$2:$K$742,ROW()-1,MATCH(F$1,'包络曲线数据'!$B$1:$K$1,0)),""))</x:f>
      </x:c>
      <x:c r="G515" t="str">
        <x:f>IF(G$1="","",IFERROR(INDEX('包络曲线数据'!$B$2:$K$742,ROW()-1,MATCH(G$1,'包络曲线数据'!$B$1:$K$1,0)),""))</x:f>
      </x:c>
    </x:row>
    <x:row r="516">
      <x:c r="A516" t="n">
        <x:v>51.400000000000006</x:v>
      </x:c>
      <x:c r="B516" t="n">
        <x:f>IF(B$1="","",IFERROR(INDEX('包络曲线数据'!$B$2:$K$742,ROW()-1,MATCH(B$1,'包络曲线数据'!$B$1:$K$1,0)),""))</x:f>
        <x:v>72.29319333742443</x:v>
      </x:c>
      <x:c r="C516" t="n">
        <x:f>IF(C$1="","",IFERROR(INDEX('包络曲线数据'!$B$2:$K$742,ROW()-1,MATCH(C$1,'包络曲线数据'!$B$1:$K$1,0)),""))</x:f>
        <x:v>64.38477819522902</x:v>
      </x:c>
      <x:c r="D516" t="str">
        <x:f>IF(D$1="","",IFERROR(INDEX('包络曲线数据'!$B$2:$K$742,ROW()-1,MATCH(D$1,'包络曲线数据'!$B$1:$K$1,0)),""))</x:f>
      </x:c>
      <x:c r="E516" t="str">
        <x:f>IF(E$1="","",IFERROR(INDEX('包络曲线数据'!$B$2:$K$742,ROW()-1,MATCH(E$1,'包络曲线数据'!$B$1:$K$1,0)),""))</x:f>
      </x:c>
      <x:c r="F516" t="str">
        <x:f>IF(F$1="","",IFERROR(INDEX('包络曲线数据'!$B$2:$K$742,ROW()-1,MATCH(F$1,'包络曲线数据'!$B$1:$K$1,0)),""))</x:f>
      </x:c>
      <x:c r="G516" t="str">
        <x:f>IF(G$1="","",IFERROR(INDEX('包络曲线数据'!$B$2:$K$742,ROW()-1,MATCH(G$1,'包络曲线数据'!$B$1:$K$1,0)),""))</x:f>
      </x:c>
    </x:row>
    <x:row r="517">
      <x:c r="A517" t="n">
        <x:v>51.5</x:v>
      </x:c>
      <x:c r="B517" t="n">
        <x:f>IF(B$1="","",IFERROR(INDEX('包络曲线数据'!$B$2:$K$742,ROW()-1,MATCH(B$1,'包络曲线数据'!$B$1:$K$1,0)),""))</x:f>
        <x:v>65.86646001577526</x:v>
      </x:c>
      <x:c r="C517" t="n">
        <x:f>IF(C$1="","",IFERROR(INDEX('包络曲线数据'!$B$2:$K$742,ROW()-1,MATCH(C$1,'包络曲线数据'!$B$1:$K$1,0)),""))</x:f>
        <x:v>58.38011049132822</x:v>
      </x:c>
      <x:c r="D517" t="str">
        <x:f>IF(D$1="","",IFERROR(INDEX('包络曲线数据'!$B$2:$K$742,ROW()-1,MATCH(D$1,'包络曲线数据'!$B$1:$K$1,0)),""))</x:f>
      </x:c>
      <x:c r="E517" t="str">
        <x:f>IF(E$1="","",IFERROR(INDEX('包络曲线数据'!$B$2:$K$742,ROW()-1,MATCH(E$1,'包络曲线数据'!$B$1:$K$1,0)),""))</x:f>
      </x:c>
      <x:c r="F517" t="str">
        <x:f>IF(F$1="","",IFERROR(INDEX('包络曲线数据'!$B$2:$K$742,ROW()-1,MATCH(F$1,'包络曲线数据'!$B$1:$K$1,0)),""))</x:f>
      </x:c>
      <x:c r="G517" t="str">
        <x:f>IF(G$1="","",IFERROR(INDEX('包络曲线数据'!$B$2:$K$742,ROW()-1,MATCH(G$1,'包络曲线数据'!$B$1:$K$1,0)),""))</x:f>
      </x:c>
    </x:row>
    <x:row r="518">
      <x:c r="A518" t="n">
        <x:v>51.6</x:v>
      </x:c>
      <x:c r="B518" t="n">
        <x:f>IF(B$1="","",IFERROR(INDEX('包络曲线数据'!$B$2:$K$742,ROW()-1,MATCH(B$1,'包络曲线数据'!$B$1:$K$1,0)),""))</x:f>
        <x:v>63.98136784256354</x:v>
      </x:c>
      <x:c r="C518" t="n">
        <x:f>IF(C$1="","",IFERROR(INDEX('包络曲线数据'!$B$2:$K$742,ROW()-1,MATCH(C$1,'包络曲线数据'!$B$1:$K$1,0)),""))</x:f>
        <x:v>54.570969358906225</x:v>
      </x:c>
      <x:c r="D518" t="str">
        <x:f>IF(D$1="","",IFERROR(INDEX('包络曲线数据'!$B$2:$K$742,ROW()-1,MATCH(D$1,'包络曲线数据'!$B$1:$K$1,0)),""))</x:f>
      </x:c>
      <x:c r="E518" t="str">
        <x:f>IF(E$1="","",IFERROR(INDEX('包络曲线数据'!$B$2:$K$742,ROW()-1,MATCH(E$1,'包络曲线数据'!$B$1:$K$1,0)),""))</x:f>
      </x:c>
      <x:c r="F518" t="str">
        <x:f>IF(F$1="","",IFERROR(INDEX('包络曲线数据'!$B$2:$K$742,ROW()-1,MATCH(F$1,'包络曲线数据'!$B$1:$K$1,0)),""))</x:f>
      </x:c>
      <x:c r="G518" t="str">
        <x:f>IF(G$1="","",IFERROR(INDEX('包络曲线数据'!$B$2:$K$742,ROW()-1,MATCH(G$1,'包络曲线数据'!$B$1:$K$1,0)),""))</x:f>
      </x:c>
    </x:row>
    <x:row r="519">
      <x:c r="A519" t="n">
        <x:v>51.7</x:v>
      </x:c>
      <x:c r="B519" t="n">
        <x:f>IF(B$1="","",IFERROR(INDEX('包络曲线数据'!$B$2:$K$742,ROW()-1,MATCH(B$1,'包络曲线数据'!$B$1:$K$1,0)),""))</x:f>
        <x:v>66.4540359564317</x:v>
      </x:c>
      <x:c r="C519" t="n">
        <x:f>IF(C$1="","",IFERROR(INDEX('包络曲线数据'!$B$2:$K$742,ROW()-1,MATCH(C$1,'包络曲线数据'!$B$1:$K$1,0)),""))</x:f>
        <x:v>50.76182822648424</x:v>
      </x:c>
      <x:c r="D519" t="str">
        <x:f>IF(D$1="","",IFERROR(INDEX('包络曲线数据'!$B$2:$K$742,ROW()-1,MATCH(D$1,'包络曲线数据'!$B$1:$K$1,0)),""))</x:f>
      </x:c>
      <x:c r="E519" t="str">
        <x:f>IF(E$1="","",IFERROR(INDEX('包络曲线数据'!$B$2:$K$742,ROW()-1,MATCH(E$1,'包络曲线数据'!$B$1:$K$1,0)),""))</x:f>
      </x:c>
      <x:c r="F519" t="str">
        <x:f>IF(F$1="","",IFERROR(INDEX('包络曲线数据'!$B$2:$K$742,ROW()-1,MATCH(F$1,'包络曲线数据'!$B$1:$K$1,0)),""))</x:f>
      </x:c>
      <x:c r="G519" t="str">
        <x:f>IF(G$1="","",IFERROR(INDEX('包络曲线数据'!$B$2:$K$742,ROW()-1,MATCH(G$1,'包络曲线数据'!$B$1:$K$1,0)),""))</x:f>
      </x:c>
    </x:row>
    <x:row r="520">
      <x:c r="A520" t="n">
        <x:v>51.800000000000004</x:v>
      </x:c>
      <x:c r="B520" t="n">
        <x:f>IF(B$1="","",IFERROR(INDEX('包络曲线数据'!$B$2:$K$742,ROW()-1,MATCH(B$1,'包络曲线数据'!$B$1:$K$1,0)),""))</x:f>
        <x:v>68.04466474712605</x:v>
      </x:c>
      <x:c r="C520" t="n">
        <x:f>IF(C$1="","",IFERROR(INDEX('包络曲线数据'!$B$2:$K$742,ROW()-1,MATCH(C$1,'包络曲线数据'!$B$1:$K$1,0)),""))</x:f>
        <x:v>58.435876255048605</x:v>
      </x:c>
      <x:c r="D520" t="str">
        <x:f>IF(D$1="","",IFERROR(INDEX('包络曲线数据'!$B$2:$K$742,ROW()-1,MATCH(D$1,'包络曲线数据'!$B$1:$K$1,0)),""))</x:f>
      </x:c>
      <x:c r="E520" t="str">
        <x:f>IF(E$1="","",IFERROR(INDEX('包络曲线数据'!$B$2:$K$742,ROW()-1,MATCH(E$1,'包络曲线数据'!$B$1:$K$1,0)),""))</x:f>
      </x:c>
      <x:c r="F520" t="str">
        <x:f>IF(F$1="","",IFERROR(INDEX('包络曲线数据'!$B$2:$K$742,ROW()-1,MATCH(F$1,'包络曲线数据'!$B$1:$K$1,0)),""))</x:f>
      </x:c>
      <x:c r="G520" t="str">
        <x:f>IF(G$1="","",IFERROR(INDEX('包络曲线数据'!$B$2:$K$742,ROW()-1,MATCH(G$1,'包络曲线数据'!$B$1:$K$1,0)),""))</x:f>
      </x:c>
    </x:row>
    <x:row r="521">
      <x:c r="A521" t="n">
        <x:v>51.900000000000006</x:v>
      </x:c>
      <x:c r="B521" t="n">
        <x:f>IF(B$1="","",IFERROR(INDEX('包络曲线数据'!$B$2:$K$742,ROW()-1,MATCH(B$1,'包络曲线数据'!$B$1:$K$1,0)),""))</x:f>
        <x:v>68.51710506358084</x:v>
      </x:c>
      <x:c r="C521" t="n">
        <x:f>IF(C$1="","",IFERROR(INDEX('包络曲线数据'!$B$2:$K$742,ROW()-1,MATCH(C$1,'包络曲线数据'!$B$1:$K$1,0)),""))</x:f>
        <x:v>62.653814382572534</x:v>
      </x:c>
      <x:c r="D521" t="str">
        <x:f>IF(D$1="","",IFERROR(INDEX('包络曲线数据'!$B$2:$K$742,ROW()-1,MATCH(D$1,'包络曲线数据'!$B$1:$K$1,0)),""))</x:f>
      </x:c>
      <x:c r="E521" t="str">
        <x:f>IF(E$1="","",IFERROR(INDEX('包络曲线数据'!$B$2:$K$742,ROW()-1,MATCH(E$1,'包络曲线数据'!$B$1:$K$1,0)),""))</x:f>
      </x:c>
      <x:c r="F521" t="str">
        <x:f>IF(F$1="","",IFERROR(INDEX('包络曲线数据'!$B$2:$K$742,ROW()-1,MATCH(F$1,'包络曲线数据'!$B$1:$K$1,0)),""))</x:f>
      </x:c>
      <x:c r="G521" t="str">
        <x:f>IF(G$1="","",IFERROR(INDEX('包络曲线数据'!$B$2:$K$742,ROW()-1,MATCH(G$1,'包络曲线数据'!$B$1:$K$1,0)),""))</x:f>
      </x:c>
    </x:row>
    <x:row r="522">
      <x:c r="A522" t="n">
        <x:v>52</x:v>
      </x:c>
      <x:c r="B522" t="n">
        <x:f>IF(B$1="","",IFERROR(INDEX('包络曲线数据'!$B$2:$K$742,ROW()-1,MATCH(B$1,'包络曲线数据'!$B$1:$K$1,0)),""))</x:f>
        <x:v>69.00208947828102</x:v>
      </x:c>
      <x:c r="C522" t="n">
        <x:f>IF(C$1="","",IFERROR(INDEX('包络曲线数据'!$B$2:$K$742,ROW()-1,MATCH(C$1,'包络曲线数据'!$B$1:$K$1,0)),""))</x:f>
        <x:v>59.96313041319414</x:v>
      </x:c>
      <x:c r="D522" t="str">
        <x:f>IF(D$1="","",IFERROR(INDEX('包络曲线数据'!$B$2:$K$742,ROW()-1,MATCH(D$1,'包络曲线数据'!$B$1:$K$1,0)),""))</x:f>
      </x:c>
      <x:c r="E522" t="str">
        <x:f>IF(E$1="","",IFERROR(INDEX('包络曲线数据'!$B$2:$K$742,ROW()-1,MATCH(E$1,'包络曲线数据'!$B$1:$K$1,0)),""))</x:f>
      </x:c>
      <x:c r="F522" t="str">
        <x:f>IF(F$1="","",IFERROR(INDEX('包络曲线数据'!$B$2:$K$742,ROW()-1,MATCH(F$1,'包络曲线数据'!$B$1:$K$1,0)),""))</x:f>
      </x:c>
      <x:c r="G522" t="str">
        <x:f>IF(G$1="","",IFERROR(INDEX('包络曲线数据'!$B$2:$K$742,ROW()-1,MATCH(G$1,'包络曲线数据'!$B$1:$K$1,0)),""))</x:f>
      </x:c>
    </x:row>
    <x:row r="523">
      <x:c r="A523" t="n">
        <x:v>52.1</x:v>
      </x:c>
      <x:c r="B523" t="n">
        <x:f>IF(B$1="","",IFERROR(INDEX('包络曲线数据'!$B$2:$K$742,ROW()-1,MATCH(B$1,'包络曲线数据'!$B$1:$K$1,0)),""))</x:f>
        <x:v>69.35277123988712</x:v>
      </x:c>
      <x:c r="C523" t="n">
        <x:f>IF(C$1="","",IFERROR(INDEX('包络曲线数据'!$B$2:$K$742,ROW()-1,MATCH(C$1,'包络曲线数据'!$B$1:$K$1,0)),""))</x:f>
        <x:v>56.78052386932002</x:v>
      </x:c>
      <x:c r="D523" t="str">
        <x:f>IF(D$1="","",IFERROR(INDEX('包络曲线数据'!$B$2:$K$742,ROW()-1,MATCH(D$1,'包络曲线数据'!$B$1:$K$1,0)),""))</x:f>
      </x:c>
      <x:c r="E523" t="str">
        <x:f>IF(E$1="","",IFERROR(INDEX('包络曲线数据'!$B$2:$K$742,ROW()-1,MATCH(E$1,'包络曲线数据'!$B$1:$K$1,0)),""))</x:f>
      </x:c>
      <x:c r="F523" t="str">
        <x:f>IF(F$1="","",IFERROR(INDEX('包络曲线数据'!$B$2:$K$742,ROW()-1,MATCH(F$1,'包络曲线数据'!$B$1:$K$1,0)),""))</x:f>
      </x:c>
      <x:c r="G523" t="str">
        <x:f>IF(G$1="","",IFERROR(INDEX('包络曲线数据'!$B$2:$K$742,ROW()-1,MATCH(G$1,'包络曲线数据'!$B$1:$K$1,0)),""))</x:f>
      </x:c>
    </x:row>
    <x:row r="524">
      <x:c r="A524" t="n">
        <x:v>52.2</x:v>
      </x:c>
      <x:c r="B524" t="n">
        <x:f>IF(B$1="","",IFERROR(INDEX('包络曲线数据'!$B$2:$K$742,ROW()-1,MATCH(B$1,'包络曲线数据'!$B$1:$K$1,0)),""))</x:f>
        <x:v>69.35277123988712</x:v>
      </x:c>
      <x:c r="C524" t="n">
        <x:f>IF(C$1="","",IFERROR(INDEX('包络曲线数据'!$B$2:$K$742,ROW()-1,MATCH(C$1,'包络曲线数据'!$B$1:$K$1,0)),""))</x:f>
        <x:v>71.59462386446408</x:v>
      </x:c>
      <x:c r="D524" t="str">
        <x:f>IF(D$1="","",IFERROR(INDEX('包络曲线数据'!$B$2:$K$742,ROW()-1,MATCH(D$1,'包络曲线数据'!$B$1:$K$1,0)),""))</x:f>
      </x:c>
      <x:c r="E524" t="str">
        <x:f>IF(E$1="","",IFERROR(INDEX('包络曲线数据'!$B$2:$K$742,ROW()-1,MATCH(E$1,'包络曲线数据'!$B$1:$K$1,0)),""))</x:f>
      </x:c>
      <x:c r="F524" t="str">
        <x:f>IF(F$1="","",IFERROR(INDEX('包络曲线数据'!$B$2:$K$742,ROW()-1,MATCH(F$1,'包络曲线数据'!$B$1:$K$1,0)),""))</x:f>
      </x:c>
      <x:c r="G524" t="str">
        <x:f>IF(G$1="","",IFERROR(INDEX('包络曲线数据'!$B$2:$K$742,ROW()-1,MATCH(G$1,'包络曲线数据'!$B$1:$K$1,0)),""))</x:f>
      </x:c>
    </x:row>
    <x:row r="525">
      <x:c r="A525" t="n">
        <x:v>52.300000000000004</x:v>
      </x:c>
      <x:c r="B525" t="n">
        <x:f>IF(B$1="","",IFERROR(INDEX('包络曲线数据'!$B$2:$K$742,ROW()-1,MATCH(B$1,'包络曲线数据'!$B$1:$K$1,0)),""))</x:f>
        <x:v>68.79049195702048</x:v>
      </x:c>
      <x:c r="C525" t="n">
        <x:f>IF(C$1="","",IFERROR(INDEX('包络曲线数据'!$B$2:$K$742,ROW()-1,MATCH(C$1,'包络曲线数据'!$B$1:$K$1,0)),""))</x:f>
        <x:v>71.59462386446408</x:v>
      </x:c>
      <x:c r="D525" t="str">
        <x:f>IF(D$1="","",IFERROR(INDEX('包络曲线数据'!$B$2:$K$742,ROW()-1,MATCH(D$1,'包络曲线数据'!$B$1:$K$1,0)),""))</x:f>
      </x:c>
      <x:c r="E525" t="str">
        <x:f>IF(E$1="","",IFERROR(INDEX('包络曲线数据'!$B$2:$K$742,ROW()-1,MATCH(E$1,'包络曲线数据'!$B$1:$K$1,0)),""))</x:f>
      </x:c>
      <x:c r="F525" t="str">
        <x:f>IF(F$1="","",IFERROR(INDEX('包络曲线数据'!$B$2:$K$742,ROW()-1,MATCH(F$1,'包络曲线数据'!$B$1:$K$1,0)),""))</x:f>
      </x:c>
      <x:c r="G525" t="str">
        <x:f>IF(G$1="","",IFERROR(INDEX('包络曲线数据'!$B$2:$K$742,ROW()-1,MATCH(G$1,'包络曲线数据'!$B$1:$K$1,0)),""))</x:f>
      </x:c>
    </x:row>
    <x:row r="526">
      <x:c r="A526" t="n">
        <x:v>52.400000000000006</x:v>
      </x:c>
      <x:c r="B526" t="n">
        <x:f>IF(B$1="","",IFERROR(INDEX('包络曲线数据'!$B$2:$K$742,ROW()-1,MATCH(B$1,'包络曲线数据'!$B$1:$K$1,0)),""))</x:f>
        <x:v>68.67076723304942</x:v>
      </x:c>
      <x:c r="C526" t="n">
        <x:f>IF(C$1="","",IFERROR(INDEX('包络曲线数据'!$B$2:$K$742,ROW()-1,MATCH(C$1,'包络曲线数据'!$B$1:$K$1,0)),""))</x:f>
        <x:v>70.7074873908012</x:v>
      </x:c>
      <x:c r="D526" t="str">
        <x:f>IF(D$1="","",IFERROR(INDEX('包络曲线数据'!$B$2:$K$742,ROW()-1,MATCH(D$1,'包络曲线数据'!$B$1:$K$1,0)),""))</x:f>
      </x:c>
      <x:c r="E526" t="str">
        <x:f>IF(E$1="","",IFERROR(INDEX('包络曲线数据'!$B$2:$K$742,ROW()-1,MATCH(E$1,'包络曲线数据'!$B$1:$K$1,0)),""))</x:f>
      </x:c>
      <x:c r="F526" t="str">
        <x:f>IF(F$1="","",IFERROR(INDEX('包络曲线数据'!$B$2:$K$742,ROW()-1,MATCH(F$1,'包络曲线数据'!$B$1:$K$1,0)),""))</x:f>
      </x:c>
      <x:c r="G526" t="str">
        <x:f>IF(G$1="","",IFERROR(INDEX('包络曲线数据'!$B$2:$K$742,ROW()-1,MATCH(G$1,'包络曲线数据'!$B$1:$K$1,0)),""))</x:f>
      </x:c>
    </x:row>
    <x:row r="527">
      <x:c r="A527" t="n">
        <x:v>52.5</x:v>
      </x:c>
      <x:c r="B527" t="n">
        <x:f>IF(B$1="","",IFERROR(INDEX('包络曲线数据'!$B$2:$K$742,ROW()-1,MATCH(B$1,'包络曲线数据'!$B$1:$K$1,0)),""))</x:f>
        <x:v>68.5376532989649</x:v>
      </x:c>
      <x:c r="C527" t="n">
        <x:f>IF(C$1="","",IFERROR(INDEX('包络曲线数据'!$B$2:$K$742,ROW()-1,MATCH(C$1,'包络曲线数据'!$B$1:$K$1,0)),""))</x:f>
        <x:v>63.729965076308865</x:v>
      </x:c>
      <x:c r="D527" t="str">
        <x:f>IF(D$1="","",IFERROR(INDEX('包络曲线数据'!$B$2:$K$742,ROW()-1,MATCH(D$1,'包络曲线数据'!$B$1:$K$1,0)),""))</x:f>
      </x:c>
      <x:c r="E527" t="str">
        <x:f>IF(E$1="","",IFERROR(INDEX('包络曲线数据'!$B$2:$K$742,ROW()-1,MATCH(E$1,'包络曲线数据'!$B$1:$K$1,0)),""))</x:f>
      </x:c>
      <x:c r="F527" t="str">
        <x:f>IF(F$1="","",IFERROR(INDEX('包络曲线数据'!$B$2:$K$742,ROW()-1,MATCH(F$1,'包络曲线数据'!$B$1:$K$1,0)),""))</x:f>
      </x:c>
      <x:c r="G527" t="str">
        <x:f>IF(G$1="","",IFERROR(INDEX('包络曲线数据'!$B$2:$K$742,ROW()-1,MATCH(G$1,'包络曲线数据'!$B$1:$K$1,0)),""))</x:f>
      </x:c>
    </x:row>
    <x:row r="528">
      <x:c r="A528" t="n">
        <x:v>52.6</x:v>
      </x:c>
      <x:c r="B528" t="n">
        <x:f>IF(B$1="","",IFERROR(INDEX('包络曲线数据'!$B$2:$K$742,ROW()-1,MATCH(B$1,'包络曲线数据'!$B$1:$K$1,0)),""))</x:f>
        <x:v>68.36267431650603</x:v>
      </x:c>
      <x:c r="C528" t="n">
        <x:f>IF(C$1="","",IFERROR(INDEX('包络曲线数据'!$B$2:$K$742,ROW()-1,MATCH(C$1,'包络曲线数据'!$B$1:$K$1,0)),""))</x:f>
        <x:v>61.27985049944138</x:v>
      </x:c>
      <x:c r="D528" t="str">
        <x:f>IF(D$1="","",IFERROR(INDEX('包络曲线数据'!$B$2:$K$742,ROW()-1,MATCH(D$1,'包络曲线数据'!$B$1:$K$1,0)),""))</x:f>
      </x:c>
      <x:c r="E528" t="str">
        <x:f>IF(E$1="","",IFERROR(INDEX('包络曲线数据'!$B$2:$K$742,ROW()-1,MATCH(E$1,'包络曲线数据'!$B$1:$K$1,0)),""))</x:f>
      </x:c>
      <x:c r="F528" t="str">
        <x:f>IF(F$1="","",IFERROR(INDEX('包络曲线数据'!$B$2:$K$742,ROW()-1,MATCH(F$1,'包络曲线数据'!$B$1:$K$1,0)),""))</x:f>
      </x:c>
      <x:c r="G528" t="str">
        <x:f>IF(G$1="","",IFERROR(INDEX('包络曲线数据'!$B$2:$K$742,ROW()-1,MATCH(G$1,'包络曲线数据'!$B$1:$K$1,0)),""))</x:f>
      </x:c>
    </x:row>
    <x:row r="529">
      <x:c r="A529" t="n">
        <x:v>52.7</x:v>
      </x:c>
      <x:c r="B529" t="n">
        <x:f>IF(B$1="","",IFERROR(INDEX('包络曲线数据'!$B$2:$K$742,ROW()-1,MATCH(B$1,'包络曲线数据'!$B$1:$K$1,0)),""))</x:f>
        <x:v>69.77191809091815</x:v>
      </x:c>
      <x:c r="C529" t="n">
        <x:f>IF(C$1="","",IFERROR(INDEX('包络曲线数据'!$B$2:$K$742,ROW()-1,MATCH(C$1,'包络曲线数据'!$B$1:$K$1,0)),""))</x:f>
        <x:v>65.07472649687051</x:v>
      </x:c>
      <x:c r="D529" t="str">
        <x:f>IF(D$1="","",IFERROR(INDEX('包络曲线数据'!$B$2:$K$742,ROW()-1,MATCH(D$1,'包络曲线数据'!$B$1:$K$1,0)),""))</x:f>
      </x:c>
      <x:c r="E529" t="str">
        <x:f>IF(E$1="","",IFERROR(INDEX('包络曲线数据'!$B$2:$K$742,ROW()-1,MATCH(E$1,'包络曲线数据'!$B$1:$K$1,0)),""))</x:f>
      </x:c>
      <x:c r="F529" t="str">
        <x:f>IF(F$1="","",IFERROR(INDEX('包络曲线数据'!$B$2:$K$742,ROW()-1,MATCH(F$1,'包络曲线数据'!$B$1:$K$1,0)),""))</x:f>
      </x:c>
      <x:c r="G529" t="str">
        <x:f>IF(G$1="","",IFERROR(INDEX('包络曲线数据'!$B$2:$K$742,ROW()-1,MATCH(G$1,'包络曲线数据'!$B$1:$K$1,0)),""))</x:f>
      </x:c>
    </x:row>
    <x:row r="530">
      <x:c r="A530" t="n">
        <x:v>52.800000000000004</x:v>
      </x:c>
      <x:c r="B530" t="n">
        <x:f>IF(B$1="","",IFERROR(INDEX('包络曲线数据'!$B$2:$K$742,ROW()-1,MATCH(B$1,'包络曲线数据'!$B$1:$K$1,0)),""))</x:f>
        <x:v>69.8180064489797</x:v>
      </x:c>
      <x:c r="C530" t="n">
        <x:f>IF(C$1="","",IFERROR(INDEX('包络曲线数据'!$B$2:$K$742,ROW()-1,MATCH(C$1,'包络曲线数据'!$B$1:$K$1,0)),""))</x:f>
        <x:v>65.6646131309201</x:v>
      </x:c>
      <x:c r="D530" t="str">
        <x:f>IF(D$1="","",IFERROR(INDEX('包络曲线数据'!$B$2:$K$742,ROW()-1,MATCH(D$1,'包络曲线数据'!$B$1:$K$1,0)),""))</x:f>
      </x:c>
      <x:c r="E530" t="str">
        <x:f>IF(E$1="","",IFERROR(INDEX('包络曲线数据'!$B$2:$K$742,ROW()-1,MATCH(E$1,'包络曲线数据'!$B$1:$K$1,0)),""))</x:f>
      </x:c>
      <x:c r="F530" t="str">
        <x:f>IF(F$1="","",IFERROR(INDEX('包络曲线数据'!$B$2:$K$742,ROW()-1,MATCH(F$1,'包络曲线数据'!$B$1:$K$1,0)),""))</x:f>
      </x:c>
      <x:c r="G530" t="str">
        <x:f>IF(G$1="","",IFERROR(INDEX('包络曲线数据'!$B$2:$K$742,ROW()-1,MATCH(G$1,'包络曲线数据'!$B$1:$K$1,0)),""))</x:f>
      </x:c>
    </x:row>
    <x:row r="531">
      <x:c r="A531" t="n">
        <x:v>52.900000000000006</x:v>
      </x:c>
      <x:c r="B531" t="n">
        <x:f>IF(B$1="","",IFERROR(INDEX('包络曲线数据'!$B$2:$K$742,ROW()-1,MATCH(B$1,'包络曲线数据'!$B$1:$K$1,0)),""))</x:f>
        <x:v>77.50041606312607</x:v>
      </x:c>
      <x:c r="C531" t="n">
        <x:f>IF(C$1="","",IFERROR(INDEX('包络曲线数据'!$B$2:$K$742,ROW()-1,MATCH(C$1,'包络曲线数据'!$B$1:$K$1,0)),""))</x:f>
        <x:v>65.66461313091997</x:v>
      </x:c>
      <x:c r="D531" t="str">
        <x:f>IF(D$1="","",IFERROR(INDEX('包络曲线数据'!$B$2:$K$742,ROW()-1,MATCH(D$1,'包络曲线数据'!$B$1:$K$1,0)),""))</x:f>
      </x:c>
      <x:c r="E531" t="str">
        <x:f>IF(E$1="","",IFERROR(INDEX('包络曲线数据'!$B$2:$K$742,ROW()-1,MATCH(E$1,'包络曲线数据'!$B$1:$K$1,0)),""))</x:f>
      </x:c>
      <x:c r="F531" t="str">
        <x:f>IF(F$1="","",IFERROR(INDEX('包络曲线数据'!$B$2:$K$742,ROW()-1,MATCH(F$1,'包络曲线数据'!$B$1:$K$1,0)),""))</x:f>
      </x:c>
      <x:c r="G531" t="str">
        <x:f>IF(G$1="","",IFERROR(INDEX('包络曲线数据'!$B$2:$K$742,ROW()-1,MATCH(G$1,'包络曲线数据'!$B$1:$K$1,0)),""))</x:f>
      </x:c>
    </x:row>
    <x:row r="532">
      <x:c r="A532" t="n">
        <x:v>53</x:v>
      </x:c>
      <x:c r="B532" t="n">
        <x:f>IF(B$1="","",IFERROR(INDEX('包络曲线数据'!$B$2:$K$742,ROW()-1,MATCH(B$1,'包络曲线数据'!$B$1:$K$1,0)),""))</x:f>
        <x:v>77.50041606312607</x:v>
      </x:c>
      <x:c r="C532" t="n">
        <x:f>IF(C$1="","",IFERROR(INDEX('包络曲线数据'!$B$2:$K$742,ROW()-1,MATCH(C$1,'包络曲线数据'!$B$1:$K$1,0)),""))</x:f>
        <x:v>65.17879271468678</x:v>
      </x:c>
      <x:c r="D532" t="str">
        <x:f>IF(D$1="","",IFERROR(INDEX('包络曲线数据'!$B$2:$K$742,ROW()-1,MATCH(D$1,'包络曲线数据'!$B$1:$K$1,0)),""))</x:f>
      </x:c>
      <x:c r="E532" t="str">
        <x:f>IF(E$1="","",IFERROR(INDEX('包络曲线数据'!$B$2:$K$742,ROW()-1,MATCH(E$1,'包络曲线数据'!$B$1:$K$1,0)),""))</x:f>
      </x:c>
      <x:c r="F532" t="str">
        <x:f>IF(F$1="","",IFERROR(INDEX('包络曲线数据'!$B$2:$K$742,ROW()-1,MATCH(F$1,'包络曲线数据'!$B$1:$K$1,0)),""))</x:f>
      </x:c>
      <x:c r="G532" t="str">
        <x:f>IF(G$1="","",IFERROR(INDEX('包络曲线数据'!$B$2:$K$742,ROW()-1,MATCH(G$1,'包络曲线数据'!$B$1:$K$1,0)),""))</x:f>
      </x:c>
    </x:row>
    <x:row r="533">
      <x:c r="A533" t="n">
        <x:v>53.1</x:v>
      </x:c>
      <x:c r="B533" t="n">
        <x:f>IF(B$1="","",IFERROR(INDEX('包络曲线数据'!$B$2:$K$742,ROW()-1,MATCH(B$1,'包络曲线数据'!$B$1:$K$1,0)),""))</x:f>
        <x:v>73.59814697640152</x:v>
      </x:c>
      <x:c r="C533" t="n">
        <x:f>IF(C$1="","",IFERROR(INDEX('包络曲线数据'!$B$2:$K$742,ROW()-1,MATCH(C$1,'包络曲线数据'!$B$1:$K$1,0)),""))</x:f>
        <x:v>65.17879271468678</x:v>
      </x:c>
      <x:c r="D533" t="str">
        <x:f>IF(D$1="","",IFERROR(INDEX('包络曲线数据'!$B$2:$K$742,ROW()-1,MATCH(D$1,'包络曲线数据'!$B$1:$K$1,0)),""))</x:f>
      </x:c>
      <x:c r="E533" t="str">
        <x:f>IF(E$1="","",IFERROR(INDEX('包络曲线数据'!$B$2:$K$742,ROW()-1,MATCH(E$1,'包络曲线数据'!$B$1:$K$1,0)),""))</x:f>
      </x:c>
      <x:c r="F533" t="str">
        <x:f>IF(F$1="","",IFERROR(INDEX('包络曲线数据'!$B$2:$K$742,ROW()-1,MATCH(F$1,'包络曲线数据'!$B$1:$K$1,0)),""))</x:f>
      </x:c>
      <x:c r="G533" t="str">
        <x:f>IF(G$1="","",IFERROR(INDEX('包络曲线数据'!$B$2:$K$742,ROW()-1,MATCH(G$1,'包络曲线数据'!$B$1:$K$1,0)),""))</x:f>
      </x:c>
    </x:row>
    <x:row r="534">
      <x:c r="A534" t="n">
        <x:v>53.2</x:v>
      </x:c>
      <x:c r="B534" t="n">
        <x:f>IF(B$1="","",IFERROR(INDEX('包络曲线数据'!$B$2:$K$742,ROW()-1,MATCH(B$1,'包络曲线数据'!$B$1:$K$1,0)),""))</x:f>
        <x:v>65.76068835585177</x:v>
      </x:c>
      <x:c r="C534" t="n">
        <x:f>IF(C$1="","",IFERROR(INDEX('包络曲线数据'!$B$2:$K$742,ROW()-1,MATCH(C$1,'包络曲线数据'!$B$1:$K$1,0)),""))</x:f>
        <x:v>65.67993974072172</x:v>
      </x:c>
      <x:c r="D534" t="str">
        <x:f>IF(D$1="","",IFERROR(INDEX('包络曲线数据'!$B$2:$K$742,ROW()-1,MATCH(D$1,'包络曲线数据'!$B$1:$K$1,0)),""))</x:f>
      </x:c>
      <x:c r="E534" t="str">
        <x:f>IF(E$1="","",IFERROR(INDEX('包络曲线数据'!$B$2:$K$742,ROW()-1,MATCH(E$1,'包络曲线数据'!$B$1:$K$1,0)),""))</x:f>
      </x:c>
      <x:c r="F534" t="str">
        <x:f>IF(F$1="","",IFERROR(INDEX('包络曲线数据'!$B$2:$K$742,ROW()-1,MATCH(F$1,'包络曲线数据'!$B$1:$K$1,0)),""))</x:f>
      </x:c>
      <x:c r="G534" t="str">
        <x:f>IF(G$1="","",IFERROR(INDEX('包络曲线数据'!$B$2:$K$742,ROW()-1,MATCH(G$1,'包络曲线数据'!$B$1:$K$1,0)),""))</x:f>
      </x:c>
    </x:row>
    <x:row r="535">
      <x:c r="A535" t="n">
        <x:v>53.300000000000004</x:v>
      </x:c>
      <x:c r="B535" t="n">
        <x:f>IF(B$1="","",IFERROR(INDEX('包络曲线数据'!$B$2:$K$742,ROW()-1,MATCH(B$1,'包络曲线数据'!$B$1:$K$1,0)),""))</x:f>
        <x:v>59.63645969564588</x:v>
      </x:c>
      <x:c r="C535" t="n">
        <x:f>IF(C$1="","",IFERROR(INDEX('包络曲线数据'!$B$2:$K$742,ROW()-1,MATCH(C$1,'包络曲线数据'!$B$1:$K$1,0)),""))</x:f>
        <x:v>65.67993974072155</x:v>
      </x:c>
      <x:c r="D535" t="str">
        <x:f>IF(D$1="","",IFERROR(INDEX('包络曲线数据'!$B$2:$K$742,ROW()-1,MATCH(D$1,'包络曲线数据'!$B$1:$K$1,0)),""))</x:f>
      </x:c>
      <x:c r="E535" t="str">
        <x:f>IF(E$1="","",IFERROR(INDEX('包络曲线数据'!$B$2:$K$742,ROW()-1,MATCH(E$1,'包络曲线数据'!$B$1:$K$1,0)),""))</x:f>
      </x:c>
      <x:c r="F535" t="str">
        <x:f>IF(F$1="","",IFERROR(INDEX('包络曲线数据'!$B$2:$K$742,ROW()-1,MATCH(F$1,'包络曲线数据'!$B$1:$K$1,0)),""))</x:f>
      </x:c>
      <x:c r="G535" t="str">
        <x:f>IF(G$1="","",IFERROR(INDEX('包络曲线数据'!$B$2:$K$742,ROW()-1,MATCH(G$1,'包络曲线数据'!$B$1:$K$1,0)),""))</x:f>
      </x:c>
    </x:row>
    <x:row r="536">
      <x:c r="A536" t="n">
        <x:v>53.400000000000006</x:v>
      </x:c>
      <x:c r="B536" t="n">
        <x:f>IF(B$1="","",IFERROR(INDEX('包络曲线数据'!$B$2:$K$742,ROW()-1,MATCH(B$1,'包络曲线数据'!$B$1:$K$1,0)),""))</x:f>
        <x:v>51.650145687497975</x:v>
      </x:c>
      <x:c r="C536" t="n">
        <x:f>IF(C$1="","",IFERROR(INDEX('包络曲线数据'!$B$2:$K$742,ROW()-1,MATCH(C$1,'包络曲线数据'!$B$1:$K$1,0)),""))</x:f>
        <x:v>65.65618483046723</x:v>
      </x:c>
      <x:c r="D536" t="str">
        <x:f>IF(D$1="","",IFERROR(INDEX('包络曲线数据'!$B$2:$K$742,ROW()-1,MATCH(D$1,'包络曲线数据'!$B$1:$K$1,0)),""))</x:f>
      </x:c>
      <x:c r="E536" t="str">
        <x:f>IF(E$1="","",IFERROR(INDEX('包络曲线数据'!$B$2:$K$742,ROW()-1,MATCH(E$1,'包络曲线数据'!$B$1:$K$1,0)),""))</x:f>
      </x:c>
      <x:c r="F536" t="str">
        <x:f>IF(F$1="","",IFERROR(INDEX('包络曲线数据'!$B$2:$K$742,ROW()-1,MATCH(F$1,'包络曲线数据'!$B$1:$K$1,0)),""))</x:f>
      </x:c>
      <x:c r="G536" t="str">
        <x:f>IF(G$1="","",IFERROR(INDEX('包络曲线数据'!$B$2:$K$742,ROW()-1,MATCH(G$1,'包络曲线数据'!$B$1:$K$1,0)),""))</x:f>
      </x:c>
    </x:row>
    <x:row r="537">
      <x:c r="A537" t="n">
        <x:v>53.5</x:v>
      </x:c>
      <x:c r="B537" t="n">
        <x:f>IF(B$1="","",IFERROR(INDEX('包络曲线数据'!$B$2:$K$742,ROW()-1,MATCH(B$1,'包络曲线数据'!$B$1:$K$1,0)),""))</x:f>
        <x:v>50.77954791932986</x:v>
      </x:c>
      <x:c r="C537" t="n">
        <x:f>IF(C$1="","",IFERROR(INDEX('包络曲线数据'!$B$2:$K$742,ROW()-1,MATCH(C$1,'包络曲线数据'!$B$1:$K$1,0)),""))</x:f>
        <x:v>65.65618483046723</x:v>
      </x:c>
      <x:c r="D537" t="str">
        <x:f>IF(D$1="","",IFERROR(INDEX('包络曲线数据'!$B$2:$K$742,ROW()-1,MATCH(D$1,'包络曲线数据'!$B$1:$K$1,0)),""))</x:f>
      </x:c>
      <x:c r="E537" t="str">
        <x:f>IF(E$1="","",IFERROR(INDEX('包络曲线数据'!$B$2:$K$742,ROW()-1,MATCH(E$1,'包络曲线数据'!$B$1:$K$1,0)),""))</x:f>
      </x:c>
      <x:c r="F537" t="str">
        <x:f>IF(F$1="","",IFERROR(INDEX('包络曲线数据'!$B$2:$K$742,ROW()-1,MATCH(F$1,'包络曲线数据'!$B$1:$K$1,0)),""))</x:f>
      </x:c>
      <x:c r="G537" t="str">
        <x:f>IF(G$1="","",IFERROR(INDEX('包络曲线数据'!$B$2:$K$742,ROW()-1,MATCH(G$1,'包络曲线数据'!$B$1:$K$1,0)),""))</x:f>
      </x:c>
    </x:row>
    <x:row r="538">
      <x:c r="A538" t="n">
        <x:v>53.6</x:v>
      </x:c>
      <x:c r="B538" t="n">
        <x:f>IF(B$1="","",IFERROR(INDEX('包络曲线数据'!$B$2:$K$742,ROW()-1,MATCH(B$1,'包络曲线数据'!$B$1:$K$1,0)),""))</x:f>
        <x:v>54.67728751597859</x:v>
      </x:c>
      <x:c r="C538" t="n">
        <x:f>IF(C$1="","",IFERROR(INDEX('包络曲线数据'!$B$2:$K$742,ROW()-1,MATCH(C$1,'包络曲线数据'!$B$1:$K$1,0)),""))</x:f>
        <x:v>65.89902262246521</x:v>
      </x:c>
      <x:c r="D538" t="str">
        <x:f>IF(D$1="","",IFERROR(INDEX('包络曲线数据'!$B$2:$K$742,ROW()-1,MATCH(D$1,'包络曲线数据'!$B$1:$K$1,0)),""))</x:f>
      </x:c>
      <x:c r="E538" t="str">
        <x:f>IF(E$1="","",IFERROR(INDEX('包络曲线数据'!$B$2:$K$742,ROW()-1,MATCH(E$1,'包络曲线数据'!$B$1:$K$1,0)),""))</x:f>
      </x:c>
      <x:c r="F538" t="str">
        <x:f>IF(F$1="","",IFERROR(INDEX('包络曲线数据'!$B$2:$K$742,ROW()-1,MATCH(F$1,'包络曲线数据'!$B$1:$K$1,0)),""))</x:f>
      </x:c>
      <x:c r="G538" t="str">
        <x:f>IF(G$1="","",IFERROR(INDEX('包络曲线数据'!$B$2:$K$742,ROW()-1,MATCH(G$1,'包络曲线数据'!$B$1:$K$1,0)),""))</x:f>
      </x:c>
    </x:row>
    <x:row r="539">
      <x:c r="A539" t="n">
        <x:v>53.7</x:v>
      </x:c>
      <x:c r="B539" t="n">
        <x:f>IF(B$1="","",IFERROR(INDEX('包络曲线数据'!$B$2:$K$742,ROW()-1,MATCH(B$1,'包络曲线数据'!$B$1:$K$1,0)),""))</x:f>
        <x:v>58.575027112627325</x:v>
      </x:c>
      <x:c r="C539" t="n">
        <x:f>IF(C$1="","",IFERROR(INDEX('包络曲线数据'!$B$2:$K$742,ROW()-1,MATCH(C$1,'包络曲线数据'!$B$1:$K$1,0)),""))</x:f>
        <x:v>65.89902262246521</x:v>
      </x:c>
      <x:c r="D539" t="str">
        <x:f>IF(D$1="","",IFERROR(INDEX('包络曲线数据'!$B$2:$K$742,ROW()-1,MATCH(D$1,'包络曲线数据'!$B$1:$K$1,0)),""))</x:f>
      </x:c>
      <x:c r="E539" t="str">
        <x:f>IF(E$1="","",IFERROR(INDEX('包络曲线数据'!$B$2:$K$742,ROW()-1,MATCH(E$1,'包络曲线数据'!$B$1:$K$1,0)),""))</x:f>
      </x:c>
      <x:c r="F539" t="str">
        <x:f>IF(F$1="","",IFERROR(INDEX('包络曲线数据'!$B$2:$K$742,ROW()-1,MATCH(F$1,'包络曲线数据'!$B$1:$K$1,0)),""))</x:f>
      </x:c>
      <x:c r="G539" t="str">
        <x:f>IF(G$1="","",IFERROR(INDEX('包络曲线数据'!$B$2:$K$742,ROW()-1,MATCH(G$1,'包络曲线数据'!$B$1:$K$1,0)),""))</x:f>
      </x:c>
    </x:row>
    <x:row r="540">
      <x:c r="A540" t="n">
        <x:v>53.800000000000004</x:v>
      </x:c>
      <x:c r="B540" t="n">
        <x:f>IF(B$1="","",IFERROR(INDEX('包络曲线数据'!$B$2:$K$742,ROW()-1,MATCH(B$1,'包络曲线数据'!$B$1:$K$1,0)),""))</x:f>
        <x:v>62.47276670927606</x:v>
      </x:c>
      <x:c r="C540" t="n">
        <x:f>IF(C$1="","",IFERROR(INDEX('包络曲线数据'!$B$2:$K$742,ROW()-1,MATCH(C$1,'包络曲线数据'!$B$1:$K$1,0)),""))</x:f>
        <x:v>64.61019901661915</x:v>
      </x:c>
      <x:c r="D540" t="str">
        <x:f>IF(D$1="","",IFERROR(INDEX('包络曲线数据'!$B$2:$K$742,ROW()-1,MATCH(D$1,'包络曲线数据'!$B$1:$K$1,0)),""))</x:f>
      </x:c>
      <x:c r="E540" t="str">
        <x:f>IF(E$1="","",IFERROR(INDEX('包络曲线数据'!$B$2:$K$742,ROW()-1,MATCH(E$1,'包络曲线数据'!$B$1:$K$1,0)),""))</x:f>
      </x:c>
      <x:c r="F540" t="str">
        <x:f>IF(F$1="","",IFERROR(INDEX('包络曲线数据'!$B$2:$K$742,ROW()-1,MATCH(F$1,'包络曲线数据'!$B$1:$K$1,0)),""))</x:f>
      </x:c>
      <x:c r="G540" t="str">
        <x:f>IF(G$1="","",IFERROR(INDEX('包络曲线数据'!$B$2:$K$742,ROW()-1,MATCH(G$1,'包络曲线数据'!$B$1:$K$1,0)),""))</x:f>
      </x:c>
    </x:row>
    <x:row r="541">
      <x:c r="A541" t="n">
        <x:v>53.900000000000006</x:v>
      </x:c>
      <x:c r="B541" t="n">
        <x:f>IF(B$1="","",IFERROR(INDEX('包络曲线数据'!$B$2:$K$742,ROW()-1,MATCH(B$1,'包络曲线数据'!$B$1:$K$1,0)),""))</x:f>
        <x:v>66.37050630592479</x:v>
      </x:c>
      <x:c r="C541" t="n">
        <x:f>IF(C$1="","",IFERROR(INDEX('包络曲线数据'!$B$2:$K$742,ROW()-1,MATCH(C$1,'包络曲线数据'!$B$1:$K$1,0)),""))</x:f>
        <x:v>63.83516489775409</x:v>
      </x:c>
      <x:c r="D541" t="str">
        <x:f>IF(D$1="","",IFERROR(INDEX('包络曲线数据'!$B$2:$K$742,ROW()-1,MATCH(D$1,'包络曲线数据'!$B$1:$K$1,0)),""))</x:f>
      </x:c>
      <x:c r="E541" t="str">
        <x:f>IF(E$1="","",IFERROR(INDEX('包络曲线数据'!$B$2:$K$742,ROW()-1,MATCH(E$1,'包络曲线数据'!$B$1:$K$1,0)),""))</x:f>
      </x:c>
      <x:c r="F541" t="str">
        <x:f>IF(F$1="","",IFERROR(INDEX('包络曲线数据'!$B$2:$K$742,ROW()-1,MATCH(F$1,'包络曲线数据'!$B$1:$K$1,0)),""))</x:f>
      </x:c>
      <x:c r="G541" t="str">
        <x:f>IF(G$1="","",IFERROR(INDEX('包络曲线数据'!$B$2:$K$742,ROW()-1,MATCH(G$1,'包络曲线数据'!$B$1:$K$1,0)),""))</x:f>
      </x:c>
    </x:row>
    <x:row r="542">
      <x:c r="A542" t="n">
        <x:v>54</x:v>
      </x:c>
      <x:c r="B542" t="n">
        <x:f>IF(B$1="","",IFERROR(INDEX('包络曲线数据'!$B$2:$K$742,ROW()-1,MATCH(B$1,'包络曲线数据'!$B$1:$K$1,0)),""))</x:f>
        <x:v>70.26824590257326</x:v>
      </x:c>
      <x:c r="C542" t="n">
        <x:f>IF(C$1="","",IFERROR(INDEX('包络曲线数据'!$B$2:$K$742,ROW()-1,MATCH(C$1,'包络曲线数据'!$B$1:$K$1,0)),""))</x:f>
        <x:v>77.16558646159531</x:v>
      </x:c>
      <x:c r="D542" t="str">
        <x:f>IF(D$1="","",IFERROR(INDEX('包络曲线数据'!$B$2:$K$742,ROW()-1,MATCH(D$1,'包络曲线数据'!$B$1:$K$1,0)),""))</x:f>
      </x:c>
      <x:c r="E542" t="str">
        <x:f>IF(E$1="","",IFERROR(INDEX('包络曲线数据'!$B$2:$K$742,ROW()-1,MATCH(E$1,'包络曲线数据'!$B$1:$K$1,0)),""))</x:f>
      </x:c>
      <x:c r="F542" t="str">
        <x:f>IF(F$1="","",IFERROR(INDEX('包络曲线数据'!$B$2:$K$742,ROW()-1,MATCH(F$1,'包络曲线数据'!$B$1:$K$1,0)),""))</x:f>
      </x:c>
      <x:c r="G542" t="str">
        <x:f>IF(G$1="","",IFERROR(INDEX('包络曲线数据'!$B$2:$K$742,ROW()-1,MATCH(G$1,'包络曲线数据'!$B$1:$K$1,0)),""))</x:f>
      </x:c>
    </x:row>
    <x:row r="543">
      <x:c r="A543" t="n">
        <x:v>54.1</x:v>
      </x:c>
      <x:c r="B543" t="n">
        <x:f>IF(B$1="","",IFERROR(INDEX('包络曲线数据'!$B$2:$K$742,ROW()-1,MATCH(B$1,'包络曲线数据'!$B$1:$K$1,0)),""))</x:f>
        <x:v>74.16598549922199</x:v>
      </x:c>
      <x:c r="C543" t="n">
        <x:f>IF(C$1="","",IFERROR(INDEX('包络曲线数据'!$B$2:$K$742,ROW()-1,MATCH(C$1,'包络曲线数据'!$B$1:$K$1,0)),""))</x:f>
        <x:v>80.30399449979086</x:v>
      </x:c>
      <x:c r="D543" t="str">
        <x:f>IF(D$1="","",IFERROR(INDEX('包络曲线数据'!$B$2:$K$742,ROW()-1,MATCH(D$1,'包络曲线数据'!$B$1:$K$1,0)),""))</x:f>
      </x:c>
      <x:c r="E543" t="str">
        <x:f>IF(E$1="","",IFERROR(INDEX('包络曲线数据'!$B$2:$K$742,ROW()-1,MATCH(E$1,'包络曲线数据'!$B$1:$K$1,0)),""))</x:f>
      </x:c>
      <x:c r="F543" t="str">
        <x:f>IF(F$1="","",IFERROR(INDEX('包络曲线数据'!$B$2:$K$742,ROW()-1,MATCH(F$1,'包络曲线数据'!$B$1:$K$1,0)),""))</x:f>
      </x:c>
      <x:c r="G543" t="str">
        <x:f>IF(G$1="","",IFERROR(INDEX('包络曲线数据'!$B$2:$K$742,ROW()-1,MATCH(G$1,'包络曲线数据'!$B$1:$K$1,0)),""))</x:f>
      </x:c>
    </x:row>
    <x:row r="544">
      <x:c r="A544" t="n">
        <x:v>54.2</x:v>
      </x:c>
      <x:c r="B544" t="n">
        <x:f>IF(B$1="","",IFERROR(INDEX('包络曲线数据'!$B$2:$K$742,ROW()-1,MATCH(B$1,'包络曲线数据'!$B$1:$K$1,0)),""))</x:f>
        <x:v>74.94553341855156</x:v>
      </x:c>
      <x:c r="C544" t="n">
        <x:f>IF(C$1="","",IFERROR(INDEX('包络曲线数据'!$B$2:$K$742,ROW()-1,MATCH(C$1,'包络曲线数据'!$B$1:$K$1,0)),""))</x:f>
        <x:v>80.30399449979086</x:v>
      </x:c>
      <x:c r="D544" t="str">
        <x:f>IF(D$1="","",IFERROR(INDEX('包络曲线数据'!$B$2:$K$742,ROW()-1,MATCH(D$1,'包络曲线数据'!$B$1:$K$1,0)),""))</x:f>
      </x:c>
      <x:c r="E544" t="str">
        <x:f>IF(E$1="","",IFERROR(INDEX('包络曲线数据'!$B$2:$K$742,ROW()-1,MATCH(E$1,'包络曲线数据'!$B$1:$K$1,0)),""))</x:f>
      </x:c>
      <x:c r="F544" t="str">
        <x:f>IF(F$1="","",IFERROR(INDEX('包络曲线数据'!$B$2:$K$742,ROW()-1,MATCH(F$1,'包络曲线数据'!$B$1:$K$1,0)),""))</x:f>
      </x:c>
      <x:c r="G544" t="str">
        <x:f>IF(G$1="","",IFERROR(INDEX('包络曲线数据'!$B$2:$K$742,ROW()-1,MATCH(G$1,'包络曲线数据'!$B$1:$K$1,0)),""))</x:f>
      </x:c>
    </x:row>
    <x:row r="545">
      <x:c r="A545" t="n">
        <x:v>54.300000000000004</x:v>
      </x:c>
      <x:c r="B545" t="n">
        <x:f>IF(B$1="","",IFERROR(INDEX('包络曲线数据'!$B$2:$K$742,ROW()-1,MATCH(B$1,'包络曲线数据'!$B$1:$K$1,0)),""))</x:f>
        <x:v>74.36669740019123</x:v>
      </x:c>
      <x:c r="C545" t="n">
        <x:f>IF(C$1="","",IFERROR(INDEX('包络曲线数据'!$B$2:$K$742,ROW()-1,MATCH(C$1,'包络曲线数据'!$B$1:$K$1,0)),""))</x:f>
        <x:v>72.96691055220398</x:v>
      </x:c>
      <x:c r="D545" t="str">
        <x:f>IF(D$1="","",IFERROR(INDEX('包络曲线数据'!$B$2:$K$742,ROW()-1,MATCH(D$1,'包络曲线数据'!$B$1:$K$1,0)),""))</x:f>
      </x:c>
      <x:c r="E545" t="str">
        <x:f>IF(E$1="","",IFERROR(INDEX('包络曲线数据'!$B$2:$K$742,ROW()-1,MATCH(E$1,'包络曲线数据'!$B$1:$K$1,0)),""))</x:f>
      </x:c>
      <x:c r="F545" t="str">
        <x:f>IF(F$1="","",IFERROR(INDEX('包络曲线数据'!$B$2:$K$742,ROW()-1,MATCH(F$1,'包络曲线数据'!$B$1:$K$1,0)),""))</x:f>
      </x:c>
      <x:c r="G545" t="str">
        <x:f>IF(G$1="","",IFERROR(INDEX('包络曲线数据'!$B$2:$K$742,ROW()-1,MATCH(G$1,'包络曲线数据'!$B$1:$K$1,0)),""))</x:f>
      </x:c>
    </x:row>
    <x:row r="546">
      <x:c r="A546" t="n">
        <x:v>54.400000000000006</x:v>
      </x:c>
      <x:c r="B546" t="n">
        <x:f>IF(B$1="","",IFERROR(INDEX('包络曲线数据'!$B$2:$K$742,ROW()-1,MATCH(B$1,'包络曲线数据'!$B$1:$K$1,0)),""))</x:f>
        <x:v>68.2811459607659</x:v>
      </x:c>
      <x:c r="C546" t="n">
        <x:f>IF(C$1="","",IFERROR(INDEX('包络曲线数据'!$B$2:$K$742,ROW()-1,MATCH(C$1,'包络曲线数据'!$B$1:$K$1,0)),""))</x:f>
        <x:v>63.76385145726443</x:v>
      </x:c>
      <x:c r="D546" t="str">
        <x:f>IF(D$1="","",IFERROR(INDEX('包络曲线数据'!$B$2:$K$742,ROW()-1,MATCH(D$1,'包络曲线数据'!$B$1:$K$1,0)),""))</x:f>
      </x:c>
      <x:c r="E546" t="str">
        <x:f>IF(E$1="","",IFERROR(INDEX('包络曲线数据'!$B$2:$K$742,ROW()-1,MATCH(E$1,'包络曲线数据'!$B$1:$K$1,0)),""))</x:f>
      </x:c>
      <x:c r="F546" t="str">
        <x:f>IF(F$1="","",IFERROR(INDEX('包络曲线数据'!$B$2:$K$742,ROW()-1,MATCH(F$1,'包络曲线数据'!$B$1:$K$1,0)),""))</x:f>
      </x:c>
      <x:c r="G546" t="str">
        <x:f>IF(G$1="","",IFERROR(INDEX('包络曲线数据'!$B$2:$K$742,ROW()-1,MATCH(G$1,'包络曲线数据'!$B$1:$K$1,0)),""))</x:f>
      </x:c>
    </x:row>
    <x:row r="547">
      <x:c r="A547" t="n">
        <x:v>54.5</x:v>
      </x:c>
      <x:c r="B547" t="n">
        <x:f>IF(B$1="","",IFERROR(INDEX('包络曲线数据'!$B$2:$K$742,ROW()-1,MATCH(B$1,'包络曲线数据'!$B$1:$K$1,0)),""))</x:f>
        <x:v>63.62529967429702</x:v>
      </x:c>
      <x:c r="C547" t="n">
        <x:f>IF(C$1="","",IFERROR(INDEX('包络曲线数据'!$B$2:$K$742,ROW()-1,MATCH(C$1,'包络曲线数据'!$B$1:$K$1,0)),""))</x:f>
        <x:v>53.09515668014649</x:v>
      </x:c>
      <x:c r="D547" t="str">
        <x:f>IF(D$1="","",IFERROR(INDEX('包络曲线数据'!$B$2:$K$742,ROW()-1,MATCH(D$1,'包络曲线数据'!$B$1:$K$1,0)),""))</x:f>
      </x:c>
      <x:c r="E547" t="str">
        <x:f>IF(E$1="","",IFERROR(INDEX('包络曲线数据'!$B$2:$K$742,ROW()-1,MATCH(E$1,'包络曲线数据'!$B$1:$K$1,0)),""))</x:f>
      </x:c>
      <x:c r="F547" t="str">
        <x:f>IF(F$1="","",IFERROR(INDEX('包络曲线数据'!$B$2:$K$742,ROW()-1,MATCH(F$1,'包络曲线数据'!$B$1:$K$1,0)),""))</x:f>
      </x:c>
      <x:c r="G547" t="str">
        <x:f>IF(G$1="","",IFERROR(INDEX('包络曲线数据'!$B$2:$K$742,ROW()-1,MATCH(G$1,'包络曲线数据'!$B$1:$K$1,0)),""))</x:f>
      </x:c>
    </x:row>
    <x:row r="548">
      <x:c r="A548" t="n">
        <x:v>54.6</x:v>
      </x:c>
      <x:c r="B548" t="n">
        <x:f>IF(B$1="","",IFERROR(INDEX('包络曲线数据'!$B$2:$K$742,ROW()-1,MATCH(B$1,'包络曲线数据'!$B$1:$K$1,0)),""))</x:f>
        <x:v>65.99186585273877</x:v>
      </x:c>
      <x:c r="C548" t="n">
        <x:f>IF(C$1="","",IFERROR(INDEX('包络曲线数据'!$B$2:$K$742,ROW()-1,MATCH(C$1,'包络曲线数据'!$B$1:$K$1,0)),""))</x:f>
        <x:v>50</x:v>
      </x:c>
      <x:c r="D548" t="str">
        <x:f>IF(D$1="","",IFERROR(INDEX('包络曲线数据'!$B$2:$K$742,ROW()-1,MATCH(D$1,'包络曲线数据'!$B$1:$K$1,0)),""))</x:f>
      </x:c>
      <x:c r="E548" t="str">
        <x:f>IF(E$1="","",IFERROR(INDEX('包络曲线数据'!$B$2:$K$742,ROW()-1,MATCH(E$1,'包络曲线数据'!$B$1:$K$1,0)),""))</x:f>
      </x:c>
      <x:c r="F548" t="str">
        <x:f>IF(F$1="","",IFERROR(INDEX('包络曲线数据'!$B$2:$K$742,ROW()-1,MATCH(F$1,'包络曲线数据'!$B$1:$K$1,0)),""))</x:f>
      </x:c>
      <x:c r="G548" t="str">
        <x:f>IF(G$1="","",IFERROR(INDEX('包络曲线数据'!$B$2:$K$742,ROW()-1,MATCH(G$1,'包络曲线数据'!$B$1:$K$1,0)),""))</x:f>
      </x:c>
    </x:row>
    <x:row r="549">
      <x:c r="A549" t="n">
        <x:v>54.7</x:v>
      </x:c>
      <x:c r="B549" t="n">
        <x:f>IF(B$1="","",IFERROR(INDEX('包络曲线数据'!$B$2:$K$742,ROW()-1,MATCH(B$1,'包络曲线数据'!$B$1:$K$1,0)),""))</x:f>
        <x:v>68.19025808421806</x:v>
      </x:c>
      <x:c r="C549" t="n">
        <x:f>IF(C$1="","",IFERROR(INDEX('包络曲线数据'!$B$2:$K$742,ROW()-1,MATCH(C$1,'包络曲线数据'!$B$1:$K$1,0)),""))</x:f>
        <x:v>50</x:v>
      </x:c>
      <x:c r="D549" t="str">
        <x:f>IF(D$1="","",IFERROR(INDEX('包络曲线数据'!$B$2:$K$742,ROW()-1,MATCH(D$1,'包络曲线数据'!$B$1:$K$1,0)),""))</x:f>
      </x:c>
      <x:c r="E549" t="str">
        <x:f>IF(E$1="","",IFERROR(INDEX('包络曲线数据'!$B$2:$K$742,ROW()-1,MATCH(E$1,'包络曲线数据'!$B$1:$K$1,0)),""))</x:f>
      </x:c>
      <x:c r="F549" t="str">
        <x:f>IF(F$1="","",IFERROR(INDEX('包络曲线数据'!$B$2:$K$742,ROW()-1,MATCH(F$1,'包络曲线数据'!$B$1:$K$1,0)),""))</x:f>
      </x:c>
      <x:c r="G549" t="str">
        <x:f>IF(G$1="","",IFERROR(INDEX('包络曲线数据'!$B$2:$K$742,ROW()-1,MATCH(G$1,'包络曲线数据'!$B$1:$K$1,0)),""))</x:f>
      </x:c>
    </x:row>
    <x:row r="550">
      <x:c r="A550" t="n">
        <x:v>54.800000000000004</x:v>
      </x:c>
      <x:c r="B550" t="n">
        <x:f>IF(B$1="","",IFERROR(INDEX('包络曲线数据'!$B$2:$K$742,ROW()-1,MATCH(B$1,'包络曲线数据'!$B$1:$K$1,0)),""))</x:f>
        <x:v>68.19025808421806</x:v>
      </x:c>
      <x:c r="C550" t="n">
        <x:f>IF(C$1="","",IFERROR(INDEX('包络曲线数据'!$B$2:$K$742,ROW()-1,MATCH(C$1,'包络曲线数据'!$B$1:$K$1,0)),""))</x:f>
        <x:v>50.00000000000155</x:v>
      </x:c>
      <x:c r="D550" t="str">
        <x:f>IF(D$1="","",IFERROR(INDEX('包络曲线数据'!$B$2:$K$742,ROW()-1,MATCH(D$1,'包络曲线数据'!$B$1:$K$1,0)),""))</x:f>
      </x:c>
      <x:c r="E550" t="str">
        <x:f>IF(E$1="","",IFERROR(INDEX('包络曲线数据'!$B$2:$K$742,ROW()-1,MATCH(E$1,'包络曲线数据'!$B$1:$K$1,0)),""))</x:f>
      </x:c>
      <x:c r="F550" t="str">
        <x:f>IF(F$1="","",IFERROR(INDEX('包络曲线数据'!$B$2:$K$742,ROW()-1,MATCH(F$1,'包络曲线数据'!$B$1:$K$1,0)),""))</x:f>
      </x:c>
      <x:c r="G550" t="str">
        <x:f>IF(G$1="","",IFERROR(INDEX('包络曲线数据'!$B$2:$K$742,ROW()-1,MATCH(G$1,'包络曲线数据'!$B$1:$K$1,0)),""))</x:f>
      </x:c>
    </x:row>
    <x:row r="551">
      <x:c r="A551" t="n">
        <x:v>54.900000000000006</x:v>
      </x:c>
      <x:c r="B551" t="n">
        <x:f>IF(B$1="","",IFERROR(INDEX('包络曲线数据'!$B$2:$K$742,ROW()-1,MATCH(B$1,'包络曲线数据'!$B$1:$K$1,0)),""))</x:f>
        <x:v>68.15005374752272</x:v>
      </x:c>
      <x:c r="C551" t="n">
        <x:f>IF(C$1="","",IFERROR(INDEX('包络曲线数据'!$B$2:$K$742,ROW()-1,MATCH(C$1,'包络曲线数据'!$B$1:$K$1,0)),""))</x:f>
        <x:v>62.78797247037791</x:v>
      </x:c>
      <x:c r="D551" t="str">
        <x:f>IF(D$1="","",IFERROR(INDEX('包络曲线数据'!$B$2:$K$742,ROW()-1,MATCH(D$1,'包络曲线数据'!$B$1:$K$1,0)),""))</x:f>
      </x:c>
      <x:c r="E551" t="str">
        <x:f>IF(E$1="","",IFERROR(INDEX('包络曲线数据'!$B$2:$K$742,ROW()-1,MATCH(E$1,'包络曲线数据'!$B$1:$K$1,0)),""))</x:f>
      </x:c>
      <x:c r="F551" t="str">
        <x:f>IF(F$1="","",IFERROR(INDEX('包络曲线数据'!$B$2:$K$742,ROW()-1,MATCH(F$1,'包络曲线数据'!$B$1:$K$1,0)),""))</x:f>
      </x:c>
      <x:c r="G551" t="str">
        <x:f>IF(G$1="","",IFERROR(INDEX('包络曲线数据'!$B$2:$K$742,ROW()-1,MATCH(G$1,'包络曲线数据'!$B$1:$K$1,0)),""))</x:f>
      </x:c>
    </x:row>
    <x:row r="552">
      <x:c r="A552" t="n">
        <x:v>55</x:v>
      </x:c>
      <x:c r="B552" t="n">
        <x:f>IF(B$1="","",IFERROR(INDEX('包络曲线数据'!$B$2:$K$742,ROW()-1,MATCH(B$1,'包络曲线数据'!$B$1:$K$1,0)),""))</x:f>
        <x:v>68.78037839108461</x:v>
      </x:c>
      <x:c r="C552" t="n">
        <x:f>IF(C$1="","",IFERROR(INDEX('包络曲线数据'!$B$2:$K$742,ROW()-1,MATCH(C$1,'包络曲线数据'!$B$1:$K$1,0)),""))</x:f>
        <x:v>62.78797247037791</x:v>
      </x:c>
      <x:c r="D552" t="str">
        <x:f>IF(D$1="","",IFERROR(INDEX('包络曲线数据'!$B$2:$K$742,ROW()-1,MATCH(D$1,'包络曲线数据'!$B$1:$K$1,0)),""))</x:f>
      </x:c>
      <x:c r="E552" t="str">
        <x:f>IF(E$1="","",IFERROR(INDEX('包络曲线数据'!$B$2:$K$742,ROW()-1,MATCH(E$1,'包络曲线数据'!$B$1:$K$1,0)),""))</x:f>
      </x:c>
      <x:c r="F552" t="str">
        <x:f>IF(F$1="","",IFERROR(INDEX('包络曲线数据'!$B$2:$K$742,ROW()-1,MATCH(F$1,'包络曲线数据'!$B$1:$K$1,0)),""))</x:f>
      </x:c>
      <x:c r="G552" t="str">
        <x:f>IF(G$1="","",IFERROR(INDEX('包络曲线数据'!$B$2:$K$742,ROW()-1,MATCH(G$1,'包络曲线数据'!$B$1:$K$1,0)),""))</x:f>
      </x:c>
    </x:row>
    <x:row r="553">
      <x:c r="A553" t="n">
        <x:v>55.1</x:v>
      </x:c>
      <x:c r="B553" t="n">
        <x:f>IF(B$1="","",IFERROR(INDEX('包络曲线数据'!$B$2:$K$742,ROW()-1,MATCH(B$1,'包络曲线数据'!$B$1:$K$1,0)),""))</x:f>
        <x:v>68.78037839108461</x:v>
      </x:c>
      <x:c r="C553" t="n">
        <x:f>IF(C$1="","",IFERROR(INDEX('包络曲线数据'!$B$2:$K$742,ROW()-1,MATCH(C$1,'包络曲线数据'!$B$1:$K$1,0)),""))</x:f>
        <x:v>69.7536139352558</x:v>
      </x:c>
      <x:c r="D553" t="str">
        <x:f>IF(D$1="","",IFERROR(INDEX('包络曲线数据'!$B$2:$K$742,ROW()-1,MATCH(D$1,'包络曲线数据'!$B$1:$K$1,0)),""))</x:f>
      </x:c>
      <x:c r="E553" t="str">
        <x:f>IF(E$1="","",IFERROR(INDEX('包络曲线数据'!$B$2:$K$742,ROW()-1,MATCH(E$1,'包络曲线数据'!$B$1:$K$1,0)),""))</x:f>
      </x:c>
      <x:c r="F553" t="str">
        <x:f>IF(F$1="","",IFERROR(INDEX('包络曲线数据'!$B$2:$K$742,ROW()-1,MATCH(F$1,'包络曲线数据'!$B$1:$K$1,0)),""))</x:f>
      </x:c>
      <x:c r="G553" t="str">
        <x:f>IF(G$1="","",IFERROR(INDEX('包络曲线数据'!$B$2:$K$742,ROW()-1,MATCH(G$1,'包络曲线数据'!$B$1:$K$1,0)),""))</x:f>
      </x:c>
    </x:row>
    <x:row r="554">
      <x:c r="A554" t="n">
        <x:v>55.2</x:v>
      </x:c>
      <x:c r="B554" t="n">
        <x:f>IF(B$1="","",IFERROR(INDEX('包络曲线数据'!$B$2:$K$742,ROW()-1,MATCH(B$1,'包络曲线数据'!$B$1:$K$1,0)),""))</x:f>
        <x:v>69.31386318303973</x:v>
      </x:c>
      <x:c r="C554" t="n">
        <x:f>IF(C$1="","",IFERROR(INDEX('包络曲线数据'!$B$2:$K$742,ROW()-1,MATCH(C$1,'包络曲线数据'!$B$1:$K$1,0)),""))</x:f>
        <x:v>72.87223186555096</x:v>
      </x:c>
      <x:c r="D554" t="str">
        <x:f>IF(D$1="","",IFERROR(INDEX('包络曲线数据'!$B$2:$K$742,ROW()-1,MATCH(D$1,'包络曲线数据'!$B$1:$K$1,0)),""))</x:f>
      </x:c>
      <x:c r="E554" t="str">
        <x:f>IF(E$1="","",IFERROR(INDEX('包络曲线数据'!$B$2:$K$742,ROW()-1,MATCH(E$1,'包络曲线数据'!$B$1:$K$1,0)),""))</x:f>
      </x:c>
      <x:c r="F554" t="str">
        <x:f>IF(F$1="","",IFERROR(INDEX('包络曲线数据'!$B$2:$K$742,ROW()-1,MATCH(F$1,'包络曲线数据'!$B$1:$K$1,0)),""))</x:f>
      </x:c>
      <x:c r="G554" t="str">
        <x:f>IF(G$1="","",IFERROR(INDEX('包络曲线数据'!$B$2:$K$742,ROW()-1,MATCH(G$1,'包络曲线数据'!$B$1:$K$1,0)),""))</x:f>
      </x:c>
    </x:row>
    <x:row r="555">
      <x:c r="A555" t="n">
        <x:v>55.300000000000004</x:v>
      </x:c>
      <x:c r="B555" t="n">
        <x:f>IF(B$1="","",IFERROR(INDEX('包络曲线数据'!$B$2:$K$742,ROW()-1,MATCH(B$1,'包络曲线数据'!$B$1:$K$1,0)),""))</x:f>
        <x:v>70.1282010554818</x:v>
      </x:c>
      <x:c r="C555" t="n">
        <x:f>IF(C$1="","",IFERROR(INDEX('包络曲线数据'!$B$2:$K$742,ROW()-1,MATCH(C$1,'包络曲线数据'!$B$1:$K$1,0)),""))</x:f>
        <x:v>72.87223186555075</x:v>
      </x:c>
      <x:c r="D555" t="str">
        <x:f>IF(D$1="","",IFERROR(INDEX('包络曲线数据'!$B$2:$K$742,ROW()-1,MATCH(D$1,'包络曲线数据'!$B$1:$K$1,0)),""))</x:f>
      </x:c>
      <x:c r="E555" t="str">
        <x:f>IF(E$1="","",IFERROR(INDEX('包络曲线数据'!$B$2:$K$742,ROW()-1,MATCH(E$1,'包络曲线数据'!$B$1:$K$1,0)),""))</x:f>
      </x:c>
      <x:c r="F555" t="str">
        <x:f>IF(F$1="","",IFERROR(INDEX('包络曲线数据'!$B$2:$K$742,ROW()-1,MATCH(F$1,'包络曲线数据'!$B$1:$K$1,0)),""))</x:f>
      </x:c>
      <x:c r="G555" t="str">
        <x:f>IF(G$1="","",IFERROR(INDEX('包络曲线数据'!$B$2:$K$742,ROW()-1,MATCH(G$1,'包络曲线数据'!$B$1:$K$1,0)),""))</x:f>
      </x:c>
    </x:row>
    <x:row r="556">
      <x:c r="A556" t="n">
        <x:v>55.400000000000006</x:v>
      </x:c>
      <x:c r="B556" t="n">
        <x:f>IF(B$1="","",IFERROR(INDEX('包络曲线数据'!$B$2:$K$742,ROW()-1,MATCH(B$1,'包络曲线数据'!$B$1:$K$1,0)),""))</x:f>
        <x:v>70.02424394584718</x:v>
      </x:c>
      <x:c r="C556" t="n">
        <x:f>IF(C$1="","",IFERROR(INDEX('包络曲线数据'!$B$2:$K$742,ROW()-1,MATCH(C$1,'包络曲线数据'!$B$1:$K$1,0)),""))</x:f>
        <x:v>68.79954965457736</x:v>
      </x:c>
      <x:c r="D556" t="str">
        <x:f>IF(D$1="","",IFERROR(INDEX('包络曲线数据'!$B$2:$K$742,ROW()-1,MATCH(D$1,'包络曲线数据'!$B$1:$K$1,0)),""))</x:f>
      </x:c>
      <x:c r="E556" t="str">
        <x:f>IF(E$1="","",IFERROR(INDEX('包络曲线数据'!$B$2:$K$742,ROW()-1,MATCH(E$1,'包络曲线数据'!$B$1:$K$1,0)),""))</x:f>
      </x:c>
      <x:c r="F556" t="str">
        <x:f>IF(F$1="","",IFERROR(INDEX('包络曲线数据'!$B$2:$K$742,ROW()-1,MATCH(F$1,'包络曲线数据'!$B$1:$K$1,0)),""))</x:f>
      </x:c>
      <x:c r="G556" t="str">
        <x:f>IF(G$1="","",IFERROR(INDEX('包络曲线数据'!$B$2:$K$742,ROW()-1,MATCH(G$1,'包络曲线数据'!$B$1:$K$1,0)),""))</x:f>
      </x:c>
    </x:row>
    <x:row r="557">
      <x:c r="A557" t="n">
        <x:v>55.5</x:v>
      </x:c>
      <x:c r="B557" t="n">
        <x:f>IF(B$1="","",IFERROR(INDEX('包络曲线数据'!$B$2:$K$742,ROW()-1,MATCH(B$1,'包络曲线数据'!$B$1:$K$1,0)),""))</x:f>
        <x:v>70.02424394584718</x:v>
      </x:c>
      <x:c r="C557" t="n">
        <x:f>IF(C$1="","",IFERROR(INDEX('包络曲线数据'!$B$2:$K$742,ROW()-1,MATCH(C$1,'包络曲线数据'!$B$1:$K$1,0)),""))</x:f>
        <x:v>63.69038709332966</x:v>
      </x:c>
      <x:c r="D557" t="str">
        <x:f>IF(D$1="","",IFERROR(INDEX('包络曲线数据'!$B$2:$K$742,ROW()-1,MATCH(D$1,'包络曲线数据'!$B$1:$K$1,0)),""))</x:f>
      </x:c>
      <x:c r="E557" t="str">
        <x:f>IF(E$1="","",IFERROR(INDEX('包络曲线数据'!$B$2:$K$742,ROW()-1,MATCH(E$1,'包络曲线数据'!$B$1:$K$1,0)),""))</x:f>
      </x:c>
      <x:c r="F557" t="str">
        <x:f>IF(F$1="","",IFERROR(INDEX('包络曲线数据'!$B$2:$K$742,ROW()-1,MATCH(F$1,'包络曲线数据'!$B$1:$K$1,0)),""))</x:f>
      </x:c>
      <x:c r="G557" t="str">
        <x:f>IF(G$1="","",IFERROR(INDEX('包络曲线数据'!$B$2:$K$742,ROW()-1,MATCH(G$1,'包络曲线数据'!$B$1:$K$1,0)),""))</x:f>
      </x:c>
    </x:row>
    <x:row r="558">
      <x:c r="A558" t="n">
        <x:v>55.6</x:v>
      </x:c>
      <x:c r="B558" t="n">
        <x:f>IF(B$1="","",IFERROR(INDEX('包络曲线数据'!$B$2:$K$742,ROW()-1,MATCH(B$1,'包络曲线数据'!$B$1:$K$1,0)),""))</x:f>
        <x:v>70.90568183673105</x:v>
      </x:c>
      <x:c r="C558" t="n">
        <x:f>IF(C$1="","",IFERROR(INDEX('包络曲线数据'!$B$2:$K$742,ROW()-1,MATCH(C$1,'包络曲线数据'!$B$1:$K$1,0)),""))</x:f>
        <x:v>63.06377962035385</x:v>
      </x:c>
      <x:c r="D558" t="str">
        <x:f>IF(D$1="","",IFERROR(INDEX('包络曲线数据'!$B$2:$K$742,ROW()-1,MATCH(D$1,'包络曲线数据'!$B$1:$K$1,0)),""))</x:f>
      </x:c>
      <x:c r="E558" t="str">
        <x:f>IF(E$1="","",IFERROR(INDEX('包络曲线数据'!$B$2:$K$742,ROW()-1,MATCH(E$1,'包络曲线数据'!$B$1:$K$1,0)),""))</x:f>
      </x:c>
      <x:c r="F558" t="str">
        <x:f>IF(F$1="","",IFERROR(INDEX('包络曲线数据'!$B$2:$K$742,ROW()-1,MATCH(F$1,'包络曲线数据'!$B$1:$K$1,0)),""))</x:f>
      </x:c>
      <x:c r="G558" t="str">
        <x:f>IF(G$1="","",IFERROR(INDEX('包络曲线数据'!$B$2:$K$742,ROW()-1,MATCH(G$1,'包络曲线数据'!$B$1:$K$1,0)),""))</x:f>
      </x:c>
    </x:row>
    <x:row r="559">
      <x:c r="A559" t="n">
        <x:v>55.7</x:v>
      </x:c>
      <x:c r="B559" t="n">
        <x:f>IF(B$1="","",IFERROR(INDEX('包络曲线数据'!$B$2:$K$742,ROW()-1,MATCH(B$1,'包络曲线数据'!$B$1:$K$1,0)),""))</x:f>
        <x:v>70.90568183673105</x:v>
      </x:c>
      <x:c r="C559" t="n">
        <x:f>IF(C$1="","",IFERROR(INDEX('包络曲线数据'!$B$2:$K$742,ROW()-1,MATCH(C$1,'包络曲线数据'!$B$1:$K$1,0)),""))</x:f>
        <x:v>63.52594885872736</x:v>
      </x:c>
      <x:c r="D559" t="str">
        <x:f>IF(D$1="","",IFERROR(INDEX('包络曲线数据'!$B$2:$K$742,ROW()-1,MATCH(D$1,'包络曲线数据'!$B$1:$K$1,0)),""))</x:f>
      </x:c>
      <x:c r="E559" t="str">
        <x:f>IF(E$1="","",IFERROR(INDEX('包络曲线数据'!$B$2:$K$742,ROW()-1,MATCH(E$1,'包络曲线数据'!$B$1:$K$1,0)),""))</x:f>
      </x:c>
      <x:c r="F559" t="str">
        <x:f>IF(F$1="","",IFERROR(INDEX('包络曲线数据'!$B$2:$K$742,ROW()-1,MATCH(F$1,'包络曲线数据'!$B$1:$K$1,0)),""))</x:f>
      </x:c>
      <x:c r="G559" t="str">
        <x:f>IF(G$1="","",IFERROR(INDEX('包络曲线数据'!$B$2:$K$742,ROW()-1,MATCH(G$1,'包络曲线数据'!$B$1:$K$1,0)),""))</x:f>
      </x:c>
    </x:row>
    <x:row r="560">
      <x:c r="A560" t="n">
        <x:v>55.800000000000004</x:v>
      </x:c>
      <x:c r="B560" t="n">
        <x:f>IF(B$1="","",IFERROR(INDEX('包络曲线数据'!$B$2:$K$742,ROW()-1,MATCH(B$1,'包络曲线数据'!$B$1:$K$1,0)),""))</x:f>
        <x:v>75.83464065810108</x:v>
      </x:c>
      <x:c r="C560" t="n">
        <x:f>IF(C$1="","",IFERROR(INDEX('包络曲线数据'!$B$2:$K$742,ROW()-1,MATCH(C$1,'包络曲线数据'!$B$1:$K$1,0)),""))</x:f>
        <x:v>64.46462531473883</x:v>
      </x:c>
      <x:c r="D560" t="str">
        <x:f>IF(D$1="","",IFERROR(INDEX('包络曲线数据'!$B$2:$K$742,ROW()-1,MATCH(D$1,'包络曲线数据'!$B$1:$K$1,0)),""))</x:f>
      </x:c>
      <x:c r="E560" t="str">
        <x:f>IF(E$1="","",IFERROR(INDEX('包络曲线数据'!$B$2:$K$742,ROW()-1,MATCH(E$1,'包络曲线数据'!$B$1:$K$1,0)),""))</x:f>
      </x:c>
      <x:c r="F560" t="str">
        <x:f>IF(F$1="","",IFERROR(INDEX('包络曲线数据'!$B$2:$K$742,ROW()-1,MATCH(F$1,'包络曲线数据'!$B$1:$K$1,0)),""))</x:f>
      </x:c>
      <x:c r="G560" t="str">
        <x:f>IF(G$1="","",IFERROR(INDEX('包络曲线数据'!$B$2:$K$742,ROW()-1,MATCH(G$1,'包络曲线数据'!$B$1:$K$1,0)),""))</x:f>
      </x:c>
    </x:row>
    <x:row r="561">
      <x:c r="A561" t="n">
        <x:v>55.900000000000006</x:v>
      </x:c>
      <x:c r="B561" t="n">
        <x:f>IF(B$1="","",IFERROR(INDEX('包络曲线数据'!$B$2:$K$742,ROW()-1,MATCH(B$1,'包络曲线数据'!$B$1:$K$1,0)),""))</x:f>
        <x:v>76.69548121510815</x:v>
      </x:c>
      <x:c r="C561" t="n">
        <x:f>IF(C$1="","",IFERROR(INDEX('包络曲线数据'!$B$2:$K$742,ROW()-1,MATCH(C$1,'包络曲线数据'!$B$1:$K$1,0)),""))</x:f>
        <x:v>64.46462531473883</x:v>
      </x:c>
      <x:c r="D561" t="str">
        <x:f>IF(D$1="","",IFERROR(INDEX('包络曲线数据'!$B$2:$K$742,ROW()-1,MATCH(D$1,'包络曲线数据'!$B$1:$K$1,0)),""))</x:f>
      </x:c>
      <x:c r="E561" t="str">
        <x:f>IF(E$1="","",IFERROR(INDEX('包络曲线数据'!$B$2:$K$742,ROW()-1,MATCH(E$1,'包络曲线数据'!$B$1:$K$1,0)),""))</x:f>
      </x:c>
      <x:c r="F561" t="str">
        <x:f>IF(F$1="","",IFERROR(INDEX('包络曲线数据'!$B$2:$K$742,ROW()-1,MATCH(F$1,'包络曲线数据'!$B$1:$K$1,0)),""))</x:f>
      </x:c>
      <x:c r="G561" t="str">
        <x:f>IF(G$1="","",IFERROR(INDEX('包络曲线数据'!$B$2:$K$742,ROW()-1,MATCH(G$1,'包络曲线数据'!$B$1:$K$1,0)),""))</x:f>
      </x:c>
    </x:row>
    <x:row r="562">
      <x:c r="A562" t="n">
        <x:v>56</x:v>
      </x:c>
      <x:c r="B562" t="n">
        <x:f>IF(B$1="","",IFERROR(INDEX('包络曲线数据'!$B$2:$K$742,ROW()-1,MATCH(B$1,'包络曲线数据'!$B$1:$K$1,0)),""))</x:f>
        <x:v>75.79571949337985</x:v>
      </x:c>
      <x:c r="C562" t="n">
        <x:f>IF(C$1="","",IFERROR(INDEX('包络曲线数据'!$B$2:$K$742,ROW()-1,MATCH(C$1,'包络曲线数据'!$B$1:$K$1,0)),""))</x:f>
        <x:v>64.93026497450292</x:v>
      </x:c>
      <x:c r="D562" t="str">
        <x:f>IF(D$1="","",IFERROR(INDEX('包络曲线数据'!$B$2:$K$742,ROW()-1,MATCH(D$1,'包络曲线数据'!$B$1:$K$1,0)),""))</x:f>
      </x:c>
      <x:c r="E562" t="str">
        <x:f>IF(E$1="","",IFERROR(INDEX('包络曲线数据'!$B$2:$K$742,ROW()-1,MATCH(E$1,'包络曲线数据'!$B$1:$K$1,0)),""))</x:f>
      </x:c>
      <x:c r="F562" t="str">
        <x:f>IF(F$1="","",IFERROR(INDEX('包络曲线数据'!$B$2:$K$742,ROW()-1,MATCH(F$1,'包络曲线数据'!$B$1:$K$1,0)),""))</x:f>
      </x:c>
      <x:c r="G562" t="str">
        <x:f>IF(G$1="","",IFERROR(INDEX('包络曲线数据'!$B$2:$K$742,ROW()-1,MATCH(G$1,'包络曲线数据'!$B$1:$K$1,0)),""))</x:f>
      </x:c>
    </x:row>
    <x:row r="563">
      <x:c r="A563" t="n">
        <x:v>56.1</x:v>
      </x:c>
      <x:c r="B563" t="n">
        <x:f>IF(B$1="","",IFERROR(INDEX('包络曲线数据'!$B$2:$K$742,ROW()-1,MATCH(B$1,'包络曲线数据'!$B$1:$K$1,0)),""))</x:f>
        <x:v>62.75120568603927</x:v>
      </x:c>
      <x:c r="C563" t="n">
        <x:f>IF(C$1="","",IFERROR(INDEX('包络曲线数据'!$B$2:$K$742,ROW()-1,MATCH(C$1,'包络曲线数据'!$B$1:$K$1,0)),""))</x:f>
        <x:v>64.93026497450292</x:v>
      </x:c>
      <x:c r="D563" t="str">
        <x:f>IF(D$1="","",IFERROR(INDEX('包络曲线数据'!$B$2:$K$742,ROW()-1,MATCH(D$1,'包络曲线数据'!$B$1:$K$1,0)),""))</x:f>
      </x:c>
      <x:c r="E563" t="str">
        <x:f>IF(E$1="","",IFERROR(INDEX('包络曲线数据'!$B$2:$K$742,ROW()-1,MATCH(E$1,'包络曲线数据'!$B$1:$K$1,0)),""))</x:f>
      </x:c>
      <x:c r="F563" t="str">
        <x:f>IF(F$1="","",IFERROR(INDEX('包络曲线数据'!$B$2:$K$742,ROW()-1,MATCH(F$1,'包络曲线数据'!$B$1:$K$1,0)),""))</x:f>
      </x:c>
      <x:c r="G563" t="str">
        <x:f>IF(G$1="","",IFERROR(INDEX('包络曲线数据'!$B$2:$K$742,ROW()-1,MATCH(G$1,'包络曲线数据'!$B$1:$K$1,0)),""))</x:f>
      </x:c>
    </x:row>
    <x:row r="564">
      <x:c r="A564" t="n">
        <x:v>56.2</x:v>
      </x:c>
      <x:c r="B564" t="n">
        <x:f>IF(B$1="","",IFERROR(INDEX('包络曲线数据'!$B$2:$K$742,ROW()-1,MATCH(B$1,'包络曲线数据'!$B$1:$K$1,0)),""))</x:f>
        <x:v>53.016285632300026</x:v>
      </x:c>
      <x:c r="C564" t="n">
        <x:f>IF(C$1="","",IFERROR(INDEX('包络曲线数据'!$B$2:$K$742,ROW()-1,MATCH(C$1,'包络曲线数据'!$B$1:$K$1,0)),""))</x:f>
        <x:v>65.0058132440339</x:v>
      </x:c>
      <x:c r="D564" t="str">
        <x:f>IF(D$1="","",IFERROR(INDEX('包络曲线数据'!$B$2:$K$742,ROW()-1,MATCH(D$1,'包络曲线数据'!$B$1:$K$1,0)),""))</x:f>
      </x:c>
      <x:c r="E564" t="str">
        <x:f>IF(E$1="","",IFERROR(INDEX('包络曲线数据'!$B$2:$K$742,ROW()-1,MATCH(E$1,'包络曲线数据'!$B$1:$K$1,0)),""))</x:f>
      </x:c>
      <x:c r="F564" t="str">
        <x:f>IF(F$1="","",IFERROR(INDEX('包络曲线数据'!$B$2:$K$742,ROW()-1,MATCH(F$1,'包络曲线数据'!$B$1:$K$1,0)),""))</x:f>
      </x:c>
      <x:c r="G564" t="str">
        <x:f>IF(G$1="","",IFERROR(INDEX('包络曲线数据'!$B$2:$K$742,ROW()-1,MATCH(G$1,'包络曲线数据'!$B$1:$K$1,0)),""))</x:f>
      </x:c>
    </x:row>
    <x:row r="565">
      <x:c r="A565" t="n">
        <x:v>56.300000000000004</x:v>
      </x:c>
      <x:c r="B565" t="n">
        <x:f>IF(B$1="","",IFERROR(INDEX('包络曲线数据'!$B$2:$K$742,ROW()-1,MATCH(B$1,'包络曲线数据'!$B$1:$K$1,0)),""))</x:f>
        <x:v>53.016285632300026</x:v>
      </x:c>
      <x:c r="C565" t="n">
        <x:f>IF(C$1="","",IFERROR(INDEX('包络曲线数据'!$B$2:$K$742,ROW()-1,MATCH(C$1,'包络曲线数据'!$B$1:$K$1,0)),""))</x:f>
        <x:v>65.47042018235337</x:v>
      </x:c>
      <x:c r="D565" t="str">
        <x:f>IF(D$1="","",IFERROR(INDEX('包络曲线数据'!$B$2:$K$742,ROW()-1,MATCH(D$1,'包络曲线数据'!$B$1:$K$1,0)),""))</x:f>
      </x:c>
      <x:c r="E565" t="str">
        <x:f>IF(E$1="","",IFERROR(INDEX('包络曲线数据'!$B$2:$K$742,ROW()-1,MATCH(E$1,'包络曲线数据'!$B$1:$K$1,0)),""))</x:f>
      </x:c>
      <x:c r="F565" t="str">
        <x:f>IF(F$1="","",IFERROR(INDEX('包络曲线数据'!$B$2:$K$742,ROW()-1,MATCH(F$1,'包络曲线数据'!$B$1:$K$1,0)),""))</x:f>
      </x:c>
      <x:c r="G565" t="str">
        <x:f>IF(G$1="","",IFERROR(INDEX('包络曲线数据'!$B$2:$K$742,ROW()-1,MATCH(G$1,'包络曲线数据'!$B$1:$K$1,0)),""))</x:f>
      </x:c>
    </x:row>
    <x:row r="566">
      <x:c r="A566" t="n">
        <x:v>56.400000000000006</x:v>
      </x:c>
      <x:c r="B566" t="n">
        <x:f>IF(B$1="","",IFERROR(INDEX('包络曲线数据'!$B$2:$K$742,ROW()-1,MATCH(B$1,'包络曲线数据'!$B$1:$K$1,0)),""))</x:f>
        <x:v>50</x:v>
      </x:c>
      <x:c r="C566" t="n">
        <x:f>IF(C$1="","",IFERROR(INDEX('包络曲线数据'!$B$2:$K$742,ROW()-1,MATCH(C$1,'包络曲线数据'!$B$1:$K$1,0)),""))</x:f>
        <x:v>65.47042018235335</x:v>
      </x:c>
      <x:c r="D566" t="str">
        <x:f>IF(D$1="","",IFERROR(INDEX('包络曲线数据'!$B$2:$K$742,ROW()-1,MATCH(D$1,'包络曲线数据'!$B$1:$K$1,0)),""))</x:f>
      </x:c>
      <x:c r="E566" t="str">
        <x:f>IF(E$1="","",IFERROR(INDEX('包络曲线数据'!$B$2:$K$742,ROW()-1,MATCH(E$1,'包络曲线数据'!$B$1:$K$1,0)),""))</x:f>
      </x:c>
      <x:c r="F566" t="str">
        <x:f>IF(F$1="","",IFERROR(INDEX('包络曲线数据'!$B$2:$K$742,ROW()-1,MATCH(F$1,'包络曲线数据'!$B$1:$K$1,0)),""))</x:f>
      </x:c>
      <x:c r="G566" t="str">
        <x:f>IF(G$1="","",IFERROR(INDEX('包络曲线数据'!$B$2:$K$742,ROW()-1,MATCH(G$1,'包络曲线数据'!$B$1:$K$1,0)),""))</x:f>
      </x:c>
    </x:row>
    <x:row r="567">
      <x:c r="A567" t="n">
        <x:v>56.5</x:v>
      </x:c>
      <x:c r="B567" t="n">
        <x:f>IF(B$1="","",IFERROR(INDEX('包络曲线数据'!$B$2:$K$742,ROW()-1,MATCH(B$1,'包络曲线数据'!$B$1:$K$1,0)),""))</x:f>
        <x:v>50</x:v>
      </x:c>
      <x:c r="C567" t="n">
        <x:f>IF(C$1="","",IFERROR(INDEX('包络曲线数据'!$B$2:$K$742,ROW()-1,MATCH(C$1,'包络曲线数据'!$B$1:$K$1,0)),""))</x:f>
        <x:v>64.97245680469372</x:v>
      </x:c>
      <x:c r="D567" t="str">
        <x:f>IF(D$1="","",IFERROR(INDEX('包络曲线数据'!$B$2:$K$742,ROW()-1,MATCH(D$1,'包络曲线数据'!$B$1:$K$1,0)),""))</x:f>
      </x:c>
      <x:c r="E567" t="str">
        <x:f>IF(E$1="","",IFERROR(INDEX('包络曲线数据'!$B$2:$K$742,ROW()-1,MATCH(E$1,'包络曲线数据'!$B$1:$K$1,0)),""))</x:f>
      </x:c>
      <x:c r="F567" t="str">
        <x:f>IF(F$1="","",IFERROR(INDEX('包络曲线数据'!$B$2:$K$742,ROW()-1,MATCH(F$1,'包络曲线数据'!$B$1:$K$1,0)),""))</x:f>
      </x:c>
      <x:c r="G567" t="str">
        <x:f>IF(G$1="","",IFERROR(INDEX('包络曲线数据'!$B$2:$K$742,ROW()-1,MATCH(G$1,'包络曲线数据'!$B$1:$K$1,0)),""))</x:f>
      </x:c>
    </x:row>
    <x:row r="568">
      <x:c r="A568" t="n">
        <x:v>56.6</x:v>
      </x:c>
      <x:c r="B568" t="n">
        <x:f>IF(B$1="","",IFERROR(INDEX('包络曲线数据'!$B$2:$K$742,ROW()-1,MATCH(B$1,'包络曲线数据'!$B$1:$K$1,0)),""))</x:f>
        <x:v>63.196399690011376</x:v>
      </x:c>
      <x:c r="C568" t="n">
        <x:f>IF(C$1="","",IFERROR(INDEX('包络曲线数据'!$B$2:$K$742,ROW()-1,MATCH(C$1,'包络曲线数据'!$B$1:$K$1,0)),""))</x:f>
        <x:v>66.84086894938108</x:v>
      </x:c>
      <x:c r="D568" t="str">
        <x:f>IF(D$1="","",IFERROR(INDEX('包络曲线数据'!$B$2:$K$742,ROW()-1,MATCH(D$1,'包络曲线数据'!$B$1:$K$1,0)),""))</x:f>
      </x:c>
      <x:c r="E568" t="str">
        <x:f>IF(E$1="","",IFERROR(INDEX('包络曲线数据'!$B$2:$K$742,ROW()-1,MATCH(E$1,'包络曲线数据'!$B$1:$K$1,0)),""))</x:f>
      </x:c>
      <x:c r="F568" t="str">
        <x:f>IF(F$1="","",IFERROR(INDEX('包络曲线数据'!$B$2:$K$742,ROW()-1,MATCH(F$1,'包络曲线数据'!$B$1:$K$1,0)),""))</x:f>
      </x:c>
      <x:c r="G568" t="str">
        <x:f>IF(G$1="","",IFERROR(INDEX('包络曲线数据'!$B$2:$K$742,ROW()-1,MATCH(G$1,'包络曲线数据'!$B$1:$K$1,0)),""))</x:f>
      </x:c>
    </x:row>
    <x:row r="569">
      <x:c r="A569" t="n">
        <x:v>56.7</x:v>
      </x:c>
      <x:c r="B569" t="n">
        <x:f>IF(B$1="","",IFERROR(INDEX('包络曲线数据'!$B$2:$K$742,ROW()-1,MATCH(B$1,'包络曲线数据'!$B$1:$K$1,0)),""))</x:f>
        <x:v>63.196399690011376</x:v>
      </x:c>
      <x:c r="C569" t="n">
        <x:f>IF(C$1="","",IFERROR(INDEX('包络曲线数据'!$B$2:$K$742,ROW()-1,MATCH(C$1,'包络曲线数据'!$B$1:$K$1,0)),""))</x:f>
        <x:v>66.9054361639386</x:v>
      </x:c>
      <x:c r="D569" t="str">
        <x:f>IF(D$1="","",IFERROR(INDEX('包络曲线数据'!$B$2:$K$742,ROW()-1,MATCH(D$1,'包络曲线数据'!$B$1:$K$1,0)),""))</x:f>
      </x:c>
      <x:c r="E569" t="str">
        <x:f>IF(E$1="","",IFERROR(INDEX('包络曲线数据'!$B$2:$K$742,ROW()-1,MATCH(E$1,'包络曲线数据'!$B$1:$K$1,0)),""))</x:f>
      </x:c>
      <x:c r="F569" t="str">
        <x:f>IF(F$1="","",IFERROR(INDEX('包络曲线数据'!$B$2:$K$742,ROW()-1,MATCH(F$1,'包络曲线数据'!$B$1:$K$1,0)),""))</x:f>
      </x:c>
      <x:c r="G569" t="str">
        <x:f>IF(G$1="","",IFERROR(INDEX('包络曲线数据'!$B$2:$K$742,ROW()-1,MATCH(G$1,'包络曲线数据'!$B$1:$K$1,0)),""))</x:f>
      </x:c>
    </x:row>
    <x:row r="570">
      <x:c r="A570" t="n">
        <x:v>56.800000000000004</x:v>
      </x:c>
      <x:c r="B570" t="n">
        <x:f>IF(B$1="","",IFERROR(INDEX('包络曲线数据'!$B$2:$K$742,ROW()-1,MATCH(B$1,'包络曲线数据'!$B$1:$K$1,0)),""))</x:f>
        <x:v>61.608198149802725</x:v>
      </x:c>
      <x:c r="C570" t="n">
        <x:f>IF(C$1="","",IFERROR(INDEX('包络曲线数据'!$B$2:$K$742,ROW()-1,MATCH(C$1,'包络曲线数据'!$B$1:$K$1,0)),""))</x:f>
        <x:v>65.768296072108</x:v>
      </x:c>
      <x:c r="D570" t="str">
        <x:f>IF(D$1="","",IFERROR(INDEX('包络曲线数据'!$B$2:$K$742,ROW()-1,MATCH(D$1,'包络曲线数据'!$B$1:$K$1,0)),""))</x:f>
      </x:c>
      <x:c r="E570" t="str">
        <x:f>IF(E$1="","",IFERROR(INDEX('包络曲线数据'!$B$2:$K$742,ROW()-1,MATCH(E$1,'包络曲线数据'!$B$1:$K$1,0)),""))</x:f>
      </x:c>
      <x:c r="F570" t="str">
        <x:f>IF(F$1="","",IFERROR(INDEX('包络曲线数据'!$B$2:$K$742,ROW()-1,MATCH(F$1,'包络曲线数据'!$B$1:$K$1,0)),""))</x:f>
      </x:c>
      <x:c r="G570" t="str">
        <x:f>IF(G$1="","",IFERROR(INDEX('包络曲线数据'!$B$2:$K$742,ROW()-1,MATCH(G$1,'包络曲线数据'!$B$1:$K$1,0)),""))</x:f>
      </x:c>
    </x:row>
    <x:row r="571">
      <x:c r="A571" t="n">
        <x:v>56.900000000000006</x:v>
      </x:c>
      <x:c r="B571" t="n">
        <x:f>IF(B$1="","",IFERROR(INDEX('包络曲线数据'!$B$2:$K$742,ROW()-1,MATCH(B$1,'包络曲线数据'!$B$1:$K$1,0)),""))</x:f>
        <x:v>50.26259133498843</x:v>
      </x:c>
      <x:c r="C571" t="n">
        <x:f>IF(C$1="","",IFERROR(INDEX('包络曲线数据'!$B$2:$K$742,ROW()-1,MATCH(C$1,'包络曲线数据'!$B$1:$K$1,0)),""))</x:f>
        <x:v>64.91502363111415</x:v>
      </x:c>
      <x:c r="D571" t="str">
        <x:f>IF(D$1="","",IFERROR(INDEX('包络曲线数据'!$B$2:$K$742,ROW()-1,MATCH(D$1,'包络曲线数据'!$B$1:$K$1,0)),""))</x:f>
      </x:c>
      <x:c r="E571" t="str">
        <x:f>IF(E$1="","",IFERROR(INDEX('包络曲线数据'!$B$2:$K$742,ROW()-1,MATCH(E$1,'包络曲线数据'!$B$1:$K$1,0)),""))</x:f>
      </x:c>
      <x:c r="F571" t="str">
        <x:f>IF(F$1="","",IFERROR(INDEX('包络曲线数据'!$B$2:$K$742,ROW()-1,MATCH(F$1,'包络曲线数据'!$B$1:$K$1,0)),""))</x:f>
      </x:c>
      <x:c r="G571" t="str">
        <x:f>IF(G$1="","",IFERROR(INDEX('包络曲线数据'!$B$2:$K$742,ROW()-1,MATCH(G$1,'包络曲线数据'!$B$1:$K$1,0)),""))</x:f>
      </x:c>
    </x:row>
    <x:row r="572">
      <x:c r="A572" t="n">
        <x:v>57</x:v>
      </x:c>
      <x:c r="B572" t="n">
        <x:f>IF(B$1="","",IFERROR(INDEX('包络曲线数据'!$B$2:$K$742,ROW()-1,MATCH(B$1,'包络曲线数据'!$B$1:$K$1,0)),""))</x:f>
        <x:v>68.30211047834595</x:v>
      </x:c>
      <x:c r="C572" t="n">
        <x:f>IF(C$1="","",IFERROR(INDEX('包络曲线数据'!$B$2:$K$742,ROW()-1,MATCH(C$1,'包络曲线数据'!$B$1:$K$1,0)),""))</x:f>
        <x:v>64.19644261590443</x:v>
      </x:c>
      <x:c r="D572" t="str">
        <x:f>IF(D$1="","",IFERROR(INDEX('包络曲线数据'!$B$2:$K$742,ROW()-1,MATCH(D$1,'包络曲线数据'!$B$1:$K$1,0)),""))</x:f>
      </x:c>
      <x:c r="E572" t="str">
        <x:f>IF(E$1="","",IFERROR(INDEX('包络曲线数据'!$B$2:$K$742,ROW()-1,MATCH(E$1,'包络曲线数据'!$B$1:$K$1,0)),""))</x:f>
      </x:c>
      <x:c r="F572" t="str">
        <x:f>IF(F$1="","",IFERROR(INDEX('包络曲线数据'!$B$2:$K$742,ROW()-1,MATCH(F$1,'包络曲线数据'!$B$1:$K$1,0)),""))</x:f>
      </x:c>
      <x:c r="G572" t="str">
        <x:f>IF(G$1="","",IFERROR(INDEX('包络曲线数据'!$B$2:$K$742,ROW()-1,MATCH(G$1,'包络曲线数据'!$B$1:$K$1,0)),""))</x:f>
      </x:c>
    </x:row>
    <x:row r="573">
      <x:c r="A573" t="n">
        <x:v>57.1</x:v>
      </x:c>
      <x:c r="B573" t="n">
        <x:f>IF(B$1="","",IFERROR(INDEX('包络曲线数据'!$B$2:$K$742,ROW()-1,MATCH(B$1,'包络曲线数据'!$B$1:$K$1,0)),""))</x:f>
        <x:v>74.14847143658558</x:v>
      </x:c>
      <x:c r="C573" t="n">
        <x:f>IF(C$1="","",IFERROR(INDEX('包络曲线数据'!$B$2:$K$742,ROW()-1,MATCH(C$1,'包络曲线数据'!$B$1:$K$1,0)),""))</x:f>
        <x:v>78.77104087450313</x:v>
      </x:c>
      <x:c r="D573" t="str">
        <x:f>IF(D$1="","",IFERROR(INDEX('包络曲线数据'!$B$2:$K$742,ROW()-1,MATCH(D$1,'包络曲线数据'!$B$1:$K$1,0)),""))</x:f>
      </x:c>
      <x:c r="E573" t="str">
        <x:f>IF(E$1="","",IFERROR(INDEX('包络曲线数据'!$B$2:$K$742,ROW()-1,MATCH(E$1,'包络曲线数据'!$B$1:$K$1,0)),""))</x:f>
      </x:c>
      <x:c r="F573" t="str">
        <x:f>IF(F$1="","",IFERROR(INDEX('包络曲线数据'!$B$2:$K$742,ROW()-1,MATCH(F$1,'包络曲线数据'!$B$1:$K$1,0)),""))</x:f>
      </x:c>
      <x:c r="G573" t="str">
        <x:f>IF(G$1="","",IFERROR(INDEX('包络曲线数据'!$B$2:$K$742,ROW()-1,MATCH(G$1,'包络曲线数据'!$B$1:$K$1,0)),""))</x:f>
      </x:c>
    </x:row>
    <x:row r="574">
      <x:c r="A574" t="n">
        <x:v>57.2</x:v>
      </x:c>
      <x:c r="B574" t="n">
        <x:f>IF(B$1="","",IFERROR(INDEX('包络曲线数据'!$B$2:$K$742,ROW()-1,MATCH(B$1,'包络曲线数据'!$B$1:$K$1,0)),""))</x:f>
        <x:v>74.14847143658558</x:v>
      </x:c>
      <x:c r="C574" t="n">
        <x:f>IF(C$1="","",IFERROR(INDEX('包络曲线数据'!$B$2:$K$742,ROW()-1,MATCH(C$1,'包络曲线数据'!$B$1:$K$1,0)),""))</x:f>
        <x:v>78.77104087450313</x:v>
      </x:c>
      <x:c r="D574" t="str">
        <x:f>IF(D$1="","",IFERROR(INDEX('包络曲线数据'!$B$2:$K$742,ROW()-1,MATCH(D$1,'包络曲线数据'!$B$1:$K$1,0)),""))</x:f>
      </x:c>
      <x:c r="E574" t="str">
        <x:f>IF(E$1="","",IFERROR(INDEX('包络曲线数据'!$B$2:$K$742,ROW()-1,MATCH(E$1,'包络曲线数据'!$B$1:$K$1,0)),""))</x:f>
      </x:c>
      <x:c r="F574" t="str">
        <x:f>IF(F$1="","",IFERROR(INDEX('包络曲线数据'!$B$2:$K$742,ROW()-1,MATCH(F$1,'包络曲线数据'!$B$1:$K$1,0)),""))</x:f>
      </x:c>
      <x:c r="G574" t="str">
        <x:f>IF(G$1="","",IFERROR(INDEX('包络曲线数据'!$B$2:$K$742,ROW()-1,MATCH(G$1,'包络曲线数据'!$B$1:$K$1,0)),""))</x:f>
      </x:c>
    </x:row>
    <x:row r="575">
      <x:c r="A575" t="n">
        <x:v>57.300000000000004</x:v>
      </x:c>
      <x:c r="B575" t="n">
        <x:f>IF(B$1="","",IFERROR(INDEX('包络曲线数据'!$B$2:$K$742,ROW()-1,MATCH(B$1,'包络曲线数据'!$B$1:$K$1,0)),""))</x:f>
        <x:v>72.41639973367535</x:v>
      </x:c>
      <x:c r="C575" t="n">
        <x:f>IF(C$1="","",IFERROR(INDEX('包络曲线数据'!$B$2:$K$742,ROW()-1,MATCH(C$1,'包络曲线数据'!$B$1:$K$1,0)),""))</x:f>
        <x:v>74.77324923270011</x:v>
      </x:c>
      <x:c r="D575" t="str">
        <x:f>IF(D$1="","",IFERROR(INDEX('包络曲线数据'!$B$2:$K$742,ROW()-1,MATCH(D$1,'包络曲线数据'!$B$1:$K$1,0)),""))</x:f>
      </x:c>
      <x:c r="E575" t="str">
        <x:f>IF(E$1="","",IFERROR(INDEX('包络曲线数据'!$B$2:$K$742,ROW()-1,MATCH(E$1,'包络曲线数据'!$B$1:$K$1,0)),""))</x:f>
      </x:c>
      <x:c r="F575" t="str">
        <x:f>IF(F$1="","",IFERROR(INDEX('包络曲线数据'!$B$2:$K$742,ROW()-1,MATCH(F$1,'包络曲线数据'!$B$1:$K$1,0)),""))</x:f>
      </x:c>
      <x:c r="G575" t="str">
        <x:f>IF(G$1="","",IFERROR(INDEX('包络曲线数据'!$B$2:$K$742,ROW()-1,MATCH(G$1,'包络曲线数据'!$B$1:$K$1,0)),""))</x:f>
      </x:c>
    </x:row>
    <x:row r="576">
      <x:c r="A576" t="n">
        <x:v>57.400000000000006</x:v>
      </x:c>
      <x:c r="B576" t="n">
        <x:f>IF(B$1="","",IFERROR(INDEX('包络曲线数据'!$B$2:$K$742,ROW()-1,MATCH(B$1,'包络曲线数据'!$B$1:$K$1,0)),""))</x:f>
        <x:v>66.05021966548536</x:v>
      </x:c>
      <x:c r="C576" t="n">
        <x:f>IF(C$1="","",IFERROR(INDEX('包络曲线数据'!$B$2:$K$742,ROW()-1,MATCH(C$1,'包络曲线数据'!$B$1:$K$1,0)),""))</x:f>
        <x:v>65.30831338130221</x:v>
      </x:c>
      <x:c r="D576" t="str">
        <x:f>IF(D$1="","",IFERROR(INDEX('包络曲线数据'!$B$2:$K$742,ROW()-1,MATCH(D$1,'包络曲线数据'!$B$1:$K$1,0)),""))</x:f>
      </x:c>
      <x:c r="E576" t="str">
        <x:f>IF(E$1="","",IFERROR(INDEX('包络曲线数据'!$B$2:$K$742,ROW()-1,MATCH(E$1,'包络曲线数据'!$B$1:$K$1,0)),""))</x:f>
      </x:c>
      <x:c r="F576" t="str">
        <x:f>IF(F$1="","",IFERROR(INDEX('包络曲线数据'!$B$2:$K$742,ROW()-1,MATCH(F$1,'包络曲线数据'!$B$1:$K$1,0)),""))</x:f>
      </x:c>
      <x:c r="G576" t="str">
        <x:f>IF(G$1="","",IFERROR(INDEX('包络曲线数据'!$B$2:$K$742,ROW()-1,MATCH(G$1,'包络曲线数据'!$B$1:$K$1,0)),""))</x:f>
      </x:c>
    </x:row>
    <x:row r="577">
      <x:c r="A577" t="n">
        <x:v>57.5</x:v>
      </x:c>
      <x:c r="B577" t="n">
        <x:f>IF(B$1="","",IFERROR(INDEX('包络曲线数据'!$B$2:$K$742,ROW()-1,MATCH(B$1,'包络曲线数据'!$B$1:$K$1,0)),""))</x:f>
        <x:v>65.75120865822814</x:v>
      </x:c>
      <x:c r="C577" t="n">
        <x:f>IF(C$1="","",IFERROR(INDEX('包络曲线数据'!$B$2:$K$742,ROW()-1,MATCH(C$1,'包络曲线数据'!$B$1:$K$1,0)),""))</x:f>
        <x:v>62.35509562259993</x:v>
      </x:c>
      <x:c r="D577" t="str">
        <x:f>IF(D$1="","",IFERROR(INDEX('包络曲线数据'!$B$2:$K$742,ROW()-1,MATCH(D$1,'包络曲线数据'!$B$1:$K$1,0)),""))</x:f>
      </x:c>
      <x:c r="E577" t="str">
        <x:f>IF(E$1="","",IFERROR(INDEX('包络曲线数据'!$B$2:$K$742,ROW()-1,MATCH(E$1,'包络曲线数据'!$B$1:$K$1,0)),""))</x:f>
      </x:c>
      <x:c r="F577" t="str">
        <x:f>IF(F$1="","",IFERROR(INDEX('包络曲线数据'!$B$2:$K$742,ROW()-1,MATCH(F$1,'包络曲线数据'!$B$1:$K$1,0)),""))</x:f>
      </x:c>
      <x:c r="G577" t="str">
        <x:f>IF(G$1="","",IFERROR(INDEX('包络曲线数据'!$B$2:$K$742,ROW()-1,MATCH(G$1,'包络曲线数据'!$B$1:$K$1,0)),""))</x:f>
      </x:c>
    </x:row>
    <x:row r="578">
      <x:c r="A578" t="n">
        <x:v>57.6</x:v>
      </x:c>
      <x:c r="B578" t="n">
        <x:f>IF(B$1="","",IFERROR(INDEX('包络曲线数据'!$B$2:$K$742,ROW()-1,MATCH(B$1,'包络曲线数据'!$B$1:$K$1,0)),""))</x:f>
        <x:v>66.45872163279687</x:v>
      </x:c>
      <x:c r="C578" t="n">
        <x:f>IF(C$1="","",IFERROR(INDEX('包络曲线数据'!$B$2:$K$742,ROW()-1,MATCH(C$1,'包络曲线数据'!$B$1:$K$1,0)),""))</x:f>
        <x:v>62.269119910484115</x:v>
      </x:c>
      <x:c r="D578" t="str">
        <x:f>IF(D$1="","",IFERROR(INDEX('包络曲线数据'!$B$2:$K$742,ROW()-1,MATCH(D$1,'包络曲线数据'!$B$1:$K$1,0)),""))</x:f>
      </x:c>
      <x:c r="E578" t="str">
        <x:f>IF(E$1="","",IFERROR(INDEX('包络曲线数据'!$B$2:$K$742,ROW()-1,MATCH(E$1,'包络曲线数据'!$B$1:$K$1,0)),""))</x:f>
      </x:c>
      <x:c r="F578" t="str">
        <x:f>IF(F$1="","",IFERROR(INDEX('包络曲线数据'!$B$2:$K$742,ROW()-1,MATCH(F$1,'包络曲线数据'!$B$1:$K$1,0)),""))</x:f>
      </x:c>
      <x:c r="G578" t="str">
        <x:f>IF(G$1="","",IFERROR(INDEX('包络曲线数据'!$B$2:$K$742,ROW()-1,MATCH(G$1,'包络曲线数据'!$B$1:$K$1,0)),""))</x:f>
      </x:c>
    </x:row>
    <x:row r="579">
      <x:c r="A579" t="n">
        <x:v>57.7</x:v>
      </x:c>
      <x:c r="B579" t="n">
        <x:f>IF(B$1="","",IFERROR(INDEX('包络曲线数据'!$B$2:$K$742,ROW()-1,MATCH(B$1,'包络曲线数据'!$B$1:$K$1,0)),""))</x:f>
        <x:v>67.26143098185999</x:v>
      </x:c>
      <x:c r="C579" t="str">
        <x:f>IF(C$1="","",IFERROR(INDEX('包络曲线数据'!$B$2:$K$742,ROW()-1,MATCH(C$1,'包络曲线数据'!$B$1:$K$1,0)),""))</x:f>
      </x:c>
      <x:c r="D579" t="str">
        <x:f>IF(D$1="","",IFERROR(INDEX('包络曲线数据'!$B$2:$K$742,ROW()-1,MATCH(D$1,'包络曲线数据'!$B$1:$K$1,0)),""))</x:f>
      </x:c>
      <x:c r="E579" t="str">
        <x:f>IF(E$1="","",IFERROR(INDEX('包络曲线数据'!$B$2:$K$742,ROW()-1,MATCH(E$1,'包络曲线数据'!$B$1:$K$1,0)),""))</x:f>
      </x:c>
      <x:c r="F579" t="str">
        <x:f>IF(F$1="","",IFERROR(INDEX('包络曲线数据'!$B$2:$K$742,ROW()-1,MATCH(F$1,'包络曲线数据'!$B$1:$K$1,0)),""))</x:f>
      </x:c>
      <x:c r="G579" t="str">
        <x:f>IF(G$1="","",IFERROR(INDEX('包络曲线数据'!$B$2:$K$742,ROW()-1,MATCH(G$1,'包络曲线数据'!$B$1:$K$1,0)),""))</x:f>
      </x:c>
    </x:row>
    <x:row r="580">
      <x:c r="A580" t="n">
        <x:v>57.800000000000004</x:v>
      </x:c>
      <x:c r="B580" t="n">
        <x:f>IF(B$1="","",IFERROR(INDEX('包络曲线数据'!$B$2:$K$742,ROW()-1,MATCH(B$1,'包络曲线数据'!$B$1:$K$1,0)),""))</x:f>
        <x:v>68.66374368967882</x:v>
      </x:c>
      <x:c r="C580" t="str">
        <x:f>IF(C$1="","",IFERROR(INDEX('包络曲线数据'!$B$2:$K$742,ROW()-1,MATCH(C$1,'包络曲线数据'!$B$1:$K$1,0)),""))</x:f>
      </x:c>
      <x:c r="D580" t="str">
        <x:f>IF(D$1="","",IFERROR(INDEX('包络曲线数据'!$B$2:$K$742,ROW()-1,MATCH(D$1,'包络曲线数据'!$B$1:$K$1,0)),""))</x:f>
      </x:c>
      <x:c r="E580" t="str">
        <x:f>IF(E$1="","",IFERROR(INDEX('包络曲线数据'!$B$2:$K$742,ROW()-1,MATCH(E$1,'包络曲线数据'!$B$1:$K$1,0)),""))</x:f>
      </x:c>
      <x:c r="F580" t="str">
        <x:f>IF(F$1="","",IFERROR(INDEX('包络曲线数据'!$B$2:$K$742,ROW()-1,MATCH(F$1,'包络曲线数据'!$B$1:$K$1,0)),""))</x:f>
      </x:c>
      <x:c r="G580" t="str">
        <x:f>IF(G$1="","",IFERROR(INDEX('包络曲线数据'!$B$2:$K$742,ROW()-1,MATCH(G$1,'包络曲线数据'!$B$1:$K$1,0)),""))</x:f>
      </x:c>
    </x:row>
    <x:row r="581">
      <x:c r="A581" t="n">
        <x:v>57.900000000000006</x:v>
      </x:c>
      <x:c r="B581" t="n">
        <x:f>IF(B$1="","",IFERROR(INDEX('包络曲线数据'!$B$2:$K$742,ROW()-1,MATCH(B$1,'包络曲线数据'!$B$1:$K$1,0)),""))</x:f>
        <x:v>68.66374368967882</x:v>
      </x:c>
      <x:c r="C581" t="str">
        <x:f>IF(C$1="","",IFERROR(INDEX('包络曲线数据'!$B$2:$K$742,ROW()-1,MATCH(C$1,'包络曲线数据'!$B$1:$K$1,0)),""))</x:f>
      </x:c>
      <x:c r="D581" t="str">
        <x:f>IF(D$1="","",IFERROR(INDEX('包络曲线数据'!$B$2:$K$742,ROW()-1,MATCH(D$1,'包络曲线数据'!$B$1:$K$1,0)),""))</x:f>
      </x:c>
      <x:c r="E581" t="str">
        <x:f>IF(E$1="","",IFERROR(INDEX('包络曲线数据'!$B$2:$K$742,ROW()-1,MATCH(E$1,'包络曲线数据'!$B$1:$K$1,0)),""))</x:f>
      </x:c>
      <x:c r="F581" t="str">
        <x:f>IF(F$1="","",IFERROR(INDEX('包络曲线数据'!$B$2:$K$742,ROW()-1,MATCH(F$1,'包络曲线数据'!$B$1:$K$1,0)),""))</x:f>
      </x:c>
      <x:c r="G581" t="str">
        <x:f>IF(G$1="","",IFERROR(INDEX('包络曲线数据'!$B$2:$K$742,ROW()-1,MATCH(G$1,'包络曲线数据'!$B$1:$K$1,0)),""))</x:f>
      </x:c>
    </x:row>
    <x:row r="582">
      <x:c r="A582" t="n">
        <x:v>58</x:v>
      </x:c>
      <x:c r="B582" t="n">
        <x:f>IF(B$1="","",IFERROR(INDEX('包络曲线数据'!$B$2:$K$742,ROW()-1,MATCH(B$1,'包络曲线数据'!$B$1:$K$1,0)),""))</x:f>
        <x:v>67.87109852865494</x:v>
      </x:c>
      <x:c r="C582" t="str">
        <x:f>IF(C$1="","",IFERROR(INDEX('包络曲线数据'!$B$2:$K$742,ROW()-1,MATCH(C$1,'包络曲线数据'!$B$1:$K$1,0)),""))</x:f>
      </x:c>
      <x:c r="D582" t="str">
        <x:f>IF(D$1="","",IFERROR(INDEX('包络曲线数据'!$B$2:$K$742,ROW()-1,MATCH(D$1,'包络曲线数据'!$B$1:$K$1,0)),""))</x:f>
      </x:c>
      <x:c r="E582" t="str">
        <x:f>IF(E$1="","",IFERROR(INDEX('包络曲线数据'!$B$2:$K$742,ROW()-1,MATCH(E$1,'包络曲线数据'!$B$1:$K$1,0)),""))</x:f>
      </x:c>
      <x:c r="F582" t="str">
        <x:f>IF(F$1="","",IFERROR(INDEX('包络曲线数据'!$B$2:$K$742,ROW()-1,MATCH(F$1,'包络曲线数据'!$B$1:$K$1,0)),""))</x:f>
      </x:c>
      <x:c r="G582" t="str">
        <x:f>IF(G$1="","",IFERROR(INDEX('包络曲线数据'!$B$2:$K$742,ROW()-1,MATCH(G$1,'包络曲线数据'!$B$1:$K$1,0)),""))</x:f>
      </x:c>
    </x:row>
    <x:row r="583">
      <x:c r="A583" t="n">
        <x:v>58.1</x:v>
      </x:c>
      <x:c r="B583" t="n">
        <x:f>IF(B$1="","",IFERROR(INDEX('包络曲线数据'!$B$2:$K$742,ROW()-1,MATCH(B$1,'包络曲线数据'!$B$1:$K$1,0)),""))</x:f>
        <x:v>68.78169798673004</x:v>
      </x:c>
      <x:c r="C583" t="str">
        <x:f>IF(C$1="","",IFERROR(INDEX('包络曲线数据'!$B$2:$K$742,ROW()-1,MATCH(C$1,'包络曲线数据'!$B$1:$K$1,0)),""))</x:f>
      </x:c>
      <x:c r="D583" t="str">
        <x:f>IF(D$1="","",IFERROR(INDEX('包络曲线数据'!$B$2:$K$742,ROW()-1,MATCH(D$1,'包络曲线数据'!$B$1:$K$1,0)),""))</x:f>
      </x:c>
      <x:c r="E583" t="str">
        <x:f>IF(E$1="","",IFERROR(INDEX('包络曲线数据'!$B$2:$K$742,ROW()-1,MATCH(E$1,'包络曲线数据'!$B$1:$K$1,0)),""))</x:f>
      </x:c>
      <x:c r="F583" t="str">
        <x:f>IF(F$1="","",IFERROR(INDEX('包络曲线数据'!$B$2:$K$742,ROW()-1,MATCH(F$1,'包络曲线数据'!$B$1:$K$1,0)),""))</x:f>
      </x:c>
      <x:c r="G583" t="str">
        <x:f>IF(G$1="","",IFERROR(INDEX('包络曲线数据'!$B$2:$K$742,ROW()-1,MATCH(G$1,'包络曲线数据'!$B$1:$K$1,0)),""))</x:f>
      </x:c>
    </x:row>
    <x:row r="584">
      <x:c r="A584" t="n">
        <x:v>58.2</x:v>
      </x:c>
      <x:c r="B584" t="n">
        <x:f>IF(B$1="","",IFERROR(INDEX('包络曲线数据'!$B$2:$K$742,ROW()-1,MATCH(B$1,'包络曲线数据'!$B$1:$K$1,0)),""))</x:f>
        <x:v>69.39844456091743</x:v>
      </x:c>
      <x:c r="C584" t="str">
        <x:f>IF(C$1="","",IFERROR(INDEX('包络曲线数据'!$B$2:$K$742,ROW()-1,MATCH(C$1,'包络曲线数据'!$B$1:$K$1,0)),""))</x:f>
      </x:c>
      <x:c r="D584" t="str">
        <x:f>IF(D$1="","",IFERROR(INDEX('包络曲线数据'!$B$2:$K$742,ROW()-1,MATCH(D$1,'包络曲线数据'!$B$1:$K$1,0)),""))</x:f>
      </x:c>
      <x:c r="E584" t="str">
        <x:f>IF(E$1="","",IFERROR(INDEX('包络曲线数据'!$B$2:$K$742,ROW()-1,MATCH(E$1,'包络曲线数据'!$B$1:$K$1,0)),""))</x:f>
      </x:c>
      <x:c r="F584" t="str">
        <x:f>IF(F$1="","",IFERROR(INDEX('包络曲线数据'!$B$2:$K$742,ROW()-1,MATCH(F$1,'包络曲线数据'!$B$1:$K$1,0)),""))</x:f>
      </x:c>
      <x:c r="G584" t="str">
        <x:f>IF(G$1="","",IFERROR(INDEX('包络曲线数据'!$B$2:$K$742,ROW()-1,MATCH(G$1,'包络曲线数据'!$B$1:$K$1,0)),""))</x:f>
      </x:c>
    </x:row>
    <x:row r="585">
      <x:c r="A585" t="n">
        <x:v>58.300000000000004</x:v>
      </x:c>
      <x:c r="B585" t="n">
        <x:f>IF(B$1="","",IFERROR(INDEX('包络曲线数据'!$B$2:$K$742,ROW()-1,MATCH(B$1,'包络曲线数据'!$B$1:$K$1,0)),""))</x:f>
        <x:v>69.12670461537034</x:v>
      </x:c>
      <x:c r="C585" t="str">
        <x:f>IF(C$1="","",IFERROR(INDEX('包络曲线数据'!$B$2:$K$742,ROW()-1,MATCH(C$1,'包络曲线数据'!$B$1:$K$1,0)),""))</x:f>
      </x:c>
      <x:c r="D585" t="str">
        <x:f>IF(D$1="","",IFERROR(INDEX('包络曲线数据'!$B$2:$K$742,ROW()-1,MATCH(D$1,'包络曲线数据'!$B$1:$K$1,0)),""))</x:f>
      </x:c>
      <x:c r="E585" t="str">
        <x:f>IF(E$1="","",IFERROR(INDEX('包络曲线数据'!$B$2:$K$742,ROW()-1,MATCH(E$1,'包络曲线数据'!$B$1:$K$1,0)),""))</x:f>
      </x:c>
      <x:c r="F585" t="str">
        <x:f>IF(F$1="","",IFERROR(INDEX('包络曲线数据'!$B$2:$K$742,ROW()-1,MATCH(F$1,'包络曲线数据'!$B$1:$K$1,0)),""))</x:f>
      </x:c>
      <x:c r="G585" t="str">
        <x:f>IF(G$1="","",IFERROR(INDEX('包络曲线数据'!$B$2:$K$742,ROW()-1,MATCH(G$1,'包络曲线数据'!$B$1:$K$1,0)),""))</x:f>
      </x:c>
    </x:row>
    <x:row r="586">
      <x:c r="A586" t="n">
        <x:v>58.400000000000006</x:v>
      </x:c>
      <x:c r="B586" t="n">
        <x:f>IF(B$1="","",IFERROR(INDEX('包络曲线数据'!$B$2:$K$742,ROW()-1,MATCH(B$1,'包络曲线数据'!$B$1:$K$1,0)),""))</x:f>
        <x:v>85.04331815096405</x:v>
      </x:c>
      <x:c r="C586" t="str">
        <x:f>IF(C$1="","",IFERROR(INDEX('包络曲线数据'!$B$2:$K$742,ROW()-1,MATCH(C$1,'包络曲线数据'!$B$1:$K$1,0)),""))</x:f>
      </x:c>
      <x:c r="D586" t="str">
        <x:f>IF(D$1="","",IFERROR(INDEX('包络曲线数据'!$B$2:$K$742,ROW()-1,MATCH(D$1,'包络曲线数据'!$B$1:$K$1,0)),""))</x:f>
      </x:c>
      <x:c r="E586" t="str">
        <x:f>IF(E$1="","",IFERROR(INDEX('包络曲线数据'!$B$2:$K$742,ROW()-1,MATCH(E$1,'包络曲线数据'!$B$1:$K$1,0)),""))</x:f>
      </x:c>
      <x:c r="F586" t="str">
        <x:f>IF(F$1="","",IFERROR(INDEX('包络曲线数据'!$B$2:$K$742,ROW()-1,MATCH(F$1,'包络曲线数据'!$B$1:$K$1,0)),""))</x:f>
      </x:c>
      <x:c r="G586" t="str">
        <x:f>IF(G$1="","",IFERROR(INDEX('包络曲线数据'!$B$2:$K$742,ROW()-1,MATCH(G$1,'包络曲线数据'!$B$1:$K$1,0)),""))</x:f>
      </x:c>
    </x:row>
    <x:row r="587">
      <x:c r="A587" t="n">
        <x:v>58.5</x:v>
      </x:c>
      <x:c r="B587" t="n">
        <x:f>IF(B$1="","",IFERROR(INDEX('包络曲线数据'!$B$2:$K$742,ROW()-1,MATCH(B$1,'包络曲线数据'!$B$1:$K$1,0)),""))</x:f>
        <x:v>89.7898720675935</x:v>
      </x:c>
      <x:c r="C587" t="str">
        <x:f>IF(C$1="","",IFERROR(INDEX('包络曲线数据'!$B$2:$K$742,ROW()-1,MATCH(C$1,'包络曲线数据'!$B$1:$K$1,0)),""))</x:f>
      </x:c>
      <x:c r="D587" t="str">
        <x:f>IF(D$1="","",IFERROR(INDEX('包络曲线数据'!$B$2:$K$742,ROW()-1,MATCH(D$1,'包络曲线数据'!$B$1:$K$1,0)),""))</x:f>
      </x:c>
      <x:c r="E587" t="str">
        <x:f>IF(E$1="","",IFERROR(INDEX('包络曲线数据'!$B$2:$K$742,ROW()-1,MATCH(E$1,'包络曲线数据'!$B$1:$K$1,0)),""))</x:f>
      </x:c>
      <x:c r="F587" t="str">
        <x:f>IF(F$1="","",IFERROR(INDEX('包络曲线数据'!$B$2:$K$742,ROW()-1,MATCH(F$1,'包络曲线数据'!$B$1:$K$1,0)),""))</x:f>
      </x:c>
      <x:c r="G587" t="str">
        <x:f>IF(G$1="","",IFERROR(INDEX('包络曲线数据'!$B$2:$K$742,ROW()-1,MATCH(G$1,'包络曲线数据'!$B$1:$K$1,0)),""))</x:f>
      </x:c>
    </x:row>
    <x:row r="588">
      <x:c r="A588" t="n">
        <x:v>58.6</x:v>
      </x:c>
      <x:c r="B588" t="n">
        <x:f>IF(B$1="","",IFERROR(INDEX('包络曲线数据'!$B$2:$K$742,ROW()-1,MATCH(B$1,'包络曲线数据'!$B$1:$K$1,0)),""))</x:f>
        <x:v>89.7898720675935</x:v>
      </x:c>
      <x:c r="C588" t="str">
        <x:f>IF(C$1="","",IFERROR(INDEX('包络曲线数据'!$B$2:$K$742,ROW()-1,MATCH(C$1,'包络曲线数据'!$B$1:$K$1,0)),""))</x:f>
      </x:c>
      <x:c r="D588" t="str">
        <x:f>IF(D$1="","",IFERROR(INDEX('包络曲线数据'!$B$2:$K$742,ROW()-1,MATCH(D$1,'包络曲线数据'!$B$1:$K$1,0)),""))</x:f>
      </x:c>
      <x:c r="E588" t="str">
        <x:f>IF(E$1="","",IFERROR(INDEX('包络曲线数据'!$B$2:$K$742,ROW()-1,MATCH(E$1,'包络曲线数据'!$B$1:$K$1,0)),""))</x:f>
      </x:c>
      <x:c r="F588" t="str">
        <x:f>IF(F$1="","",IFERROR(INDEX('包络曲线数据'!$B$2:$K$742,ROW()-1,MATCH(F$1,'包络曲线数据'!$B$1:$K$1,0)),""))</x:f>
      </x:c>
      <x:c r="G588" t="str">
        <x:f>IF(G$1="","",IFERROR(INDEX('包络曲线数据'!$B$2:$K$742,ROW()-1,MATCH(G$1,'包络曲线数据'!$B$1:$K$1,0)),""))</x:f>
      </x:c>
    </x:row>
    <x:row r="589">
      <x:c r="A589" t="n">
        <x:v>58.7</x:v>
      </x:c>
      <x:c r="B589" t="n">
        <x:f>IF(B$1="","",IFERROR(INDEX('包络曲线数据'!$B$2:$K$742,ROW()-1,MATCH(B$1,'包络曲线数据'!$B$1:$K$1,0)),""))</x:f>
        <x:v>82.05280058698752</x:v>
      </x:c>
      <x:c r="C589" t="str">
        <x:f>IF(C$1="","",IFERROR(INDEX('包络曲线数据'!$B$2:$K$742,ROW()-1,MATCH(C$1,'包络曲线数据'!$B$1:$K$1,0)),""))</x:f>
      </x:c>
      <x:c r="D589" t="str">
        <x:f>IF(D$1="","",IFERROR(INDEX('包络曲线数据'!$B$2:$K$742,ROW()-1,MATCH(D$1,'包络曲线数据'!$B$1:$K$1,0)),""))</x:f>
      </x:c>
      <x:c r="E589" t="str">
        <x:f>IF(E$1="","",IFERROR(INDEX('包络曲线数据'!$B$2:$K$742,ROW()-1,MATCH(E$1,'包络曲线数据'!$B$1:$K$1,0)),""))</x:f>
      </x:c>
      <x:c r="F589" t="str">
        <x:f>IF(F$1="","",IFERROR(INDEX('包络曲线数据'!$B$2:$K$742,ROW()-1,MATCH(F$1,'包络曲线数据'!$B$1:$K$1,0)),""))</x:f>
      </x:c>
      <x:c r="G589" t="str">
        <x:f>IF(G$1="","",IFERROR(INDEX('包络曲线数据'!$B$2:$K$742,ROW()-1,MATCH(G$1,'包络曲线数据'!$B$1:$K$1,0)),""))</x:f>
      </x:c>
    </x:row>
    <x:row r="590">
      <x:c r="A590" t="n">
        <x:v>58.800000000000004</x:v>
      </x:c>
      <x:c r="B590" t="n">
        <x:f>IF(B$1="","",IFERROR(INDEX('包络曲线数据'!$B$2:$K$742,ROW()-1,MATCH(B$1,'包络曲线数据'!$B$1:$K$1,0)),""))</x:f>
        <x:v>75.09303262223602</x:v>
      </x:c>
      <x:c r="C590" t="str">
        <x:f>IF(C$1="","",IFERROR(INDEX('包络曲线数据'!$B$2:$K$742,ROW()-1,MATCH(C$1,'包络曲线数据'!$B$1:$K$1,0)),""))</x:f>
      </x:c>
      <x:c r="D590" t="str">
        <x:f>IF(D$1="","",IFERROR(INDEX('包络曲线数据'!$B$2:$K$742,ROW()-1,MATCH(D$1,'包络曲线数据'!$B$1:$K$1,0)),""))</x:f>
      </x:c>
      <x:c r="E590" t="str">
        <x:f>IF(E$1="","",IFERROR(INDEX('包络曲线数据'!$B$2:$K$742,ROW()-1,MATCH(E$1,'包络曲线数据'!$B$1:$K$1,0)),""))</x:f>
      </x:c>
      <x:c r="F590" t="str">
        <x:f>IF(F$1="","",IFERROR(INDEX('包络曲线数据'!$B$2:$K$742,ROW()-1,MATCH(F$1,'包络曲线数据'!$B$1:$K$1,0)),""))</x:f>
      </x:c>
      <x:c r="G590" t="str">
        <x:f>IF(G$1="","",IFERROR(INDEX('包络曲线数据'!$B$2:$K$742,ROW()-1,MATCH(G$1,'包络曲线数据'!$B$1:$K$1,0)),""))</x:f>
      </x:c>
    </x:row>
    <x:row r="591">
      <x:c r="A591" t="n">
        <x:v>58.900000000000006</x:v>
      </x:c>
      <x:c r="B591" t="n">
        <x:f>IF(B$1="","",IFERROR(INDEX('包络曲线数据'!$B$2:$K$742,ROW()-1,MATCH(B$1,'包络曲线数据'!$B$1:$K$1,0)),""))</x:f>
        <x:v>72.93683987537325</x:v>
      </x:c>
      <x:c r="C591" t="str">
        <x:f>IF(C$1="","",IFERROR(INDEX('包络曲线数据'!$B$2:$K$742,ROW()-1,MATCH(C$1,'包络曲线数据'!$B$1:$K$1,0)),""))</x:f>
      </x:c>
      <x:c r="D591" t="str">
        <x:f>IF(D$1="","",IFERROR(INDEX('包络曲线数据'!$B$2:$K$742,ROW()-1,MATCH(D$1,'包络曲线数据'!$B$1:$K$1,0)),""))</x:f>
      </x:c>
      <x:c r="E591" t="str">
        <x:f>IF(E$1="","",IFERROR(INDEX('包络曲线数据'!$B$2:$K$742,ROW()-1,MATCH(E$1,'包络曲线数据'!$B$1:$K$1,0)),""))</x:f>
      </x:c>
      <x:c r="F591" t="str">
        <x:f>IF(F$1="","",IFERROR(INDEX('包络曲线数据'!$B$2:$K$742,ROW()-1,MATCH(F$1,'包络曲线数据'!$B$1:$K$1,0)),""))</x:f>
      </x:c>
      <x:c r="G591" t="str">
        <x:f>IF(G$1="","",IFERROR(INDEX('包络曲线数据'!$B$2:$K$742,ROW()-1,MATCH(G$1,'包络曲线数据'!$B$1:$K$1,0)),""))</x:f>
      </x:c>
    </x:row>
    <x:row r="592">
      <x:c r="A592" t="n">
        <x:v>59</x:v>
      </x:c>
      <x:c r="B592" t="n">
        <x:f>IF(B$1="","",IFERROR(INDEX('包络曲线数据'!$B$2:$K$742,ROW()-1,MATCH(B$1,'包络曲线数据'!$B$1:$K$1,0)),""))</x:f>
        <x:v>71.363187380961</x:v>
      </x:c>
      <x:c r="C592" t="str">
        <x:f>IF(C$1="","",IFERROR(INDEX('包络曲线数据'!$B$2:$K$742,ROW()-1,MATCH(C$1,'包络曲线数据'!$B$1:$K$1,0)),""))</x:f>
      </x:c>
      <x:c r="D592" t="str">
        <x:f>IF(D$1="","",IFERROR(INDEX('包络曲线数据'!$B$2:$K$742,ROW()-1,MATCH(D$1,'包络曲线数据'!$B$1:$K$1,0)),""))</x:f>
      </x:c>
      <x:c r="E592" t="str">
        <x:f>IF(E$1="","",IFERROR(INDEX('包络曲线数据'!$B$2:$K$742,ROW()-1,MATCH(E$1,'包络曲线数据'!$B$1:$K$1,0)),""))</x:f>
      </x:c>
      <x:c r="F592" t="str">
        <x:f>IF(F$1="","",IFERROR(INDEX('包络曲线数据'!$B$2:$K$742,ROW()-1,MATCH(F$1,'包络曲线数据'!$B$1:$K$1,0)),""))</x:f>
      </x:c>
      <x:c r="G592" t="str">
        <x:f>IF(G$1="","",IFERROR(INDEX('包络曲线数据'!$B$2:$K$742,ROW()-1,MATCH(G$1,'包络曲线数据'!$B$1:$K$1,0)),""))</x:f>
      </x:c>
    </x:row>
    <x:row r="593">
      <x:c r="A593" t="n">
        <x:v>59.1</x:v>
      </x:c>
      <x:c r="B593" t="n">
        <x:f>IF(B$1="","",IFERROR(INDEX('包络曲线数据'!$B$2:$K$742,ROW()-1,MATCH(B$1,'包络曲线数据'!$B$1:$K$1,0)),""))</x:f>
        <x:v>67.31216487016343</x:v>
      </x:c>
      <x:c r="C593" t="str">
        <x:f>IF(C$1="","",IFERROR(INDEX('包络曲线数据'!$B$2:$K$742,ROW()-1,MATCH(C$1,'包络曲线数据'!$B$1:$K$1,0)),""))</x:f>
      </x:c>
      <x:c r="D593" t="str">
        <x:f>IF(D$1="","",IFERROR(INDEX('包络曲线数据'!$B$2:$K$742,ROW()-1,MATCH(D$1,'包络曲线数据'!$B$1:$K$1,0)),""))</x:f>
      </x:c>
      <x:c r="E593" t="str">
        <x:f>IF(E$1="","",IFERROR(INDEX('包络曲线数据'!$B$2:$K$742,ROW()-1,MATCH(E$1,'包络曲线数据'!$B$1:$K$1,0)),""))</x:f>
      </x:c>
      <x:c r="F593" t="str">
        <x:f>IF(F$1="","",IFERROR(INDEX('包络曲线数据'!$B$2:$K$742,ROW()-1,MATCH(F$1,'包络曲线数据'!$B$1:$K$1,0)),""))</x:f>
      </x:c>
      <x:c r="G593" t="str">
        <x:f>IF(G$1="","",IFERROR(INDEX('包络曲线数据'!$B$2:$K$742,ROW()-1,MATCH(G$1,'包络曲线数据'!$B$1:$K$1,0)),""))</x:f>
      </x:c>
    </x:row>
    <x:row r="594">
      <x:c r="A594" t="n">
        <x:v>59.2</x:v>
      </x:c>
      <x:c r="B594" t="n">
        <x:f>IF(B$1="","",IFERROR(INDEX('包络曲线数据'!$B$2:$K$742,ROW()-1,MATCH(B$1,'包络曲线数据'!$B$1:$K$1,0)),""))</x:f>
        <x:v>67.31216487016343</x:v>
      </x:c>
      <x:c r="C594" t="str">
        <x:f>IF(C$1="","",IFERROR(INDEX('包络曲线数据'!$B$2:$K$742,ROW()-1,MATCH(C$1,'包络曲线数据'!$B$1:$K$1,0)),""))</x:f>
      </x:c>
      <x:c r="D594" t="str">
        <x:f>IF(D$1="","",IFERROR(INDEX('包络曲线数据'!$B$2:$K$742,ROW()-1,MATCH(D$1,'包络曲线数据'!$B$1:$K$1,0)),""))</x:f>
      </x:c>
      <x:c r="E594" t="str">
        <x:f>IF(E$1="","",IFERROR(INDEX('包络曲线数据'!$B$2:$K$742,ROW()-1,MATCH(E$1,'包络曲线数据'!$B$1:$K$1,0)),""))</x:f>
      </x:c>
      <x:c r="F594" t="str">
        <x:f>IF(F$1="","",IFERROR(INDEX('包络曲线数据'!$B$2:$K$742,ROW()-1,MATCH(F$1,'包络曲线数据'!$B$1:$K$1,0)),""))</x:f>
      </x:c>
      <x:c r="G594" t="str">
        <x:f>IF(G$1="","",IFERROR(INDEX('包络曲线数据'!$B$2:$K$742,ROW()-1,MATCH(G$1,'包络曲线数据'!$B$1:$K$1,0)),""))</x:f>
      </x:c>
    </x:row>
    <x:row r="595">
      <x:c r="A595" t="n">
        <x:v>59.300000000000004</x:v>
      </x:c>
      <x:c r="B595" t="n">
        <x:f>IF(B$1="","",IFERROR(INDEX('包络曲线数据'!$B$2:$K$742,ROW()-1,MATCH(B$1,'包络曲线数据'!$B$1:$K$1,0)),""))</x:f>
        <x:v>50</x:v>
      </x:c>
      <x:c r="C595" t="str">
        <x:f>IF(C$1="","",IFERROR(INDEX('包络曲线数据'!$B$2:$K$742,ROW()-1,MATCH(C$1,'包络曲线数据'!$B$1:$K$1,0)),""))</x:f>
      </x:c>
      <x:c r="D595" t="str">
        <x:f>IF(D$1="","",IFERROR(INDEX('包络曲线数据'!$B$2:$K$742,ROW()-1,MATCH(D$1,'包络曲线数据'!$B$1:$K$1,0)),""))</x:f>
      </x:c>
      <x:c r="E595" t="str">
        <x:f>IF(E$1="","",IFERROR(INDEX('包络曲线数据'!$B$2:$K$742,ROW()-1,MATCH(E$1,'包络曲线数据'!$B$1:$K$1,0)),""))</x:f>
      </x:c>
      <x:c r="F595" t="str">
        <x:f>IF(F$1="","",IFERROR(INDEX('包络曲线数据'!$B$2:$K$742,ROW()-1,MATCH(F$1,'包络曲线数据'!$B$1:$K$1,0)),""))</x:f>
      </x:c>
      <x:c r="G595" t="str">
        <x:f>IF(G$1="","",IFERROR(INDEX('包络曲线数据'!$B$2:$K$742,ROW()-1,MATCH(G$1,'包络曲线数据'!$B$1:$K$1,0)),""))</x:f>
      </x:c>
    </x:row>
    <x:row r="596">
      <x:c r="A596" t="n">
        <x:v>59.400000000000006</x:v>
      </x:c>
      <x:c r="B596" t="n">
        <x:f>IF(B$1="","",IFERROR(INDEX('包络曲线数据'!$B$2:$K$742,ROW()-1,MATCH(B$1,'包络曲线数据'!$B$1:$K$1,0)),""))</x:f>
        <x:v>50</x:v>
      </x:c>
      <x:c r="C596" t="str">
        <x:f>IF(C$1="","",IFERROR(INDEX('包络曲线数据'!$B$2:$K$742,ROW()-1,MATCH(C$1,'包络曲线数据'!$B$1:$K$1,0)),""))</x:f>
      </x:c>
      <x:c r="D596" t="str">
        <x:f>IF(D$1="","",IFERROR(INDEX('包络曲线数据'!$B$2:$K$742,ROW()-1,MATCH(D$1,'包络曲线数据'!$B$1:$K$1,0)),""))</x:f>
      </x:c>
      <x:c r="E596" t="str">
        <x:f>IF(E$1="","",IFERROR(INDEX('包络曲线数据'!$B$2:$K$742,ROW()-1,MATCH(E$1,'包络曲线数据'!$B$1:$K$1,0)),""))</x:f>
      </x:c>
      <x:c r="F596" t="str">
        <x:f>IF(F$1="","",IFERROR(INDEX('包络曲线数据'!$B$2:$K$742,ROW()-1,MATCH(F$1,'包络曲线数据'!$B$1:$K$1,0)),""))</x:f>
      </x:c>
      <x:c r="G596" t="str">
        <x:f>IF(G$1="","",IFERROR(INDEX('包络曲线数据'!$B$2:$K$742,ROW()-1,MATCH(G$1,'包络曲线数据'!$B$1:$K$1,0)),""))</x:f>
      </x:c>
    </x:row>
    <x:row r="597">
      <x:c r="A597" t="n">
        <x:v>59.5</x:v>
      </x:c>
      <x:c r="B597" t="n">
        <x:f>IF(B$1="","",IFERROR(INDEX('包络曲线数据'!$B$2:$K$742,ROW()-1,MATCH(B$1,'包络曲线数据'!$B$1:$K$1,0)),""))</x:f>
        <x:v>50</x:v>
      </x:c>
      <x:c r="C597" t="str">
        <x:f>IF(C$1="","",IFERROR(INDEX('包络曲线数据'!$B$2:$K$742,ROW()-1,MATCH(C$1,'包络曲线数据'!$B$1:$K$1,0)),""))</x:f>
      </x:c>
      <x:c r="D597" t="str">
        <x:f>IF(D$1="","",IFERROR(INDEX('包络曲线数据'!$B$2:$K$742,ROW()-1,MATCH(D$1,'包络曲线数据'!$B$1:$K$1,0)),""))</x:f>
      </x:c>
      <x:c r="E597" t="str">
        <x:f>IF(E$1="","",IFERROR(INDEX('包络曲线数据'!$B$2:$K$742,ROW()-1,MATCH(E$1,'包络曲线数据'!$B$1:$K$1,0)),""))</x:f>
      </x:c>
      <x:c r="F597" t="str">
        <x:f>IF(F$1="","",IFERROR(INDEX('包络曲线数据'!$B$2:$K$742,ROW()-1,MATCH(F$1,'包络曲线数据'!$B$1:$K$1,0)),""))</x:f>
      </x:c>
      <x:c r="G597" t="str">
        <x:f>IF(G$1="","",IFERROR(INDEX('包络曲线数据'!$B$2:$K$742,ROW()-1,MATCH(G$1,'包络曲线数据'!$B$1:$K$1,0)),""))</x:f>
      </x:c>
    </x:row>
    <x:row r="598">
      <x:c r="A598" t="n">
        <x:v>59.6</x:v>
      </x:c>
      <x:c r="B598" t="n">
        <x:f>IF(B$1="","",IFERROR(INDEX('包络曲线数据'!$B$2:$K$742,ROW()-1,MATCH(B$1,'包络曲线数据'!$B$1:$K$1,0)),""))</x:f>
        <x:v>70.25493557174605</x:v>
      </x:c>
      <x:c r="C598" t="str">
        <x:f>IF(C$1="","",IFERROR(INDEX('包络曲线数据'!$B$2:$K$742,ROW()-1,MATCH(C$1,'包络曲线数据'!$B$1:$K$1,0)),""))</x:f>
      </x:c>
      <x:c r="D598" t="str">
        <x:f>IF(D$1="","",IFERROR(INDEX('包络曲线数据'!$B$2:$K$742,ROW()-1,MATCH(D$1,'包络曲线数据'!$B$1:$K$1,0)),""))</x:f>
      </x:c>
      <x:c r="E598" t="str">
        <x:f>IF(E$1="","",IFERROR(INDEX('包络曲线数据'!$B$2:$K$742,ROW()-1,MATCH(E$1,'包络曲线数据'!$B$1:$K$1,0)),""))</x:f>
      </x:c>
      <x:c r="F598" t="str">
        <x:f>IF(F$1="","",IFERROR(INDEX('包络曲线数据'!$B$2:$K$742,ROW()-1,MATCH(F$1,'包络曲线数据'!$B$1:$K$1,0)),""))</x:f>
      </x:c>
      <x:c r="G598" t="str">
        <x:f>IF(G$1="","",IFERROR(INDEX('包络曲线数据'!$B$2:$K$742,ROW()-1,MATCH(G$1,'包络曲线数据'!$B$1:$K$1,0)),""))</x:f>
      </x:c>
    </x:row>
    <x:row r="599">
      <x:c r="A599" t="n">
        <x:v>59.7</x:v>
      </x:c>
      <x:c r="B599" t="n">
        <x:f>IF(B$1="","",IFERROR(INDEX('包络曲线数据'!$B$2:$K$742,ROW()-1,MATCH(B$1,'包络曲线数据'!$B$1:$K$1,0)),""))</x:f>
        <x:v>74.4710734559857</x:v>
      </x:c>
      <x:c r="C599" t="str">
        <x:f>IF(C$1="","",IFERROR(INDEX('包络曲线数据'!$B$2:$K$742,ROW()-1,MATCH(C$1,'包络曲线数据'!$B$1:$K$1,0)),""))</x:f>
      </x:c>
      <x:c r="D599" t="str">
        <x:f>IF(D$1="","",IFERROR(INDEX('包络曲线数据'!$B$2:$K$742,ROW()-1,MATCH(D$1,'包络曲线数据'!$B$1:$K$1,0)),""))</x:f>
      </x:c>
      <x:c r="E599" t="str">
        <x:f>IF(E$1="","",IFERROR(INDEX('包络曲线数据'!$B$2:$K$742,ROW()-1,MATCH(E$1,'包络曲线数据'!$B$1:$K$1,0)),""))</x:f>
      </x:c>
      <x:c r="F599" t="str">
        <x:f>IF(F$1="","",IFERROR(INDEX('包络曲线数据'!$B$2:$K$742,ROW()-1,MATCH(F$1,'包络曲线数据'!$B$1:$K$1,0)),""))</x:f>
      </x:c>
      <x:c r="G599" t="str">
        <x:f>IF(G$1="","",IFERROR(INDEX('包络曲线数据'!$B$2:$K$742,ROW()-1,MATCH(G$1,'包络曲线数据'!$B$1:$K$1,0)),""))</x:f>
      </x:c>
    </x:row>
    <x:row r="600">
      <x:c r="A600" t="n">
        <x:v>59.800000000000004</x:v>
      </x:c>
      <x:c r="B600" t="n">
        <x:f>IF(B$1="","",IFERROR(INDEX('包络曲线数据'!$B$2:$K$742,ROW()-1,MATCH(B$1,'包络曲线数据'!$B$1:$K$1,0)),""))</x:f>
        <x:v>74.4710734559857</x:v>
      </x:c>
      <x:c r="C600" t="str">
        <x:f>IF(C$1="","",IFERROR(INDEX('包络曲线数据'!$B$2:$K$742,ROW()-1,MATCH(C$1,'包络曲线数据'!$B$1:$K$1,0)),""))</x:f>
      </x:c>
      <x:c r="D600" t="str">
        <x:f>IF(D$1="","",IFERROR(INDEX('包络曲线数据'!$B$2:$K$742,ROW()-1,MATCH(D$1,'包络曲线数据'!$B$1:$K$1,0)),""))</x:f>
      </x:c>
      <x:c r="E600" t="str">
        <x:f>IF(E$1="","",IFERROR(INDEX('包络曲线数据'!$B$2:$K$742,ROW()-1,MATCH(E$1,'包络曲线数据'!$B$1:$K$1,0)),""))</x:f>
      </x:c>
      <x:c r="F600" t="str">
        <x:f>IF(F$1="","",IFERROR(INDEX('包络曲线数据'!$B$2:$K$742,ROW()-1,MATCH(F$1,'包络曲线数据'!$B$1:$K$1,0)),""))</x:f>
      </x:c>
      <x:c r="G600" t="str">
        <x:f>IF(G$1="","",IFERROR(INDEX('包络曲线数据'!$B$2:$K$742,ROW()-1,MATCH(G$1,'包络曲线数据'!$B$1:$K$1,0)),""))</x:f>
      </x:c>
    </x:row>
    <x:row r="601">
      <x:c r="A601" t="n">
        <x:v>59.900000000000006</x:v>
      </x:c>
      <x:c r="B601" t="n">
        <x:f>IF(B$1="","",IFERROR(INDEX('包络曲线数据'!$B$2:$K$742,ROW()-1,MATCH(B$1,'包络曲线数据'!$B$1:$K$1,0)),""))</x:f>
        <x:v>69.49148657899933</x:v>
      </x:c>
      <x:c r="C601" t="str">
        <x:f>IF(C$1="","",IFERROR(INDEX('包络曲线数据'!$B$2:$K$742,ROW()-1,MATCH(C$1,'包络曲线数据'!$B$1:$K$1,0)),""))</x:f>
      </x:c>
      <x:c r="D601" t="str">
        <x:f>IF(D$1="","",IFERROR(INDEX('包络曲线数据'!$B$2:$K$742,ROW()-1,MATCH(D$1,'包络曲线数据'!$B$1:$K$1,0)),""))</x:f>
      </x:c>
      <x:c r="E601" t="str">
        <x:f>IF(E$1="","",IFERROR(INDEX('包络曲线数据'!$B$2:$K$742,ROW()-1,MATCH(E$1,'包络曲线数据'!$B$1:$K$1,0)),""))</x:f>
      </x:c>
      <x:c r="F601" t="str">
        <x:f>IF(F$1="","",IFERROR(INDEX('包络曲线数据'!$B$2:$K$742,ROW()-1,MATCH(F$1,'包络曲线数据'!$B$1:$K$1,0)),""))</x:f>
      </x:c>
      <x:c r="G601" t="str">
        <x:f>IF(G$1="","",IFERROR(INDEX('包络曲线数据'!$B$2:$K$742,ROW()-1,MATCH(G$1,'包络曲线数据'!$B$1:$K$1,0)),""))</x:f>
      </x:c>
    </x:row>
    <x:row r="602">
      <x:c r="A602" t="n">
        <x:v>60</x:v>
      </x:c>
      <x:c r="B602" t="n">
        <x:f>IF(B$1="","",IFERROR(INDEX('包络曲线数据'!$B$2:$K$742,ROW()-1,MATCH(B$1,'包络曲线数据'!$B$1:$K$1,0)),""))</x:f>
        <x:v>58.73188453130194</x:v>
      </x:c>
      <x:c r="C602" t="str">
        <x:f>IF(C$1="","",IFERROR(INDEX('包络曲线数据'!$B$2:$K$742,ROW()-1,MATCH(C$1,'包络曲线数据'!$B$1:$K$1,0)),""))</x:f>
      </x:c>
      <x:c r="D602" t="str">
        <x:f>IF(D$1="","",IFERROR(INDEX('包络曲线数据'!$B$2:$K$742,ROW()-1,MATCH(D$1,'包络曲线数据'!$B$1:$K$1,0)),""))</x:f>
      </x:c>
      <x:c r="E602" t="str">
        <x:f>IF(E$1="","",IFERROR(INDEX('包络曲线数据'!$B$2:$K$742,ROW()-1,MATCH(E$1,'包络曲线数据'!$B$1:$K$1,0)),""))</x:f>
      </x:c>
      <x:c r="F602" t="str">
        <x:f>IF(F$1="","",IFERROR(INDEX('包络曲线数据'!$B$2:$K$742,ROW()-1,MATCH(F$1,'包络曲线数据'!$B$1:$K$1,0)),""))</x:f>
      </x:c>
      <x:c r="G602" t="str">
        <x:f>IF(G$1="","",IFERROR(INDEX('包络曲线数据'!$B$2:$K$742,ROW()-1,MATCH(G$1,'包络曲线数据'!$B$1:$K$1,0)),""))</x:f>
      </x:c>
    </x:row>
    <x:row r="603">
      <x:c r="A603" t="n">
        <x:v>60.1</x:v>
      </x:c>
      <x:c r="B603" t="n">
        <x:f>IF(B$1="","",IFERROR(INDEX('包络曲线数据'!$B$2:$K$742,ROW()-1,MATCH(B$1,'包络曲线数据'!$B$1:$K$1,0)),""))</x:f>
        <x:v>61.28974523658503</x:v>
      </x:c>
      <x:c r="C603" t="str">
        <x:f>IF(C$1="","",IFERROR(INDEX('包络曲线数据'!$B$2:$K$742,ROW()-1,MATCH(C$1,'包络曲线数据'!$B$1:$K$1,0)),""))</x:f>
      </x:c>
      <x:c r="D603" t="str">
        <x:f>IF(D$1="","",IFERROR(INDEX('包络曲线数据'!$B$2:$K$742,ROW()-1,MATCH(D$1,'包络曲线数据'!$B$1:$K$1,0)),""))</x:f>
      </x:c>
      <x:c r="E603" t="str">
        <x:f>IF(E$1="","",IFERROR(INDEX('包络曲线数据'!$B$2:$K$742,ROW()-1,MATCH(E$1,'包络曲线数据'!$B$1:$K$1,0)),""))</x:f>
      </x:c>
      <x:c r="F603" t="str">
        <x:f>IF(F$1="","",IFERROR(INDEX('包络曲线数据'!$B$2:$K$742,ROW()-1,MATCH(F$1,'包络曲线数据'!$B$1:$K$1,0)),""))</x:f>
      </x:c>
      <x:c r="G603" t="str">
        <x:f>IF(G$1="","",IFERROR(INDEX('包络曲线数据'!$B$2:$K$742,ROW()-1,MATCH(G$1,'包络曲线数据'!$B$1:$K$1,0)),""))</x:f>
      </x:c>
    </x:row>
    <x:row r="604">
      <x:c r="A604" t="n">
        <x:v>60.2</x:v>
      </x:c>
      <x:c r="B604" t="n">
        <x:f>IF(B$1="","",IFERROR(INDEX('包络曲线数据'!$B$2:$K$742,ROW()-1,MATCH(B$1,'包络曲线数据'!$B$1:$K$1,0)),""))</x:f>
        <x:v>67.61897898264844</x:v>
      </x:c>
      <x:c r="C604" t="str">
        <x:f>IF(C$1="","",IFERROR(INDEX('包络曲线数据'!$B$2:$K$742,ROW()-1,MATCH(C$1,'包络曲线数据'!$B$1:$K$1,0)),""))</x:f>
      </x:c>
      <x:c r="D604" t="str">
        <x:f>IF(D$1="","",IFERROR(INDEX('包络曲线数据'!$B$2:$K$742,ROW()-1,MATCH(D$1,'包络曲线数据'!$B$1:$K$1,0)),""))</x:f>
      </x:c>
      <x:c r="E604" t="str">
        <x:f>IF(E$1="","",IFERROR(INDEX('包络曲线数据'!$B$2:$K$742,ROW()-1,MATCH(E$1,'包络曲线数据'!$B$1:$K$1,0)),""))</x:f>
      </x:c>
      <x:c r="F604" t="str">
        <x:f>IF(F$1="","",IFERROR(INDEX('包络曲线数据'!$B$2:$K$742,ROW()-1,MATCH(F$1,'包络曲线数据'!$B$1:$K$1,0)),""))</x:f>
      </x:c>
      <x:c r="G604" t="str">
        <x:f>IF(G$1="","",IFERROR(INDEX('包络曲线数据'!$B$2:$K$742,ROW()-1,MATCH(G$1,'包络曲线数据'!$B$1:$K$1,0)),""))</x:f>
      </x:c>
    </x:row>
    <x:row r="605">
      <x:c r="A605" t="n">
        <x:v>60.300000000000004</x:v>
      </x:c>
      <x:c r="B605" t="n">
        <x:f>IF(B$1="","",IFERROR(INDEX('包络曲线数据'!$B$2:$K$742,ROW()-1,MATCH(B$1,'包络曲线数据'!$B$1:$K$1,0)),""))</x:f>
        <x:v>67.61897898264844</x:v>
      </x:c>
      <x:c r="C605" t="str">
        <x:f>IF(C$1="","",IFERROR(INDEX('包络曲线数据'!$B$2:$K$742,ROW()-1,MATCH(C$1,'包络曲线数据'!$B$1:$K$1,0)),""))</x:f>
      </x:c>
      <x:c r="D605" t="str">
        <x:f>IF(D$1="","",IFERROR(INDEX('包络曲线数据'!$B$2:$K$742,ROW()-1,MATCH(D$1,'包络曲线数据'!$B$1:$K$1,0)),""))</x:f>
      </x:c>
      <x:c r="E605" t="str">
        <x:f>IF(E$1="","",IFERROR(INDEX('包络曲线数据'!$B$2:$K$742,ROW()-1,MATCH(E$1,'包络曲线数据'!$B$1:$K$1,0)),""))</x:f>
      </x:c>
      <x:c r="F605" t="str">
        <x:f>IF(F$1="","",IFERROR(INDEX('包络曲线数据'!$B$2:$K$742,ROW()-1,MATCH(F$1,'包络曲线数据'!$B$1:$K$1,0)),""))</x:f>
      </x:c>
      <x:c r="G605" t="str">
        <x:f>IF(G$1="","",IFERROR(INDEX('包络曲线数据'!$B$2:$K$742,ROW()-1,MATCH(G$1,'包络曲线数据'!$B$1:$K$1,0)),""))</x:f>
      </x:c>
    </x:row>
    <x:row r="606">
      <x:c r="A606" t="n">
        <x:v>60.400000000000006</x:v>
      </x:c>
      <x:c r="B606" t="n">
        <x:f>IF(B$1="","",IFERROR(INDEX('包络曲线数据'!$B$2:$K$742,ROW()-1,MATCH(B$1,'包络曲线数据'!$B$1:$K$1,0)),""))</x:f>
        <x:v>66.63210187640537</x:v>
      </x:c>
      <x:c r="C606" t="str">
        <x:f>IF(C$1="","",IFERROR(INDEX('包络曲线数据'!$B$2:$K$742,ROW()-1,MATCH(C$1,'包络曲线数据'!$B$1:$K$1,0)),""))</x:f>
      </x:c>
      <x:c r="D606" t="str">
        <x:f>IF(D$1="","",IFERROR(INDEX('包络曲线数据'!$B$2:$K$742,ROW()-1,MATCH(D$1,'包络曲线数据'!$B$1:$K$1,0)),""))</x:f>
      </x:c>
      <x:c r="E606" t="str">
        <x:f>IF(E$1="","",IFERROR(INDEX('包络曲线数据'!$B$2:$K$742,ROW()-1,MATCH(E$1,'包络曲线数据'!$B$1:$K$1,0)),""))</x:f>
      </x:c>
      <x:c r="F606" t="str">
        <x:f>IF(F$1="","",IFERROR(INDEX('包络曲线数据'!$B$2:$K$742,ROW()-1,MATCH(F$1,'包络曲线数据'!$B$1:$K$1,0)),""))</x:f>
      </x:c>
      <x:c r="G606" t="str">
        <x:f>IF(G$1="","",IFERROR(INDEX('包络曲线数据'!$B$2:$K$742,ROW()-1,MATCH(G$1,'包络曲线数据'!$B$1:$K$1,0)),""))</x:f>
      </x:c>
    </x:row>
    <x:row r="607">
      <x:c r="A607" t="n">
        <x:v>60.5</x:v>
      </x:c>
      <x:c r="B607" t="n">
        <x:f>IF(B$1="","",IFERROR(INDEX('包络曲线数据'!$B$2:$K$742,ROW()-1,MATCH(B$1,'包络曲线数据'!$B$1:$K$1,0)),""))</x:f>
        <x:v>66.93445594983405</x:v>
      </x:c>
      <x:c r="C607" t="str">
        <x:f>IF(C$1="","",IFERROR(INDEX('包络曲线数据'!$B$2:$K$742,ROW()-1,MATCH(C$1,'包络曲线数据'!$B$1:$K$1,0)),""))</x:f>
      </x:c>
      <x:c r="D607" t="str">
        <x:f>IF(D$1="","",IFERROR(INDEX('包络曲线数据'!$B$2:$K$742,ROW()-1,MATCH(D$1,'包络曲线数据'!$B$1:$K$1,0)),""))</x:f>
      </x:c>
      <x:c r="E607" t="str">
        <x:f>IF(E$1="","",IFERROR(INDEX('包络曲线数据'!$B$2:$K$742,ROW()-1,MATCH(E$1,'包络曲线数据'!$B$1:$K$1,0)),""))</x:f>
      </x:c>
      <x:c r="F607" t="str">
        <x:f>IF(F$1="","",IFERROR(INDEX('包络曲线数据'!$B$2:$K$742,ROW()-1,MATCH(F$1,'包络曲线数据'!$B$1:$K$1,0)),""))</x:f>
      </x:c>
      <x:c r="G607" t="str">
        <x:f>IF(G$1="","",IFERROR(INDEX('包络曲线数据'!$B$2:$K$742,ROW()-1,MATCH(G$1,'包络曲线数据'!$B$1:$K$1,0)),""))</x:f>
      </x:c>
    </x:row>
    <x:row r="608">
      <x:c r="A608" t="n">
        <x:v>60.6</x:v>
      </x:c>
      <x:c r="B608" t="n">
        <x:f>IF(B$1="","",IFERROR(INDEX('包络曲线数据'!$B$2:$K$742,ROW()-1,MATCH(B$1,'包络曲线数据'!$B$1:$K$1,0)),""))</x:f>
        <x:v>67.17184658043092</x:v>
      </x:c>
      <x:c r="C608" t="str">
        <x:f>IF(C$1="","",IFERROR(INDEX('包络曲线数据'!$B$2:$K$742,ROW()-1,MATCH(C$1,'包络曲线数据'!$B$1:$K$1,0)),""))</x:f>
      </x:c>
      <x:c r="D608" t="str">
        <x:f>IF(D$1="","",IFERROR(INDEX('包络曲线数据'!$B$2:$K$742,ROW()-1,MATCH(D$1,'包络曲线数据'!$B$1:$K$1,0)),""))</x:f>
      </x:c>
      <x:c r="E608" t="str">
        <x:f>IF(E$1="","",IFERROR(INDEX('包络曲线数据'!$B$2:$K$742,ROW()-1,MATCH(E$1,'包络曲线数据'!$B$1:$K$1,0)),""))</x:f>
      </x:c>
      <x:c r="F608" t="str">
        <x:f>IF(F$1="","",IFERROR(INDEX('包络曲线数据'!$B$2:$K$742,ROW()-1,MATCH(F$1,'包络曲线数据'!$B$1:$K$1,0)),""))</x:f>
      </x:c>
      <x:c r="G608" t="str">
        <x:f>IF(G$1="","",IFERROR(INDEX('包络曲线数据'!$B$2:$K$742,ROW()-1,MATCH(G$1,'包络曲线数据'!$B$1:$K$1,0)),""))</x:f>
      </x:c>
    </x:row>
    <x:row r="609">
      <x:c r="A609" t="n">
        <x:v>60.7</x:v>
      </x:c>
      <x:c r="B609" t="n">
        <x:f>IF(B$1="","",IFERROR(INDEX('包络曲线数据'!$B$2:$K$742,ROW()-1,MATCH(B$1,'包络曲线数据'!$B$1:$K$1,0)),""))</x:f>
        <x:v>67.17184658043092</x:v>
      </x:c>
      <x:c r="C609" t="str">
        <x:f>IF(C$1="","",IFERROR(INDEX('包络曲线数据'!$B$2:$K$742,ROW()-1,MATCH(C$1,'包络曲线数据'!$B$1:$K$1,0)),""))</x:f>
      </x:c>
      <x:c r="D609" t="str">
        <x:f>IF(D$1="","",IFERROR(INDEX('包络曲线数据'!$B$2:$K$742,ROW()-1,MATCH(D$1,'包络曲线数据'!$B$1:$K$1,0)),""))</x:f>
      </x:c>
      <x:c r="E609" t="str">
        <x:f>IF(E$1="","",IFERROR(INDEX('包络曲线数据'!$B$2:$K$742,ROW()-1,MATCH(E$1,'包络曲线数据'!$B$1:$K$1,0)),""))</x:f>
      </x:c>
      <x:c r="F609" t="str">
        <x:f>IF(F$1="","",IFERROR(INDEX('包络曲线数据'!$B$2:$K$742,ROW()-1,MATCH(F$1,'包络曲线数据'!$B$1:$K$1,0)),""))</x:f>
      </x:c>
      <x:c r="G609" t="str">
        <x:f>IF(G$1="","",IFERROR(INDEX('包络曲线数据'!$B$2:$K$742,ROW()-1,MATCH(G$1,'包络曲线数据'!$B$1:$K$1,0)),""))</x:f>
      </x:c>
    </x:row>
    <x:row r="610">
      <x:c r="A610" t="n">
        <x:v>60.800000000000004</x:v>
      </x:c>
      <x:c r="B610" t="n">
        <x:f>IF(B$1="","",IFERROR(INDEX('包络曲线数据'!$B$2:$K$742,ROW()-1,MATCH(B$1,'包络曲线数据'!$B$1:$K$1,0)),""))</x:f>
        <x:v>69.86520409149692</x:v>
      </x:c>
      <x:c r="C610" t="str">
        <x:f>IF(C$1="","",IFERROR(INDEX('包络曲线数据'!$B$2:$K$742,ROW()-1,MATCH(C$1,'包络曲线数据'!$B$1:$K$1,0)),""))</x:f>
      </x:c>
      <x:c r="D610" t="str">
        <x:f>IF(D$1="","",IFERROR(INDEX('包络曲线数据'!$B$2:$K$742,ROW()-1,MATCH(D$1,'包络曲线数据'!$B$1:$K$1,0)),""))</x:f>
      </x:c>
      <x:c r="E610" t="str">
        <x:f>IF(E$1="","",IFERROR(INDEX('包络曲线数据'!$B$2:$K$742,ROW()-1,MATCH(E$1,'包络曲线数据'!$B$1:$K$1,0)),""))</x:f>
      </x:c>
      <x:c r="F610" t="str">
        <x:f>IF(F$1="","",IFERROR(INDEX('包络曲线数据'!$B$2:$K$742,ROW()-1,MATCH(F$1,'包络曲线数据'!$B$1:$K$1,0)),""))</x:f>
      </x:c>
      <x:c r="G610" t="str">
        <x:f>IF(G$1="","",IFERROR(INDEX('包络曲线数据'!$B$2:$K$742,ROW()-1,MATCH(G$1,'包络曲线数据'!$B$1:$K$1,0)),""))</x:f>
      </x:c>
    </x:row>
    <x:row r="611">
      <x:c r="A611" t="n">
        <x:v>60.900000000000006</x:v>
      </x:c>
      <x:c r="B611" t="n">
        <x:f>IF(B$1="","",IFERROR(INDEX('包络曲线数据'!$B$2:$K$742,ROW()-1,MATCH(B$1,'包络曲线数据'!$B$1:$K$1,0)),""))</x:f>
        <x:v>70.07195701954251</x:v>
      </x:c>
      <x:c r="C611" t="str">
        <x:f>IF(C$1="","",IFERROR(INDEX('包络曲线数据'!$B$2:$K$742,ROW()-1,MATCH(C$1,'包络曲线数据'!$B$1:$K$1,0)),""))</x:f>
      </x:c>
      <x:c r="D611" t="str">
        <x:f>IF(D$1="","",IFERROR(INDEX('包络曲线数据'!$B$2:$K$742,ROW()-1,MATCH(D$1,'包络曲线数据'!$B$1:$K$1,0)),""))</x:f>
      </x:c>
      <x:c r="E611" t="str">
        <x:f>IF(E$1="","",IFERROR(INDEX('包络曲线数据'!$B$2:$K$742,ROW()-1,MATCH(E$1,'包络曲线数据'!$B$1:$K$1,0)),""))</x:f>
      </x:c>
      <x:c r="F611" t="str">
        <x:f>IF(F$1="","",IFERROR(INDEX('包络曲线数据'!$B$2:$K$742,ROW()-1,MATCH(F$1,'包络曲线数据'!$B$1:$K$1,0)),""))</x:f>
      </x:c>
      <x:c r="G611" t="str">
        <x:f>IF(G$1="","",IFERROR(INDEX('包络曲线数据'!$B$2:$K$742,ROW()-1,MATCH(G$1,'包络曲线数据'!$B$1:$K$1,0)),""))</x:f>
      </x:c>
    </x:row>
    <x:row r="612">
      <x:c r="A612" t="n">
        <x:v>61</x:v>
      </x:c>
      <x:c r="B612" t="n">
        <x:f>IF(B$1="","",IFERROR(INDEX('包络曲线数据'!$B$2:$K$742,ROW()-1,MATCH(B$1,'包络曲线数据'!$B$1:$K$1,0)),""))</x:f>
        <x:v>69.56813790708698</x:v>
      </x:c>
      <x:c r="C612" t="str">
        <x:f>IF(C$1="","",IFERROR(INDEX('包络曲线数据'!$B$2:$K$742,ROW()-1,MATCH(C$1,'包络曲线数据'!$B$1:$K$1,0)),""))</x:f>
      </x:c>
      <x:c r="D612" t="str">
        <x:f>IF(D$1="","",IFERROR(INDEX('包络曲线数据'!$B$2:$K$742,ROW()-1,MATCH(D$1,'包络曲线数据'!$B$1:$K$1,0)),""))</x:f>
      </x:c>
      <x:c r="E612" t="str">
        <x:f>IF(E$1="","",IFERROR(INDEX('包络曲线数据'!$B$2:$K$742,ROW()-1,MATCH(E$1,'包络曲线数据'!$B$1:$K$1,0)),""))</x:f>
      </x:c>
      <x:c r="F612" t="str">
        <x:f>IF(F$1="","",IFERROR(INDEX('包络曲线数据'!$B$2:$K$742,ROW()-1,MATCH(F$1,'包络曲线数据'!$B$1:$K$1,0)),""))</x:f>
      </x:c>
      <x:c r="G612" t="str">
        <x:f>IF(G$1="","",IFERROR(INDEX('包络曲线数据'!$B$2:$K$742,ROW()-1,MATCH(G$1,'包络曲线数据'!$B$1:$K$1,0)),""))</x:f>
      </x:c>
    </x:row>
    <x:row r="613">
      <x:c r="A613" t="n">
        <x:v>61.1</x:v>
      </x:c>
      <x:c r="B613" t="n">
        <x:f>IF(B$1="","",IFERROR(INDEX('包络曲线数据'!$B$2:$K$742,ROW()-1,MATCH(B$1,'包络曲线数据'!$B$1:$K$1,0)),""))</x:f>
        <x:v>66.95609602187179</x:v>
      </x:c>
      <x:c r="C613" t="str">
        <x:f>IF(C$1="","",IFERROR(INDEX('包络曲线数据'!$B$2:$K$742,ROW()-1,MATCH(C$1,'包络曲线数据'!$B$1:$K$1,0)),""))</x:f>
      </x:c>
      <x:c r="D613" t="str">
        <x:f>IF(D$1="","",IFERROR(INDEX('包络曲线数据'!$B$2:$K$742,ROW()-1,MATCH(D$1,'包络曲线数据'!$B$1:$K$1,0)),""))</x:f>
      </x:c>
      <x:c r="E613" t="str">
        <x:f>IF(E$1="","",IFERROR(INDEX('包络曲线数据'!$B$2:$K$742,ROW()-1,MATCH(E$1,'包络曲线数据'!$B$1:$K$1,0)),""))</x:f>
      </x:c>
      <x:c r="F613" t="str">
        <x:f>IF(F$1="","",IFERROR(INDEX('包络曲线数据'!$B$2:$K$742,ROW()-1,MATCH(F$1,'包络曲线数据'!$B$1:$K$1,0)),""))</x:f>
      </x:c>
      <x:c r="G613" t="str">
        <x:f>IF(G$1="","",IFERROR(INDEX('包络曲线数据'!$B$2:$K$742,ROW()-1,MATCH(G$1,'包络曲线数据'!$B$1:$K$1,0)),""))</x:f>
      </x:c>
    </x:row>
    <x:row r="614">
      <x:c r="A614" t="n">
        <x:v>61.2</x:v>
      </x:c>
      <x:c r="B614" t="n">
        <x:f>IF(B$1="","",IFERROR(INDEX('包络曲线数据'!$B$2:$K$742,ROW()-1,MATCH(B$1,'包络曲线数据'!$B$1:$K$1,0)),""))</x:f>
        <x:v>82.53298230517665</x:v>
      </x:c>
      <x:c r="C614" t="str">
        <x:f>IF(C$1="","",IFERROR(INDEX('包络曲线数据'!$B$2:$K$742,ROW()-1,MATCH(C$1,'包络曲线数据'!$B$1:$K$1,0)),""))</x:f>
      </x:c>
      <x:c r="D614" t="str">
        <x:f>IF(D$1="","",IFERROR(INDEX('包络曲线数据'!$B$2:$K$742,ROW()-1,MATCH(D$1,'包络曲线数据'!$B$1:$K$1,0)),""))</x:f>
      </x:c>
      <x:c r="E614" t="str">
        <x:f>IF(E$1="","",IFERROR(INDEX('包络曲线数据'!$B$2:$K$742,ROW()-1,MATCH(E$1,'包络曲线数据'!$B$1:$K$1,0)),""))</x:f>
      </x:c>
      <x:c r="F614" t="str">
        <x:f>IF(F$1="","",IFERROR(INDEX('包络曲线数据'!$B$2:$K$742,ROW()-1,MATCH(F$1,'包络曲线数据'!$B$1:$K$1,0)),""))</x:f>
      </x:c>
      <x:c r="G614" t="str">
        <x:f>IF(G$1="","",IFERROR(INDEX('包络曲线数据'!$B$2:$K$742,ROW()-1,MATCH(G$1,'包络曲线数据'!$B$1:$K$1,0)),""))</x:f>
      </x:c>
    </x:row>
    <x:row r="615">
      <x:c r="A615" t="n">
        <x:v>61.300000000000004</x:v>
      </x:c>
      <x:c r="B615" t="n">
        <x:f>IF(B$1="","",IFERROR(INDEX('包络曲线数据'!$B$2:$K$742,ROW()-1,MATCH(B$1,'包络曲线数据'!$B$1:$K$1,0)),""))</x:f>
        <x:v>82.53298230517665</x:v>
      </x:c>
      <x:c r="C615" t="str">
        <x:f>IF(C$1="","",IFERROR(INDEX('包络曲线数据'!$B$2:$K$742,ROW()-1,MATCH(C$1,'包络曲线数据'!$B$1:$K$1,0)),""))</x:f>
      </x:c>
      <x:c r="D615" t="str">
        <x:f>IF(D$1="","",IFERROR(INDEX('包络曲线数据'!$B$2:$K$742,ROW()-1,MATCH(D$1,'包络曲线数据'!$B$1:$K$1,0)),""))</x:f>
      </x:c>
      <x:c r="E615" t="str">
        <x:f>IF(E$1="","",IFERROR(INDEX('包络曲线数据'!$B$2:$K$742,ROW()-1,MATCH(E$1,'包络曲线数据'!$B$1:$K$1,0)),""))</x:f>
      </x:c>
      <x:c r="F615" t="str">
        <x:f>IF(F$1="","",IFERROR(INDEX('包络曲线数据'!$B$2:$K$742,ROW()-1,MATCH(F$1,'包络曲线数据'!$B$1:$K$1,0)),""))</x:f>
      </x:c>
      <x:c r="G615" t="str">
        <x:f>IF(G$1="","",IFERROR(INDEX('包络曲线数据'!$B$2:$K$742,ROW()-1,MATCH(G$1,'包络曲线数据'!$B$1:$K$1,0)),""))</x:f>
      </x:c>
    </x:row>
    <x:row r="616">
      <x:c r="A616" t="n">
        <x:v>61.400000000000006</x:v>
      </x:c>
      <x:c r="B616" t="n">
        <x:f>IF(B$1="","",IFERROR(INDEX('包络曲线数据'!$B$2:$K$742,ROW()-1,MATCH(B$1,'包络曲线数据'!$B$1:$K$1,0)),""))</x:f>
        <x:v>77.58260596190078</x:v>
      </x:c>
      <x:c r="C616" t="str">
        <x:f>IF(C$1="","",IFERROR(INDEX('包络曲线数据'!$B$2:$K$742,ROW()-1,MATCH(C$1,'包络曲线数据'!$B$1:$K$1,0)),""))</x:f>
      </x:c>
      <x:c r="D616" t="str">
        <x:f>IF(D$1="","",IFERROR(INDEX('包络曲线数据'!$B$2:$K$742,ROW()-1,MATCH(D$1,'包络曲线数据'!$B$1:$K$1,0)),""))</x:f>
      </x:c>
      <x:c r="E616" t="str">
        <x:f>IF(E$1="","",IFERROR(INDEX('包络曲线数据'!$B$2:$K$742,ROW()-1,MATCH(E$1,'包络曲线数据'!$B$1:$K$1,0)),""))</x:f>
      </x:c>
      <x:c r="F616" t="str">
        <x:f>IF(F$1="","",IFERROR(INDEX('包络曲线数据'!$B$2:$K$742,ROW()-1,MATCH(F$1,'包络曲线数据'!$B$1:$K$1,0)),""))</x:f>
      </x:c>
      <x:c r="G616" t="str">
        <x:f>IF(G$1="","",IFERROR(INDEX('包络曲线数据'!$B$2:$K$742,ROW()-1,MATCH(G$1,'包络曲线数据'!$B$1:$K$1,0)),""))</x:f>
      </x:c>
    </x:row>
    <x:row r="617">
      <x:c r="A617" t="n">
        <x:v>61.5</x:v>
      </x:c>
      <x:c r="B617" t="n">
        <x:f>IF(B$1="","",IFERROR(INDEX('包络曲线数据'!$B$2:$K$742,ROW()-1,MATCH(B$1,'包络曲线数据'!$B$1:$K$1,0)),""))</x:f>
        <x:v>69.7200103758535</x:v>
      </x:c>
      <x:c r="C617" t="str">
        <x:f>IF(C$1="","",IFERROR(INDEX('包络曲线数据'!$B$2:$K$742,ROW()-1,MATCH(C$1,'包络曲线数据'!$B$1:$K$1,0)),""))</x:f>
      </x:c>
      <x:c r="D617" t="str">
        <x:f>IF(D$1="","",IFERROR(INDEX('包络曲线数据'!$B$2:$K$742,ROW()-1,MATCH(D$1,'包络曲线数据'!$B$1:$K$1,0)),""))</x:f>
      </x:c>
      <x:c r="E617" t="str">
        <x:f>IF(E$1="","",IFERROR(INDEX('包络曲线数据'!$B$2:$K$742,ROW()-1,MATCH(E$1,'包络曲线数据'!$B$1:$K$1,0)),""))</x:f>
      </x:c>
      <x:c r="F617" t="str">
        <x:f>IF(F$1="","",IFERROR(INDEX('包络曲线数据'!$B$2:$K$742,ROW()-1,MATCH(F$1,'包络曲线数据'!$B$1:$K$1,0)),""))</x:f>
      </x:c>
      <x:c r="G617" t="str">
        <x:f>IF(G$1="","",IFERROR(INDEX('包络曲线数据'!$B$2:$K$742,ROW()-1,MATCH(G$1,'包络曲线数据'!$B$1:$K$1,0)),""))</x:f>
      </x:c>
    </x:row>
    <x:row r="618">
      <x:c r="A618" t="n">
        <x:v>61.6</x:v>
      </x:c>
      <x:c r="B618" t="n">
        <x:f>IF(B$1="","",IFERROR(INDEX('包络曲线数据'!$B$2:$K$742,ROW()-1,MATCH(B$1,'包络曲线数据'!$B$1:$K$1,0)),""))</x:f>
        <x:v>62.6023684295194</x:v>
      </x:c>
      <x:c r="C618" t="str">
        <x:f>IF(C$1="","",IFERROR(INDEX('包络曲线数据'!$B$2:$K$742,ROW()-1,MATCH(C$1,'包络曲线数据'!$B$1:$K$1,0)),""))</x:f>
      </x:c>
      <x:c r="D618" t="str">
        <x:f>IF(D$1="","",IFERROR(INDEX('包络曲线数据'!$B$2:$K$742,ROW()-1,MATCH(D$1,'包络曲线数据'!$B$1:$K$1,0)),""))</x:f>
      </x:c>
      <x:c r="E618" t="str">
        <x:f>IF(E$1="","",IFERROR(INDEX('包络曲线数据'!$B$2:$K$742,ROW()-1,MATCH(E$1,'包络曲线数据'!$B$1:$K$1,0)),""))</x:f>
      </x:c>
      <x:c r="F618" t="str">
        <x:f>IF(F$1="","",IFERROR(INDEX('包络曲线数据'!$B$2:$K$742,ROW()-1,MATCH(F$1,'包络曲线数据'!$B$1:$K$1,0)),""))</x:f>
      </x:c>
      <x:c r="G618" t="str">
        <x:f>IF(G$1="","",IFERROR(INDEX('包络曲线数据'!$B$2:$K$742,ROW()-1,MATCH(G$1,'包络曲线数据'!$B$1:$K$1,0)),""))</x:f>
      </x:c>
    </x:row>
    <x:row r="619">
      <x:c r="A619" t="n">
        <x:v>61.7</x:v>
      </x:c>
      <x:c r="B619" t="n">
        <x:f>IF(B$1="","",IFERROR(INDEX('包络曲线数据'!$B$2:$K$742,ROW()-1,MATCH(B$1,'包络曲线数据'!$B$1:$K$1,0)),""))</x:f>
        <x:v>61.1959321470576</x:v>
      </x:c>
      <x:c r="C619" t="str">
        <x:f>IF(C$1="","",IFERROR(INDEX('包络曲线数据'!$B$2:$K$742,ROW()-1,MATCH(C$1,'包络曲线数据'!$B$1:$K$1,0)),""))</x:f>
      </x:c>
      <x:c r="D619" t="str">
        <x:f>IF(D$1="","",IFERROR(INDEX('包络曲线数据'!$B$2:$K$742,ROW()-1,MATCH(D$1,'包络曲线数据'!$B$1:$K$1,0)),""))</x:f>
      </x:c>
      <x:c r="E619" t="str">
        <x:f>IF(E$1="","",IFERROR(INDEX('包络曲线数据'!$B$2:$K$742,ROW()-1,MATCH(E$1,'包络曲线数据'!$B$1:$K$1,0)),""))</x:f>
      </x:c>
      <x:c r="F619" t="str">
        <x:f>IF(F$1="","",IFERROR(INDEX('包络曲线数据'!$B$2:$K$742,ROW()-1,MATCH(F$1,'包络曲线数据'!$B$1:$K$1,0)),""))</x:f>
      </x:c>
      <x:c r="G619" t="str">
        <x:f>IF(G$1="","",IFERROR(INDEX('包络曲线数据'!$B$2:$K$742,ROW()-1,MATCH(G$1,'包络曲线数据'!$B$1:$K$1,0)),""))</x:f>
      </x:c>
    </x:row>
    <x:row r="620">
      <x:c r="A620" t="n">
        <x:v>61.800000000000004</x:v>
      </x:c>
      <x:c r="B620" t="n">
        <x:f>IF(B$1="","",IFERROR(INDEX('包络曲线数据'!$B$2:$K$742,ROW()-1,MATCH(B$1,'包络曲线数据'!$B$1:$K$1,0)),""))</x:f>
        <x:v>59.789495864595786</x:v>
      </x:c>
      <x:c r="C620" t="str">
        <x:f>IF(C$1="","",IFERROR(INDEX('包络曲线数据'!$B$2:$K$742,ROW()-1,MATCH(C$1,'包络曲线数据'!$B$1:$K$1,0)),""))</x:f>
      </x:c>
      <x:c r="D620" t="str">
        <x:f>IF(D$1="","",IFERROR(INDEX('包络曲线数据'!$B$2:$K$742,ROW()-1,MATCH(D$1,'包络曲线数据'!$B$1:$K$1,0)),""))</x:f>
      </x:c>
      <x:c r="E620" t="str">
        <x:f>IF(E$1="","",IFERROR(INDEX('包络曲线数据'!$B$2:$K$742,ROW()-1,MATCH(E$1,'包络曲线数据'!$B$1:$K$1,0)),""))</x:f>
      </x:c>
      <x:c r="F620" t="str">
        <x:f>IF(F$1="","",IFERROR(INDEX('包络曲线数据'!$B$2:$K$742,ROW()-1,MATCH(F$1,'包络曲线数据'!$B$1:$K$1,0)),""))</x:f>
      </x:c>
      <x:c r="G620" t="str">
        <x:f>IF(G$1="","",IFERROR(INDEX('包络曲线数据'!$B$2:$K$742,ROW()-1,MATCH(G$1,'包络曲线数据'!$B$1:$K$1,0)),""))</x:f>
      </x:c>
    </x:row>
    <x:row r="621">
      <x:c r="A621" t="n">
        <x:v>61.900000000000006</x:v>
      </x:c>
      <x:c r="B621" t="n">
        <x:f>IF(B$1="","",IFERROR(INDEX('包络曲线数据'!$B$2:$K$742,ROW()-1,MATCH(B$1,'包络曲线数据'!$B$1:$K$1,0)),""))</x:f>
        <x:v>59.885766075034795</x:v>
      </x:c>
      <x:c r="C621" t="str">
        <x:f>IF(C$1="","",IFERROR(INDEX('包络曲线数据'!$B$2:$K$742,ROW()-1,MATCH(C$1,'包络曲线数据'!$B$1:$K$1,0)),""))</x:f>
      </x:c>
      <x:c r="D621" t="str">
        <x:f>IF(D$1="","",IFERROR(INDEX('包络曲线数据'!$B$2:$K$742,ROW()-1,MATCH(D$1,'包络曲线数据'!$B$1:$K$1,0)),""))</x:f>
      </x:c>
      <x:c r="E621" t="str">
        <x:f>IF(E$1="","",IFERROR(INDEX('包络曲线数据'!$B$2:$K$742,ROW()-1,MATCH(E$1,'包络曲线数据'!$B$1:$K$1,0)),""))</x:f>
      </x:c>
      <x:c r="F621" t="str">
        <x:f>IF(F$1="","",IFERROR(INDEX('包络曲线数据'!$B$2:$K$742,ROW()-1,MATCH(F$1,'包络曲线数据'!$B$1:$K$1,0)),""))</x:f>
      </x:c>
      <x:c r="G621" t="str">
        <x:f>IF(G$1="","",IFERROR(INDEX('包络曲线数据'!$B$2:$K$742,ROW()-1,MATCH(G$1,'包络曲线数据'!$B$1:$K$1,0)),""))</x:f>
      </x:c>
    </x:row>
    <x:row r="622">
      <x:c r="A622" t="n">
        <x:v>62</x:v>
      </x:c>
      <x:c r="B622" t="n">
        <x:f>IF(B$1="","",IFERROR(INDEX('包络曲线数据'!$B$2:$K$742,ROW()-1,MATCH(B$1,'包络曲线数据'!$B$1:$K$1,0)),""))</x:f>
        <x:v>59.885766075034795</x:v>
      </x:c>
      <x:c r="C622" t="str">
        <x:f>IF(C$1="","",IFERROR(INDEX('包络曲线数据'!$B$2:$K$742,ROW()-1,MATCH(C$1,'包络曲线数据'!$B$1:$K$1,0)),""))</x:f>
      </x:c>
      <x:c r="D622" t="str">
        <x:f>IF(D$1="","",IFERROR(INDEX('包络曲线数据'!$B$2:$K$742,ROW()-1,MATCH(D$1,'包络曲线数据'!$B$1:$K$1,0)),""))</x:f>
      </x:c>
      <x:c r="E622" t="str">
        <x:f>IF(E$1="","",IFERROR(INDEX('包络曲线数据'!$B$2:$K$742,ROW()-1,MATCH(E$1,'包络曲线数据'!$B$1:$K$1,0)),""))</x:f>
      </x:c>
      <x:c r="F622" t="str">
        <x:f>IF(F$1="","",IFERROR(INDEX('包络曲线数据'!$B$2:$K$742,ROW()-1,MATCH(F$1,'包络曲线数据'!$B$1:$K$1,0)),""))</x:f>
      </x:c>
      <x:c r="G622" t="str">
        <x:f>IF(G$1="","",IFERROR(INDEX('包络曲线数据'!$B$2:$K$742,ROW()-1,MATCH(G$1,'包络曲线数据'!$B$1:$K$1,0)),""))</x:f>
      </x:c>
    </x:row>
    <x:row r="623">
      <x:c r="A623" t="n">
        <x:v>62.1</x:v>
      </x:c>
      <x:c r="B623" t="n">
        <x:f>IF(B$1="","",IFERROR(INDEX('包络曲线数据'!$B$2:$K$742,ROW()-1,MATCH(B$1,'包络曲线数据'!$B$1:$K$1,0)),""))</x:f>
        <x:v>59.53381547725718</x:v>
      </x:c>
      <x:c r="C623" t="str">
        <x:f>IF(C$1="","",IFERROR(INDEX('包络曲线数据'!$B$2:$K$742,ROW()-1,MATCH(C$1,'包络曲线数据'!$B$1:$K$1,0)),""))</x:f>
      </x:c>
      <x:c r="D623" t="str">
        <x:f>IF(D$1="","",IFERROR(INDEX('包络曲线数据'!$B$2:$K$742,ROW()-1,MATCH(D$1,'包络曲线数据'!$B$1:$K$1,0)),""))</x:f>
      </x:c>
      <x:c r="E623" t="str">
        <x:f>IF(E$1="","",IFERROR(INDEX('包络曲线数据'!$B$2:$K$742,ROW()-1,MATCH(E$1,'包络曲线数据'!$B$1:$K$1,0)),""))</x:f>
      </x:c>
      <x:c r="F623" t="str">
        <x:f>IF(F$1="","",IFERROR(INDEX('包络曲线数据'!$B$2:$K$742,ROW()-1,MATCH(F$1,'包络曲线数据'!$B$1:$K$1,0)),""))</x:f>
      </x:c>
      <x:c r="G623" t="str">
        <x:f>IF(G$1="","",IFERROR(INDEX('包络曲线数据'!$B$2:$K$742,ROW()-1,MATCH(G$1,'包络曲线数据'!$B$1:$K$1,0)),""))</x:f>
      </x:c>
    </x:row>
    <x:row r="624">
      <x:c r="A624" t="n">
        <x:v>62.2</x:v>
      </x:c>
      <x:c r="B624" t="n">
        <x:f>IF(B$1="","",IFERROR(INDEX('包络曲线数据'!$B$2:$K$742,ROW()-1,MATCH(B$1,'包络曲线数据'!$B$1:$K$1,0)),""))</x:f>
        <x:v>57.51079749591227</x:v>
      </x:c>
      <x:c r="C624" t="str">
        <x:f>IF(C$1="","",IFERROR(INDEX('包络曲线数据'!$B$2:$K$742,ROW()-1,MATCH(C$1,'包络曲线数据'!$B$1:$K$1,0)),""))</x:f>
      </x:c>
      <x:c r="D624" t="str">
        <x:f>IF(D$1="","",IFERROR(INDEX('包络曲线数据'!$B$2:$K$742,ROW()-1,MATCH(D$1,'包络曲线数据'!$B$1:$K$1,0)),""))</x:f>
      </x:c>
      <x:c r="E624" t="str">
        <x:f>IF(E$1="","",IFERROR(INDEX('包络曲线数据'!$B$2:$K$742,ROW()-1,MATCH(E$1,'包络曲线数据'!$B$1:$K$1,0)),""))</x:f>
      </x:c>
      <x:c r="F624" t="str">
        <x:f>IF(F$1="","",IFERROR(INDEX('包络曲线数据'!$B$2:$K$742,ROW()-1,MATCH(F$1,'包络曲线数据'!$B$1:$K$1,0)),""))</x:f>
      </x:c>
      <x:c r="G624" t="str">
        <x:f>IF(G$1="","",IFERROR(INDEX('包络曲线数据'!$B$2:$K$742,ROW()-1,MATCH(G$1,'包络曲线数据'!$B$1:$K$1,0)),""))</x:f>
      </x:c>
    </x:row>
    <x:row r="625">
      <x:c r="A625" t="n">
        <x:v>62.300000000000004</x:v>
      </x:c>
      <x:c r="B625" t="n">
        <x:f>IF(B$1="","",IFERROR(INDEX('包络曲线数据'!$B$2:$K$742,ROW()-1,MATCH(B$1,'包络曲线数据'!$B$1:$K$1,0)),""))</x:f>
        <x:v>70.02879332243242</x:v>
      </x:c>
      <x:c r="C625" t="str">
        <x:f>IF(C$1="","",IFERROR(INDEX('包络曲线数据'!$B$2:$K$742,ROW()-1,MATCH(C$1,'包络曲线数据'!$B$1:$K$1,0)),""))</x:f>
      </x:c>
      <x:c r="D625" t="str">
        <x:f>IF(D$1="","",IFERROR(INDEX('包络曲线数据'!$B$2:$K$742,ROW()-1,MATCH(D$1,'包络曲线数据'!$B$1:$K$1,0)),""))</x:f>
      </x:c>
      <x:c r="E625" t="str">
        <x:f>IF(E$1="","",IFERROR(INDEX('包络曲线数据'!$B$2:$K$742,ROW()-1,MATCH(E$1,'包络曲线数据'!$B$1:$K$1,0)),""))</x:f>
      </x:c>
      <x:c r="F625" t="str">
        <x:f>IF(F$1="","",IFERROR(INDEX('包络曲线数据'!$B$2:$K$742,ROW()-1,MATCH(F$1,'包络曲线数据'!$B$1:$K$1,0)),""))</x:f>
      </x:c>
      <x:c r="G625" t="str">
        <x:f>IF(G$1="","",IFERROR(INDEX('包络曲线数据'!$B$2:$K$742,ROW()-1,MATCH(G$1,'包络曲线数据'!$B$1:$K$1,0)),""))</x:f>
      </x:c>
    </x:row>
    <x:row r="626">
      <x:c r="A626" t="n">
        <x:v>62.400000000000006</x:v>
      </x:c>
      <x:c r="B626" t="n">
        <x:f>IF(B$1="","",IFERROR(INDEX('包络曲线数据'!$B$2:$K$742,ROW()-1,MATCH(B$1,'包络曲线数据'!$B$1:$K$1,0)),""))</x:f>
        <x:v>72.53239248773592</x:v>
      </x:c>
      <x:c r="C626" t="str">
        <x:f>IF(C$1="","",IFERROR(INDEX('包络曲线数据'!$B$2:$K$742,ROW()-1,MATCH(C$1,'包络曲线数据'!$B$1:$K$1,0)),""))</x:f>
      </x:c>
      <x:c r="D626" t="str">
        <x:f>IF(D$1="","",IFERROR(INDEX('包络曲线数据'!$B$2:$K$742,ROW()-1,MATCH(D$1,'包络曲线数据'!$B$1:$K$1,0)),""))</x:f>
      </x:c>
      <x:c r="E626" t="str">
        <x:f>IF(E$1="","",IFERROR(INDEX('包络曲线数据'!$B$2:$K$742,ROW()-1,MATCH(E$1,'包络曲线数据'!$B$1:$K$1,0)),""))</x:f>
      </x:c>
      <x:c r="F626" t="str">
        <x:f>IF(F$1="","",IFERROR(INDEX('包络曲线数据'!$B$2:$K$742,ROW()-1,MATCH(F$1,'包络曲线数据'!$B$1:$K$1,0)),""))</x:f>
      </x:c>
      <x:c r="G626" t="str">
        <x:f>IF(G$1="","",IFERROR(INDEX('包络曲线数据'!$B$2:$K$742,ROW()-1,MATCH(G$1,'包络曲线数据'!$B$1:$K$1,0)),""))</x:f>
      </x:c>
    </x:row>
    <x:row r="627">
      <x:c r="A627" t="n">
        <x:v>62.5</x:v>
      </x:c>
      <x:c r="B627" t="n">
        <x:f>IF(B$1="","",IFERROR(INDEX('包络曲线数据'!$B$2:$K$742,ROW()-1,MATCH(B$1,'包络曲线数据'!$B$1:$K$1,0)),""))</x:f>
        <x:v>70.83051616935104</x:v>
      </x:c>
      <x:c r="C627" t="str">
        <x:f>IF(C$1="","",IFERROR(INDEX('包络曲线数据'!$B$2:$K$742,ROW()-1,MATCH(C$1,'包络曲线数据'!$B$1:$K$1,0)),""))</x:f>
      </x:c>
      <x:c r="D627" t="str">
        <x:f>IF(D$1="","",IFERROR(INDEX('包络曲线数据'!$B$2:$K$742,ROW()-1,MATCH(D$1,'包络曲线数据'!$B$1:$K$1,0)),""))</x:f>
      </x:c>
      <x:c r="E627" t="str">
        <x:f>IF(E$1="","",IFERROR(INDEX('包络曲线数据'!$B$2:$K$742,ROW()-1,MATCH(E$1,'包络曲线数据'!$B$1:$K$1,0)),""))</x:f>
      </x:c>
      <x:c r="F627" t="str">
        <x:f>IF(F$1="","",IFERROR(INDEX('包络曲线数据'!$B$2:$K$742,ROW()-1,MATCH(F$1,'包络曲线数据'!$B$1:$K$1,0)),""))</x:f>
      </x:c>
      <x:c r="G627" t="str">
        <x:f>IF(G$1="","",IFERROR(INDEX('包络曲线数据'!$B$2:$K$742,ROW()-1,MATCH(G$1,'包络曲线数据'!$B$1:$K$1,0)),""))</x:f>
      </x:c>
    </x:row>
    <x:row r="628">
      <x:c r="A628" t="n">
        <x:v>62.6</x:v>
      </x:c>
      <x:c r="B628" t="n">
        <x:f>IF(B$1="","",IFERROR(INDEX('包络曲线数据'!$B$2:$K$742,ROW()-1,MATCH(B$1,'包络曲线数据'!$B$1:$K$1,0)),""))</x:f>
        <x:v>59.734781495289695</x:v>
      </x:c>
      <x:c r="C628" t="str">
        <x:f>IF(C$1="","",IFERROR(INDEX('包络曲线数据'!$B$2:$K$742,ROW()-1,MATCH(C$1,'包络曲线数据'!$B$1:$K$1,0)),""))</x:f>
      </x:c>
      <x:c r="D628" t="str">
        <x:f>IF(D$1="","",IFERROR(INDEX('包络曲线数据'!$B$2:$K$742,ROW()-1,MATCH(D$1,'包络曲线数据'!$B$1:$K$1,0)),""))</x:f>
      </x:c>
      <x:c r="E628" t="str">
        <x:f>IF(E$1="","",IFERROR(INDEX('包络曲线数据'!$B$2:$K$742,ROW()-1,MATCH(E$1,'包络曲线数据'!$B$1:$K$1,0)),""))</x:f>
      </x:c>
      <x:c r="F628" t="str">
        <x:f>IF(F$1="","",IFERROR(INDEX('包络曲线数据'!$B$2:$K$742,ROW()-1,MATCH(F$1,'包络曲线数据'!$B$1:$K$1,0)),""))</x:f>
      </x:c>
      <x:c r="G628" t="str">
        <x:f>IF(G$1="","",IFERROR(INDEX('包络曲线数据'!$B$2:$K$742,ROW()-1,MATCH(G$1,'包络曲线数据'!$B$1:$K$1,0)),""))</x:f>
      </x:c>
    </x:row>
    <x:row r="629">
      <x:c r="A629" t="n">
        <x:v>62.7</x:v>
      </x:c>
      <x:c r="B629" t="n">
        <x:f>IF(B$1="","",IFERROR(INDEX('包络曲线数据'!$B$2:$K$742,ROW()-1,MATCH(B$1,'包络曲线数据'!$B$1:$K$1,0)),""))</x:f>
        <x:v>58.442358296650774</x:v>
      </x:c>
      <x:c r="C629" t="str">
        <x:f>IF(C$1="","",IFERROR(INDEX('包络曲线数据'!$B$2:$K$742,ROW()-1,MATCH(C$1,'包络曲线数据'!$B$1:$K$1,0)),""))</x:f>
      </x:c>
      <x:c r="D629" t="str">
        <x:f>IF(D$1="","",IFERROR(INDEX('包络曲线数据'!$B$2:$K$742,ROW()-1,MATCH(D$1,'包络曲线数据'!$B$1:$K$1,0)),""))</x:f>
      </x:c>
      <x:c r="E629" t="str">
        <x:f>IF(E$1="","",IFERROR(INDEX('包络曲线数据'!$B$2:$K$742,ROW()-1,MATCH(E$1,'包络曲线数据'!$B$1:$K$1,0)),""))</x:f>
      </x:c>
      <x:c r="F629" t="str">
        <x:f>IF(F$1="","",IFERROR(INDEX('包络曲线数据'!$B$2:$K$742,ROW()-1,MATCH(F$1,'包络曲线数据'!$B$1:$K$1,0)),""))</x:f>
      </x:c>
      <x:c r="G629" t="str">
        <x:f>IF(G$1="","",IFERROR(INDEX('包络曲线数据'!$B$2:$K$742,ROW()-1,MATCH(G$1,'包络曲线数据'!$B$1:$K$1,0)),""))</x:f>
      </x:c>
    </x:row>
    <x:row r="630">
      <x:c r="A630" t="n">
        <x:v>62.800000000000004</x:v>
      </x:c>
      <x:c r="B630" t="n">
        <x:f>IF(B$1="","",IFERROR(INDEX('包络曲线数据'!$B$2:$K$742,ROW()-1,MATCH(B$1,'包络曲线数据'!$B$1:$K$1,0)),""))</x:f>
        <x:v>63.19338238428083</x:v>
      </x:c>
      <x:c r="C630" t="str">
        <x:f>IF(C$1="","",IFERROR(INDEX('包络曲线数据'!$B$2:$K$742,ROW()-1,MATCH(C$1,'包络曲线数据'!$B$1:$K$1,0)),""))</x:f>
      </x:c>
      <x:c r="D630" t="str">
        <x:f>IF(D$1="","",IFERROR(INDEX('包络曲线数据'!$B$2:$K$742,ROW()-1,MATCH(D$1,'包络曲线数据'!$B$1:$K$1,0)),""))</x:f>
      </x:c>
      <x:c r="E630" t="str">
        <x:f>IF(E$1="","",IFERROR(INDEX('包络曲线数据'!$B$2:$K$742,ROW()-1,MATCH(E$1,'包络曲线数据'!$B$1:$K$1,0)),""))</x:f>
      </x:c>
      <x:c r="F630" t="str">
        <x:f>IF(F$1="","",IFERROR(INDEX('包络曲线数据'!$B$2:$K$742,ROW()-1,MATCH(F$1,'包络曲线数据'!$B$1:$K$1,0)),""))</x:f>
      </x:c>
      <x:c r="G630" t="str">
        <x:f>IF(G$1="","",IFERROR(INDEX('包络曲线数据'!$B$2:$K$742,ROW()-1,MATCH(G$1,'包络曲线数据'!$B$1:$K$1,0)),""))</x:f>
      </x:c>
    </x:row>
    <x:row r="631">
      <x:c r="A631" t="n">
        <x:v>62.900000000000006</x:v>
      </x:c>
      <x:c r="B631" t="n">
        <x:f>IF(B$1="","",IFERROR(INDEX('包络曲线数据'!$B$2:$K$742,ROW()-1,MATCH(B$1,'包络曲线数据'!$B$1:$K$1,0)),""))</x:f>
        <x:v>64.1738503213529</x:v>
      </x:c>
      <x:c r="C631" t="str">
        <x:f>IF(C$1="","",IFERROR(INDEX('包络曲线数据'!$B$2:$K$742,ROW()-1,MATCH(C$1,'包络曲线数据'!$B$1:$K$1,0)),""))</x:f>
      </x:c>
      <x:c r="D631" t="str">
        <x:f>IF(D$1="","",IFERROR(INDEX('包络曲线数据'!$B$2:$K$742,ROW()-1,MATCH(D$1,'包络曲线数据'!$B$1:$K$1,0)),""))</x:f>
      </x:c>
      <x:c r="E631" t="str">
        <x:f>IF(E$1="","",IFERROR(INDEX('包络曲线数据'!$B$2:$K$742,ROW()-1,MATCH(E$1,'包络曲线数据'!$B$1:$K$1,0)),""))</x:f>
      </x:c>
      <x:c r="F631" t="str">
        <x:f>IF(F$1="","",IFERROR(INDEX('包络曲线数据'!$B$2:$K$742,ROW()-1,MATCH(F$1,'包络曲线数据'!$B$1:$K$1,0)),""))</x:f>
      </x:c>
      <x:c r="G631" t="str">
        <x:f>IF(G$1="","",IFERROR(INDEX('包络曲线数据'!$B$2:$K$742,ROW()-1,MATCH(G$1,'包络曲线数据'!$B$1:$K$1,0)),""))</x:f>
      </x:c>
    </x:row>
    <x:row r="632">
      <x:c r="A632" t="n">
        <x:v>63</x:v>
      </x:c>
      <x:c r="B632" t="n">
        <x:f>IF(B$1="","",IFERROR(INDEX('包络曲线数据'!$B$2:$K$742,ROW()-1,MATCH(B$1,'包络曲线数据'!$B$1:$K$1,0)),""))</x:f>
        <x:v>64.58150949905058</x:v>
      </x:c>
      <x:c r="C632" t="str">
        <x:f>IF(C$1="","",IFERROR(INDEX('包络曲线数据'!$B$2:$K$742,ROW()-1,MATCH(C$1,'包络曲线数据'!$B$1:$K$1,0)),""))</x:f>
      </x:c>
      <x:c r="D632" t="str">
        <x:f>IF(D$1="","",IFERROR(INDEX('包络曲线数据'!$B$2:$K$742,ROW()-1,MATCH(D$1,'包络曲线数据'!$B$1:$K$1,0)),""))</x:f>
      </x:c>
      <x:c r="E632" t="str">
        <x:f>IF(E$1="","",IFERROR(INDEX('包络曲线数据'!$B$2:$K$742,ROW()-1,MATCH(E$1,'包络曲线数据'!$B$1:$K$1,0)),""))</x:f>
      </x:c>
      <x:c r="F632" t="str">
        <x:f>IF(F$1="","",IFERROR(INDEX('包络曲线数据'!$B$2:$K$742,ROW()-1,MATCH(F$1,'包络曲线数据'!$B$1:$K$1,0)),""))</x:f>
      </x:c>
      <x:c r="G632" t="str">
        <x:f>IF(G$1="","",IFERROR(INDEX('包络曲线数据'!$B$2:$K$742,ROW()-1,MATCH(G$1,'包络曲线数据'!$B$1:$K$1,0)),""))</x:f>
      </x:c>
    </x:row>
    <x:row r="633">
      <x:c r="A633" t="n">
        <x:v>63.1</x:v>
      </x:c>
      <x:c r="B633" t="n">
        <x:f>IF(B$1="","",IFERROR(INDEX('包络曲线数据'!$B$2:$K$742,ROW()-1,MATCH(B$1,'包络曲线数据'!$B$1:$K$1,0)),""))</x:f>
        <x:v>65.57205246110384</x:v>
      </x:c>
      <x:c r="C633" t="str">
        <x:f>IF(C$1="","",IFERROR(INDEX('包络曲线数据'!$B$2:$K$742,ROW()-1,MATCH(C$1,'包络曲线数据'!$B$1:$K$1,0)),""))</x:f>
      </x:c>
      <x:c r="D633" t="str">
        <x:f>IF(D$1="","",IFERROR(INDEX('包络曲线数据'!$B$2:$K$742,ROW()-1,MATCH(D$1,'包络曲线数据'!$B$1:$K$1,0)),""))</x:f>
      </x:c>
      <x:c r="E633" t="str">
        <x:f>IF(E$1="","",IFERROR(INDEX('包络曲线数据'!$B$2:$K$742,ROW()-1,MATCH(E$1,'包络曲线数据'!$B$1:$K$1,0)),""))</x:f>
      </x:c>
      <x:c r="F633" t="str">
        <x:f>IF(F$1="","",IFERROR(INDEX('包络曲线数据'!$B$2:$K$742,ROW()-1,MATCH(F$1,'包络曲线数据'!$B$1:$K$1,0)),""))</x:f>
      </x:c>
      <x:c r="G633" t="str">
        <x:f>IF(G$1="","",IFERROR(INDEX('包络曲线数据'!$B$2:$K$742,ROW()-1,MATCH(G$1,'包络曲线数据'!$B$1:$K$1,0)),""))</x:f>
      </x:c>
    </x:row>
    <x:row r="634">
      <x:c r="A634" t="n">
        <x:v>63.2</x:v>
      </x:c>
      <x:c r="B634" t="n">
        <x:f>IF(B$1="","",IFERROR(INDEX('包络曲线数据'!$B$2:$K$742,ROW()-1,MATCH(B$1,'包络曲线数据'!$B$1:$K$1,0)),""))</x:f>
        <x:v>66.23162199462195</x:v>
      </x:c>
      <x:c r="C634" t="str">
        <x:f>IF(C$1="","",IFERROR(INDEX('包络曲线数据'!$B$2:$K$742,ROW()-1,MATCH(C$1,'包络曲线数据'!$B$1:$K$1,0)),""))</x:f>
      </x:c>
      <x:c r="D634" t="str">
        <x:f>IF(D$1="","",IFERROR(INDEX('包络曲线数据'!$B$2:$K$742,ROW()-1,MATCH(D$1,'包络曲线数据'!$B$1:$K$1,0)),""))</x:f>
      </x:c>
      <x:c r="E634" t="str">
        <x:f>IF(E$1="","",IFERROR(INDEX('包络曲线数据'!$B$2:$K$742,ROW()-1,MATCH(E$1,'包络曲线数据'!$B$1:$K$1,0)),""))</x:f>
      </x:c>
      <x:c r="F634" t="str">
        <x:f>IF(F$1="","",IFERROR(INDEX('包络曲线数据'!$B$2:$K$742,ROW()-1,MATCH(F$1,'包络曲线数据'!$B$1:$K$1,0)),""))</x:f>
      </x:c>
      <x:c r="G634" t="str">
        <x:f>IF(G$1="","",IFERROR(INDEX('包络曲线数据'!$B$2:$K$742,ROW()-1,MATCH(G$1,'包络曲线数据'!$B$1:$K$1,0)),""))</x:f>
      </x:c>
    </x:row>
    <x:row r="635">
      <x:c r="A635" t="n">
        <x:v>63.300000000000004</x:v>
      </x:c>
      <x:c r="B635" t="n">
        <x:f>IF(B$1="","",IFERROR(INDEX('包络曲线数据'!$B$2:$K$742,ROW()-1,MATCH(B$1,'包络曲线数据'!$B$1:$K$1,0)),""))</x:f>
        <x:v>66.23162199462138</x:v>
      </x:c>
      <x:c r="C635" t="str">
        <x:f>IF(C$1="","",IFERROR(INDEX('包络曲线数据'!$B$2:$K$742,ROW()-1,MATCH(C$1,'包络曲线数据'!$B$1:$K$1,0)),""))</x:f>
      </x:c>
      <x:c r="D635" t="str">
        <x:f>IF(D$1="","",IFERROR(INDEX('包络曲线数据'!$B$2:$K$742,ROW()-1,MATCH(D$1,'包络曲线数据'!$B$1:$K$1,0)),""))</x:f>
      </x:c>
      <x:c r="E635" t="str">
        <x:f>IF(E$1="","",IFERROR(INDEX('包络曲线数据'!$B$2:$K$742,ROW()-1,MATCH(E$1,'包络曲线数据'!$B$1:$K$1,0)),""))</x:f>
      </x:c>
      <x:c r="F635" t="str">
        <x:f>IF(F$1="","",IFERROR(INDEX('包络曲线数据'!$B$2:$K$742,ROW()-1,MATCH(F$1,'包络曲线数据'!$B$1:$K$1,0)),""))</x:f>
      </x:c>
      <x:c r="G635" t="str">
        <x:f>IF(G$1="","",IFERROR(INDEX('包络曲线数据'!$B$2:$K$742,ROW()-1,MATCH(G$1,'包络曲线数据'!$B$1:$K$1,0)),""))</x:f>
      </x:c>
    </x:row>
    <x:row r="636">
      <x:c r="A636" t="n">
        <x:v>63.400000000000006</x:v>
      </x:c>
      <x:c r="B636" t="n">
        <x:f>IF(B$1="","",IFERROR(INDEX('包络曲线数据'!$B$2:$K$742,ROW()-1,MATCH(B$1,'包络曲线数据'!$B$1:$K$1,0)),""))</x:f>
        <x:v>64.32556398580508</x:v>
      </x:c>
      <x:c r="C636" t="str">
        <x:f>IF(C$1="","",IFERROR(INDEX('包络曲线数据'!$B$2:$K$742,ROW()-1,MATCH(C$1,'包络曲线数据'!$B$1:$K$1,0)),""))</x:f>
      </x:c>
      <x:c r="D636" t="str">
        <x:f>IF(D$1="","",IFERROR(INDEX('包络曲线数据'!$B$2:$K$742,ROW()-1,MATCH(D$1,'包络曲线数据'!$B$1:$K$1,0)),""))</x:f>
      </x:c>
      <x:c r="E636" t="str">
        <x:f>IF(E$1="","",IFERROR(INDEX('包络曲线数据'!$B$2:$K$742,ROW()-1,MATCH(E$1,'包络曲线数据'!$B$1:$K$1,0)),""))</x:f>
      </x:c>
      <x:c r="F636" t="str">
        <x:f>IF(F$1="","",IFERROR(INDEX('包络曲线数据'!$B$2:$K$742,ROW()-1,MATCH(F$1,'包络曲线数据'!$B$1:$K$1,0)),""))</x:f>
      </x:c>
      <x:c r="G636" t="str">
        <x:f>IF(G$1="","",IFERROR(INDEX('包络曲线数据'!$B$2:$K$742,ROW()-1,MATCH(G$1,'包络曲线数据'!$B$1:$K$1,0)),""))</x:f>
      </x:c>
    </x:row>
    <x:row r="637">
      <x:c r="A637" t="n">
        <x:v>63.5</x:v>
      </x:c>
      <x:c r="B637" t="n">
        <x:f>IF(B$1="","",IFERROR(INDEX('包络曲线数据'!$B$2:$K$742,ROW()-1,MATCH(B$1,'包络曲线数据'!$B$1:$K$1,0)),""))</x:f>
        <x:v>65.17893049893478</x:v>
      </x:c>
      <x:c r="C637" t="str">
        <x:f>IF(C$1="","",IFERROR(INDEX('包络曲线数据'!$B$2:$K$742,ROW()-1,MATCH(C$1,'包络曲线数据'!$B$1:$K$1,0)),""))</x:f>
      </x:c>
      <x:c r="D637" t="str">
        <x:f>IF(D$1="","",IFERROR(INDEX('包络曲线数据'!$B$2:$K$742,ROW()-1,MATCH(D$1,'包络曲线数据'!$B$1:$K$1,0)),""))</x:f>
      </x:c>
      <x:c r="E637" t="str">
        <x:f>IF(E$1="","",IFERROR(INDEX('包络曲线数据'!$B$2:$K$742,ROW()-1,MATCH(E$1,'包络曲线数据'!$B$1:$K$1,0)),""))</x:f>
      </x:c>
      <x:c r="F637" t="str">
        <x:f>IF(F$1="","",IFERROR(INDEX('包络曲线数据'!$B$2:$K$742,ROW()-1,MATCH(F$1,'包络曲线数据'!$B$1:$K$1,0)),""))</x:f>
      </x:c>
      <x:c r="G637" t="str">
        <x:f>IF(G$1="","",IFERROR(INDEX('包络曲线数据'!$B$2:$K$742,ROW()-1,MATCH(G$1,'包络曲线数据'!$B$1:$K$1,0)),""))</x:f>
      </x:c>
    </x:row>
    <x:row r="638">
      <x:c r="A638" t="n">
        <x:v>63.6</x:v>
      </x:c>
      <x:c r="B638" t="n">
        <x:f>IF(B$1="","",IFERROR(INDEX('包络曲线数据'!$B$2:$K$742,ROW()-1,MATCH(B$1,'包络曲线数据'!$B$1:$K$1,0)),""))</x:f>
        <x:v>66.08753125489488</x:v>
      </x:c>
      <x:c r="C638" t="str">
        <x:f>IF(C$1="","",IFERROR(INDEX('包络曲线数据'!$B$2:$K$742,ROW()-1,MATCH(C$1,'包络曲线数据'!$B$1:$K$1,0)),""))</x:f>
      </x:c>
      <x:c r="D638" t="str">
        <x:f>IF(D$1="","",IFERROR(INDEX('包络曲线数据'!$B$2:$K$742,ROW()-1,MATCH(D$1,'包络曲线数据'!$B$1:$K$1,0)),""))</x:f>
      </x:c>
      <x:c r="E638" t="str">
        <x:f>IF(E$1="","",IFERROR(INDEX('包络曲线数据'!$B$2:$K$742,ROW()-1,MATCH(E$1,'包络曲线数据'!$B$1:$K$1,0)),""))</x:f>
      </x:c>
      <x:c r="F638" t="str">
        <x:f>IF(F$1="","",IFERROR(INDEX('包络曲线数据'!$B$2:$K$742,ROW()-1,MATCH(F$1,'包络曲线数据'!$B$1:$K$1,0)),""))</x:f>
      </x:c>
      <x:c r="G638" t="str">
        <x:f>IF(G$1="","",IFERROR(INDEX('包络曲线数据'!$B$2:$K$742,ROW()-1,MATCH(G$1,'包络曲线数据'!$B$1:$K$1,0)),""))</x:f>
      </x:c>
    </x:row>
    <x:row r="639">
      <x:c r="A639" t="n">
        <x:v>63.7</x:v>
      </x:c>
      <x:c r="B639" t="n">
        <x:f>IF(B$1="","",IFERROR(INDEX('包络曲线数据'!$B$2:$K$742,ROW()-1,MATCH(B$1,'包络曲线数据'!$B$1:$K$1,0)),""))</x:f>
        <x:v>66.1754584706328</x:v>
      </x:c>
      <x:c r="C639" t="str">
        <x:f>IF(C$1="","",IFERROR(INDEX('包络曲线数据'!$B$2:$K$742,ROW()-1,MATCH(C$1,'包络曲线数据'!$B$1:$K$1,0)),""))</x:f>
      </x:c>
      <x:c r="D639" t="str">
        <x:f>IF(D$1="","",IFERROR(INDEX('包络曲线数据'!$B$2:$K$742,ROW()-1,MATCH(D$1,'包络曲线数据'!$B$1:$K$1,0)),""))</x:f>
      </x:c>
      <x:c r="E639" t="str">
        <x:f>IF(E$1="","",IFERROR(INDEX('包络曲线数据'!$B$2:$K$742,ROW()-1,MATCH(E$1,'包络曲线数据'!$B$1:$K$1,0)),""))</x:f>
      </x:c>
      <x:c r="F639" t="str">
        <x:f>IF(F$1="","",IFERROR(INDEX('包络曲线数据'!$B$2:$K$742,ROW()-1,MATCH(F$1,'包络曲线数据'!$B$1:$K$1,0)),""))</x:f>
      </x:c>
      <x:c r="G639" t="str">
        <x:f>IF(G$1="","",IFERROR(INDEX('包络曲线数据'!$B$2:$K$742,ROW()-1,MATCH(G$1,'包络曲线数据'!$B$1:$K$1,0)),""))</x:f>
      </x:c>
    </x:row>
    <x:row r="640">
      <x:c r="A640" t="n">
        <x:v>63.800000000000004</x:v>
      </x:c>
      <x:c r="B640" t="n">
        <x:f>IF(B$1="","",IFERROR(INDEX('包络曲线数据'!$B$2:$K$742,ROW()-1,MATCH(B$1,'包络曲线数据'!$B$1:$K$1,0)),""))</x:f>
        <x:v>66.42595992975626</x:v>
      </x:c>
      <x:c r="C640" t="str">
        <x:f>IF(C$1="","",IFERROR(INDEX('包络曲线数据'!$B$2:$K$742,ROW()-1,MATCH(C$1,'包络曲线数据'!$B$1:$K$1,0)),""))</x:f>
      </x:c>
      <x:c r="D640" t="str">
        <x:f>IF(D$1="","",IFERROR(INDEX('包络曲线数据'!$B$2:$K$742,ROW()-1,MATCH(D$1,'包络曲线数据'!$B$1:$K$1,0)),""))</x:f>
      </x:c>
      <x:c r="E640" t="str">
        <x:f>IF(E$1="","",IFERROR(INDEX('包络曲线数据'!$B$2:$K$742,ROW()-1,MATCH(E$1,'包络曲线数据'!$B$1:$K$1,0)),""))</x:f>
      </x:c>
      <x:c r="F640" t="str">
        <x:f>IF(F$1="","",IFERROR(INDEX('包络曲线数据'!$B$2:$K$742,ROW()-1,MATCH(F$1,'包络曲线数据'!$B$1:$K$1,0)),""))</x:f>
      </x:c>
      <x:c r="G640" t="str">
        <x:f>IF(G$1="","",IFERROR(INDEX('包络曲线数据'!$B$2:$K$742,ROW()-1,MATCH(G$1,'包络曲线数据'!$B$1:$K$1,0)),""))</x:f>
      </x:c>
    </x:row>
    <x:row r="641">
      <x:c r="A641" t="n">
        <x:v>63.900000000000006</x:v>
      </x:c>
      <x:c r="B641" t="n">
        <x:f>IF(B$1="","",IFERROR(INDEX('包络曲线数据'!$B$2:$K$742,ROW()-1,MATCH(B$1,'包络曲线数据'!$B$1:$K$1,0)),""))</x:f>
        <x:v>76.79858019329414</x:v>
      </x:c>
      <x:c r="C641" t="str">
        <x:f>IF(C$1="","",IFERROR(INDEX('包络曲线数据'!$B$2:$K$742,ROW()-1,MATCH(C$1,'包络曲线数据'!$B$1:$K$1,0)),""))</x:f>
      </x:c>
      <x:c r="D641" t="str">
        <x:f>IF(D$1="","",IFERROR(INDEX('包络曲线数据'!$B$2:$K$742,ROW()-1,MATCH(D$1,'包络曲线数据'!$B$1:$K$1,0)),""))</x:f>
      </x:c>
      <x:c r="E641" t="str">
        <x:f>IF(E$1="","",IFERROR(INDEX('包络曲线数据'!$B$2:$K$742,ROW()-1,MATCH(E$1,'包络曲线数据'!$B$1:$K$1,0)),""))</x:f>
      </x:c>
      <x:c r="F641" t="str">
        <x:f>IF(F$1="","",IFERROR(INDEX('包络曲线数据'!$B$2:$K$742,ROW()-1,MATCH(F$1,'包络曲线数据'!$B$1:$K$1,0)),""))</x:f>
      </x:c>
      <x:c r="G641" t="str">
        <x:f>IF(G$1="","",IFERROR(INDEX('包络曲线数据'!$B$2:$K$742,ROW()-1,MATCH(G$1,'包络曲线数据'!$B$1:$K$1,0)),""))</x:f>
      </x:c>
    </x:row>
    <x:row r="642">
      <x:c r="A642" t="n">
        <x:v>64</x:v>
      </x:c>
      <x:c r="B642" t="n">
        <x:f>IF(B$1="","",IFERROR(INDEX('包络曲线数据'!$B$2:$K$742,ROW()-1,MATCH(B$1,'包络曲线数据'!$B$1:$K$1,0)),""))</x:f>
        <x:v>77.78927354667707</x:v>
      </x:c>
      <x:c r="C642" t="str">
        <x:f>IF(C$1="","",IFERROR(INDEX('包络曲线数据'!$B$2:$K$742,ROW()-1,MATCH(C$1,'包络曲线数据'!$B$1:$K$1,0)),""))</x:f>
      </x:c>
      <x:c r="D642" t="str">
        <x:f>IF(D$1="","",IFERROR(INDEX('包络曲线数据'!$B$2:$K$742,ROW()-1,MATCH(D$1,'包络曲线数据'!$B$1:$K$1,0)),""))</x:f>
      </x:c>
      <x:c r="E642" t="str">
        <x:f>IF(E$1="","",IFERROR(INDEX('包络曲线数据'!$B$2:$K$742,ROW()-1,MATCH(E$1,'包络曲线数据'!$B$1:$K$1,0)),""))</x:f>
      </x:c>
      <x:c r="F642" t="str">
        <x:f>IF(F$1="","",IFERROR(INDEX('包络曲线数据'!$B$2:$K$742,ROW()-1,MATCH(F$1,'包络曲线数据'!$B$1:$K$1,0)),""))</x:f>
      </x:c>
      <x:c r="G642" t="str">
        <x:f>IF(G$1="","",IFERROR(INDEX('包络曲线数据'!$B$2:$K$742,ROW()-1,MATCH(G$1,'包络曲线数据'!$B$1:$K$1,0)),""))</x:f>
      </x:c>
    </x:row>
    <x:row r="643">
      <x:c r="A643" t="n">
        <x:v>64.10000000000001</x:v>
      </x:c>
      <x:c r="B643" t="n">
        <x:f>IF(B$1="","",IFERROR(INDEX('包络曲线数据'!$B$2:$K$742,ROW()-1,MATCH(B$1,'包络曲线数据'!$B$1:$K$1,0)),""))</x:f>
        <x:v>77.78927354667577</x:v>
      </x:c>
      <x:c r="C643" t="str">
        <x:f>IF(C$1="","",IFERROR(INDEX('包络曲线数据'!$B$2:$K$742,ROW()-1,MATCH(C$1,'包络曲线数据'!$B$1:$K$1,0)),""))</x:f>
      </x:c>
      <x:c r="D643" t="str">
        <x:f>IF(D$1="","",IFERROR(INDEX('包络曲线数据'!$B$2:$K$742,ROW()-1,MATCH(D$1,'包络曲线数据'!$B$1:$K$1,0)),""))</x:f>
      </x:c>
      <x:c r="E643" t="str">
        <x:f>IF(E$1="","",IFERROR(INDEX('包络曲线数据'!$B$2:$K$742,ROW()-1,MATCH(E$1,'包络曲线数据'!$B$1:$K$1,0)),""))</x:f>
      </x:c>
      <x:c r="F643" t="str">
        <x:f>IF(F$1="","",IFERROR(INDEX('包络曲线数据'!$B$2:$K$742,ROW()-1,MATCH(F$1,'包络曲线数据'!$B$1:$K$1,0)),""))</x:f>
      </x:c>
      <x:c r="G643" t="str">
        <x:f>IF(G$1="","",IFERROR(INDEX('包络曲线数据'!$B$2:$K$742,ROW()-1,MATCH(G$1,'包络曲线数据'!$B$1:$K$1,0)),""))</x:f>
      </x:c>
    </x:row>
    <x:row r="644">
      <x:c r="A644" t="n">
        <x:v>64.2</x:v>
      </x:c>
      <x:c r="B644" t="n">
        <x:f>IF(B$1="","",IFERROR(INDEX('包络曲线数据'!$B$2:$K$742,ROW()-1,MATCH(B$1,'包络曲线数据'!$B$1:$K$1,0)),""))</x:f>
        <x:v>67.60931483523983</x:v>
      </x:c>
      <x:c r="C644" t="str">
        <x:f>IF(C$1="","",IFERROR(INDEX('包络曲线数据'!$B$2:$K$742,ROW()-1,MATCH(C$1,'包络曲线数据'!$B$1:$K$1,0)),""))</x:f>
      </x:c>
      <x:c r="D644" t="str">
        <x:f>IF(D$1="","",IFERROR(INDEX('包络曲线数据'!$B$2:$K$742,ROW()-1,MATCH(D$1,'包络曲线数据'!$B$1:$K$1,0)),""))</x:f>
      </x:c>
      <x:c r="E644" t="str">
        <x:f>IF(E$1="","",IFERROR(INDEX('包络曲线数据'!$B$2:$K$742,ROW()-1,MATCH(E$1,'包络曲线数据'!$B$1:$K$1,0)),""))</x:f>
      </x:c>
      <x:c r="F644" t="str">
        <x:f>IF(F$1="","",IFERROR(INDEX('包络曲线数据'!$B$2:$K$742,ROW()-1,MATCH(F$1,'包络曲线数据'!$B$1:$K$1,0)),""))</x:f>
      </x:c>
      <x:c r="G644" t="str">
        <x:f>IF(G$1="","",IFERROR(INDEX('包络曲线数据'!$B$2:$K$742,ROW()-1,MATCH(G$1,'包络曲线数据'!$B$1:$K$1,0)),""))</x:f>
      </x:c>
    </x:row>
    <x:row r="645">
      <x:c r="A645" t="n">
        <x:v>64.3</x:v>
      </x:c>
      <x:c r="B645" t="n">
        <x:f>IF(B$1="","",IFERROR(INDEX('包络曲线数据'!$B$2:$K$742,ROW()-1,MATCH(B$1,'包络曲线数据'!$B$1:$K$1,0)),""))</x:f>
        <x:v>57.29715053942596</x:v>
      </x:c>
      <x:c r="C645" t="str">
        <x:f>IF(C$1="","",IFERROR(INDEX('包络曲线数据'!$B$2:$K$742,ROW()-1,MATCH(C$1,'包络曲线数据'!$B$1:$K$1,0)),""))</x:f>
      </x:c>
      <x:c r="D645" t="str">
        <x:f>IF(D$1="","",IFERROR(INDEX('包络曲线数据'!$B$2:$K$742,ROW()-1,MATCH(D$1,'包络曲线数据'!$B$1:$K$1,0)),""))</x:f>
      </x:c>
      <x:c r="E645" t="str">
        <x:f>IF(E$1="","",IFERROR(INDEX('包络曲线数据'!$B$2:$K$742,ROW()-1,MATCH(E$1,'包络曲线数据'!$B$1:$K$1,0)),""))</x:f>
      </x:c>
      <x:c r="F645" t="str">
        <x:f>IF(F$1="","",IFERROR(INDEX('包络曲线数据'!$B$2:$K$742,ROW()-1,MATCH(F$1,'包络曲线数据'!$B$1:$K$1,0)),""))</x:f>
      </x:c>
      <x:c r="G645" t="str">
        <x:f>IF(G$1="","",IFERROR(INDEX('包络曲线数据'!$B$2:$K$742,ROW()-1,MATCH(G$1,'包络曲线数据'!$B$1:$K$1,0)),""))</x:f>
      </x:c>
    </x:row>
    <x:row r="646">
      <x:c r="A646" t="n">
        <x:v>64.4</x:v>
      </x:c>
      <x:c r="B646" t="n">
        <x:f>IF(B$1="","",IFERROR(INDEX('包络曲线数据'!$B$2:$K$742,ROW()-1,MATCH(B$1,'包络曲线数据'!$B$1:$K$1,0)),""))</x:f>
        <x:v>50</x:v>
      </x:c>
      <x:c r="C646" t="str">
        <x:f>IF(C$1="","",IFERROR(INDEX('包络曲线数据'!$B$2:$K$742,ROW()-1,MATCH(C$1,'包络曲线数据'!$B$1:$K$1,0)),""))</x:f>
      </x:c>
      <x:c r="D646" t="str">
        <x:f>IF(D$1="","",IFERROR(INDEX('包络曲线数据'!$B$2:$K$742,ROW()-1,MATCH(D$1,'包络曲线数据'!$B$1:$K$1,0)),""))</x:f>
      </x:c>
      <x:c r="E646" t="str">
        <x:f>IF(E$1="","",IFERROR(INDEX('包络曲线数据'!$B$2:$K$742,ROW()-1,MATCH(E$1,'包络曲线数据'!$B$1:$K$1,0)),""))</x:f>
      </x:c>
      <x:c r="F646" t="str">
        <x:f>IF(F$1="","",IFERROR(INDEX('包络曲线数据'!$B$2:$K$742,ROW()-1,MATCH(F$1,'包络曲线数据'!$B$1:$K$1,0)),""))</x:f>
      </x:c>
      <x:c r="G646" t="str">
        <x:f>IF(G$1="","",IFERROR(INDEX('包络曲线数据'!$B$2:$K$742,ROW()-1,MATCH(G$1,'包络曲线数据'!$B$1:$K$1,0)),""))</x:f>
      </x:c>
    </x:row>
    <x:row r="647">
      <x:c r="A647" t="n">
        <x:v>64.5</x:v>
      </x:c>
      <x:c r="B647" t="n">
        <x:f>IF(B$1="","",IFERROR(INDEX('包络曲线数据'!$B$2:$K$742,ROW()-1,MATCH(B$1,'包络曲线数据'!$B$1:$K$1,0)),""))</x:f>
        <x:v>50</x:v>
      </x:c>
      <x:c r="C647" t="str">
        <x:f>IF(C$1="","",IFERROR(INDEX('包络曲线数据'!$B$2:$K$742,ROW()-1,MATCH(C$1,'包络曲线数据'!$B$1:$K$1,0)),""))</x:f>
      </x:c>
      <x:c r="D647" t="str">
        <x:f>IF(D$1="","",IFERROR(INDEX('包络曲线数据'!$B$2:$K$742,ROW()-1,MATCH(D$1,'包络曲线数据'!$B$1:$K$1,0)),""))</x:f>
      </x:c>
      <x:c r="E647" t="str">
        <x:f>IF(E$1="","",IFERROR(INDEX('包络曲线数据'!$B$2:$K$742,ROW()-1,MATCH(E$1,'包络曲线数据'!$B$1:$K$1,0)),""))</x:f>
      </x:c>
      <x:c r="F647" t="str">
        <x:f>IF(F$1="","",IFERROR(INDEX('包络曲线数据'!$B$2:$K$742,ROW()-1,MATCH(F$1,'包络曲线数据'!$B$1:$K$1,0)),""))</x:f>
      </x:c>
      <x:c r="G647" t="str">
        <x:f>IF(G$1="","",IFERROR(INDEX('包络曲线数据'!$B$2:$K$742,ROW()-1,MATCH(G$1,'包络曲线数据'!$B$1:$K$1,0)),""))</x:f>
      </x:c>
    </x:row>
    <x:row r="648">
      <x:c r="A648" t="n">
        <x:v>64.60000000000001</x:v>
      </x:c>
      <x:c r="B648" t="n">
        <x:f>IF(B$1="","",IFERROR(INDEX('包络曲线数据'!$B$2:$K$742,ROW()-1,MATCH(B$1,'包络曲线数据'!$B$1:$K$1,0)),""))</x:f>
        <x:v>55.83626130510414</x:v>
      </x:c>
      <x:c r="C648" t="str">
        <x:f>IF(C$1="","",IFERROR(INDEX('包络曲线数据'!$B$2:$K$742,ROW()-1,MATCH(C$1,'包络曲线数据'!$B$1:$K$1,0)),""))</x:f>
      </x:c>
      <x:c r="D648" t="str">
        <x:f>IF(D$1="","",IFERROR(INDEX('包络曲线数据'!$B$2:$K$742,ROW()-1,MATCH(D$1,'包络曲线数据'!$B$1:$K$1,0)),""))</x:f>
      </x:c>
      <x:c r="E648" t="str">
        <x:f>IF(E$1="","",IFERROR(INDEX('包络曲线数据'!$B$2:$K$742,ROW()-1,MATCH(E$1,'包络曲线数据'!$B$1:$K$1,0)),""))</x:f>
      </x:c>
      <x:c r="F648" t="str">
        <x:f>IF(F$1="","",IFERROR(INDEX('包络曲线数据'!$B$2:$K$742,ROW()-1,MATCH(F$1,'包络曲线数据'!$B$1:$K$1,0)),""))</x:f>
      </x:c>
      <x:c r="G648" t="str">
        <x:f>IF(G$1="","",IFERROR(INDEX('包络曲线数据'!$B$2:$K$742,ROW()-1,MATCH(G$1,'包络曲线数据'!$B$1:$K$1,0)),""))</x:f>
      </x:c>
    </x:row>
    <x:row r="649">
      <x:c r="A649" t="n">
        <x:v>64.7</x:v>
      </x:c>
      <x:c r="B649" t="n">
        <x:f>IF(B$1="","",IFERROR(INDEX('包络曲线数据'!$B$2:$K$742,ROW()-1,MATCH(B$1,'包络曲线数据'!$B$1:$K$1,0)),""))</x:f>
        <x:v>56.25534200592625</x:v>
      </x:c>
      <x:c r="C649" t="str">
        <x:f>IF(C$1="","",IFERROR(INDEX('包络曲线数据'!$B$2:$K$742,ROW()-1,MATCH(C$1,'包络曲线数据'!$B$1:$K$1,0)),""))</x:f>
      </x:c>
      <x:c r="D649" t="str">
        <x:f>IF(D$1="","",IFERROR(INDEX('包络曲线数据'!$B$2:$K$742,ROW()-1,MATCH(D$1,'包络曲线数据'!$B$1:$K$1,0)),""))</x:f>
      </x:c>
      <x:c r="E649" t="str">
        <x:f>IF(E$1="","",IFERROR(INDEX('包络曲线数据'!$B$2:$K$742,ROW()-1,MATCH(E$1,'包络曲线数据'!$B$1:$K$1,0)),""))</x:f>
      </x:c>
      <x:c r="F649" t="str">
        <x:f>IF(F$1="","",IFERROR(INDEX('包络曲线数据'!$B$2:$K$742,ROW()-1,MATCH(F$1,'包络曲线数据'!$B$1:$K$1,0)),""))</x:f>
      </x:c>
      <x:c r="G649" t="str">
        <x:f>IF(G$1="","",IFERROR(INDEX('包络曲线数据'!$B$2:$K$742,ROW()-1,MATCH(G$1,'包络曲线数据'!$B$1:$K$1,0)),""))</x:f>
      </x:c>
    </x:row>
    <x:row r="650">
      <x:c r="A650" t="n">
        <x:v>64.8</x:v>
      </x:c>
      <x:c r="B650" t="n">
        <x:f>IF(B$1="","",IFERROR(INDEX('包络曲线数据'!$B$2:$K$742,ROW()-1,MATCH(B$1,'包络曲线数据'!$B$1:$K$1,0)),""))</x:f>
        <x:v>57.647413638502705</x:v>
      </x:c>
      <x:c r="C650" t="str">
        <x:f>IF(C$1="","",IFERROR(INDEX('包络曲线数据'!$B$2:$K$742,ROW()-1,MATCH(C$1,'包络曲线数据'!$B$1:$K$1,0)),""))</x:f>
      </x:c>
      <x:c r="D650" t="str">
        <x:f>IF(D$1="","",IFERROR(INDEX('包络曲线数据'!$B$2:$K$742,ROW()-1,MATCH(D$1,'包络曲线数据'!$B$1:$K$1,0)),""))</x:f>
      </x:c>
      <x:c r="E650" t="str">
        <x:f>IF(E$1="","",IFERROR(INDEX('包络曲线数据'!$B$2:$K$742,ROW()-1,MATCH(E$1,'包络曲线数据'!$B$1:$K$1,0)),""))</x:f>
      </x:c>
      <x:c r="F650" t="str">
        <x:f>IF(F$1="","",IFERROR(INDEX('包络曲线数据'!$B$2:$K$742,ROW()-1,MATCH(F$1,'包络曲线数据'!$B$1:$K$1,0)),""))</x:f>
      </x:c>
      <x:c r="G650" t="str">
        <x:f>IF(G$1="","",IFERROR(INDEX('包络曲线数据'!$B$2:$K$742,ROW()-1,MATCH(G$1,'包络曲线数据'!$B$1:$K$1,0)),""))</x:f>
      </x:c>
    </x:row>
    <x:row r="651">
      <x:c r="A651" t="n">
        <x:v>64.9</x:v>
      </x:c>
      <x:c r="B651" t="n">
        <x:f>IF(B$1="","",IFERROR(INDEX('包络曲线数据'!$B$2:$K$742,ROW()-1,MATCH(B$1,'包络曲线数据'!$B$1:$K$1,0)),""))</x:f>
        <x:v>59.07831120900963</x:v>
      </x:c>
      <x:c r="C651" t="str">
        <x:f>IF(C$1="","",IFERROR(INDEX('包络曲线数据'!$B$2:$K$742,ROW()-1,MATCH(C$1,'包络曲线数据'!$B$1:$K$1,0)),""))</x:f>
      </x:c>
      <x:c r="D651" t="str">
        <x:f>IF(D$1="","",IFERROR(INDEX('包络曲线数据'!$B$2:$K$742,ROW()-1,MATCH(D$1,'包络曲线数据'!$B$1:$K$1,0)),""))</x:f>
      </x:c>
      <x:c r="E651" t="str">
        <x:f>IF(E$1="","",IFERROR(INDEX('包络曲线数据'!$B$2:$K$742,ROW()-1,MATCH(E$1,'包络曲线数据'!$B$1:$K$1,0)),""))</x:f>
      </x:c>
      <x:c r="F651" t="str">
        <x:f>IF(F$1="","",IFERROR(INDEX('包络曲线数据'!$B$2:$K$742,ROW()-1,MATCH(F$1,'包络曲线数据'!$B$1:$K$1,0)),""))</x:f>
      </x:c>
      <x:c r="G651" t="str">
        <x:f>IF(G$1="","",IFERROR(INDEX('包络曲线数据'!$B$2:$K$742,ROW()-1,MATCH(G$1,'包络曲线数据'!$B$1:$K$1,0)),""))</x:f>
      </x:c>
    </x:row>
    <x:row r="652">
      <x:c r="A652" t="n">
        <x:v>65</x:v>
      </x:c>
      <x:c r="B652" t="n">
        <x:f>IF(B$1="","",IFERROR(INDEX('包络曲线数据'!$B$2:$K$742,ROW()-1,MATCH(B$1,'包络曲线数据'!$B$1:$K$1,0)),""))</x:f>
        <x:v>59.07831120900963</x:v>
      </x:c>
      <x:c r="C652" t="str">
        <x:f>IF(C$1="","",IFERROR(INDEX('包络曲线数据'!$B$2:$K$742,ROW()-1,MATCH(C$1,'包络曲线数据'!$B$1:$K$1,0)),""))</x:f>
      </x:c>
      <x:c r="D652" t="str">
        <x:f>IF(D$1="","",IFERROR(INDEX('包络曲线数据'!$B$2:$K$742,ROW()-1,MATCH(D$1,'包络曲线数据'!$B$1:$K$1,0)),""))</x:f>
      </x:c>
      <x:c r="E652" t="str">
        <x:f>IF(E$1="","",IFERROR(INDEX('包络曲线数据'!$B$2:$K$742,ROW()-1,MATCH(E$1,'包络曲线数据'!$B$1:$K$1,0)),""))</x:f>
      </x:c>
      <x:c r="F652" t="str">
        <x:f>IF(F$1="","",IFERROR(INDEX('包络曲线数据'!$B$2:$K$742,ROW()-1,MATCH(F$1,'包络曲线数据'!$B$1:$K$1,0)),""))</x:f>
      </x:c>
      <x:c r="G652" t="str">
        <x:f>IF(G$1="","",IFERROR(INDEX('包络曲线数据'!$B$2:$K$742,ROW()-1,MATCH(G$1,'包络曲线数据'!$B$1:$K$1,0)),""))</x:f>
      </x:c>
    </x:row>
    <x:row r="653">
      <x:c r="A653" t="n">
        <x:v>65.10000000000001</x:v>
      </x:c>
      <x:c r="B653" t="n">
        <x:f>IF(B$1="","",IFERROR(INDEX('包络曲线数据'!$B$2:$K$742,ROW()-1,MATCH(B$1,'包络曲线数据'!$B$1:$K$1,0)),""))</x:f>
        <x:v>70.5730386052529</x:v>
      </x:c>
      <x:c r="C653" t="str">
        <x:f>IF(C$1="","",IFERROR(INDEX('包络曲线数据'!$B$2:$K$742,ROW()-1,MATCH(C$1,'包络曲线数据'!$B$1:$K$1,0)),""))</x:f>
      </x:c>
      <x:c r="D653" t="str">
        <x:f>IF(D$1="","",IFERROR(INDEX('包络曲线数据'!$B$2:$K$742,ROW()-1,MATCH(D$1,'包络曲线数据'!$B$1:$K$1,0)),""))</x:f>
      </x:c>
      <x:c r="E653" t="str">
        <x:f>IF(E$1="","",IFERROR(INDEX('包络曲线数据'!$B$2:$K$742,ROW()-1,MATCH(E$1,'包络曲线数据'!$B$1:$K$1,0)),""))</x:f>
      </x:c>
      <x:c r="F653" t="str">
        <x:f>IF(F$1="","",IFERROR(INDEX('包络曲线数据'!$B$2:$K$742,ROW()-1,MATCH(F$1,'包络曲线数据'!$B$1:$K$1,0)),""))</x:f>
      </x:c>
      <x:c r="G653" t="str">
        <x:f>IF(G$1="","",IFERROR(INDEX('包络曲线数据'!$B$2:$K$742,ROW()-1,MATCH(G$1,'包络曲线数据'!$B$1:$K$1,0)),""))</x:f>
      </x:c>
    </x:row>
    <x:row r="654">
      <x:c r="A654" t="n">
        <x:v>65.2</x:v>
      </x:c>
      <x:c r="B654" t="n">
        <x:f>IF(B$1="","",IFERROR(INDEX('包络曲线数据'!$B$2:$K$742,ROW()-1,MATCH(B$1,'包络曲线数据'!$B$1:$K$1,0)),""))</x:f>
        <x:v>72.97538375903555</x:v>
      </x:c>
      <x:c r="C654" t="str">
        <x:f>IF(C$1="","",IFERROR(INDEX('包络曲线数据'!$B$2:$K$742,ROW()-1,MATCH(C$1,'包络曲线数据'!$B$1:$K$1,0)),""))</x:f>
      </x:c>
      <x:c r="D654" t="str">
        <x:f>IF(D$1="","",IFERROR(INDEX('包络曲线数据'!$B$2:$K$742,ROW()-1,MATCH(D$1,'包络曲线数据'!$B$1:$K$1,0)),""))</x:f>
      </x:c>
      <x:c r="E654" t="str">
        <x:f>IF(E$1="","",IFERROR(INDEX('包络曲线数据'!$B$2:$K$742,ROW()-1,MATCH(E$1,'包络曲线数据'!$B$1:$K$1,0)),""))</x:f>
      </x:c>
      <x:c r="F654" t="str">
        <x:f>IF(F$1="","",IFERROR(INDEX('包络曲线数据'!$B$2:$K$742,ROW()-1,MATCH(F$1,'包络曲线数据'!$B$1:$K$1,0)),""))</x:f>
      </x:c>
      <x:c r="G654" t="str">
        <x:f>IF(G$1="","",IFERROR(INDEX('包络曲线数据'!$B$2:$K$742,ROW()-1,MATCH(G$1,'包络曲线数据'!$B$1:$K$1,0)),""))</x:f>
      </x:c>
    </x:row>
    <x:row r="655">
      <x:c r="A655" t="n">
        <x:v>65.3</x:v>
      </x:c>
      <x:c r="B655" t="n">
        <x:f>IF(B$1="","",IFERROR(INDEX('包络曲线数据'!$B$2:$K$742,ROW()-1,MATCH(B$1,'包络曲线数据'!$B$1:$K$1,0)),""))</x:f>
        <x:v>72.97538375903555</x:v>
      </x:c>
      <x:c r="C655" t="str">
        <x:f>IF(C$1="","",IFERROR(INDEX('包络曲线数据'!$B$2:$K$742,ROW()-1,MATCH(C$1,'包络曲线数据'!$B$1:$K$1,0)),""))</x:f>
      </x:c>
      <x:c r="D655" t="str">
        <x:f>IF(D$1="","",IFERROR(INDEX('包络曲线数据'!$B$2:$K$742,ROW()-1,MATCH(D$1,'包络曲线数据'!$B$1:$K$1,0)),""))</x:f>
      </x:c>
      <x:c r="E655" t="str">
        <x:f>IF(E$1="","",IFERROR(INDEX('包络曲线数据'!$B$2:$K$742,ROW()-1,MATCH(E$1,'包络曲线数据'!$B$1:$K$1,0)),""))</x:f>
      </x:c>
      <x:c r="F655" t="str">
        <x:f>IF(F$1="","",IFERROR(INDEX('包络曲线数据'!$B$2:$K$742,ROW()-1,MATCH(F$1,'包络曲线数据'!$B$1:$K$1,0)),""))</x:f>
      </x:c>
      <x:c r="G655" t="str">
        <x:f>IF(G$1="","",IFERROR(INDEX('包络曲线数据'!$B$2:$K$742,ROW()-1,MATCH(G$1,'包络曲线数据'!$B$1:$K$1,0)),""))</x:f>
      </x:c>
    </x:row>
    <x:row r="656">
      <x:c r="A656" t="n">
        <x:v>65.4</x:v>
      </x:c>
      <x:c r="B656" t="n">
        <x:f>IF(B$1="","",IFERROR(INDEX('包络曲线数据'!$B$2:$K$742,ROW()-1,MATCH(B$1,'包络曲线数据'!$B$1:$K$1,0)),""))</x:f>
        <x:v>69.06323071063358</x:v>
      </x:c>
      <x:c r="C656" t="str">
        <x:f>IF(C$1="","",IFERROR(INDEX('包络曲线数据'!$B$2:$K$742,ROW()-1,MATCH(C$1,'包络曲线数据'!$B$1:$K$1,0)),""))</x:f>
      </x:c>
      <x:c r="D656" t="str">
        <x:f>IF(D$1="","",IFERROR(INDEX('包络曲线数据'!$B$2:$K$742,ROW()-1,MATCH(D$1,'包络曲线数据'!$B$1:$K$1,0)),""))</x:f>
      </x:c>
      <x:c r="E656" t="str">
        <x:f>IF(E$1="","",IFERROR(INDEX('包络曲线数据'!$B$2:$K$742,ROW()-1,MATCH(E$1,'包络曲线数据'!$B$1:$K$1,0)),""))</x:f>
      </x:c>
      <x:c r="F656" t="str">
        <x:f>IF(F$1="","",IFERROR(INDEX('包络曲线数据'!$B$2:$K$742,ROW()-1,MATCH(F$1,'包络曲线数据'!$B$1:$K$1,0)),""))</x:f>
      </x:c>
      <x:c r="G656" t="str">
        <x:f>IF(G$1="","",IFERROR(INDEX('包络曲线数据'!$B$2:$K$742,ROW()-1,MATCH(G$1,'包络曲线数据'!$B$1:$K$1,0)),""))</x:f>
      </x:c>
    </x:row>
    <x:row r="657">
      <x:c r="A657" t="n">
        <x:v>65.5</x:v>
      </x:c>
      <x:c r="B657" t="n">
        <x:f>IF(B$1="","",IFERROR(INDEX('包络曲线数据'!$B$2:$K$742,ROW()-1,MATCH(B$1,'包络曲线数据'!$B$1:$K$1,0)),""))</x:f>
        <x:v>60.58138656629089</x:v>
      </x:c>
      <x:c r="C657" t="str">
        <x:f>IF(C$1="","",IFERROR(INDEX('包络曲线数据'!$B$2:$K$742,ROW()-1,MATCH(C$1,'包络曲线数据'!$B$1:$K$1,0)),""))</x:f>
      </x:c>
      <x:c r="D657" t="str">
        <x:f>IF(D$1="","",IFERROR(INDEX('包络曲线数据'!$B$2:$K$742,ROW()-1,MATCH(D$1,'包络曲线数据'!$B$1:$K$1,0)),""))</x:f>
      </x:c>
      <x:c r="E657" t="str">
        <x:f>IF(E$1="","",IFERROR(INDEX('包络曲线数据'!$B$2:$K$742,ROW()-1,MATCH(E$1,'包络曲线数据'!$B$1:$K$1,0)),""))</x:f>
      </x:c>
      <x:c r="F657" t="str">
        <x:f>IF(F$1="","",IFERROR(INDEX('包络曲线数据'!$B$2:$K$742,ROW()-1,MATCH(F$1,'包络曲线数据'!$B$1:$K$1,0)),""))</x:f>
      </x:c>
      <x:c r="G657" t="str">
        <x:f>IF(G$1="","",IFERROR(INDEX('包络曲线数据'!$B$2:$K$742,ROW()-1,MATCH(G$1,'包络曲线数据'!$B$1:$K$1,0)),""))</x:f>
      </x:c>
    </x:row>
    <x:row r="658">
      <x:c r="A658" t="n">
        <x:v>65.60000000000001</x:v>
      </x:c>
      <x:c r="B658" t="n">
        <x:f>IF(B$1="","",IFERROR(INDEX('包络曲线数据'!$B$2:$K$742,ROW()-1,MATCH(B$1,'包络曲线数据'!$B$1:$K$1,0)),""))</x:f>
        <x:v>63.3510299137481</x:v>
      </x:c>
      <x:c r="C658" t="str">
        <x:f>IF(C$1="","",IFERROR(INDEX('包络曲线数据'!$B$2:$K$742,ROW()-1,MATCH(C$1,'包络曲线数据'!$B$1:$K$1,0)),""))</x:f>
      </x:c>
      <x:c r="D658" t="str">
        <x:f>IF(D$1="","",IFERROR(INDEX('包络曲线数据'!$B$2:$K$742,ROW()-1,MATCH(D$1,'包络曲线数据'!$B$1:$K$1,0)),""))</x:f>
      </x:c>
      <x:c r="E658" t="str">
        <x:f>IF(E$1="","",IFERROR(INDEX('包络曲线数据'!$B$2:$K$742,ROW()-1,MATCH(E$1,'包络曲线数据'!$B$1:$K$1,0)),""))</x:f>
      </x:c>
      <x:c r="F658" t="str">
        <x:f>IF(F$1="","",IFERROR(INDEX('包络曲线数据'!$B$2:$K$742,ROW()-1,MATCH(F$1,'包络曲线数据'!$B$1:$K$1,0)),""))</x:f>
      </x:c>
      <x:c r="G658" t="str">
        <x:f>IF(G$1="","",IFERROR(INDEX('包络曲线数据'!$B$2:$K$742,ROW()-1,MATCH(G$1,'包络曲线数据'!$B$1:$K$1,0)),""))</x:f>
      </x:c>
    </x:row>
    <x:row r="659">
      <x:c r="A659" t="n">
        <x:v>65.7</x:v>
      </x:c>
      <x:c r="B659" t="n">
        <x:f>IF(B$1="","",IFERROR(INDEX('包络曲线数据'!$B$2:$K$742,ROW()-1,MATCH(B$1,'包络曲线数据'!$B$1:$K$1,0)),""))</x:f>
        <x:v>64.25187685199027</x:v>
      </x:c>
      <x:c r="C659" t="str">
        <x:f>IF(C$1="","",IFERROR(INDEX('包络曲线数据'!$B$2:$K$742,ROW()-1,MATCH(C$1,'包络曲线数据'!$B$1:$K$1,0)),""))</x:f>
      </x:c>
      <x:c r="D659" t="str">
        <x:f>IF(D$1="","",IFERROR(INDEX('包络曲线数据'!$B$2:$K$742,ROW()-1,MATCH(D$1,'包络曲线数据'!$B$1:$K$1,0)),""))</x:f>
      </x:c>
      <x:c r="E659" t="str">
        <x:f>IF(E$1="","",IFERROR(INDEX('包络曲线数据'!$B$2:$K$742,ROW()-1,MATCH(E$1,'包络曲线数据'!$B$1:$K$1,0)),""))</x:f>
      </x:c>
      <x:c r="F659" t="str">
        <x:f>IF(F$1="","",IFERROR(INDEX('包络曲线数据'!$B$2:$K$742,ROW()-1,MATCH(F$1,'包络曲线数据'!$B$1:$K$1,0)),""))</x:f>
      </x:c>
      <x:c r="G659" t="str">
        <x:f>IF(G$1="","",IFERROR(INDEX('包络曲线数据'!$B$2:$K$742,ROW()-1,MATCH(G$1,'包络曲线数据'!$B$1:$K$1,0)),""))</x:f>
      </x:c>
    </x:row>
    <x:row r="660">
      <x:c r="A660" t="n">
        <x:v>65.8</x:v>
      </x:c>
      <x:c r="B660" t="n">
        <x:f>IF(B$1="","",IFERROR(INDEX('包络曲线数据'!$B$2:$K$742,ROW()-1,MATCH(B$1,'包络曲线数据'!$B$1:$K$1,0)),""))</x:f>
        <x:v>66.50564341408074</x:v>
      </x:c>
      <x:c r="C660" t="str">
        <x:f>IF(C$1="","",IFERROR(INDEX('包络曲线数据'!$B$2:$K$742,ROW()-1,MATCH(C$1,'包络曲线数据'!$B$1:$K$1,0)),""))</x:f>
      </x:c>
      <x:c r="D660" t="str">
        <x:f>IF(D$1="","",IFERROR(INDEX('包络曲线数据'!$B$2:$K$742,ROW()-1,MATCH(D$1,'包络曲线数据'!$B$1:$K$1,0)),""))</x:f>
      </x:c>
      <x:c r="E660" t="str">
        <x:f>IF(E$1="","",IFERROR(INDEX('包络曲线数据'!$B$2:$K$742,ROW()-1,MATCH(E$1,'包络曲线数据'!$B$1:$K$1,0)),""))</x:f>
      </x:c>
      <x:c r="F660" t="str">
        <x:f>IF(F$1="","",IFERROR(INDEX('包络曲线数据'!$B$2:$K$742,ROW()-1,MATCH(F$1,'包络曲线数据'!$B$1:$K$1,0)),""))</x:f>
      </x:c>
      <x:c r="G660" t="str">
        <x:f>IF(G$1="","",IFERROR(INDEX('包络曲线数据'!$B$2:$K$742,ROW()-1,MATCH(G$1,'包络曲线数据'!$B$1:$K$1,0)),""))</x:f>
      </x:c>
    </x:row>
    <x:row r="661">
      <x:c r="A661" t="n">
        <x:v>65.9</x:v>
      </x:c>
      <x:c r="B661" t="n">
        <x:f>IF(B$1="","",IFERROR(INDEX('包络曲线数据'!$B$2:$K$742,ROW()-1,MATCH(B$1,'包络曲线数据'!$B$1:$K$1,0)),""))</x:f>
        <x:v>67.0621837372567</x:v>
      </x:c>
      <x:c r="C661" t="str">
        <x:f>IF(C$1="","",IFERROR(INDEX('包络曲线数据'!$B$2:$K$742,ROW()-1,MATCH(C$1,'包络曲线数据'!$B$1:$K$1,0)),""))</x:f>
      </x:c>
      <x:c r="D661" t="str">
        <x:f>IF(D$1="","",IFERROR(INDEX('包络曲线数据'!$B$2:$K$742,ROW()-1,MATCH(D$1,'包络曲线数据'!$B$1:$K$1,0)),""))</x:f>
      </x:c>
      <x:c r="E661" t="str">
        <x:f>IF(E$1="","",IFERROR(INDEX('包络曲线数据'!$B$2:$K$742,ROW()-1,MATCH(E$1,'包络曲线数据'!$B$1:$K$1,0)),""))</x:f>
      </x:c>
      <x:c r="F661" t="str">
        <x:f>IF(F$1="","",IFERROR(INDEX('包络曲线数据'!$B$2:$K$742,ROW()-1,MATCH(F$1,'包络曲线数据'!$B$1:$K$1,0)),""))</x:f>
      </x:c>
      <x:c r="G661" t="str">
        <x:f>IF(G$1="","",IFERROR(INDEX('包络曲线数据'!$B$2:$K$742,ROW()-1,MATCH(G$1,'包络曲线数据'!$B$1:$K$1,0)),""))</x:f>
      </x:c>
    </x:row>
    <x:row r="662">
      <x:c r="A662" t="n">
        <x:v>66</x:v>
      </x:c>
      <x:c r="B662" t="n">
        <x:f>IF(B$1="","",IFERROR(INDEX('包络曲线数据'!$B$2:$K$742,ROW()-1,MATCH(B$1,'包络曲线数据'!$B$1:$K$1,0)),""))</x:f>
        <x:v>67.52817373604839</x:v>
      </x:c>
      <x:c r="C662" t="str">
        <x:f>IF(C$1="","",IFERROR(INDEX('包络曲线数据'!$B$2:$K$742,ROW()-1,MATCH(C$1,'包络曲线数据'!$B$1:$K$1,0)),""))</x:f>
      </x:c>
      <x:c r="D662" t="str">
        <x:f>IF(D$1="","",IFERROR(INDEX('包络曲线数据'!$B$2:$K$742,ROW()-1,MATCH(D$1,'包络曲线数据'!$B$1:$K$1,0)),""))</x:f>
      </x:c>
      <x:c r="E662" t="str">
        <x:f>IF(E$1="","",IFERROR(INDEX('包络曲线数据'!$B$2:$K$742,ROW()-1,MATCH(E$1,'包络曲线数据'!$B$1:$K$1,0)),""))</x:f>
      </x:c>
      <x:c r="F662" t="str">
        <x:f>IF(F$1="","",IFERROR(INDEX('包络曲线数据'!$B$2:$K$742,ROW()-1,MATCH(F$1,'包络曲线数据'!$B$1:$K$1,0)),""))</x:f>
      </x:c>
      <x:c r="G662" t="str">
        <x:f>IF(G$1="","",IFERROR(INDEX('包络曲线数据'!$B$2:$K$742,ROW()-1,MATCH(G$1,'包络曲线数据'!$B$1:$K$1,0)),""))</x:f>
      </x:c>
    </x:row>
    <x:row r="663">
      <x:c r="A663" t="n">
        <x:v>66.10000000000001</x:v>
      </x:c>
      <x:c r="B663" t="n">
        <x:f>IF(B$1="","",IFERROR(INDEX('包络曲线数据'!$B$2:$K$742,ROW()-1,MATCH(B$1,'包络曲线数据'!$B$1:$K$1,0)),""))</x:f>
        <x:v>67.52817373604839</x:v>
      </x:c>
      <x:c r="C663" t="str">
        <x:f>IF(C$1="","",IFERROR(INDEX('包络曲线数据'!$B$2:$K$742,ROW()-1,MATCH(C$1,'包络曲线数据'!$B$1:$K$1,0)),""))</x:f>
      </x:c>
      <x:c r="D663" t="str">
        <x:f>IF(D$1="","",IFERROR(INDEX('包络曲线数据'!$B$2:$K$742,ROW()-1,MATCH(D$1,'包络曲线数据'!$B$1:$K$1,0)),""))</x:f>
      </x:c>
      <x:c r="E663" t="str">
        <x:f>IF(E$1="","",IFERROR(INDEX('包络曲线数据'!$B$2:$K$742,ROW()-1,MATCH(E$1,'包络曲线数据'!$B$1:$K$1,0)),""))</x:f>
      </x:c>
      <x:c r="F663" t="str">
        <x:f>IF(F$1="","",IFERROR(INDEX('包络曲线数据'!$B$2:$K$742,ROW()-1,MATCH(F$1,'包络曲线数据'!$B$1:$K$1,0)),""))</x:f>
      </x:c>
      <x:c r="G663" t="str">
        <x:f>IF(G$1="","",IFERROR(INDEX('包络曲线数据'!$B$2:$K$742,ROW()-1,MATCH(G$1,'包络曲线数据'!$B$1:$K$1,0)),""))</x:f>
      </x:c>
    </x:row>
    <x:row r="664">
      <x:c r="A664" t="n">
        <x:v>66.2</x:v>
      </x:c>
      <x:c r="B664" t="n">
        <x:f>IF(B$1="","",IFERROR(INDEX('包络曲线数据'!$B$2:$K$742,ROW()-1,MATCH(B$1,'包络曲线数据'!$B$1:$K$1,0)),""))</x:f>
        <x:v>67.2157206135443</x:v>
      </x:c>
      <x:c r="C664" t="str">
        <x:f>IF(C$1="","",IFERROR(INDEX('包络曲线数据'!$B$2:$K$742,ROW()-1,MATCH(C$1,'包络曲线数据'!$B$1:$K$1,0)),""))</x:f>
      </x:c>
      <x:c r="D664" t="str">
        <x:f>IF(D$1="","",IFERROR(INDEX('包络曲线数据'!$B$2:$K$742,ROW()-1,MATCH(D$1,'包络曲线数据'!$B$1:$K$1,0)),""))</x:f>
      </x:c>
      <x:c r="E664" t="str">
        <x:f>IF(E$1="","",IFERROR(INDEX('包络曲线数据'!$B$2:$K$742,ROW()-1,MATCH(E$1,'包络曲线数据'!$B$1:$K$1,0)),""))</x:f>
      </x:c>
      <x:c r="F664" t="str">
        <x:f>IF(F$1="","",IFERROR(INDEX('包络曲线数据'!$B$2:$K$742,ROW()-1,MATCH(F$1,'包络曲线数据'!$B$1:$K$1,0)),""))</x:f>
      </x:c>
      <x:c r="G664" t="str">
        <x:f>IF(G$1="","",IFERROR(INDEX('包络曲线数据'!$B$2:$K$742,ROW()-1,MATCH(G$1,'包络曲线数据'!$B$1:$K$1,0)),""))</x:f>
      </x:c>
    </x:row>
    <x:row r="665">
      <x:c r="A665" t="n">
        <x:v>66.3</x:v>
      </x:c>
      <x:c r="B665" t="n">
        <x:f>IF(B$1="","",IFERROR(INDEX('包络曲线数据'!$B$2:$K$742,ROW()-1,MATCH(B$1,'包络曲线数据'!$B$1:$K$1,0)),""))</x:f>
        <x:v>67.60403867306289</x:v>
      </x:c>
      <x:c r="C665" t="str">
        <x:f>IF(C$1="","",IFERROR(INDEX('包络曲线数据'!$B$2:$K$742,ROW()-1,MATCH(C$1,'包络曲线数据'!$B$1:$K$1,0)),""))</x:f>
      </x:c>
      <x:c r="D665" t="str">
        <x:f>IF(D$1="","",IFERROR(INDEX('包络曲线数据'!$B$2:$K$742,ROW()-1,MATCH(D$1,'包络曲线数据'!$B$1:$K$1,0)),""))</x:f>
      </x:c>
      <x:c r="E665" t="str">
        <x:f>IF(E$1="","",IFERROR(INDEX('包络曲线数据'!$B$2:$K$742,ROW()-1,MATCH(E$1,'包络曲线数据'!$B$1:$K$1,0)),""))</x:f>
      </x:c>
      <x:c r="F665" t="str">
        <x:f>IF(F$1="","",IFERROR(INDEX('包络曲线数据'!$B$2:$K$742,ROW()-1,MATCH(F$1,'包络曲线数据'!$B$1:$K$1,0)),""))</x:f>
      </x:c>
      <x:c r="G665" t="str">
        <x:f>IF(G$1="","",IFERROR(INDEX('包络曲线数据'!$B$2:$K$742,ROW()-1,MATCH(G$1,'包络曲线数据'!$B$1:$K$1,0)),""))</x:f>
      </x:c>
    </x:row>
    <x:row r="666">
      <x:c r="A666" t="n">
        <x:v>66.4</x:v>
      </x:c>
      <x:c r="B666" t="n">
        <x:f>IF(B$1="","",IFERROR(INDEX('包络曲线数据'!$B$2:$K$742,ROW()-1,MATCH(B$1,'包络曲线数据'!$B$1:$K$1,0)),""))</x:f>
        <x:v>67.60403867306289</x:v>
      </x:c>
      <x:c r="C666" t="str">
        <x:f>IF(C$1="","",IFERROR(INDEX('包络曲线数据'!$B$2:$K$742,ROW()-1,MATCH(C$1,'包络曲线数据'!$B$1:$K$1,0)),""))</x:f>
      </x:c>
      <x:c r="D666" t="str">
        <x:f>IF(D$1="","",IFERROR(INDEX('包络曲线数据'!$B$2:$K$742,ROW()-1,MATCH(D$1,'包络曲线数据'!$B$1:$K$1,0)),""))</x:f>
      </x:c>
      <x:c r="E666" t="str">
        <x:f>IF(E$1="","",IFERROR(INDEX('包络曲线数据'!$B$2:$K$742,ROW()-1,MATCH(E$1,'包络曲线数据'!$B$1:$K$1,0)),""))</x:f>
      </x:c>
      <x:c r="F666" t="str">
        <x:f>IF(F$1="","",IFERROR(INDEX('包络曲线数据'!$B$2:$K$742,ROW()-1,MATCH(F$1,'包络曲线数据'!$B$1:$K$1,0)),""))</x:f>
      </x:c>
      <x:c r="G666" t="str">
        <x:f>IF(G$1="","",IFERROR(INDEX('包络曲线数据'!$B$2:$K$742,ROW()-1,MATCH(G$1,'包络曲线数据'!$B$1:$K$1,0)),""))</x:f>
      </x:c>
    </x:row>
    <x:row r="667">
      <x:c r="A667" t="n">
        <x:v>66.5</x:v>
      </x:c>
      <x:c r="B667" t="n">
        <x:f>IF(B$1="","",IFERROR(INDEX('包络曲线数据'!$B$2:$K$742,ROW()-1,MATCH(B$1,'包络曲线数据'!$B$1:$K$1,0)),""))</x:f>
        <x:v>67.1239889671406</x:v>
      </x:c>
      <x:c r="C667" t="str">
        <x:f>IF(C$1="","",IFERROR(INDEX('包络曲线数据'!$B$2:$K$742,ROW()-1,MATCH(C$1,'包络曲线数据'!$B$1:$K$1,0)),""))</x:f>
      </x:c>
      <x:c r="D667" t="str">
        <x:f>IF(D$1="","",IFERROR(INDEX('包络曲线数据'!$B$2:$K$742,ROW()-1,MATCH(D$1,'包络曲线数据'!$B$1:$K$1,0)),""))</x:f>
      </x:c>
      <x:c r="E667" t="str">
        <x:f>IF(E$1="","",IFERROR(INDEX('包络曲线数据'!$B$2:$K$742,ROW()-1,MATCH(E$1,'包络曲线数据'!$B$1:$K$1,0)),""))</x:f>
      </x:c>
      <x:c r="F667" t="str">
        <x:f>IF(F$1="","",IFERROR(INDEX('包络曲线数据'!$B$2:$K$742,ROW()-1,MATCH(F$1,'包络曲线数据'!$B$1:$K$1,0)),""))</x:f>
      </x:c>
      <x:c r="G667" t="str">
        <x:f>IF(G$1="","",IFERROR(INDEX('包络曲线数据'!$B$2:$K$742,ROW()-1,MATCH(G$1,'包络曲线数据'!$B$1:$K$1,0)),""))</x:f>
      </x:c>
    </x:row>
    <x:row r="668">
      <x:c r="A668" t="n">
        <x:v>66.60000000000001</x:v>
      </x:c>
      <x:c r="B668" t="n">
        <x:f>IF(B$1="","",IFERROR(INDEX('包络曲线数据'!$B$2:$K$742,ROW()-1,MATCH(B$1,'包络曲线数据'!$B$1:$K$1,0)),""))</x:f>
        <x:v>66.35993507021402</x:v>
      </x:c>
      <x:c r="C668" t="str">
        <x:f>IF(C$1="","",IFERROR(INDEX('包络曲线数据'!$B$2:$K$742,ROW()-1,MATCH(C$1,'包络曲线数据'!$B$1:$K$1,0)),""))</x:f>
      </x:c>
      <x:c r="D668" t="str">
        <x:f>IF(D$1="","",IFERROR(INDEX('包络曲线数据'!$B$2:$K$742,ROW()-1,MATCH(D$1,'包络曲线数据'!$B$1:$K$1,0)),""))</x:f>
      </x:c>
      <x:c r="E668" t="str">
        <x:f>IF(E$1="","",IFERROR(INDEX('包络曲线数据'!$B$2:$K$742,ROW()-1,MATCH(E$1,'包络曲线数据'!$B$1:$K$1,0)),""))</x:f>
      </x:c>
      <x:c r="F668" t="str">
        <x:f>IF(F$1="","",IFERROR(INDEX('包络曲线数据'!$B$2:$K$742,ROW()-1,MATCH(F$1,'包络曲线数据'!$B$1:$K$1,0)),""))</x:f>
      </x:c>
      <x:c r="G668" t="str">
        <x:f>IF(G$1="","",IFERROR(INDEX('包络曲线数据'!$B$2:$K$742,ROW()-1,MATCH(G$1,'包络曲线数据'!$B$1:$K$1,0)),""))</x:f>
      </x:c>
    </x:row>
    <x:row r="669">
      <x:c r="A669" t="n">
        <x:v>66.7</x:v>
      </x:c>
      <x:c r="B669" t="n">
        <x:f>IF(B$1="","",IFERROR(INDEX('包络曲线数据'!$B$2:$K$742,ROW()-1,MATCH(B$1,'包络曲线数据'!$B$1:$K$1,0)),""))</x:f>
        <x:v>70.87710538985324</x:v>
      </x:c>
      <x:c r="C669" t="str">
        <x:f>IF(C$1="","",IFERROR(INDEX('包络曲线数据'!$B$2:$K$742,ROW()-1,MATCH(C$1,'包络曲线数据'!$B$1:$K$1,0)),""))</x:f>
      </x:c>
      <x:c r="D669" t="str">
        <x:f>IF(D$1="","",IFERROR(INDEX('包络曲线数据'!$B$2:$K$742,ROW()-1,MATCH(D$1,'包络曲线数据'!$B$1:$K$1,0)),""))</x:f>
      </x:c>
      <x:c r="E669" t="str">
        <x:f>IF(E$1="","",IFERROR(INDEX('包络曲线数据'!$B$2:$K$742,ROW()-1,MATCH(E$1,'包络曲线数据'!$B$1:$K$1,0)),""))</x:f>
      </x:c>
      <x:c r="F669" t="str">
        <x:f>IF(F$1="","",IFERROR(INDEX('包络曲线数据'!$B$2:$K$742,ROW()-1,MATCH(F$1,'包络曲线数据'!$B$1:$K$1,0)),""))</x:f>
      </x:c>
      <x:c r="G669" t="str">
        <x:f>IF(G$1="","",IFERROR(INDEX('包络曲线数据'!$B$2:$K$742,ROW()-1,MATCH(G$1,'包络曲线数据'!$B$1:$K$1,0)),""))</x:f>
      </x:c>
    </x:row>
    <x:row r="670">
      <x:c r="A670" t="n">
        <x:v>66.8</x:v>
      </x:c>
      <x:c r="B670" t="n">
        <x:f>IF(B$1="","",IFERROR(INDEX('包络曲线数据'!$B$2:$K$742,ROW()-1,MATCH(B$1,'包络曲线数据'!$B$1:$K$1,0)),""))</x:f>
        <x:v>78.25199166240864</x:v>
      </x:c>
      <x:c r="C670" t="str">
        <x:f>IF(C$1="","",IFERROR(INDEX('包络曲线数据'!$B$2:$K$742,ROW()-1,MATCH(C$1,'包络曲线数据'!$B$1:$K$1,0)),""))</x:f>
      </x:c>
      <x:c r="D670" t="str">
        <x:f>IF(D$1="","",IFERROR(INDEX('包络曲线数据'!$B$2:$K$742,ROW()-1,MATCH(D$1,'包络曲线数据'!$B$1:$K$1,0)),""))</x:f>
      </x:c>
      <x:c r="E670" t="str">
        <x:f>IF(E$1="","",IFERROR(INDEX('包络曲线数据'!$B$2:$K$742,ROW()-1,MATCH(E$1,'包络曲线数据'!$B$1:$K$1,0)),""))</x:f>
      </x:c>
      <x:c r="F670" t="str">
        <x:f>IF(F$1="","",IFERROR(INDEX('包络曲线数据'!$B$2:$K$742,ROW()-1,MATCH(F$1,'包络曲线数据'!$B$1:$K$1,0)),""))</x:f>
      </x:c>
      <x:c r="G670" t="str">
        <x:f>IF(G$1="","",IFERROR(INDEX('包络曲线数据'!$B$2:$K$742,ROW()-1,MATCH(G$1,'包络曲线数据'!$B$1:$K$1,0)),""))</x:f>
      </x:c>
    </x:row>
    <x:row r="671">
      <x:c r="A671" t="n">
        <x:v>66.9</x:v>
      </x:c>
      <x:c r="B671" t="n">
        <x:f>IF(B$1="","",IFERROR(INDEX('包络曲线数据'!$B$2:$K$742,ROW()-1,MATCH(B$1,'包络曲线数据'!$B$1:$K$1,0)),""))</x:f>
        <x:v>78.25199166240864</x:v>
      </x:c>
      <x:c r="C671" t="str">
        <x:f>IF(C$1="","",IFERROR(INDEX('包络曲线数据'!$B$2:$K$742,ROW()-1,MATCH(C$1,'包络曲线数据'!$B$1:$K$1,0)),""))</x:f>
      </x:c>
      <x:c r="D671" t="str">
        <x:f>IF(D$1="","",IFERROR(INDEX('包络曲线数据'!$B$2:$K$742,ROW()-1,MATCH(D$1,'包络曲线数据'!$B$1:$K$1,0)),""))</x:f>
      </x:c>
      <x:c r="E671" t="str">
        <x:f>IF(E$1="","",IFERROR(INDEX('包络曲线数据'!$B$2:$K$742,ROW()-1,MATCH(E$1,'包络曲线数据'!$B$1:$K$1,0)),""))</x:f>
      </x:c>
      <x:c r="F671" t="str">
        <x:f>IF(F$1="","",IFERROR(INDEX('包络曲线数据'!$B$2:$K$742,ROW()-1,MATCH(F$1,'包络曲线数据'!$B$1:$K$1,0)),""))</x:f>
      </x:c>
      <x:c r="G671" t="str">
        <x:f>IF(G$1="","",IFERROR(INDEX('包络曲线数据'!$B$2:$K$742,ROW()-1,MATCH(G$1,'包络曲线数据'!$B$1:$K$1,0)),""))</x:f>
      </x:c>
    </x:row>
    <x:row r="672">
      <x:c r="A672" t="n">
        <x:v>67</x:v>
      </x:c>
      <x:c r="B672" t="n">
        <x:f>IF(B$1="","",IFERROR(INDEX('包络曲线数据'!$B$2:$K$742,ROW()-1,MATCH(B$1,'包络曲线数据'!$B$1:$K$1,0)),""))</x:f>
        <x:v>69.78987454815399</x:v>
      </x:c>
      <x:c r="C672" t="str">
        <x:f>IF(C$1="","",IFERROR(INDEX('包络曲线数据'!$B$2:$K$742,ROW()-1,MATCH(C$1,'包络曲线数据'!$B$1:$K$1,0)),""))</x:f>
      </x:c>
      <x:c r="D672" t="str">
        <x:f>IF(D$1="","",IFERROR(INDEX('包络曲线数据'!$B$2:$K$742,ROW()-1,MATCH(D$1,'包络曲线数据'!$B$1:$K$1,0)),""))</x:f>
      </x:c>
      <x:c r="E672" t="str">
        <x:f>IF(E$1="","",IFERROR(INDEX('包络曲线数据'!$B$2:$K$742,ROW()-1,MATCH(E$1,'包络曲线数据'!$B$1:$K$1,0)),""))</x:f>
      </x:c>
      <x:c r="F672" t="str">
        <x:f>IF(F$1="","",IFERROR(INDEX('包络曲线数据'!$B$2:$K$742,ROW()-1,MATCH(F$1,'包络曲线数据'!$B$1:$K$1,0)),""))</x:f>
      </x:c>
      <x:c r="G672" t="str">
        <x:f>IF(G$1="","",IFERROR(INDEX('包络曲线数据'!$B$2:$K$742,ROW()-1,MATCH(G$1,'包络曲线数据'!$B$1:$K$1,0)),""))</x:f>
      </x:c>
    </x:row>
    <x:row r="673">
      <x:c r="A673" t="n">
        <x:v>67.10000000000001</x:v>
      </x:c>
      <x:c r="B673" t="n">
        <x:f>IF(B$1="","",IFERROR(INDEX('包络曲线数据'!$B$2:$K$742,ROW()-1,MATCH(B$1,'包络曲线数据'!$B$1:$K$1,0)),""))</x:f>
        <x:v>57.55695883526646</x:v>
      </x:c>
      <x:c r="C673" t="str">
        <x:f>IF(C$1="","",IFERROR(INDEX('包络曲线数据'!$B$2:$K$742,ROW()-1,MATCH(C$1,'包络曲线数据'!$B$1:$K$1,0)),""))</x:f>
      </x:c>
      <x:c r="D673" t="str">
        <x:f>IF(D$1="","",IFERROR(INDEX('包络曲线数据'!$B$2:$K$742,ROW()-1,MATCH(D$1,'包络曲线数据'!$B$1:$K$1,0)),""))</x:f>
      </x:c>
      <x:c r="E673" t="str">
        <x:f>IF(E$1="","",IFERROR(INDEX('包络曲线数据'!$B$2:$K$742,ROW()-1,MATCH(E$1,'包络曲线数据'!$B$1:$K$1,0)),""))</x:f>
      </x:c>
      <x:c r="F673" t="str">
        <x:f>IF(F$1="","",IFERROR(INDEX('包络曲线数据'!$B$2:$K$742,ROW()-1,MATCH(F$1,'包络曲线数据'!$B$1:$K$1,0)),""))</x:f>
      </x:c>
      <x:c r="G673" t="str">
        <x:f>IF(G$1="","",IFERROR(INDEX('包络曲线数据'!$B$2:$K$742,ROW()-1,MATCH(G$1,'包络曲线数据'!$B$1:$K$1,0)),""))</x:f>
      </x:c>
    </x:row>
    <x:row r="674">
      <x:c r="A674" t="n">
        <x:v>67.2</x:v>
      </x:c>
      <x:c r="B674" t="n">
        <x:f>IF(B$1="","",IFERROR(INDEX('包络曲线数据'!$B$2:$K$742,ROW()-1,MATCH(B$1,'包络曲线数据'!$B$1:$K$1,0)),""))</x:f>
        <x:v>52.36701632549823</x:v>
      </x:c>
      <x:c r="C674" t="str">
        <x:f>IF(C$1="","",IFERROR(INDEX('包络曲线数据'!$B$2:$K$742,ROW()-1,MATCH(C$1,'包络曲线数据'!$B$1:$K$1,0)),""))</x:f>
      </x:c>
      <x:c r="D674" t="str">
        <x:f>IF(D$1="","",IFERROR(INDEX('包络曲线数据'!$B$2:$K$742,ROW()-1,MATCH(D$1,'包络曲线数据'!$B$1:$K$1,0)),""))</x:f>
      </x:c>
      <x:c r="E674" t="str">
        <x:f>IF(E$1="","",IFERROR(INDEX('包络曲线数据'!$B$2:$K$742,ROW()-1,MATCH(E$1,'包络曲线数据'!$B$1:$K$1,0)),""))</x:f>
      </x:c>
      <x:c r="F674" t="str">
        <x:f>IF(F$1="","",IFERROR(INDEX('包络曲线数据'!$B$2:$K$742,ROW()-1,MATCH(F$1,'包络曲线数据'!$B$1:$K$1,0)),""))</x:f>
      </x:c>
      <x:c r="G674" t="str">
        <x:f>IF(G$1="","",IFERROR(INDEX('包络曲线数据'!$B$2:$K$742,ROW()-1,MATCH(G$1,'包络曲线数据'!$B$1:$K$1,0)),""))</x:f>
      </x:c>
    </x:row>
    <x:row r="675">
      <x:c r="A675" t="n">
        <x:v>67.3</x:v>
      </x:c>
      <x:c r="B675" t="n">
        <x:f>IF(B$1="","",IFERROR(INDEX('包络曲线数据'!$B$2:$K$742,ROW()-1,MATCH(B$1,'包络曲线数据'!$B$1:$K$1,0)),""))</x:f>
        <x:v>50</x:v>
      </x:c>
      <x:c r="C675" t="str">
        <x:f>IF(C$1="","",IFERROR(INDEX('包络曲线数据'!$B$2:$K$742,ROW()-1,MATCH(C$1,'包络曲线数据'!$B$1:$K$1,0)),""))</x:f>
      </x:c>
      <x:c r="D675" t="str">
        <x:f>IF(D$1="","",IFERROR(INDEX('包络曲线数据'!$B$2:$K$742,ROW()-1,MATCH(D$1,'包络曲线数据'!$B$1:$K$1,0)),""))</x:f>
      </x:c>
      <x:c r="E675" t="str">
        <x:f>IF(E$1="","",IFERROR(INDEX('包络曲线数据'!$B$2:$K$742,ROW()-1,MATCH(E$1,'包络曲线数据'!$B$1:$K$1,0)),""))</x:f>
      </x:c>
      <x:c r="F675" t="str">
        <x:f>IF(F$1="","",IFERROR(INDEX('包络曲线数据'!$B$2:$K$742,ROW()-1,MATCH(F$1,'包络曲线数据'!$B$1:$K$1,0)),""))</x:f>
      </x:c>
      <x:c r="G675" t="str">
        <x:f>IF(G$1="","",IFERROR(INDEX('包络曲线数据'!$B$2:$K$742,ROW()-1,MATCH(G$1,'包络曲线数据'!$B$1:$K$1,0)),""))</x:f>
      </x:c>
    </x:row>
    <x:row r="676">
      <x:c r="A676" t="n">
        <x:v>67.4</x:v>
      </x:c>
      <x:c r="B676" t="n">
        <x:f>IF(B$1="","",IFERROR(INDEX('包络曲线数据'!$B$2:$K$742,ROW()-1,MATCH(B$1,'包络曲线数据'!$B$1:$K$1,0)),""))</x:f>
        <x:v>50</x:v>
      </x:c>
      <x:c r="C676" t="str">
        <x:f>IF(C$1="","",IFERROR(INDEX('包络曲线数据'!$B$2:$K$742,ROW()-1,MATCH(C$1,'包络曲线数据'!$B$1:$K$1,0)),""))</x:f>
      </x:c>
      <x:c r="D676" t="str">
        <x:f>IF(D$1="","",IFERROR(INDEX('包络曲线数据'!$B$2:$K$742,ROW()-1,MATCH(D$1,'包络曲线数据'!$B$1:$K$1,0)),""))</x:f>
      </x:c>
      <x:c r="E676" t="str">
        <x:f>IF(E$1="","",IFERROR(INDEX('包络曲线数据'!$B$2:$K$742,ROW()-1,MATCH(E$1,'包络曲线数据'!$B$1:$K$1,0)),""))</x:f>
      </x:c>
      <x:c r="F676" t="str">
        <x:f>IF(F$1="","",IFERROR(INDEX('包络曲线数据'!$B$2:$K$742,ROW()-1,MATCH(F$1,'包络曲线数据'!$B$1:$K$1,0)),""))</x:f>
      </x:c>
      <x:c r="G676" t="str">
        <x:f>IF(G$1="","",IFERROR(INDEX('包络曲线数据'!$B$2:$K$742,ROW()-1,MATCH(G$1,'包络曲线数据'!$B$1:$K$1,0)),""))</x:f>
      </x:c>
    </x:row>
    <x:row r="677">
      <x:c r="A677" t="n">
        <x:v>67.5</x:v>
      </x:c>
      <x:c r="B677" t="n">
        <x:f>IF(B$1="","",IFERROR(INDEX('包络曲线数据'!$B$2:$K$742,ROW()-1,MATCH(B$1,'包络曲线数据'!$B$1:$K$1,0)),""))</x:f>
        <x:v>60.20476851830673</x:v>
      </x:c>
      <x:c r="C677" t="str">
        <x:f>IF(C$1="","",IFERROR(INDEX('包络曲线数据'!$B$2:$K$742,ROW()-1,MATCH(C$1,'包络曲线数据'!$B$1:$K$1,0)),""))</x:f>
      </x:c>
      <x:c r="D677" t="str">
        <x:f>IF(D$1="","",IFERROR(INDEX('包络曲线数据'!$B$2:$K$742,ROW()-1,MATCH(D$1,'包络曲线数据'!$B$1:$K$1,0)),""))</x:f>
      </x:c>
      <x:c r="E677" t="str">
        <x:f>IF(E$1="","",IFERROR(INDEX('包络曲线数据'!$B$2:$K$742,ROW()-1,MATCH(E$1,'包络曲线数据'!$B$1:$K$1,0)),""))</x:f>
      </x:c>
      <x:c r="F677" t="str">
        <x:f>IF(F$1="","",IFERROR(INDEX('包络曲线数据'!$B$2:$K$742,ROW()-1,MATCH(F$1,'包络曲线数据'!$B$1:$K$1,0)),""))</x:f>
      </x:c>
      <x:c r="G677" t="str">
        <x:f>IF(G$1="","",IFERROR(INDEX('包络曲线数据'!$B$2:$K$742,ROW()-1,MATCH(G$1,'包络曲线数据'!$B$1:$K$1,0)),""))</x:f>
      </x:c>
    </x:row>
    <x:row r="678">
      <x:c r="A678" t="n">
        <x:v>67.60000000000001</x:v>
      </x:c>
      <x:c r="B678" t="n">
        <x:f>IF(B$1="","",IFERROR(INDEX('包络曲线数据'!$B$2:$K$742,ROW()-1,MATCH(B$1,'包络曲线数据'!$B$1:$K$1,0)),""))</x:f>
        <x:v>63.600352920548616</x:v>
      </x:c>
      <x:c r="C678" t="str">
        <x:f>IF(C$1="","",IFERROR(INDEX('包络曲线数据'!$B$2:$K$742,ROW()-1,MATCH(C$1,'包络曲线数据'!$B$1:$K$1,0)),""))</x:f>
      </x:c>
      <x:c r="D678" t="str">
        <x:f>IF(D$1="","",IFERROR(INDEX('包络曲线数据'!$B$2:$K$742,ROW()-1,MATCH(D$1,'包络曲线数据'!$B$1:$K$1,0)),""))</x:f>
      </x:c>
      <x:c r="E678" t="str">
        <x:f>IF(E$1="","",IFERROR(INDEX('包络曲线数据'!$B$2:$K$742,ROW()-1,MATCH(E$1,'包络曲线数据'!$B$1:$K$1,0)),""))</x:f>
      </x:c>
      <x:c r="F678" t="str">
        <x:f>IF(F$1="","",IFERROR(INDEX('包络曲线数据'!$B$2:$K$742,ROW()-1,MATCH(F$1,'包络曲线数据'!$B$1:$K$1,0)),""))</x:f>
      </x:c>
      <x:c r="G678" t="str">
        <x:f>IF(G$1="","",IFERROR(INDEX('包络曲线数据'!$B$2:$K$742,ROW()-1,MATCH(G$1,'包络曲线数据'!$B$1:$K$1,0)),""))</x:f>
      </x:c>
    </x:row>
    <x:row r="679">
      <x:c r="A679" t="n">
        <x:v>67.7</x:v>
      </x:c>
      <x:c r="B679" t="n">
        <x:f>IF(B$1="","",IFERROR(INDEX('包络曲线数据'!$B$2:$K$742,ROW()-1,MATCH(B$1,'包络曲线数据'!$B$1:$K$1,0)),""))</x:f>
        <x:v>63.600352920548616</x:v>
      </x:c>
      <x:c r="C679" t="str">
        <x:f>IF(C$1="","",IFERROR(INDEX('包络曲线数据'!$B$2:$K$742,ROW()-1,MATCH(C$1,'包络曲线数据'!$B$1:$K$1,0)),""))</x:f>
      </x:c>
      <x:c r="D679" t="str">
        <x:f>IF(D$1="","",IFERROR(INDEX('包络曲线数据'!$B$2:$K$742,ROW()-1,MATCH(D$1,'包络曲线数据'!$B$1:$K$1,0)),""))</x:f>
      </x:c>
      <x:c r="E679" t="str">
        <x:f>IF(E$1="","",IFERROR(INDEX('包络曲线数据'!$B$2:$K$742,ROW()-1,MATCH(E$1,'包络曲线数据'!$B$1:$K$1,0)),""))</x:f>
      </x:c>
      <x:c r="F679" t="str">
        <x:f>IF(F$1="","",IFERROR(INDEX('包络曲线数据'!$B$2:$K$742,ROW()-1,MATCH(F$1,'包络曲线数据'!$B$1:$K$1,0)),""))</x:f>
      </x:c>
      <x:c r="G679" t="str">
        <x:f>IF(G$1="","",IFERROR(INDEX('包络曲线数据'!$B$2:$K$742,ROW()-1,MATCH(G$1,'包络曲线数据'!$B$1:$K$1,0)),""))</x:f>
      </x:c>
    </x:row>
    <x:row r="680">
      <x:c r="A680" t="n">
        <x:v>67.8</x:v>
      </x:c>
      <x:c r="B680" t="n">
        <x:f>IF(B$1="","",IFERROR(INDEX('包络曲线数据'!$B$2:$K$742,ROW()-1,MATCH(B$1,'包络曲线数据'!$B$1:$K$1,0)),""))</x:f>
        <x:v>53.106706769272705</x:v>
      </x:c>
      <x:c r="C680" t="str">
        <x:f>IF(C$1="","",IFERROR(INDEX('包络曲线数据'!$B$2:$K$742,ROW()-1,MATCH(C$1,'包络曲线数据'!$B$1:$K$1,0)),""))</x:f>
      </x:c>
      <x:c r="D680" t="str">
        <x:f>IF(D$1="","",IFERROR(INDEX('包络曲线数据'!$B$2:$K$742,ROW()-1,MATCH(D$1,'包络曲线数据'!$B$1:$K$1,0)),""))</x:f>
      </x:c>
      <x:c r="E680" t="str">
        <x:f>IF(E$1="","",IFERROR(INDEX('包络曲线数据'!$B$2:$K$742,ROW()-1,MATCH(E$1,'包络曲线数据'!$B$1:$K$1,0)),""))</x:f>
      </x:c>
      <x:c r="F680" t="str">
        <x:f>IF(F$1="","",IFERROR(INDEX('包络曲线数据'!$B$2:$K$742,ROW()-1,MATCH(F$1,'包络曲线数据'!$B$1:$K$1,0)),""))</x:f>
      </x:c>
      <x:c r="G680" t="str">
        <x:f>IF(G$1="","",IFERROR(INDEX('包络曲线数据'!$B$2:$K$742,ROW()-1,MATCH(G$1,'包络曲线数据'!$B$1:$K$1,0)),""))</x:f>
      </x:c>
    </x:row>
    <x:row r="681">
      <x:c r="A681" t="n">
        <x:v>67.9</x:v>
      </x:c>
      <x:c r="B681" t="n">
        <x:f>IF(B$1="","",IFERROR(INDEX('包络曲线数据'!$B$2:$K$742,ROW()-1,MATCH(B$1,'包络曲线数据'!$B$1:$K$1,0)),""))</x:f>
        <x:v>69.36469124199215</x:v>
      </x:c>
      <x:c r="C681" t="str">
        <x:f>IF(C$1="","",IFERROR(INDEX('包络曲线数据'!$B$2:$K$742,ROW()-1,MATCH(C$1,'包络曲线数据'!$B$1:$K$1,0)),""))</x:f>
      </x:c>
      <x:c r="D681" t="str">
        <x:f>IF(D$1="","",IFERROR(INDEX('包络曲线数据'!$B$2:$K$742,ROW()-1,MATCH(D$1,'包络曲线数据'!$B$1:$K$1,0)),""))</x:f>
      </x:c>
      <x:c r="E681" t="str">
        <x:f>IF(E$1="","",IFERROR(INDEX('包络曲线数据'!$B$2:$K$742,ROW()-1,MATCH(E$1,'包络曲线数据'!$B$1:$K$1,0)),""))</x:f>
      </x:c>
      <x:c r="F681" t="str">
        <x:f>IF(F$1="","",IFERROR(INDEX('包络曲线数据'!$B$2:$K$742,ROW()-1,MATCH(F$1,'包络曲线数据'!$B$1:$K$1,0)),""))</x:f>
      </x:c>
      <x:c r="G681" t="str">
        <x:f>IF(G$1="","",IFERROR(INDEX('包络曲线数据'!$B$2:$K$742,ROW()-1,MATCH(G$1,'包络曲线数据'!$B$1:$K$1,0)),""))</x:f>
      </x:c>
    </x:row>
    <x:row r="682">
      <x:c r="A682" t="n">
        <x:v>68</x:v>
      </x:c>
      <x:c r="B682" t="n">
        <x:f>IF(B$1="","",IFERROR(INDEX('包络曲线数据'!$B$2:$K$742,ROW()-1,MATCH(B$1,'包络曲线数据'!$B$1:$K$1,0)),""))</x:f>
        <x:v>73.77084491090667</x:v>
      </x:c>
      <x:c r="C682" t="str">
        <x:f>IF(C$1="","",IFERROR(INDEX('包络曲线数据'!$B$2:$K$742,ROW()-1,MATCH(C$1,'包络曲线数据'!$B$1:$K$1,0)),""))</x:f>
      </x:c>
      <x:c r="D682" t="str">
        <x:f>IF(D$1="","",IFERROR(INDEX('包络曲线数据'!$B$2:$K$742,ROW()-1,MATCH(D$1,'包络曲线数据'!$B$1:$K$1,0)),""))</x:f>
      </x:c>
      <x:c r="E682" t="str">
        <x:f>IF(E$1="","",IFERROR(INDEX('包络曲线数据'!$B$2:$K$742,ROW()-1,MATCH(E$1,'包络曲线数据'!$B$1:$K$1,0)),""))</x:f>
      </x:c>
      <x:c r="F682" t="str">
        <x:f>IF(F$1="","",IFERROR(INDEX('包络曲线数据'!$B$2:$K$742,ROW()-1,MATCH(F$1,'包络曲线数据'!$B$1:$K$1,0)),""))</x:f>
      </x:c>
      <x:c r="G682" t="str">
        <x:f>IF(G$1="","",IFERROR(INDEX('包络曲线数据'!$B$2:$K$742,ROW()-1,MATCH(G$1,'包络曲线数据'!$B$1:$K$1,0)),""))</x:f>
      </x:c>
    </x:row>
    <x:row r="683">
      <x:c r="A683" t="n">
        <x:v>68.10000000000001</x:v>
      </x:c>
      <x:c r="B683" t="n">
        <x:f>IF(B$1="","",IFERROR(INDEX('包络曲线数据'!$B$2:$K$742,ROW()-1,MATCH(B$1,'包络曲线数据'!$B$1:$K$1,0)),""))</x:f>
        <x:v>73.77084491090667</x:v>
      </x:c>
      <x:c r="C683" t="str">
        <x:f>IF(C$1="","",IFERROR(INDEX('包络曲线数据'!$B$2:$K$742,ROW()-1,MATCH(C$1,'包络曲线数据'!$B$1:$K$1,0)),""))</x:f>
      </x:c>
      <x:c r="D683" t="str">
        <x:f>IF(D$1="","",IFERROR(INDEX('包络曲线数据'!$B$2:$K$742,ROW()-1,MATCH(D$1,'包络曲线数据'!$B$1:$K$1,0)),""))</x:f>
      </x:c>
      <x:c r="E683" t="str">
        <x:f>IF(E$1="","",IFERROR(INDEX('包络曲线数据'!$B$2:$K$742,ROW()-1,MATCH(E$1,'包络曲线数据'!$B$1:$K$1,0)),""))</x:f>
      </x:c>
      <x:c r="F683" t="str">
        <x:f>IF(F$1="","",IFERROR(INDEX('包络曲线数据'!$B$2:$K$742,ROW()-1,MATCH(F$1,'包络曲线数据'!$B$1:$K$1,0)),""))</x:f>
      </x:c>
      <x:c r="G683" t="str">
        <x:f>IF(G$1="","",IFERROR(INDEX('包络曲线数据'!$B$2:$K$742,ROW()-1,MATCH(G$1,'包络曲线数据'!$B$1:$K$1,0)),""))</x:f>
      </x:c>
    </x:row>
    <x:row r="684">
      <x:c r="A684" t="n">
        <x:v>68.2</x:v>
      </x:c>
      <x:c r="B684" t="n">
        <x:f>IF(B$1="","",IFERROR(INDEX('包络曲线数据'!$B$2:$K$742,ROW()-1,MATCH(B$1,'包络曲线数据'!$B$1:$K$1,0)),""))</x:f>
        <x:v>69.11601876062113</x:v>
      </x:c>
      <x:c r="C684" t="str">
        <x:f>IF(C$1="","",IFERROR(INDEX('包络曲线数据'!$B$2:$K$742,ROW()-1,MATCH(C$1,'包络曲线数据'!$B$1:$K$1,0)),""))</x:f>
      </x:c>
      <x:c r="D684" t="str">
        <x:f>IF(D$1="","",IFERROR(INDEX('包络曲线数据'!$B$2:$K$742,ROW()-1,MATCH(D$1,'包络曲线数据'!$B$1:$K$1,0)),""))</x:f>
      </x:c>
      <x:c r="E684" t="str">
        <x:f>IF(E$1="","",IFERROR(INDEX('包络曲线数据'!$B$2:$K$742,ROW()-1,MATCH(E$1,'包络曲线数据'!$B$1:$K$1,0)),""))</x:f>
      </x:c>
      <x:c r="F684" t="str">
        <x:f>IF(F$1="","",IFERROR(INDEX('包络曲线数据'!$B$2:$K$742,ROW()-1,MATCH(F$1,'包络曲线数据'!$B$1:$K$1,0)),""))</x:f>
      </x:c>
      <x:c r="G684" t="str">
        <x:f>IF(G$1="","",IFERROR(INDEX('包络曲线数据'!$B$2:$K$742,ROW()-1,MATCH(G$1,'包络曲线数据'!$B$1:$K$1,0)),""))</x:f>
      </x:c>
    </x:row>
    <x:row r="685">
      <x:c r="A685" t="n">
        <x:v>68.3</x:v>
      </x:c>
      <x:c r="B685" t="n">
        <x:f>IF(B$1="","",IFERROR(INDEX('包络曲线数据'!$B$2:$K$742,ROW()-1,MATCH(B$1,'包络曲线数据'!$B$1:$K$1,0)),""))</x:f>
        <x:v>63.96929663159413</x:v>
      </x:c>
      <x:c r="C685" t="str">
        <x:f>IF(C$1="","",IFERROR(INDEX('包络曲线数据'!$B$2:$K$742,ROW()-1,MATCH(C$1,'包络曲线数据'!$B$1:$K$1,0)),""))</x:f>
      </x:c>
      <x:c r="D685" t="str">
        <x:f>IF(D$1="","",IFERROR(INDEX('包络曲线数据'!$B$2:$K$742,ROW()-1,MATCH(D$1,'包络曲线数据'!$B$1:$K$1,0)),""))</x:f>
      </x:c>
      <x:c r="E685" t="str">
        <x:f>IF(E$1="","",IFERROR(INDEX('包络曲线数据'!$B$2:$K$742,ROW()-1,MATCH(E$1,'包络曲线数据'!$B$1:$K$1,0)),""))</x:f>
      </x:c>
      <x:c r="F685" t="str">
        <x:f>IF(F$1="","",IFERROR(INDEX('包络曲线数据'!$B$2:$K$742,ROW()-1,MATCH(F$1,'包络曲线数据'!$B$1:$K$1,0)),""))</x:f>
      </x:c>
      <x:c r="G685" t="str">
        <x:f>IF(G$1="","",IFERROR(INDEX('包络曲线数据'!$B$2:$K$742,ROW()-1,MATCH(G$1,'包络曲线数据'!$B$1:$K$1,0)),""))</x:f>
      </x:c>
    </x:row>
    <x:row r="686">
      <x:c r="A686" t="n">
        <x:v>68.4</x:v>
      </x:c>
      <x:c r="B686" t="n">
        <x:f>IF(B$1="","",IFERROR(INDEX('包络曲线数据'!$B$2:$K$742,ROW()-1,MATCH(B$1,'包络曲线数据'!$B$1:$K$1,0)),""))</x:f>
        <x:v>64.30008330561303</x:v>
      </x:c>
      <x:c r="C686" t="str">
        <x:f>IF(C$1="","",IFERROR(INDEX('包络曲线数据'!$B$2:$K$742,ROW()-1,MATCH(C$1,'包络曲线数据'!$B$1:$K$1,0)),""))</x:f>
      </x:c>
      <x:c r="D686" t="str">
        <x:f>IF(D$1="","",IFERROR(INDEX('包络曲线数据'!$B$2:$K$742,ROW()-1,MATCH(D$1,'包络曲线数据'!$B$1:$K$1,0)),""))</x:f>
      </x:c>
      <x:c r="E686" t="str">
        <x:f>IF(E$1="","",IFERROR(INDEX('包络曲线数据'!$B$2:$K$742,ROW()-1,MATCH(E$1,'包络曲线数据'!$B$1:$K$1,0)),""))</x:f>
      </x:c>
      <x:c r="F686" t="str">
        <x:f>IF(F$1="","",IFERROR(INDEX('包络曲线数据'!$B$2:$K$742,ROW()-1,MATCH(F$1,'包络曲线数据'!$B$1:$K$1,0)),""))</x:f>
      </x:c>
      <x:c r="G686" t="str">
        <x:f>IF(G$1="","",IFERROR(INDEX('包络曲线数据'!$B$2:$K$742,ROW()-1,MATCH(G$1,'包络曲线数据'!$B$1:$K$1,0)),""))</x:f>
      </x:c>
    </x:row>
    <x:row r="687">
      <x:c r="A687" t="n">
        <x:v>68.5</x:v>
      </x:c>
      <x:c r="B687" t="n">
        <x:f>IF(B$1="","",IFERROR(INDEX('包络曲线数据'!$B$2:$K$742,ROW()-1,MATCH(B$1,'包络曲线数据'!$B$1:$K$1,0)),""))</x:f>
        <x:v>65.97543844752536</x:v>
      </x:c>
      <x:c r="C687" t="str">
        <x:f>IF(C$1="","",IFERROR(INDEX('包络曲线数据'!$B$2:$K$742,ROW()-1,MATCH(C$1,'包络曲线数据'!$B$1:$K$1,0)),""))</x:f>
      </x:c>
      <x:c r="D687" t="str">
        <x:f>IF(D$1="","",IFERROR(INDEX('包络曲线数据'!$B$2:$K$742,ROW()-1,MATCH(D$1,'包络曲线数据'!$B$1:$K$1,0)),""))</x:f>
      </x:c>
      <x:c r="E687" t="str">
        <x:f>IF(E$1="","",IFERROR(INDEX('包络曲线数据'!$B$2:$K$742,ROW()-1,MATCH(E$1,'包络曲线数据'!$B$1:$K$1,0)),""))</x:f>
      </x:c>
      <x:c r="F687" t="str">
        <x:f>IF(F$1="","",IFERROR(INDEX('包络曲线数据'!$B$2:$K$742,ROW()-1,MATCH(F$1,'包络曲线数据'!$B$1:$K$1,0)),""))</x:f>
      </x:c>
      <x:c r="G687" t="str">
        <x:f>IF(G$1="","",IFERROR(INDEX('包络曲线数据'!$B$2:$K$742,ROW()-1,MATCH(G$1,'包络曲线数据'!$B$1:$K$1,0)),""))</x:f>
      </x:c>
    </x:row>
    <x:row r="688">
      <x:c r="A688" t="n">
        <x:v>68.60000000000001</x:v>
      </x:c>
      <x:c r="B688" t="n">
        <x:f>IF(B$1="","",IFERROR(INDEX('包络曲线数据'!$B$2:$K$742,ROW()-1,MATCH(B$1,'包络曲线数据'!$B$1:$K$1,0)),""))</x:f>
        <x:v>67.48166918541813</x:v>
      </x:c>
      <x:c r="C688" t="str">
        <x:f>IF(C$1="","",IFERROR(INDEX('包络曲线数据'!$B$2:$K$742,ROW()-1,MATCH(C$1,'包络曲线数据'!$B$1:$K$1,0)),""))</x:f>
      </x:c>
      <x:c r="D688" t="str">
        <x:f>IF(D$1="","",IFERROR(INDEX('包络曲线数据'!$B$2:$K$742,ROW()-1,MATCH(D$1,'包络曲线数据'!$B$1:$K$1,0)),""))</x:f>
      </x:c>
      <x:c r="E688" t="str">
        <x:f>IF(E$1="","",IFERROR(INDEX('包络曲线数据'!$B$2:$K$742,ROW()-1,MATCH(E$1,'包络曲线数据'!$B$1:$K$1,0)),""))</x:f>
      </x:c>
      <x:c r="F688" t="str">
        <x:f>IF(F$1="","",IFERROR(INDEX('包络曲线数据'!$B$2:$K$742,ROW()-1,MATCH(F$1,'包络曲线数据'!$B$1:$K$1,0)),""))</x:f>
      </x:c>
      <x:c r="G688" t="str">
        <x:f>IF(G$1="","",IFERROR(INDEX('包络曲线数据'!$B$2:$K$742,ROW()-1,MATCH(G$1,'包络曲线数据'!$B$1:$K$1,0)),""))</x:f>
      </x:c>
    </x:row>
    <x:row r="689">
      <x:c r="A689" t="n">
        <x:v>68.7</x:v>
      </x:c>
      <x:c r="B689" t="n">
        <x:f>IF(B$1="","",IFERROR(INDEX('包络曲线数据'!$B$2:$K$742,ROW()-1,MATCH(B$1,'包络曲线数据'!$B$1:$K$1,0)),""))</x:f>
        <x:v>67.67247471509332</x:v>
      </x:c>
      <x:c r="C689" t="str">
        <x:f>IF(C$1="","",IFERROR(INDEX('包络曲线数据'!$B$2:$K$742,ROW()-1,MATCH(C$1,'包络曲线数据'!$B$1:$K$1,0)),""))</x:f>
      </x:c>
      <x:c r="D689" t="str">
        <x:f>IF(D$1="","",IFERROR(INDEX('包络曲线数据'!$B$2:$K$742,ROW()-1,MATCH(D$1,'包络曲线数据'!$B$1:$K$1,0)),""))</x:f>
      </x:c>
      <x:c r="E689" t="str">
        <x:f>IF(E$1="","",IFERROR(INDEX('包络曲线数据'!$B$2:$K$742,ROW()-1,MATCH(E$1,'包络曲线数据'!$B$1:$K$1,0)),""))</x:f>
      </x:c>
      <x:c r="F689" t="str">
        <x:f>IF(F$1="","",IFERROR(INDEX('包络曲线数据'!$B$2:$K$742,ROW()-1,MATCH(F$1,'包络曲线数据'!$B$1:$K$1,0)),""))</x:f>
      </x:c>
      <x:c r="G689" t="str">
        <x:f>IF(G$1="","",IFERROR(INDEX('包络曲线数据'!$B$2:$K$742,ROW()-1,MATCH(G$1,'包络曲线数据'!$B$1:$K$1,0)),""))</x:f>
      </x:c>
    </x:row>
    <x:row r="690">
      <x:c r="A690" t="n">
        <x:v>68.8</x:v>
      </x:c>
      <x:c r="B690" t="n">
        <x:f>IF(B$1="","",IFERROR(INDEX('包络曲线数据'!$B$2:$K$742,ROW()-1,MATCH(B$1,'包络曲线数据'!$B$1:$K$1,0)),""))</x:f>
        <x:v>66.88034659818703</x:v>
      </x:c>
      <x:c r="C690" t="str">
        <x:f>IF(C$1="","",IFERROR(INDEX('包络曲线数据'!$B$2:$K$742,ROW()-1,MATCH(C$1,'包络曲线数据'!$B$1:$K$1,0)),""))</x:f>
      </x:c>
      <x:c r="D690" t="str">
        <x:f>IF(D$1="","",IFERROR(INDEX('包络曲线数据'!$B$2:$K$742,ROW()-1,MATCH(D$1,'包络曲线数据'!$B$1:$K$1,0)),""))</x:f>
      </x:c>
      <x:c r="E690" t="str">
        <x:f>IF(E$1="","",IFERROR(INDEX('包络曲线数据'!$B$2:$K$742,ROW()-1,MATCH(E$1,'包络曲线数据'!$B$1:$K$1,0)),""))</x:f>
      </x:c>
      <x:c r="F690" t="str">
        <x:f>IF(F$1="","",IFERROR(INDEX('包络曲线数据'!$B$2:$K$742,ROW()-1,MATCH(F$1,'包络曲线数据'!$B$1:$K$1,0)),""))</x:f>
      </x:c>
      <x:c r="G690" t="str">
        <x:f>IF(G$1="","",IFERROR(INDEX('包络曲线数据'!$B$2:$K$742,ROW()-1,MATCH(G$1,'包络曲线数据'!$B$1:$K$1,0)),""))</x:f>
      </x:c>
    </x:row>
    <x:row r="691">
      <x:c r="A691" t="n">
        <x:v>68.9</x:v>
      </x:c>
      <x:c r="B691" t="n">
        <x:f>IF(B$1="","",IFERROR(INDEX('包络曲线数据'!$B$2:$K$742,ROW()-1,MATCH(B$1,'包络曲线数据'!$B$1:$K$1,0)),""))</x:f>
        <x:v>68.30127517034623</x:v>
      </x:c>
      <x:c r="C691" t="str">
        <x:f>IF(C$1="","",IFERROR(INDEX('包络曲线数据'!$B$2:$K$742,ROW()-1,MATCH(C$1,'包络曲线数据'!$B$1:$K$1,0)),""))</x:f>
      </x:c>
      <x:c r="D691" t="str">
        <x:f>IF(D$1="","",IFERROR(INDEX('包络曲线数据'!$B$2:$K$742,ROW()-1,MATCH(D$1,'包络曲线数据'!$B$1:$K$1,0)),""))</x:f>
      </x:c>
      <x:c r="E691" t="str">
        <x:f>IF(E$1="","",IFERROR(INDEX('包络曲线数据'!$B$2:$K$742,ROW()-1,MATCH(E$1,'包络曲线数据'!$B$1:$K$1,0)),""))</x:f>
      </x:c>
      <x:c r="F691" t="str">
        <x:f>IF(F$1="","",IFERROR(INDEX('包络曲线数据'!$B$2:$K$742,ROW()-1,MATCH(F$1,'包络曲线数据'!$B$1:$K$1,0)),""))</x:f>
      </x:c>
      <x:c r="G691" t="str">
        <x:f>IF(G$1="","",IFERROR(INDEX('包络曲线数据'!$B$2:$K$742,ROW()-1,MATCH(G$1,'包络曲线数据'!$B$1:$K$1,0)),""))</x:f>
      </x:c>
    </x:row>
    <x:row r="692">
      <x:c r="A692" t="n">
        <x:v>69</x:v>
      </x:c>
      <x:c r="B692" t="n">
        <x:f>IF(B$1="","",IFERROR(INDEX('包络曲线数据'!$B$2:$K$742,ROW()-1,MATCH(B$1,'包络曲线数据'!$B$1:$K$1,0)),""))</x:f>
        <x:v>68.4874608688258</x:v>
      </x:c>
      <x:c r="C692" t="str">
        <x:f>IF(C$1="","",IFERROR(INDEX('包络曲线数据'!$B$2:$K$742,ROW()-1,MATCH(C$1,'包络曲线数据'!$B$1:$K$1,0)),""))</x:f>
      </x:c>
      <x:c r="D692" t="str">
        <x:f>IF(D$1="","",IFERROR(INDEX('包络曲线数据'!$B$2:$K$742,ROW()-1,MATCH(D$1,'包络曲线数据'!$B$1:$K$1,0)),""))</x:f>
      </x:c>
      <x:c r="E692" t="str">
        <x:f>IF(E$1="","",IFERROR(INDEX('包络曲线数据'!$B$2:$K$742,ROW()-1,MATCH(E$1,'包络曲线数据'!$B$1:$K$1,0)),""))</x:f>
      </x:c>
      <x:c r="F692" t="str">
        <x:f>IF(F$1="","",IFERROR(INDEX('包络曲线数据'!$B$2:$K$742,ROW()-1,MATCH(F$1,'包络曲线数据'!$B$1:$K$1,0)),""))</x:f>
      </x:c>
      <x:c r="G692" t="str">
        <x:f>IF(G$1="","",IFERROR(INDEX('包络曲线数据'!$B$2:$K$742,ROW()-1,MATCH(G$1,'包络曲线数据'!$B$1:$K$1,0)),""))</x:f>
      </x:c>
    </x:row>
    <x:row r="693">
      <x:c r="A693" t="n">
        <x:v>69.10000000000001</x:v>
      </x:c>
      <x:c r="B693" t="n">
        <x:f>IF(B$1="","",IFERROR(INDEX('包络曲线数据'!$B$2:$K$742,ROW()-1,MATCH(B$1,'包络曲线数据'!$B$1:$K$1,0)),""))</x:f>
        <x:v>68.48746086882548</x:v>
      </x:c>
      <x:c r="C693" t="str">
        <x:f>IF(C$1="","",IFERROR(INDEX('包络曲线数据'!$B$2:$K$742,ROW()-1,MATCH(C$1,'包络曲线数据'!$B$1:$K$1,0)),""))</x:f>
      </x:c>
      <x:c r="D693" t="str">
        <x:f>IF(D$1="","",IFERROR(INDEX('包络曲线数据'!$B$2:$K$742,ROW()-1,MATCH(D$1,'包络曲线数据'!$B$1:$K$1,0)),""))</x:f>
      </x:c>
      <x:c r="E693" t="str">
        <x:f>IF(E$1="","",IFERROR(INDEX('包络曲线数据'!$B$2:$K$742,ROW()-1,MATCH(E$1,'包络曲线数据'!$B$1:$K$1,0)),""))</x:f>
      </x:c>
      <x:c r="F693" t="str">
        <x:f>IF(F$1="","",IFERROR(INDEX('包络曲线数据'!$B$2:$K$742,ROW()-1,MATCH(F$1,'包络曲线数据'!$B$1:$K$1,0)),""))</x:f>
      </x:c>
      <x:c r="G693" t="str">
        <x:f>IF(G$1="","",IFERROR(INDEX('包络曲线数据'!$B$2:$K$742,ROW()-1,MATCH(G$1,'包络曲线数据'!$B$1:$K$1,0)),""))</x:f>
      </x:c>
    </x:row>
    <x:row r="694">
      <x:c r="A694" t="n">
        <x:v>69.2</x:v>
      </x:c>
      <x:c r="B694" t="n">
        <x:f>IF(B$1="","",IFERROR(INDEX('包络曲线数据'!$B$2:$K$742,ROW()-1,MATCH(B$1,'包络曲线数据'!$B$1:$K$1,0)),""))</x:f>
        <x:v>67.85719133424368</x:v>
      </x:c>
      <x:c r="C694" t="str">
        <x:f>IF(C$1="","",IFERROR(INDEX('包络曲线数据'!$B$2:$K$742,ROW()-1,MATCH(C$1,'包络曲线数据'!$B$1:$K$1,0)),""))</x:f>
      </x:c>
      <x:c r="D694" t="str">
        <x:f>IF(D$1="","",IFERROR(INDEX('包络曲线数据'!$B$2:$K$742,ROW()-1,MATCH(D$1,'包络曲线数据'!$B$1:$K$1,0)),""))</x:f>
      </x:c>
      <x:c r="E694" t="str">
        <x:f>IF(E$1="","",IFERROR(INDEX('包络曲线数据'!$B$2:$K$742,ROW()-1,MATCH(E$1,'包络曲线数据'!$B$1:$K$1,0)),""))</x:f>
      </x:c>
      <x:c r="F694" t="str">
        <x:f>IF(F$1="","",IFERROR(INDEX('包络曲线数据'!$B$2:$K$742,ROW()-1,MATCH(F$1,'包络曲线数据'!$B$1:$K$1,0)),""))</x:f>
      </x:c>
      <x:c r="G694" t="str">
        <x:f>IF(G$1="","",IFERROR(INDEX('包络曲线数据'!$B$2:$K$742,ROW()-1,MATCH(G$1,'包络曲线数据'!$B$1:$K$1,0)),""))</x:f>
      </x:c>
    </x:row>
    <x:row r="695">
      <x:c r="A695" t="n">
        <x:v>69.3</x:v>
      </x:c>
      <x:c r="B695" t="n">
        <x:f>IF(B$1="","",IFERROR(INDEX('包络曲线数据'!$B$2:$K$742,ROW()-1,MATCH(B$1,'包络曲线数据'!$B$1:$K$1,0)),""))</x:f>
        <x:v>67.63775955807475</x:v>
      </x:c>
      <x:c r="C695" t="str">
        <x:f>IF(C$1="","",IFERROR(INDEX('包络曲线数据'!$B$2:$K$742,ROW()-1,MATCH(C$1,'包络曲线数据'!$B$1:$K$1,0)),""))</x:f>
      </x:c>
      <x:c r="D695" t="str">
        <x:f>IF(D$1="","",IFERROR(INDEX('包络曲线数据'!$B$2:$K$742,ROW()-1,MATCH(D$1,'包络曲线数据'!$B$1:$K$1,0)),""))</x:f>
      </x:c>
      <x:c r="E695" t="str">
        <x:f>IF(E$1="","",IFERROR(INDEX('包络曲线数据'!$B$2:$K$742,ROW()-1,MATCH(E$1,'包络曲线数据'!$B$1:$K$1,0)),""))</x:f>
      </x:c>
      <x:c r="F695" t="str">
        <x:f>IF(F$1="","",IFERROR(INDEX('包络曲线数据'!$B$2:$K$742,ROW()-1,MATCH(F$1,'包络曲线数据'!$B$1:$K$1,0)),""))</x:f>
      </x:c>
      <x:c r="G695" t="str">
        <x:f>IF(G$1="","",IFERROR(INDEX('包络曲线数据'!$B$2:$K$742,ROW()-1,MATCH(G$1,'包络曲线数据'!$B$1:$K$1,0)),""))</x:f>
      </x:c>
    </x:row>
    <x:row r="696">
      <x:c r="A696" t="n">
        <x:v>69.4</x:v>
      </x:c>
      <x:c r="B696" t="n">
        <x:f>IF(B$1="","",IFERROR(INDEX('包络曲线数据'!$B$2:$K$742,ROW()-1,MATCH(B$1,'包络曲线数据'!$B$1:$K$1,0)),""))</x:f>
        <x:v>68.68161846360516</x:v>
      </x:c>
      <x:c r="C696" t="str">
        <x:f>IF(C$1="","",IFERROR(INDEX('包络曲线数据'!$B$2:$K$742,ROW()-1,MATCH(C$1,'包络曲线数据'!$B$1:$K$1,0)),""))</x:f>
      </x:c>
      <x:c r="D696" t="str">
        <x:f>IF(D$1="","",IFERROR(INDEX('包络曲线数据'!$B$2:$K$742,ROW()-1,MATCH(D$1,'包络曲线数据'!$B$1:$K$1,0)),""))</x:f>
      </x:c>
      <x:c r="E696" t="str">
        <x:f>IF(E$1="","",IFERROR(INDEX('包络曲线数据'!$B$2:$K$742,ROW()-1,MATCH(E$1,'包络曲线数据'!$B$1:$K$1,0)),""))</x:f>
      </x:c>
      <x:c r="F696" t="str">
        <x:f>IF(F$1="","",IFERROR(INDEX('包络曲线数据'!$B$2:$K$742,ROW()-1,MATCH(F$1,'包络曲线数据'!$B$1:$K$1,0)),""))</x:f>
      </x:c>
      <x:c r="G696" t="str">
        <x:f>IF(G$1="","",IFERROR(INDEX('包络曲线数据'!$B$2:$K$742,ROW()-1,MATCH(G$1,'包络曲线数据'!$B$1:$K$1,0)),""))</x:f>
      </x:c>
    </x:row>
    <x:row r="697">
      <x:c r="A697" t="n">
        <x:v>69.5</x:v>
      </x:c>
      <x:c r="B697" t="n">
        <x:f>IF(B$1="","",IFERROR(INDEX('包络曲线数据'!$B$2:$K$742,ROW()-1,MATCH(B$1,'包络曲线数据'!$B$1:$K$1,0)),""))</x:f>
        <x:v>68.68161846360516</x:v>
      </x:c>
      <x:c r="C697" t="str">
        <x:f>IF(C$1="","",IFERROR(INDEX('包络曲线数据'!$B$2:$K$742,ROW()-1,MATCH(C$1,'包络曲线数据'!$B$1:$K$1,0)),""))</x:f>
      </x:c>
      <x:c r="D697" t="str">
        <x:f>IF(D$1="","",IFERROR(INDEX('包络曲线数据'!$B$2:$K$742,ROW()-1,MATCH(D$1,'包络曲线数据'!$B$1:$K$1,0)),""))</x:f>
      </x:c>
      <x:c r="E697" t="str">
        <x:f>IF(E$1="","",IFERROR(INDEX('包络曲线数据'!$B$2:$K$742,ROW()-1,MATCH(E$1,'包络曲线数据'!$B$1:$K$1,0)),""))</x:f>
      </x:c>
      <x:c r="F697" t="str">
        <x:f>IF(F$1="","",IFERROR(INDEX('包络曲线数据'!$B$2:$K$742,ROW()-1,MATCH(F$1,'包络曲线数据'!$B$1:$K$1,0)),""))</x:f>
      </x:c>
      <x:c r="G697" t="str">
        <x:f>IF(G$1="","",IFERROR(INDEX('包络曲线数据'!$B$2:$K$742,ROW()-1,MATCH(G$1,'包络曲线数据'!$B$1:$K$1,0)),""))</x:f>
      </x:c>
    </x:row>
    <x:row r="698">
      <x:c r="A698" t="n">
        <x:v>69.60000000000001</x:v>
      </x:c>
      <x:c r="B698" t="n">
        <x:f>IF(B$1="","",IFERROR(INDEX('包络曲线数据'!$B$2:$K$742,ROW()-1,MATCH(B$1,'包络曲线数据'!$B$1:$K$1,0)),""))</x:f>
        <x:v>67.54886228993924</x:v>
      </x:c>
      <x:c r="C698" t="str">
        <x:f>IF(C$1="","",IFERROR(INDEX('包络曲线数据'!$B$2:$K$742,ROW()-1,MATCH(C$1,'包络曲线数据'!$B$1:$K$1,0)),""))</x:f>
      </x:c>
      <x:c r="D698" t="str">
        <x:f>IF(D$1="","",IFERROR(INDEX('包络曲线数据'!$B$2:$K$742,ROW()-1,MATCH(D$1,'包络曲线数据'!$B$1:$K$1,0)),""))</x:f>
      </x:c>
      <x:c r="E698" t="str">
        <x:f>IF(E$1="","",IFERROR(INDEX('包络曲线数据'!$B$2:$K$742,ROW()-1,MATCH(E$1,'包络曲线数据'!$B$1:$K$1,0)),""))</x:f>
      </x:c>
      <x:c r="F698" t="str">
        <x:f>IF(F$1="","",IFERROR(INDEX('包络曲线数据'!$B$2:$K$742,ROW()-1,MATCH(F$1,'包络曲线数据'!$B$1:$K$1,0)),""))</x:f>
      </x:c>
      <x:c r="G698" t="str">
        <x:f>IF(G$1="","",IFERROR(INDEX('包络曲线数据'!$B$2:$K$742,ROW()-1,MATCH(G$1,'包络曲线数据'!$B$1:$K$1,0)),""))</x:f>
      </x:c>
    </x:row>
    <x:row r="699">
      <x:c r="A699" t="n">
        <x:v>69.7</x:v>
      </x:c>
      <x:c r="B699" t="n">
        <x:f>IF(B$1="","",IFERROR(INDEX('包络曲线数据'!$B$2:$K$742,ROW()-1,MATCH(B$1,'包络曲线数据'!$B$1:$K$1,0)),""))</x:f>
        <x:v>74.52303588467137</x:v>
      </x:c>
      <x:c r="C699" t="str">
        <x:f>IF(C$1="","",IFERROR(INDEX('包络曲线数据'!$B$2:$K$742,ROW()-1,MATCH(C$1,'包络曲线数据'!$B$1:$K$1,0)),""))</x:f>
      </x:c>
      <x:c r="D699" t="str">
        <x:f>IF(D$1="","",IFERROR(INDEX('包络曲线数据'!$B$2:$K$742,ROW()-1,MATCH(D$1,'包络曲线数据'!$B$1:$K$1,0)),""))</x:f>
      </x:c>
      <x:c r="E699" t="str">
        <x:f>IF(E$1="","",IFERROR(INDEX('包络曲线数据'!$B$2:$K$742,ROW()-1,MATCH(E$1,'包络曲线数据'!$B$1:$K$1,0)),""))</x:f>
      </x:c>
      <x:c r="F699" t="str">
        <x:f>IF(F$1="","",IFERROR(INDEX('包络曲线数据'!$B$2:$K$742,ROW()-1,MATCH(F$1,'包络曲线数据'!$B$1:$K$1,0)),""))</x:f>
      </x:c>
      <x:c r="G699" t="str">
        <x:f>IF(G$1="","",IFERROR(INDEX('包络曲线数据'!$B$2:$K$742,ROW()-1,MATCH(G$1,'包络曲线数据'!$B$1:$K$1,0)),""))</x:f>
      </x:c>
    </x:row>
    <x:row r="700">
      <x:c r="A700" t="n">
        <x:v>69.8</x:v>
      </x:c>
      <x:c r="B700" t="n">
        <x:f>IF(B$1="","",IFERROR(INDEX('包络曲线数据'!$B$2:$K$742,ROW()-1,MATCH(B$1,'包络曲线数据'!$B$1:$K$1,0)),""))</x:f>
        <x:v>74.52303588467137</x:v>
      </x:c>
      <x:c r="C700" t="str">
        <x:f>IF(C$1="","",IFERROR(INDEX('包络曲线数据'!$B$2:$K$742,ROW()-1,MATCH(C$1,'包络曲线数据'!$B$1:$K$1,0)),""))</x:f>
      </x:c>
      <x:c r="D700" t="str">
        <x:f>IF(D$1="","",IFERROR(INDEX('包络曲线数据'!$B$2:$K$742,ROW()-1,MATCH(D$1,'包络曲线数据'!$B$1:$K$1,0)),""))</x:f>
      </x:c>
      <x:c r="E700" t="str">
        <x:f>IF(E$1="","",IFERROR(INDEX('包络曲线数据'!$B$2:$K$742,ROW()-1,MATCH(E$1,'包络曲线数据'!$B$1:$K$1,0)),""))</x:f>
      </x:c>
      <x:c r="F700" t="str">
        <x:f>IF(F$1="","",IFERROR(INDEX('包络曲线数据'!$B$2:$K$742,ROW()-1,MATCH(F$1,'包络曲线数据'!$B$1:$K$1,0)),""))</x:f>
      </x:c>
      <x:c r="G700" t="str">
        <x:f>IF(G$1="","",IFERROR(INDEX('包络曲线数据'!$B$2:$K$742,ROW()-1,MATCH(G$1,'包络曲线数据'!$B$1:$K$1,0)),""))</x:f>
      </x:c>
    </x:row>
    <x:row r="701">
      <x:c r="A701" t="n">
        <x:v>69.9</x:v>
      </x:c>
      <x:c r="B701" t="n">
        <x:f>IF(B$1="","",IFERROR(INDEX('包络曲线数据'!$B$2:$K$742,ROW()-1,MATCH(B$1,'包络曲线数据'!$B$1:$K$1,0)),""))</x:f>
        <x:v>71.5732926797472</x:v>
      </x:c>
      <x:c r="C701" t="str">
        <x:f>IF(C$1="","",IFERROR(INDEX('包络曲线数据'!$B$2:$K$742,ROW()-1,MATCH(C$1,'包络曲线数据'!$B$1:$K$1,0)),""))</x:f>
      </x:c>
      <x:c r="D701" t="str">
        <x:f>IF(D$1="","",IFERROR(INDEX('包络曲线数据'!$B$2:$K$742,ROW()-1,MATCH(D$1,'包络曲线数据'!$B$1:$K$1,0)),""))</x:f>
      </x:c>
      <x:c r="E701" t="str">
        <x:f>IF(E$1="","",IFERROR(INDEX('包络曲线数据'!$B$2:$K$742,ROW()-1,MATCH(E$1,'包络曲线数据'!$B$1:$K$1,0)),""))</x:f>
      </x:c>
      <x:c r="F701" t="str">
        <x:f>IF(F$1="","",IFERROR(INDEX('包络曲线数据'!$B$2:$K$742,ROW()-1,MATCH(F$1,'包络曲线数据'!$B$1:$K$1,0)),""))</x:f>
      </x:c>
      <x:c r="G701" t="str">
        <x:f>IF(G$1="","",IFERROR(INDEX('包络曲线数据'!$B$2:$K$742,ROW()-1,MATCH(G$1,'包络曲线数据'!$B$1:$K$1,0)),""))</x:f>
      </x:c>
    </x:row>
    <x:row r="702">
      <x:c r="A702" t="n">
        <x:v>70</x:v>
      </x:c>
      <x:c r="B702" t="n">
        <x:f>IF(B$1="","",IFERROR(INDEX('包络曲线数据'!$B$2:$K$742,ROW()-1,MATCH(B$1,'包络曲线数据'!$B$1:$K$1,0)),""))</x:f>
        <x:v>58.68643655489379</x:v>
      </x:c>
      <x:c r="C702" t="str">
        <x:f>IF(C$1="","",IFERROR(INDEX('包络曲线数据'!$B$2:$K$742,ROW()-1,MATCH(C$1,'包络曲线数据'!$B$1:$K$1,0)),""))</x:f>
      </x:c>
      <x:c r="D702" t="str">
        <x:f>IF(D$1="","",IFERROR(INDEX('包络曲线数据'!$B$2:$K$742,ROW()-1,MATCH(D$1,'包络曲线数据'!$B$1:$K$1,0)),""))</x:f>
      </x:c>
      <x:c r="E702" t="str">
        <x:f>IF(E$1="","",IFERROR(INDEX('包络曲线数据'!$B$2:$K$742,ROW()-1,MATCH(E$1,'包络曲线数据'!$B$1:$K$1,0)),""))</x:f>
      </x:c>
      <x:c r="F702" t="str">
        <x:f>IF(F$1="","",IFERROR(INDEX('包络曲线数据'!$B$2:$K$742,ROW()-1,MATCH(F$1,'包络曲线数据'!$B$1:$K$1,0)),""))</x:f>
      </x:c>
      <x:c r="G702" t="str">
        <x:f>IF(G$1="","",IFERROR(INDEX('包络曲线数据'!$B$2:$K$742,ROW()-1,MATCH(G$1,'包络曲线数据'!$B$1:$K$1,0)),""))</x:f>
      </x:c>
    </x:row>
    <x:row r="703">
      <x:c r="A703" t="n">
        <x:v>70.10000000000001</x:v>
      </x:c>
      <x:c r="B703" t="n">
        <x:f>IF(B$1="","",IFERROR(INDEX('包络曲线数据'!$B$2:$K$742,ROW()-1,MATCH(B$1,'包络曲线数据'!$B$1:$K$1,0)),""))</x:f>
        <x:v>57.92899803454567</x:v>
      </x:c>
      <x:c r="C703" t="str">
        <x:f>IF(C$1="","",IFERROR(INDEX('包络曲线数据'!$B$2:$K$742,ROW()-1,MATCH(C$1,'包络曲线数据'!$B$1:$K$1,0)),""))</x:f>
      </x:c>
      <x:c r="D703" t="str">
        <x:f>IF(D$1="","",IFERROR(INDEX('包络曲线数据'!$B$2:$K$742,ROW()-1,MATCH(D$1,'包络曲线数据'!$B$1:$K$1,0)),""))</x:f>
      </x:c>
      <x:c r="E703" t="str">
        <x:f>IF(E$1="","",IFERROR(INDEX('包络曲线数据'!$B$2:$K$742,ROW()-1,MATCH(E$1,'包络曲线数据'!$B$1:$K$1,0)),""))</x:f>
      </x:c>
      <x:c r="F703" t="str">
        <x:f>IF(F$1="","",IFERROR(INDEX('包络曲线数据'!$B$2:$K$742,ROW()-1,MATCH(F$1,'包络曲线数据'!$B$1:$K$1,0)),""))</x:f>
      </x:c>
      <x:c r="G703" t="str">
        <x:f>IF(G$1="","",IFERROR(INDEX('包络曲线数据'!$B$2:$K$742,ROW()-1,MATCH(G$1,'包络曲线数据'!$B$1:$K$1,0)),""))</x:f>
      </x:c>
    </x:row>
    <x:row r="704">
      <x:c r="A704" t="n">
        <x:v>70.2</x:v>
      </x:c>
      <x:c r="B704" t="n">
        <x:f>IF(B$1="","",IFERROR(INDEX('包络曲线数据'!$B$2:$K$742,ROW()-1,MATCH(B$1,'包络曲线数据'!$B$1:$K$1,0)),""))</x:f>
        <x:v>61.044569802144025</x:v>
      </x:c>
      <x:c r="C704" t="str">
        <x:f>IF(C$1="","",IFERROR(INDEX('包络曲线数据'!$B$2:$K$742,ROW()-1,MATCH(C$1,'包络曲线数据'!$B$1:$K$1,0)),""))</x:f>
      </x:c>
      <x:c r="D704" t="str">
        <x:f>IF(D$1="","",IFERROR(INDEX('包络曲线数据'!$B$2:$K$742,ROW()-1,MATCH(D$1,'包络曲线数据'!$B$1:$K$1,0)),""))</x:f>
      </x:c>
      <x:c r="E704" t="str">
        <x:f>IF(E$1="","",IFERROR(INDEX('包络曲线数据'!$B$2:$K$742,ROW()-1,MATCH(E$1,'包络曲线数据'!$B$1:$K$1,0)),""))</x:f>
      </x:c>
      <x:c r="F704" t="str">
        <x:f>IF(F$1="","",IFERROR(INDEX('包络曲线数据'!$B$2:$K$742,ROW()-1,MATCH(F$1,'包络曲线数据'!$B$1:$K$1,0)),""))</x:f>
      </x:c>
      <x:c r="G704" t="str">
        <x:f>IF(G$1="","",IFERROR(INDEX('包络曲线数据'!$B$2:$K$742,ROW()-1,MATCH(G$1,'包络曲线数据'!$B$1:$K$1,0)),""))</x:f>
      </x:c>
    </x:row>
    <x:row r="705">
      <x:c r="A705" t="n">
        <x:v>70.3</x:v>
      </x:c>
      <x:c r="B705" t="n">
        <x:f>IF(B$1="","",IFERROR(INDEX('包络曲线数据'!$B$2:$K$742,ROW()-1,MATCH(B$1,'包络曲线数据'!$B$1:$K$1,0)),""))</x:f>
        <x:v>61.39088470150774</x:v>
      </x:c>
      <x:c r="C705" t="str">
        <x:f>IF(C$1="","",IFERROR(INDEX('包络曲线数据'!$B$2:$K$742,ROW()-1,MATCH(C$1,'包络曲线数据'!$B$1:$K$1,0)),""))</x:f>
      </x:c>
      <x:c r="D705" t="str">
        <x:f>IF(D$1="","",IFERROR(INDEX('包络曲线数据'!$B$2:$K$742,ROW()-1,MATCH(D$1,'包络曲线数据'!$B$1:$K$1,0)),""))</x:f>
      </x:c>
      <x:c r="E705" t="str">
        <x:f>IF(E$1="","",IFERROR(INDEX('包络曲线数据'!$B$2:$K$742,ROW()-1,MATCH(E$1,'包络曲线数据'!$B$1:$K$1,0)),""))</x:f>
      </x:c>
      <x:c r="F705" t="str">
        <x:f>IF(F$1="","",IFERROR(INDEX('包络曲线数据'!$B$2:$K$742,ROW()-1,MATCH(F$1,'包络曲线数据'!$B$1:$K$1,0)),""))</x:f>
      </x:c>
      <x:c r="G705" t="str">
        <x:f>IF(G$1="","",IFERROR(INDEX('包络曲线数据'!$B$2:$K$742,ROW()-1,MATCH(G$1,'包络曲线数据'!$B$1:$K$1,0)),""))</x:f>
      </x:c>
    </x:row>
    <x:row r="706">
      <x:c r="A706" t="n">
        <x:v>70.4</x:v>
      </x:c>
      <x:c r="B706" t="n">
        <x:f>IF(B$1="","",IFERROR(INDEX('包络曲线数据'!$B$2:$K$742,ROW()-1,MATCH(B$1,'包络曲线数据'!$B$1:$K$1,0)),""))</x:f>
        <x:v>61.57257449761503</x:v>
      </x:c>
      <x:c r="C706" t="str">
        <x:f>IF(C$1="","",IFERROR(INDEX('包络曲线数据'!$B$2:$K$742,ROW()-1,MATCH(C$1,'包络曲线数据'!$B$1:$K$1,0)),""))</x:f>
      </x:c>
      <x:c r="D706" t="str">
        <x:f>IF(D$1="","",IFERROR(INDEX('包络曲线数据'!$B$2:$K$742,ROW()-1,MATCH(D$1,'包络曲线数据'!$B$1:$K$1,0)),""))</x:f>
      </x:c>
      <x:c r="E706" t="str">
        <x:f>IF(E$1="","",IFERROR(INDEX('包络曲线数据'!$B$2:$K$742,ROW()-1,MATCH(E$1,'包络曲线数据'!$B$1:$K$1,0)),""))</x:f>
      </x:c>
      <x:c r="F706" t="str">
        <x:f>IF(F$1="","",IFERROR(INDEX('包络曲线数据'!$B$2:$K$742,ROW()-1,MATCH(F$1,'包络曲线数据'!$B$1:$K$1,0)),""))</x:f>
      </x:c>
      <x:c r="G706" t="str">
        <x:f>IF(G$1="","",IFERROR(INDEX('包络曲线数据'!$B$2:$K$742,ROW()-1,MATCH(G$1,'包络曲线数据'!$B$1:$K$1,0)),""))</x:f>
      </x:c>
    </x:row>
    <x:row r="707">
      <x:c r="A707" t="n">
        <x:v>70.5</x:v>
      </x:c>
      <x:c r="B707" t="n">
        <x:f>IF(B$1="","",IFERROR(INDEX('包络曲线数据'!$B$2:$K$742,ROW()-1,MATCH(B$1,'包络曲线数据'!$B$1:$K$1,0)),""))</x:f>
        <x:v>62.2668460152199</x:v>
      </x:c>
      <x:c r="C707" t="str">
        <x:f>IF(C$1="","",IFERROR(INDEX('包络曲线数据'!$B$2:$K$742,ROW()-1,MATCH(C$1,'包络曲线数据'!$B$1:$K$1,0)),""))</x:f>
      </x:c>
      <x:c r="D707" t="str">
        <x:f>IF(D$1="","",IFERROR(INDEX('包络曲线数据'!$B$2:$K$742,ROW()-1,MATCH(D$1,'包络曲线数据'!$B$1:$K$1,0)),""))</x:f>
      </x:c>
      <x:c r="E707" t="str">
        <x:f>IF(E$1="","",IFERROR(INDEX('包络曲线数据'!$B$2:$K$742,ROW()-1,MATCH(E$1,'包络曲线数据'!$B$1:$K$1,0)),""))</x:f>
      </x:c>
      <x:c r="F707" t="str">
        <x:f>IF(F$1="","",IFERROR(INDEX('包络曲线数据'!$B$2:$K$742,ROW()-1,MATCH(F$1,'包络曲线数据'!$B$1:$K$1,0)),""))</x:f>
      </x:c>
      <x:c r="G707" t="str">
        <x:f>IF(G$1="","",IFERROR(INDEX('包络曲线数据'!$B$2:$K$742,ROW()-1,MATCH(G$1,'包络曲线数据'!$B$1:$K$1,0)),""))</x:f>
      </x:c>
    </x:row>
    <x:row r="708">
      <x:c r="A708" t="n">
        <x:v>70.60000000000001</x:v>
      </x:c>
      <x:c r="B708" t="n">
        <x:f>IF(B$1="","",IFERROR(INDEX('包络曲线数据'!$B$2:$K$742,ROW()-1,MATCH(B$1,'包络曲线数据'!$B$1:$K$1,0)),""))</x:f>
        <x:v>62.75335317895296</x:v>
      </x:c>
      <x:c r="C708" t="str">
        <x:f>IF(C$1="","",IFERROR(INDEX('包络曲线数据'!$B$2:$K$742,ROW()-1,MATCH(C$1,'包络曲线数据'!$B$1:$K$1,0)),""))</x:f>
      </x:c>
      <x:c r="D708" t="str">
        <x:f>IF(D$1="","",IFERROR(INDEX('包络曲线数据'!$B$2:$K$742,ROW()-1,MATCH(D$1,'包络曲线数据'!$B$1:$K$1,0)),""))</x:f>
      </x:c>
      <x:c r="E708" t="str">
        <x:f>IF(E$1="","",IFERROR(INDEX('包络曲线数据'!$B$2:$K$742,ROW()-1,MATCH(E$1,'包络曲线数据'!$B$1:$K$1,0)),""))</x:f>
      </x:c>
      <x:c r="F708" t="str">
        <x:f>IF(F$1="","",IFERROR(INDEX('包络曲线数据'!$B$2:$K$742,ROW()-1,MATCH(F$1,'包络曲线数据'!$B$1:$K$1,0)),""))</x:f>
      </x:c>
      <x:c r="G708" t="str">
        <x:f>IF(G$1="","",IFERROR(INDEX('包络曲线数据'!$B$2:$K$742,ROW()-1,MATCH(G$1,'包络曲线数据'!$B$1:$K$1,0)),""))</x:f>
      </x:c>
    </x:row>
    <x:row r="709">
      <x:c r="A709" t="n">
        <x:v>70.7</x:v>
      </x:c>
      <x:c r="B709" t="n">
        <x:f>IF(B$1="","",IFERROR(INDEX('包络曲线数据'!$B$2:$K$742,ROW()-1,MATCH(B$1,'包络曲线数据'!$B$1:$K$1,0)),""))</x:f>
        <x:v>62.230162376795164</x:v>
      </x:c>
      <x:c r="C709" t="str">
        <x:f>IF(C$1="","",IFERROR(INDEX('包络曲线数据'!$B$2:$K$742,ROW()-1,MATCH(C$1,'包络曲线数据'!$B$1:$K$1,0)),""))</x:f>
      </x:c>
      <x:c r="D709" t="str">
        <x:f>IF(D$1="","",IFERROR(INDEX('包络曲线数据'!$B$2:$K$742,ROW()-1,MATCH(D$1,'包络曲线数据'!$B$1:$K$1,0)),""))</x:f>
      </x:c>
      <x:c r="E709" t="str">
        <x:f>IF(E$1="","",IFERROR(INDEX('包络曲线数据'!$B$2:$K$742,ROW()-1,MATCH(E$1,'包络曲线数据'!$B$1:$K$1,0)),""))</x:f>
      </x:c>
      <x:c r="F709" t="str">
        <x:f>IF(F$1="","",IFERROR(INDEX('包络曲线数据'!$B$2:$K$742,ROW()-1,MATCH(F$1,'包络曲线数据'!$B$1:$K$1,0)),""))</x:f>
      </x:c>
      <x:c r="G709" t="str">
        <x:f>IF(G$1="","",IFERROR(INDEX('包络曲线数据'!$B$2:$K$742,ROW()-1,MATCH(G$1,'包络曲线数据'!$B$1:$K$1,0)),""))</x:f>
      </x:c>
    </x:row>
    <x:row r="710">
      <x:c r="A710" t="n">
        <x:v>70.8</x:v>
      </x:c>
      <x:c r="B710" t="n">
        <x:f>IF(B$1="","",IFERROR(INDEX('包络曲线数据'!$B$2:$K$742,ROW()-1,MATCH(B$1,'包络曲线数据'!$B$1:$K$1,0)),""))</x:f>
        <x:v>62.623880175793765</x:v>
      </x:c>
      <x:c r="C710" t="str">
        <x:f>IF(C$1="","",IFERROR(INDEX('包络曲线数据'!$B$2:$K$742,ROW()-1,MATCH(C$1,'包络曲线数据'!$B$1:$K$1,0)),""))</x:f>
      </x:c>
      <x:c r="D710" t="str">
        <x:f>IF(D$1="","",IFERROR(INDEX('包络曲线数据'!$B$2:$K$742,ROW()-1,MATCH(D$1,'包络曲线数据'!$B$1:$K$1,0)),""))</x:f>
      </x:c>
      <x:c r="E710" t="str">
        <x:f>IF(E$1="","",IFERROR(INDEX('包络曲线数据'!$B$2:$K$742,ROW()-1,MATCH(E$1,'包络曲线数据'!$B$1:$K$1,0)),""))</x:f>
      </x:c>
      <x:c r="F710" t="str">
        <x:f>IF(F$1="","",IFERROR(INDEX('包络曲线数据'!$B$2:$K$742,ROW()-1,MATCH(F$1,'包络曲线数据'!$B$1:$K$1,0)),""))</x:f>
      </x:c>
      <x:c r="G710" t="str">
        <x:f>IF(G$1="","",IFERROR(INDEX('包络曲线数据'!$B$2:$K$742,ROW()-1,MATCH(G$1,'包络曲线数据'!$B$1:$K$1,0)),""))</x:f>
      </x:c>
    </x:row>
    <x:row r="711">
      <x:c r="A711" t="n">
        <x:v>70.9</x:v>
      </x:c>
      <x:c r="B711" t="n">
        <x:f>IF(B$1="","",IFERROR(INDEX('包络曲线数据'!$B$2:$K$742,ROW()-1,MATCH(B$1,'包络曲线数据'!$B$1:$K$1,0)),""))</x:f>
        <x:v>68.99979683207314</x:v>
      </x:c>
      <x:c r="C711" t="str">
        <x:f>IF(C$1="","",IFERROR(INDEX('包络曲线数据'!$B$2:$K$742,ROW()-1,MATCH(C$1,'包络曲线数据'!$B$1:$K$1,0)),""))</x:f>
      </x:c>
      <x:c r="D711" t="str">
        <x:f>IF(D$1="","",IFERROR(INDEX('包络曲线数据'!$B$2:$K$742,ROW()-1,MATCH(D$1,'包络曲线数据'!$B$1:$K$1,0)),""))</x:f>
      </x:c>
      <x:c r="E711" t="str">
        <x:f>IF(E$1="","",IFERROR(INDEX('包络曲线数据'!$B$2:$K$742,ROW()-1,MATCH(E$1,'包络曲线数据'!$B$1:$K$1,0)),""))</x:f>
      </x:c>
      <x:c r="F711" t="str">
        <x:f>IF(F$1="","",IFERROR(INDEX('包络曲线数据'!$B$2:$K$742,ROW()-1,MATCH(F$1,'包络曲线数据'!$B$1:$K$1,0)),""))</x:f>
      </x:c>
      <x:c r="G711" t="str">
        <x:f>IF(G$1="","",IFERROR(INDEX('包络曲线数据'!$B$2:$K$742,ROW()-1,MATCH(G$1,'包络曲线数据'!$B$1:$K$1,0)),""))</x:f>
      </x:c>
    </x:row>
    <x:row r="712">
      <x:c r="A712" t="n">
        <x:v>71</x:v>
      </x:c>
      <x:c r="B712" t="n">
        <x:f>IF(B$1="","",IFERROR(INDEX('包络曲线数据'!$B$2:$K$742,ROW()-1,MATCH(B$1,'包络曲线数据'!$B$1:$K$1,0)),""))</x:f>
        <x:v>73.24231859782884</x:v>
      </x:c>
      <x:c r="C712" t="str">
        <x:f>IF(C$1="","",IFERROR(INDEX('包络曲线数据'!$B$2:$K$742,ROW()-1,MATCH(C$1,'包络曲线数据'!$B$1:$K$1,0)),""))</x:f>
      </x:c>
      <x:c r="D712" t="str">
        <x:f>IF(D$1="","",IFERROR(INDEX('包络曲线数据'!$B$2:$K$742,ROW()-1,MATCH(D$1,'包络曲线数据'!$B$1:$K$1,0)),""))</x:f>
      </x:c>
      <x:c r="E712" t="str">
        <x:f>IF(E$1="","",IFERROR(INDEX('包络曲线数据'!$B$2:$K$742,ROW()-1,MATCH(E$1,'包络曲线数据'!$B$1:$K$1,0)),""))</x:f>
      </x:c>
      <x:c r="F712" t="str">
        <x:f>IF(F$1="","",IFERROR(INDEX('包络曲线数据'!$B$2:$K$742,ROW()-1,MATCH(F$1,'包络曲线数据'!$B$1:$K$1,0)),""))</x:f>
      </x:c>
      <x:c r="G712" t="str">
        <x:f>IF(G$1="","",IFERROR(INDEX('包络曲线数据'!$B$2:$K$742,ROW()-1,MATCH(G$1,'包络曲线数据'!$B$1:$K$1,0)),""))</x:f>
      </x:c>
    </x:row>
    <x:row r="713">
      <x:c r="A713" t="n">
        <x:v>71.10000000000001</x:v>
      </x:c>
      <x:c r="B713" t="str">
        <x:f>IF(B$1="","",IFERROR(INDEX('包络曲线数据'!$B$2:$K$742,ROW()-1,MATCH(B$1,'包络曲线数据'!$B$1:$K$1,0)),""))</x:f>
      </x:c>
      <x:c r="C713" t="str">
        <x:f>IF(C$1="","",IFERROR(INDEX('包络曲线数据'!$B$2:$K$742,ROW()-1,MATCH(C$1,'包络曲线数据'!$B$1:$K$1,0)),""))</x:f>
      </x:c>
      <x:c r="D713" t="str">
        <x:f>IF(D$1="","",IFERROR(INDEX('包络曲线数据'!$B$2:$K$742,ROW()-1,MATCH(D$1,'包络曲线数据'!$B$1:$K$1,0)),""))</x:f>
      </x:c>
      <x:c r="E713" t="str">
        <x:f>IF(E$1="","",IFERROR(INDEX('包络曲线数据'!$B$2:$K$742,ROW()-1,MATCH(E$1,'包络曲线数据'!$B$1:$K$1,0)),""))</x:f>
      </x:c>
      <x:c r="F713" t="str">
        <x:f>IF(F$1="","",IFERROR(INDEX('包络曲线数据'!$B$2:$K$742,ROW()-1,MATCH(F$1,'包络曲线数据'!$B$1:$K$1,0)),""))</x:f>
      </x:c>
      <x:c r="G713" t="str">
        <x:f>IF(G$1="","",IFERROR(INDEX('包络曲线数据'!$B$2:$K$742,ROW()-1,MATCH(G$1,'包络曲线数据'!$B$1:$K$1,0)),""))</x:f>
      </x:c>
    </x:row>
    <x:row r="714">
      <x:c r="A714" t="n">
        <x:v>71.2</x:v>
      </x:c>
      <x:c r="B714" t="str">
        <x:f>IF(B$1="","",IFERROR(INDEX('包络曲线数据'!$B$2:$K$742,ROW()-1,MATCH(B$1,'包络曲线数据'!$B$1:$K$1,0)),""))</x:f>
      </x:c>
      <x:c r="C714" t="str">
        <x:f>IF(C$1="","",IFERROR(INDEX('包络曲线数据'!$B$2:$K$742,ROW()-1,MATCH(C$1,'包络曲线数据'!$B$1:$K$1,0)),""))</x:f>
      </x:c>
      <x:c r="D714" t="str">
        <x:f>IF(D$1="","",IFERROR(INDEX('包络曲线数据'!$B$2:$K$742,ROW()-1,MATCH(D$1,'包络曲线数据'!$B$1:$K$1,0)),""))</x:f>
      </x:c>
      <x:c r="E714" t="str">
        <x:f>IF(E$1="","",IFERROR(INDEX('包络曲线数据'!$B$2:$K$742,ROW()-1,MATCH(E$1,'包络曲线数据'!$B$1:$K$1,0)),""))</x:f>
      </x:c>
      <x:c r="F714" t="str">
        <x:f>IF(F$1="","",IFERROR(INDEX('包络曲线数据'!$B$2:$K$742,ROW()-1,MATCH(F$1,'包络曲线数据'!$B$1:$K$1,0)),""))</x:f>
      </x:c>
      <x:c r="G714" t="str">
        <x:f>IF(G$1="","",IFERROR(INDEX('包络曲线数据'!$B$2:$K$742,ROW()-1,MATCH(G$1,'包络曲线数据'!$B$1:$K$1,0)),""))</x:f>
      </x:c>
    </x:row>
    <x:row r="715">
      <x:c r="A715" t="n">
        <x:v>71.3</x:v>
      </x:c>
      <x:c r="B715" t="str">
        <x:f>IF(B$1="","",IFERROR(INDEX('包络曲线数据'!$B$2:$K$742,ROW()-1,MATCH(B$1,'包络曲线数据'!$B$1:$K$1,0)),""))</x:f>
      </x:c>
      <x:c r="C715" t="str">
        <x:f>IF(C$1="","",IFERROR(INDEX('包络曲线数据'!$B$2:$K$742,ROW()-1,MATCH(C$1,'包络曲线数据'!$B$1:$K$1,0)),""))</x:f>
      </x:c>
      <x:c r="D715" t="str">
        <x:f>IF(D$1="","",IFERROR(INDEX('包络曲线数据'!$B$2:$K$742,ROW()-1,MATCH(D$1,'包络曲线数据'!$B$1:$K$1,0)),""))</x:f>
      </x:c>
      <x:c r="E715" t="str">
        <x:f>IF(E$1="","",IFERROR(INDEX('包络曲线数据'!$B$2:$K$742,ROW()-1,MATCH(E$1,'包络曲线数据'!$B$1:$K$1,0)),""))</x:f>
      </x:c>
      <x:c r="F715" t="str">
        <x:f>IF(F$1="","",IFERROR(INDEX('包络曲线数据'!$B$2:$K$742,ROW()-1,MATCH(F$1,'包络曲线数据'!$B$1:$K$1,0)),""))</x:f>
      </x:c>
      <x:c r="G715" t="str">
        <x:f>IF(G$1="","",IFERROR(INDEX('包络曲线数据'!$B$2:$K$742,ROW()-1,MATCH(G$1,'包络曲线数据'!$B$1:$K$1,0)),""))</x:f>
      </x:c>
    </x:row>
    <x:row r="716">
      <x:c r="A716" t="n">
        <x:v>71.4</x:v>
      </x:c>
      <x:c r="B716" t="str">
        <x:f>IF(B$1="","",IFERROR(INDEX('包络曲线数据'!$B$2:$K$742,ROW()-1,MATCH(B$1,'包络曲线数据'!$B$1:$K$1,0)),""))</x:f>
      </x:c>
      <x:c r="C716" t="str">
        <x:f>IF(C$1="","",IFERROR(INDEX('包络曲线数据'!$B$2:$K$742,ROW()-1,MATCH(C$1,'包络曲线数据'!$B$1:$K$1,0)),""))</x:f>
      </x:c>
      <x:c r="D716" t="str">
        <x:f>IF(D$1="","",IFERROR(INDEX('包络曲线数据'!$B$2:$K$742,ROW()-1,MATCH(D$1,'包络曲线数据'!$B$1:$K$1,0)),""))</x:f>
      </x:c>
      <x:c r="E716" t="str">
        <x:f>IF(E$1="","",IFERROR(INDEX('包络曲线数据'!$B$2:$K$742,ROW()-1,MATCH(E$1,'包络曲线数据'!$B$1:$K$1,0)),""))</x:f>
      </x:c>
      <x:c r="F716" t="str">
        <x:f>IF(F$1="","",IFERROR(INDEX('包络曲线数据'!$B$2:$K$742,ROW()-1,MATCH(F$1,'包络曲线数据'!$B$1:$K$1,0)),""))</x:f>
      </x:c>
      <x:c r="G716" t="str">
        <x:f>IF(G$1="","",IFERROR(INDEX('包络曲线数据'!$B$2:$K$742,ROW()-1,MATCH(G$1,'包络曲线数据'!$B$1:$K$1,0)),""))</x:f>
      </x:c>
    </x:row>
    <x:row r="717">
      <x:c r="A717" t="n">
        <x:v>71.5</x:v>
      </x:c>
      <x:c r="B717" t="str">
        <x:f>IF(B$1="","",IFERROR(INDEX('包络曲线数据'!$B$2:$K$742,ROW()-1,MATCH(B$1,'包络曲线数据'!$B$1:$K$1,0)),""))</x:f>
      </x:c>
      <x:c r="C717" t="str">
        <x:f>IF(C$1="","",IFERROR(INDEX('包络曲线数据'!$B$2:$K$742,ROW()-1,MATCH(C$1,'包络曲线数据'!$B$1:$K$1,0)),""))</x:f>
      </x:c>
      <x:c r="D717" t="str">
        <x:f>IF(D$1="","",IFERROR(INDEX('包络曲线数据'!$B$2:$K$742,ROW()-1,MATCH(D$1,'包络曲线数据'!$B$1:$K$1,0)),""))</x:f>
      </x:c>
      <x:c r="E717" t="str">
        <x:f>IF(E$1="","",IFERROR(INDEX('包络曲线数据'!$B$2:$K$742,ROW()-1,MATCH(E$1,'包络曲线数据'!$B$1:$K$1,0)),""))</x:f>
      </x:c>
      <x:c r="F717" t="str">
        <x:f>IF(F$1="","",IFERROR(INDEX('包络曲线数据'!$B$2:$K$742,ROW()-1,MATCH(F$1,'包络曲线数据'!$B$1:$K$1,0)),""))</x:f>
      </x:c>
      <x:c r="G717" t="str">
        <x:f>IF(G$1="","",IFERROR(INDEX('包络曲线数据'!$B$2:$K$742,ROW()-1,MATCH(G$1,'包络曲线数据'!$B$1:$K$1,0)),""))</x:f>
      </x:c>
    </x:row>
    <x:row r="718">
      <x:c r="A718" t="n">
        <x:v>71.60000000000001</x:v>
      </x:c>
      <x:c r="B718" t="str">
        <x:f>IF(B$1="","",IFERROR(INDEX('包络曲线数据'!$B$2:$K$742,ROW()-1,MATCH(B$1,'包络曲线数据'!$B$1:$K$1,0)),""))</x:f>
      </x:c>
      <x:c r="C718" t="str">
        <x:f>IF(C$1="","",IFERROR(INDEX('包络曲线数据'!$B$2:$K$742,ROW()-1,MATCH(C$1,'包络曲线数据'!$B$1:$K$1,0)),""))</x:f>
      </x:c>
      <x:c r="D718" t="str">
        <x:f>IF(D$1="","",IFERROR(INDEX('包络曲线数据'!$B$2:$K$742,ROW()-1,MATCH(D$1,'包络曲线数据'!$B$1:$K$1,0)),""))</x:f>
      </x:c>
      <x:c r="E718" t="str">
        <x:f>IF(E$1="","",IFERROR(INDEX('包络曲线数据'!$B$2:$K$742,ROW()-1,MATCH(E$1,'包络曲线数据'!$B$1:$K$1,0)),""))</x:f>
      </x:c>
      <x:c r="F718" t="str">
        <x:f>IF(F$1="","",IFERROR(INDEX('包络曲线数据'!$B$2:$K$742,ROW()-1,MATCH(F$1,'包络曲线数据'!$B$1:$K$1,0)),""))</x:f>
      </x:c>
      <x:c r="G718" t="str">
        <x:f>IF(G$1="","",IFERROR(INDEX('包络曲线数据'!$B$2:$K$742,ROW()-1,MATCH(G$1,'包络曲线数据'!$B$1:$K$1,0)),""))</x:f>
      </x:c>
    </x:row>
    <x:row r="719">
      <x:c r="A719" t="n">
        <x:v>71.7</x:v>
      </x:c>
      <x:c r="B719" t="str">
        <x:f>IF(B$1="","",IFERROR(INDEX('包络曲线数据'!$B$2:$K$742,ROW()-1,MATCH(B$1,'包络曲线数据'!$B$1:$K$1,0)),""))</x:f>
      </x:c>
      <x:c r="C719" t="str">
        <x:f>IF(C$1="","",IFERROR(INDEX('包络曲线数据'!$B$2:$K$742,ROW()-1,MATCH(C$1,'包络曲线数据'!$B$1:$K$1,0)),""))</x:f>
      </x:c>
      <x:c r="D719" t="str">
        <x:f>IF(D$1="","",IFERROR(INDEX('包络曲线数据'!$B$2:$K$742,ROW()-1,MATCH(D$1,'包络曲线数据'!$B$1:$K$1,0)),""))</x:f>
      </x:c>
      <x:c r="E719" t="str">
        <x:f>IF(E$1="","",IFERROR(INDEX('包络曲线数据'!$B$2:$K$742,ROW()-1,MATCH(E$1,'包络曲线数据'!$B$1:$K$1,0)),""))</x:f>
      </x:c>
      <x:c r="F719" t="str">
        <x:f>IF(F$1="","",IFERROR(INDEX('包络曲线数据'!$B$2:$K$742,ROW()-1,MATCH(F$1,'包络曲线数据'!$B$1:$K$1,0)),""))</x:f>
      </x:c>
      <x:c r="G719" t="str">
        <x:f>IF(G$1="","",IFERROR(INDEX('包络曲线数据'!$B$2:$K$742,ROW()-1,MATCH(G$1,'包络曲线数据'!$B$1:$K$1,0)),""))</x:f>
      </x:c>
    </x:row>
    <x:row r="720">
      <x:c r="A720" t="n">
        <x:v>71.8</x:v>
      </x:c>
      <x:c r="B720" t="str">
        <x:f>IF(B$1="","",IFERROR(INDEX('包络曲线数据'!$B$2:$K$742,ROW()-1,MATCH(B$1,'包络曲线数据'!$B$1:$K$1,0)),""))</x:f>
      </x:c>
      <x:c r="C720" t="str">
        <x:f>IF(C$1="","",IFERROR(INDEX('包络曲线数据'!$B$2:$K$742,ROW()-1,MATCH(C$1,'包络曲线数据'!$B$1:$K$1,0)),""))</x:f>
      </x:c>
      <x:c r="D720" t="str">
        <x:f>IF(D$1="","",IFERROR(INDEX('包络曲线数据'!$B$2:$K$742,ROW()-1,MATCH(D$1,'包络曲线数据'!$B$1:$K$1,0)),""))</x:f>
      </x:c>
      <x:c r="E720" t="str">
        <x:f>IF(E$1="","",IFERROR(INDEX('包络曲线数据'!$B$2:$K$742,ROW()-1,MATCH(E$1,'包络曲线数据'!$B$1:$K$1,0)),""))</x:f>
      </x:c>
      <x:c r="F720" t="str">
        <x:f>IF(F$1="","",IFERROR(INDEX('包络曲线数据'!$B$2:$K$742,ROW()-1,MATCH(F$1,'包络曲线数据'!$B$1:$K$1,0)),""))</x:f>
      </x:c>
      <x:c r="G720" t="str">
        <x:f>IF(G$1="","",IFERROR(INDEX('包络曲线数据'!$B$2:$K$742,ROW()-1,MATCH(G$1,'包络曲线数据'!$B$1:$K$1,0)),""))</x:f>
      </x:c>
    </x:row>
    <x:row r="721">
      <x:c r="A721" t="n">
        <x:v>71.9</x:v>
      </x:c>
      <x:c r="B721" t="str">
        <x:f>IF(B$1="","",IFERROR(INDEX('包络曲线数据'!$B$2:$K$742,ROW()-1,MATCH(B$1,'包络曲线数据'!$B$1:$K$1,0)),""))</x:f>
      </x:c>
      <x:c r="C721" t="str">
        <x:f>IF(C$1="","",IFERROR(INDEX('包络曲线数据'!$B$2:$K$742,ROW()-1,MATCH(C$1,'包络曲线数据'!$B$1:$K$1,0)),""))</x:f>
      </x:c>
      <x:c r="D721" t="str">
        <x:f>IF(D$1="","",IFERROR(INDEX('包络曲线数据'!$B$2:$K$742,ROW()-1,MATCH(D$1,'包络曲线数据'!$B$1:$K$1,0)),""))</x:f>
      </x:c>
      <x:c r="E721" t="str">
        <x:f>IF(E$1="","",IFERROR(INDEX('包络曲线数据'!$B$2:$K$742,ROW()-1,MATCH(E$1,'包络曲线数据'!$B$1:$K$1,0)),""))</x:f>
      </x:c>
      <x:c r="F721" t="str">
        <x:f>IF(F$1="","",IFERROR(INDEX('包络曲线数据'!$B$2:$K$742,ROW()-1,MATCH(F$1,'包络曲线数据'!$B$1:$K$1,0)),""))</x:f>
      </x:c>
      <x:c r="G721" t="str">
        <x:f>IF(G$1="","",IFERROR(INDEX('包络曲线数据'!$B$2:$K$742,ROW()-1,MATCH(G$1,'包络曲线数据'!$B$1:$K$1,0)),""))</x:f>
      </x:c>
    </x:row>
    <x:row r="722">
      <x:c r="A722" t="n">
        <x:v>72</x:v>
      </x:c>
      <x:c r="B722" t="str">
        <x:f>IF(B$1="","",IFERROR(INDEX('包络曲线数据'!$B$2:$K$742,ROW()-1,MATCH(B$1,'包络曲线数据'!$B$1:$K$1,0)),""))</x:f>
      </x:c>
      <x:c r="C722" t="str">
        <x:f>IF(C$1="","",IFERROR(INDEX('包络曲线数据'!$B$2:$K$742,ROW()-1,MATCH(C$1,'包络曲线数据'!$B$1:$K$1,0)),""))</x:f>
      </x:c>
      <x:c r="D722" t="str">
        <x:f>IF(D$1="","",IFERROR(INDEX('包络曲线数据'!$B$2:$K$742,ROW()-1,MATCH(D$1,'包络曲线数据'!$B$1:$K$1,0)),""))</x:f>
      </x:c>
      <x:c r="E722" t="str">
        <x:f>IF(E$1="","",IFERROR(INDEX('包络曲线数据'!$B$2:$K$742,ROW()-1,MATCH(E$1,'包络曲线数据'!$B$1:$K$1,0)),""))</x:f>
      </x:c>
      <x:c r="F722" t="str">
        <x:f>IF(F$1="","",IFERROR(INDEX('包络曲线数据'!$B$2:$K$742,ROW()-1,MATCH(F$1,'包络曲线数据'!$B$1:$K$1,0)),""))</x:f>
      </x:c>
      <x:c r="G722" t="str">
        <x:f>IF(G$1="","",IFERROR(INDEX('包络曲线数据'!$B$2:$K$742,ROW()-1,MATCH(G$1,'包络曲线数据'!$B$1:$K$1,0)),""))</x:f>
      </x:c>
    </x:row>
    <x:row r="723">
      <x:c r="A723" t="n">
        <x:v>72.10000000000001</x:v>
      </x:c>
      <x:c r="B723" t="str">
        <x:f>IF(B$1="","",IFERROR(INDEX('包络曲线数据'!$B$2:$K$742,ROW()-1,MATCH(B$1,'包络曲线数据'!$B$1:$K$1,0)),""))</x:f>
      </x:c>
      <x:c r="C723" t="str">
        <x:f>IF(C$1="","",IFERROR(INDEX('包络曲线数据'!$B$2:$K$742,ROW()-1,MATCH(C$1,'包络曲线数据'!$B$1:$K$1,0)),""))</x:f>
      </x:c>
      <x:c r="D723" t="str">
        <x:f>IF(D$1="","",IFERROR(INDEX('包络曲线数据'!$B$2:$K$742,ROW()-1,MATCH(D$1,'包络曲线数据'!$B$1:$K$1,0)),""))</x:f>
      </x:c>
      <x:c r="E723" t="str">
        <x:f>IF(E$1="","",IFERROR(INDEX('包络曲线数据'!$B$2:$K$742,ROW()-1,MATCH(E$1,'包络曲线数据'!$B$1:$K$1,0)),""))</x:f>
      </x:c>
      <x:c r="F723" t="str">
        <x:f>IF(F$1="","",IFERROR(INDEX('包络曲线数据'!$B$2:$K$742,ROW()-1,MATCH(F$1,'包络曲线数据'!$B$1:$K$1,0)),""))</x:f>
      </x:c>
      <x:c r="G723" t="str">
        <x:f>IF(G$1="","",IFERROR(INDEX('包络曲线数据'!$B$2:$K$742,ROW()-1,MATCH(G$1,'包络曲线数据'!$B$1:$K$1,0)),""))</x:f>
      </x:c>
    </x:row>
    <x:row r="724">
      <x:c r="A724" t="n">
        <x:v>72.2</x:v>
      </x:c>
      <x:c r="B724" t="str">
        <x:f>IF(B$1="","",IFERROR(INDEX('包络曲线数据'!$B$2:$K$742,ROW()-1,MATCH(B$1,'包络曲线数据'!$B$1:$K$1,0)),""))</x:f>
      </x:c>
      <x:c r="C724" t="str">
        <x:f>IF(C$1="","",IFERROR(INDEX('包络曲线数据'!$B$2:$K$742,ROW()-1,MATCH(C$1,'包络曲线数据'!$B$1:$K$1,0)),""))</x:f>
      </x:c>
      <x:c r="D724" t="str">
        <x:f>IF(D$1="","",IFERROR(INDEX('包络曲线数据'!$B$2:$K$742,ROW()-1,MATCH(D$1,'包络曲线数据'!$B$1:$K$1,0)),""))</x:f>
      </x:c>
      <x:c r="E724" t="str">
        <x:f>IF(E$1="","",IFERROR(INDEX('包络曲线数据'!$B$2:$K$742,ROW()-1,MATCH(E$1,'包络曲线数据'!$B$1:$K$1,0)),""))</x:f>
      </x:c>
      <x:c r="F724" t="str">
        <x:f>IF(F$1="","",IFERROR(INDEX('包络曲线数据'!$B$2:$K$742,ROW()-1,MATCH(F$1,'包络曲线数据'!$B$1:$K$1,0)),""))</x:f>
      </x:c>
      <x:c r="G724" t="str">
        <x:f>IF(G$1="","",IFERROR(INDEX('包络曲线数据'!$B$2:$K$742,ROW()-1,MATCH(G$1,'包络曲线数据'!$B$1:$K$1,0)),""))</x:f>
      </x:c>
    </x:row>
    <x:row r="725">
      <x:c r="A725" t="n">
        <x:v>72.3</x:v>
      </x:c>
      <x:c r="B725" t="str">
        <x:f>IF(B$1="","",IFERROR(INDEX('包络曲线数据'!$B$2:$K$742,ROW()-1,MATCH(B$1,'包络曲线数据'!$B$1:$K$1,0)),""))</x:f>
      </x:c>
      <x:c r="C725" t="str">
        <x:f>IF(C$1="","",IFERROR(INDEX('包络曲线数据'!$B$2:$K$742,ROW()-1,MATCH(C$1,'包络曲线数据'!$B$1:$K$1,0)),""))</x:f>
      </x:c>
      <x:c r="D725" t="str">
        <x:f>IF(D$1="","",IFERROR(INDEX('包络曲线数据'!$B$2:$K$742,ROW()-1,MATCH(D$1,'包络曲线数据'!$B$1:$K$1,0)),""))</x:f>
      </x:c>
      <x:c r="E725" t="str">
        <x:f>IF(E$1="","",IFERROR(INDEX('包络曲线数据'!$B$2:$K$742,ROW()-1,MATCH(E$1,'包络曲线数据'!$B$1:$K$1,0)),""))</x:f>
      </x:c>
      <x:c r="F725" t="str">
        <x:f>IF(F$1="","",IFERROR(INDEX('包络曲线数据'!$B$2:$K$742,ROW()-1,MATCH(F$1,'包络曲线数据'!$B$1:$K$1,0)),""))</x:f>
      </x:c>
      <x:c r="G725" t="str">
        <x:f>IF(G$1="","",IFERROR(INDEX('包络曲线数据'!$B$2:$K$742,ROW()-1,MATCH(G$1,'包络曲线数据'!$B$1:$K$1,0)),""))</x:f>
      </x:c>
    </x:row>
    <x:row r="726">
      <x:c r="A726" t="n">
        <x:v>72.4</x:v>
      </x:c>
      <x:c r="B726" t="str">
        <x:f>IF(B$1="","",IFERROR(INDEX('包络曲线数据'!$B$2:$K$742,ROW()-1,MATCH(B$1,'包络曲线数据'!$B$1:$K$1,0)),""))</x:f>
      </x:c>
      <x:c r="C726" t="str">
        <x:f>IF(C$1="","",IFERROR(INDEX('包络曲线数据'!$B$2:$K$742,ROW()-1,MATCH(C$1,'包络曲线数据'!$B$1:$K$1,0)),""))</x:f>
      </x:c>
      <x:c r="D726" t="str">
        <x:f>IF(D$1="","",IFERROR(INDEX('包络曲线数据'!$B$2:$K$742,ROW()-1,MATCH(D$1,'包络曲线数据'!$B$1:$K$1,0)),""))</x:f>
      </x:c>
      <x:c r="E726" t="str">
        <x:f>IF(E$1="","",IFERROR(INDEX('包络曲线数据'!$B$2:$K$742,ROW()-1,MATCH(E$1,'包络曲线数据'!$B$1:$K$1,0)),""))</x:f>
      </x:c>
      <x:c r="F726" t="str">
        <x:f>IF(F$1="","",IFERROR(INDEX('包络曲线数据'!$B$2:$K$742,ROW()-1,MATCH(F$1,'包络曲线数据'!$B$1:$K$1,0)),""))</x:f>
      </x:c>
      <x:c r="G726" t="str">
        <x:f>IF(G$1="","",IFERROR(INDEX('包络曲线数据'!$B$2:$K$742,ROW()-1,MATCH(G$1,'包络曲线数据'!$B$1:$K$1,0)),""))</x:f>
      </x:c>
    </x:row>
    <x:row r="727">
      <x:c r="A727" t="n">
        <x:v>72.5</x:v>
      </x:c>
      <x:c r="B727" t="str">
        <x:f>IF(B$1="","",IFERROR(INDEX('包络曲线数据'!$B$2:$K$742,ROW()-1,MATCH(B$1,'包络曲线数据'!$B$1:$K$1,0)),""))</x:f>
      </x:c>
      <x:c r="C727" t="str">
        <x:f>IF(C$1="","",IFERROR(INDEX('包络曲线数据'!$B$2:$K$742,ROW()-1,MATCH(C$1,'包络曲线数据'!$B$1:$K$1,0)),""))</x:f>
      </x:c>
      <x:c r="D727" t="str">
        <x:f>IF(D$1="","",IFERROR(INDEX('包络曲线数据'!$B$2:$K$742,ROW()-1,MATCH(D$1,'包络曲线数据'!$B$1:$K$1,0)),""))</x:f>
      </x:c>
      <x:c r="E727" t="str">
        <x:f>IF(E$1="","",IFERROR(INDEX('包络曲线数据'!$B$2:$K$742,ROW()-1,MATCH(E$1,'包络曲线数据'!$B$1:$K$1,0)),""))</x:f>
      </x:c>
      <x:c r="F727" t="str">
        <x:f>IF(F$1="","",IFERROR(INDEX('包络曲线数据'!$B$2:$K$742,ROW()-1,MATCH(F$1,'包络曲线数据'!$B$1:$K$1,0)),""))</x:f>
      </x:c>
      <x:c r="G727" t="str">
        <x:f>IF(G$1="","",IFERROR(INDEX('包络曲线数据'!$B$2:$K$742,ROW()-1,MATCH(G$1,'包络曲线数据'!$B$1:$K$1,0)),""))</x:f>
      </x:c>
    </x:row>
    <x:row r="728">
      <x:c r="A728" t="n">
        <x:v>72.60000000000001</x:v>
      </x:c>
      <x:c r="B728" t="str">
        <x:f>IF(B$1="","",IFERROR(INDEX('包络曲线数据'!$B$2:$K$742,ROW()-1,MATCH(B$1,'包络曲线数据'!$B$1:$K$1,0)),""))</x:f>
      </x:c>
      <x:c r="C728" t="str">
        <x:f>IF(C$1="","",IFERROR(INDEX('包络曲线数据'!$B$2:$K$742,ROW()-1,MATCH(C$1,'包络曲线数据'!$B$1:$K$1,0)),""))</x:f>
      </x:c>
      <x:c r="D728" t="str">
        <x:f>IF(D$1="","",IFERROR(INDEX('包络曲线数据'!$B$2:$K$742,ROW()-1,MATCH(D$1,'包络曲线数据'!$B$1:$K$1,0)),""))</x:f>
      </x:c>
      <x:c r="E728" t="str">
        <x:f>IF(E$1="","",IFERROR(INDEX('包络曲线数据'!$B$2:$K$742,ROW()-1,MATCH(E$1,'包络曲线数据'!$B$1:$K$1,0)),""))</x:f>
      </x:c>
      <x:c r="F728" t="str">
        <x:f>IF(F$1="","",IFERROR(INDEX('包络曲线数据'!$B$2:$K$742,ROW()-1,MATCH(F$1,'包络曲线数据'!$B$1:$K$1,0)),""))</x:f>
      </x:c>
      <x:c r="G728" t="str">
        <x:f>IF(G$1="","",IFERROR(INDEX('包络曲线数据'!$B$2:$K$742,ROW()-1,MATCH(G$1,'包络曲线数据'!$B$1:$K$1,0)),""))</x:f>
      </x:c>
    </x:row>
    <x:row r="729">
      <x:c r="A729" t="n">
        <x:v>72.7</x:v>
      </x:c>
      <x:c r="B729" t="str">
        <x:f>IF(B$1="","",IFERROR(INDEX('包络曲线数据'!$B$2:$K$742,ROW()-1,MATCH(B$1,'包络曲线数据'!$B$1:$K$1,0)),""))</x:f>
      </x:c>
      <x:c r="C729" t="str">
        <x:f>IF(C$1="","",IFERROR(INDEX('包络曲线数据'!$B$2:$K$742,ROW()-1,MATCH(C$1,'包络曲线数据'!$B$1:$K$1,0)),""))</x:f>
      </x:c>
      <x:c r="D729" t="str">
        <x:f>IF(D$1="","",IFERROR(INDEX('包络曲线数据'!$B$2:$K$742,ROW()-1,MATCH(D$1,'包络曲线数据'!$B$1:$K$1,0)),""))</x:f>
      </x:c>
      <x:c r="E729" t="str">
        <x:f>IF(E$1="","",IFERROR(INDEX('包络曲线数据'!$B$2:$K$742,ROW()-1,MATCH(E$1,'包络曲线数据'!$B$1:$K$1,0)),""))</x:f>
      </x:c>
      <x:c r="F729" t="str">
        <x:f>IF(F$1="","",IFERROR(INDEX('包络曲线数据'!$B$2:$K$742,ROW()-1,MATCH(F$1,'包络曲线数据'!$B$1:$K$1,0)),""))</x:f>
      </x:c>
      <x:c r="G729" t="str">
        <x:f>IF(G$1="","",IFERROR(INDEX('包络曲线数据'!$B$2:$K$742,ROW()-1,MATCH(G$1,'包络曲线数据'!$B$1:$K$1,0)),""))</x:f>
      </x:c>
    </x:row>
    <x:row r="730">
      <x:c r="A730" t="n">
        <x:v>72.8</x:v>
      </x:c>
      <x:c r="B730" t="str">
        <x:f>IF(B$1="","",IFERROR(INDEX('包络曲线数据'!$B$2:$K$742,ROW()-1,MATCH(B$1,'包络曲线数据'!$B$1:$K$1,0)),""))</x:f>
      </x:c>
      <x:c r="C730" t="str">
        <x:f>IF(C$1="","",IFERROR(INDEX('包络曲线数据'!$B$2:$K$742,ROW()-1,MATCH(C$1,'包络曲线数据'!$B$1:$K$1,0)),""))</x:f>
      </x:c>
      <x:c r="D730" t="str">
        <x:f>IF(D$1="","",IFERROR(INDEX('包络曲线数据'!$B$2:$K$742,ROW()-1,MATCH(D$1,'包络曲线数据'!$B$1:$K$1,0)),""))</x:f>
      </x:c>
      <x:c r="E730" t="str">
        <x:f>IF(E$1="","",IFERROR(INDEX('包络曲线数据'!$B$2:$K$742,ROW()-1,MATCH(E$1,'包络曲线数据'!$B$1:$K$1,0)),""))</x:f>
      </x:c>
      <x:c r="F730" t="str">
        <x:f>IF(F$1="","",IFERROR(INDEX('包络曲线数据'!$B$2:$K$742,ROW()-1,MATCH(F$1,'包络曲线数据'!$B$1:$K$1,0)),""))</x:f>
      </x:c>
      <x:c r="G730" t="str">
        <x:f>IF(G$1="","",IFERROR(INDEX('包络曲线数据'!$B$2:$K$742,ROW()-1,MATCH(G$1,'包络曲线数据'!$B$1:$K$1,0)),""))</x:f>
      </x:c>
    </x:row>
    <x:row r="731">
      <x:c r="A731" t="n">
        <x:v>72.9</x:v>
      </x:c>
      <x:c r="B731" t="str">
        <x:f>IF(B$1="","",IFERROR(INDEX('包络曲线数据'!$B$2:$K$742,ROW()-1,MATCH(B$1,'包络曲线数据'!$B$1:$K$1,0)),""))</x:f>
      </x:c>
      <x:c r="C731" t="str">
        <x:f>IF(C$1="","",IFERROR(INDEX('包络曲线数据'!$B$2:$K$742,ROW()-1,MATCH(C$1,'包络曲线数据'!$B$1:$K$1,0)),""))</x:f>
      </x:c>
      <x:c r="D731" t="str">
        <x:f>IF(D$1="","",IFERROR(INDEX('包络曲线数据'!$B$2:$K$742,ROW()-1,MATCH(D$1,'包络曲线数据'!$B$1:$K$1,0)),""))</x:f>
      </x:c>
      <x:c r="E731" t="str">
        <x:f>IF(E$1="","",IFERROR(INDEX('包络曲线数据'!$B$2:$K$742,ROW()-1,MATCH(E$1,'包络曲线数据'!$B$1:$K$1,0)),""))</x:f>
      </x:c>
      <x:c r="F731" t="str">
        <x:f>IF(F$1="","",IFERROR(INDEX('包络曲线数据'!$B$2:$K$742,ROW()-1,MATCH(F$1,'包络曲线数据'!$B$1:$K$1,0)),""))</x:f>
      </x:c>
      <x:c r="G731" t="str">
        <x:f>IF(G$1="","",IFERROR(INDEX('包络曲线数据'!$B$2:$K$742,ROW()-1,MATCH(G$1,'包络曲线数据'!$B$1:$K$1,0)),""))</x:f>
      </x:c>
    </x:row>
    <x:row r="732">
      <x:c r="A732" t="n">
        <x:v>73</x:v>
      </x:c>
      <x:c r="B732" t="str">
        <x:f>IF(B$1="","",IFERROR(INDEX('包络曲线数据'!$B$2:$K$742,ROW()-1,MATCH(B$1,'包络曲线数据'!$B$1:$K$1,0)),""))</x:f>
      </x:c>
      <x:c r="C732" t="str">
        <x:f>IF(C$1="","",IFERROR(INDEX('包络曲线数据'!$B$2:$K$742,ROW()-1,MATCH(C$1,'包络曲线数据'!$B$1:$K$1,0)),""))</x:f>
      </x:c>
      <x:c r="D732" t="str">
        <x:f>IF(D$1="","",IFERROR(INDEX('包络曲线数据'!$B$2:$K$742,ROW()-1,MATCH(D$1,'包络曲线数据'!$B$1:$K$1,0)),""))</x:f>
      </x:c>
      <x:c r="E732" t="str">
        <x:f>IF(E$1="","",IFERROR(INDEX('包络曲线数据'!$B$2:$K$742,ROW()-1,MATCH(E$1,'包络曲线数据'!$B$1:$K$1,0)),""))</x:f>
      </x:c>
      <x:c r="F732" t="str">
        <x:f>IF(F$1="","",IFERROR(INDEX('包络曲线数据'!$B$2:$K$742,ROW()-1,MATCH(F$1,'包络曲线数据'!$B$1:$K$1,0)),""))</x:f>
      </x:c>
      <x:c r="G732" t="str">
        <x:f>IF(G$1="","",IFERROR(INDEX('包络曲线数据'!$B$2:$K$742,ROW()-1,MATCH(G$1,'包络曲线数据'!$B$1:$K$1,0)),""))</x:f>
      </x:c>
    </x:row>
    <x:row r="733">
      <x:c r="A733" t="n">
        <x:v>73.10000000000001</x:v>
      </x:c>
      <x:c r="B733" t="str">
        <x:f>IF(B$1="","",IFERROR(INDEX('包络曲线数据'!$B$2:$K$742,ROW()-1,MATCH(B$1,'包络曲线数据'!$B$1:$K$1,0)),""))</x:f>
      </x:c>
      <x:c r="C733" t="str">
        <x:f>IF(C$1="","",IFERROR(INDEX('包络曲线数据'!$B$2:$K$742,ROW()-1,MATCH(C$1,'包络曲线数据'!$B$1:$K$1,0)),""))</x:f>
      </x:c>
      <x:c r="D733" t="str">
        <x:f>IF(D$1="","",IFERROR(INDEX('包络曲线数据'!$B$2:$K$742,ROW()-1,MATCH(D$1,'包络曲线数据'!$B$1:$K$1,0)),""))</x:f>
      </x:c>
      <x:c r="E733" t="str">
        <x:f>IF(E$1="","",IFERROR(INDEX('包络曲线数据'!$B$2:$K$742,ROW()-1,MATCH(E$1,'包络曲线数据'!$B$1:$K$1,0)),""))</x:f>
      </x:c>
      <x:c r="F733" t="str">
        <x:f>IF(F$1="","",IFERROR(INDEX('包络曲线数据'!$B$2:$K$742,ROW()-1,MATCH(F$1,'包络曲线数据'!$B$1:$K$1,0)),""))</x:f>
      </x:c>
      <x:c r="G733" t="str">
        <x:f>IF(G$1="","",IFERROR(INDEX('包络曲线数据'!$B$2:$K$742,ROW()-1,MATCH(G$1,'包络曲线数据'!$B$1:$K$1,0)),""))</x:f>
      </x:c>
    </x:row>
    <x:row r="734">
      <x:c r="A734" t="n">
        <x:v>73.2</x:v>
      </x:c>
      <x:c r="B734" t="str">
        <x:f>IF(B$1="","",IFERROR(INDEX('包络曲线数据'!$B$2:$K$742,ROW()-1,MATCH(B$1,'包络曲线数据'!$B$1:$K$1,0)),""))</x:f>
      </x:c>
      <x:c r="C734" t="str">
        <x:f>IF(C$1="","",IFERROR(INDEX('包络曲线数据'!$B$2:$K$742,ROW()-1,MATCH(C$1,'包络曲线数据'!$B$1:$K$1,0)),""))</x:f>
      </x:c>
      <x:c r="D734" t="str">
        <x:f>IF(D$1="","",IFERROR(INDEX('包络曲线数据'!$B$2:$K$742,ROW()-1,MATCH(D$1,'包络曲线数据'!$B$1:$K$1,0)),""))</x:f>
      </x:c>
      <x:c r="E734" t="str">
        <x:f>IF(E$1="","",IFERROR(INDEX('包络曲线数据'!$B$2:$K$742,ROW()-1,MATCH(E$1,'包络曲线数据'!$B$1:$K$1,0)),""))</x:f>
      </x:c>
      <x:c r="F734" t="str">
        <x:f>IF(F$1="","",IFERROR(INDEX('包络曲线数据'!$B$2:$K$742,ROW()-1,MATCH(F$1,'包络曲线数据'!$B$1:$K$1,0)),""))</x:f>
      </x:c>
      <x:c r="G734" t="str">
        <x:f>IF(G$1="","",IFERROR(INDEX('包络曲线数据'!$B$2:$K$742,ROW()-1,MATCH(G$1,'包络曲线数据'!$B$1:$K$1,0)),""))</x:f>
      </x:c>
    </x:row>
    <x:row r="735">
      <x:c r="A735" t="n">
        <x:v>73.3</x:v>
      </x:c>
      <x:c r="B735" t="str">
        <x:f>IF(B$1="","",IFERROR(INDEX('包络曲线数据'!$B$2:$K$742,ROW()-1,MATCH(B$1,'包络曲线数据'!$B$1:$K$1,0)),""))</x:f>
      </x:c>
      <x:c r="C735" t="str">
        <x:f>IF(C$1="","",IFERROR(INDEX('包络曲线数据'!$B$2:$K$742,ROW()-1,MATCH(C$1,'包络曲线数据'!$B$1:$K$1,0)),""))</x:f>
      </x:c>
      <x:c r="D735" t="str">
        <x:f>IF(D$1="","",IFERROR(INDEX('包络曲线数据'!$B$2:$K$742,ROW()-1,MATCH(D$1,'包络曲线数据'!$B$1:$K$1,0)),""))</x:f>
      </x:c>
      <x:c r="E735" t="str">
        <x:f>IF(E$1="","",IFERROR(INDEX('包络曲线数据'!$B$2:$K$742,ROW()-1,MATCH(E$1,'包络曲线数据'!$B$1:$K$1,0)),""))</x:f>
      </x:c>
      <x:c r="F735" t="str">
        <x:f>IF(F$1="","",IFERROR(INDEX('包络曲线数据'!$B$2:$K$742,ROW()-1,MATCH(F$1,'包络曲线数据'!$B$1:$K$1,0)),""))</x:f>
      </x:c>
      <x:c r="G735" t="str">
        <x:f>IF(G$1="","",IFERROR(INDEX('包络曲线数据'!$B$2:$K$742,ROW()-1,MATCH(G$1,'包络曲线数据'!$B$1:$K$1,0)),""))</x:f>
      </x:c>
    </x:row>
    <x:row r="736">
      <x:c r="A736" t="n">
        <x:v>73.4</x:v>
      </x:c>
      <x:c r="B736" t="str">
        <x:f>IF(B$1="","",IFERROR(INDEX('包络曲线数据'!$B$2:$K$742,ROW()-1,MATCH(B$1,'包络曲线数据'!$B$1:$K$1,0)),""))</x:f>
      </x:c>
      <x:c r="C736" t="str">
        <x:f>IF(C$1="","",IFERROR(INDEX('包络曲线数据'!$B$2:$K$742,ROW()-1,MATCH(C$1,'包络曲线数据'!$B$1:$K$1,0)),""))</x:f>
      </x:c>
      <x:c r="D736" t="str">
        <x:f>IF(D$1="","",IFERROR(INDEX('包络曲线数据'!$B$2:$K$742,ROW()-1,MATCH(D$1,'包络曲线数据'!$B$1:$K$1,0)),""))</x:f>
      </x:c>
      <x:c r="E736" t="str">
        <x:f>IF(E$1="","",IFERROR(INDEX('包络曲线数据'!$B$2:$K$742,ROW()-1,MATCH(E$1,'包络曲线数据'!$B$1:$K$1,0)),""))</x:f>
      </x:c>
      <x:c r="F736" t="str">
        <x:f>IF(F$1="","",IFERROR(INDEX('包络曲线数据'!$B$2:$K$742,ROW()-1,MATCH(F$1,'包络曲线数据'!$B$1:$K$1,0)),""))</x:f>
      </x:c>
      <x:c r="G736" t="str">
        <x:f>IF(G$1="","",IFERROR(INDEX('包络曲线数据'!$B$2:$K$742,ROW()-1,MATCH(G$1,'包络曲线数据'!$B$1:$K$1,0)),""))</x:f>
      </x:c>
    </x:row>
    <x:row r="737">
      <x:c r="A737" t="n">
        <x:v>73.5</x:v>
      </x:c>
      <x:c r="B737" t="str">
        <x:f>IF(B$1="","",IFERROR(INDEX('包络曲线数据'!$B$2:$K$742,ROW()-1,MATCH(B$1,'包络曲线数据'!$B$1:$K$1,0)),""))</x:f>
      </x:c>
      <x:c r="C737" t="str">
        <x:f>IF(C$1="","",IFERROR(INDEX('包络曲线数据'!$B$2:$K$742,ROW()-1,MATCH(C$1,'包络曲线数据'!$B$1:$K$1,0)),""))</x:f>
      </x:c>
      <x:c r="D737" t="str">
        <x:f>IF(D$1="","",IFERROR(INDEX('包络曲线数据'!$B$2:$K$742,ROW()-1,MATCH(D$1,'包络曲线数据'!$B$1:$K$1,0)),""))</x:f>
      </x:c>
      <x:c r="E737" t="str">
        <x:f>IF(E$1="","",IFERROR(INDEX('包络曲线数据'!$B$2:$K$742,ROW()-1,MATCH(E$1,'包络曲线数据'!$B$1:$K$1,0)),""))</x:f>
      </x:c>
      <x:c r="F737" t="str">
        <x:f>IF(F$1="","",IFERROR(INDEX('包络曲线数据'!$B$2:$K$742,ROW()-1,MATCH(F$1,'包络曲线数据'!$B$1:$K$1,0)),""))</x:f>
      </x:c>
      <x:c r="G737" t="str">
        <x:f>IF(G$1="","",IFERROR(INDEX('包络曲线数据'!$B$2:$K$742,ROW()-1,MATCH(G$1,'包络曲线数据'!$B$1:$K$1,0)),""))</x:f>
      </x:c>
    </x:row>
    <x:row r="738">
      <x:c r="A738" t="n">
        <x:v>73.60000000000001</x:v>
      </x:c>
      <x:c r="B738" t="str">
        <x:f>IF(B$1="","",IFERROR(INDEX('包络曲线数据'!$B$2:$K$742,ROW()-1,MATCH(B$1,'包络曲线数据'!$B$1:$K$1,0)),""))</x:f>
      </x:c>
      <x:c r="C738" t="str">
        <x:f>IF(C$1="","",IFERROR(INDEX('包络曲线数据'!$B$2:$K$742,ROW()-1,MATCH(C$1,'包络曲线数据'!$B$1:$K$1,0)),""))</x:f>
      </x:c>
      <x:c r="D738" t="str">
        <x:f>IF(D$1="","",IFERROR(INDEX('包络曲线数据'!$B$2:$K$742,ROW()-1,MATCH(D$1,'包络曲线数据'!$B$1:$K$1,0)),""))</x:f>
      </x:c>
      <x:c r="E738" t="str">
        <x:f>IF(E$1="","",IFERROR(INDEX('包络曲线数据'!$B$2:$K$742,ROW()-1,MATCH(E$1,'包络曲线数据'!$B$1:$K$1,0)),""))</x:f>
      </x:c>
      <x:c r="F738" t="str">
        <x:f>IF(F$1="","",IFERROR(INDEX('包络曲线数据'!$B$2:$K$742,ROW()-1,MATCH(F$1,'包络曲线数据'!$B$1:$K$1,0)),""))</x:f>
      </x:c>
      <x:c r="G738" t="str">
        <x:f>IF(G$1="","",IFERROR(INDEX('包络曲线数据'!$B$2:$K$742,ROW()-1,MATCH(G$1,'包络曲线数据'!$B$1:$K$1,0)),""))</x:f>
      </x:c>
    </x:row>
    <x:row r="739">
      <x:c r="A739" t="n">
        <x:v>73.7</x:v>
      </x:c>
      <x:c r="B739" t="str">
        <x:f>IF(B$1="","",IFERROR(INDEX('包络曲线数据'!$B$2:$K$742,ROW()-1,MATCH(B$1,'包络曲线数据'!$B$1:$K$1,0)),""))</x:f>
      </x:c>
      <x:c r="C739" t="str">
        <x:f>IF(C$1="","",IFERROR(INDEX('包络曲线数据'!$B$2:$K$742,ROW()-1,MATCH(C$1,'包络曲线数据'!$B$1:$K$1,0)),""))</x:f>
      </x:c>
      <x:c r="D739" t="str">
        <x:f>IF(D$1="","",IFERROR(INDEX('包络曲线数据'!$B$2:$K$742,ROW()-1,MATCH(D$1,'包络曲线数据'!$B$1:$K$1,0)),""))</x:f>
      </x:c>
      <x:c r="E739" t="str">
        <x:f>IF(E$1="","",IFERROR(INDEX('包络曲线数据'!$B$2:$K$742,ROW()-1,MATCH(E$1,'包络曲线数据'!$B$1:$K$1,0)),""))</x:f>
      </x:c>
      <x:c r="F739" t="str">
        <x:f>IF(F$1="","",IFERROR(INDEX('包络曲线数据'!$B$2:$K$742,ROW()-1,MATCH(F$1,'包络曲线数据'!$B$1:$K$1,0)),""))</x:f>
      </x:c>
      <x:c r="G739" t="str">
        <x:f>IF(G$1="","",IFERROR(INDEX('包络曲线数据'!$B$2:$K$742,ROW()-1,MATCH(G$1,'包络曲线数据'!$B$1:$K$1,0)),""))</x:f>
      </x:c>
    </x:row>
    <x:row r="740">
      <x:c r="A740" t="n">
        <x:v>73.8</x:v>
      </x:c>
      <x:c r="B740" t="str">
        <x:f>IF(B$1="","",IFERROR(INDEX('包络曲线数据'!$B$2:$K$742,ROW()-1,MATCH(B$1,'包络曲线数据'!$B$1:$K$1,0)),""))</x:f>
      </x:c>
      <x:c r="C740" t="str">
        <x:f>IF(C$1="","",IFERROR(INDEX('包络曲线数据'!$B$2:$K$742,ROW()-1,MATCH(C$1,'包络曲线数据'!$B$1:$K$1,0)),""))</x:f>
      </x:c>
      <x:c r="D740" t="str">
        <x:f>IF(D$1="","",IFERROR(INDEX('包络曲线数据'!$B$2:$K$742,ROW()-1,MATCH(D$1,'包络曲线数据'!$B$1:$K$1,0)),""))</x:f>
      </x:c>
      <x:c r="E740" t="str">
        <x:f>IF(E$1="","",IFERROR(INDEX('包络曲线数据'!$B$2:$K$742,ROW()-1,MATCH(E$1,'包络曲线数据'!$B$1:$K$1,0)),""))</x:f>
      </x:c>
      <x:c r="F740" t="str">
        <x:f>IF(F$1="","",IFERROR(INDEX('包络曲线数据'!$B$2:$K$742,ROW()-1,MATCH(F$1,'包络曲线数据'!$B$1:$K$1,0)),""))</x:f>
      </x:c>
      <x:c r="G740" t="str">
        <x:f>IF(G$1="","",IFERROR(INDEX('包络曲线数据'!$B$2:$K$742,ROW()-1,MATCH(G$1,'包络曲线数据'!$B$1:$K$1,0)),""))</x:f>
      </x:c>
    </x:row>
    <x:row r="741">
      <x:c r="A741" t="n">
        <x:v>73.9</x:v>
      </x:c>
      <x:c r="B741" t="str">
        <x:f>IF(B$1="","",IFERROR(INDEX('包络曲线数据'!$B$2:$K$742,ROW()-1,MATCH(B$1,'包络曲线数据'!$B$1:$K$1,0)),""))</x:f>
      </x:c>
      <x:c r="C741" t="str">
        <x:f>IF(C$1="","",IFERROR(INDEX('包络曲线数据'!$B$2:$K$742,ROW()-1,MATCH(C$1,'包络曲线数据'!$B$1:$K$1,0)),""))</x:f>
      </x:c>
      <x:c r="D741" t="str">
        <x:f>IF(D$1="","",IFERROR(INDEX('包络曲线数据'!$B$2:$K$742,ROW()-1,MATCH(D$1,'包络曲线数据'!$B$1:$K$1,0)),""))</x:f>
      </x:c>
      <x:c r="E741" t="str">
        <x:f>IF(E$1="","",IFERROR(INDEX('包络曲线数据'!$B$2:$K$742,ROW()-1,MATCH(E$1,'包络曲线数据'!$B$1:$K$1,0)),""))</x:f>
      </x:c>
      <x:c r="F741" t="str">
        <x:f>IF(F$1="","",IFERROR(INDEX('包络曲线数据'!$B$2:$K$742,ROW()-1,MATCH(F$1,'包络曲线数据'!$B$1:$K$1,0)),""))</x:f>
      </x:c>
      <x:c r="G741" t="str">
        <x:f>IF(G$1="","",IFERROR(INDEX('包络曲线数据'!$B$2:$K$742,ROW()-1,MATCH(G$1,'包络曲线数据'!$B$1:$K$1,0)),""))</x:f>
      </x:c>
    </x:row>
    <x:row r="742">
      <x:c r="A742" t="n">
        <x:v>74</x:v>
      </x:c>
      <x:c r="B742" t="str">
        <x:f>IF(B$1="","",IFERROR(INDEX('包络曲线数据'!$B$2:$K$742,ROW()-1,MATCH(B$1,'包络曲线数据'!$B$1:$K$1,0)),""))</x:f>
      </x:c>
      <x:c r="C742" t="str">
        <x:f>IF(C$1="","",IFERROR(INDEX('包络曲线数据'!$B$2:$K$742,ROW()-1,MATCH(C$1,'包络曲线数据'!$B$1:$K$1,0)),""))</x:f>
      </x:c>
      <x:c r="D742" t="str">
        <x:f>IF(D$1="","",IFERROR(INDEX('包络曲线数据'!$B$2:$K$742,ROW()-1,MATCH(D$1,'包络曲线数据'!$B$1:$K$1,0)),""))</x:f>
      </x:c>
      <x:c r="E742" t="str">
        <x:f>IF(E$1="","",IFERROR(INDEX('包络曲线数据'!$B$2:$K$742,ROW()-1,MATCH(E$1,'包络曲线数据'!$B$1:$K$1,0)),""))</x:f>
      </x:c>
      <x:c r="F742" t="str">
        <x:f>IF(F$1="","",IFERROR(INDEX('包络曲线数据'!$B$2:$K$742,ROW()-1,MATCH(F$1,'包络曲线数据'!$B$1:$K$1,0)),""))</x:f>
      </x:c>
      <x:c r="G742" t="str">
        <x:f>IF(G$1="","",IFERROR(INDEX('包络曲线数据'!$B$2:$K$742,ROW()-1,MATCH(G$1,'包络曲线数据'!$B$1:$K$1,0)),""))</x:f>
      </x:c>
    </x:row>
  </x:sheetData>
  <x:pageMargins left="0.7" right="0.7" top="0.75" bottom="0.75" header="0.3" footer="0.3"/>
</x:worksheet>
</file>